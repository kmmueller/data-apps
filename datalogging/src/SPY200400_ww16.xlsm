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eller\git\data-apps\datalogging\src\"/>
    </mc:Choice>
  </mc:AlternateContent>
  <bookViews>
    <workbookView minimized="1" xWindow="0" yWindow="0" windowWidth="14205" windowHeight="4950"/>
  </bookViews>
  <sheets>
    <sheet name="Sheet" sheetId="1" r:id="rId1"/>
  </sheets>
  <calcPr calcId="152511"/>
</workbook>
</file>

<file path=xl/calcChain.xml><?xml version="1.0" encoding="utf-8"?>
<calcChain xmlns="http://schemas.openxmlformats.org/spreadsheetml/2006/main">
  <c r="V924" i="1" l="1"/>
  <c r="H924" i="1"/>
  <c r="L898" i="1"/>
  <c r="G861" i="1"/>
  <c r="U857" i="1"/>
  <c r="A904" i="1"/>
  <c r="U847" i="1"/>
  <c r="K809" i="1"/>
  <c r="I923" i="1"/>
  <c r="H818" i="1"/>
  <c r="J906" i="1"/>
  <c r="A700" i="1"/>
  <c r="F836" i="1"/>
  <c r="I850" i="1"/>
  <c r="U851" i="1"/>
  <c r="R853" i="1"/>
  <c r="A890" i="1"/>
  <c r="N871" i="1"/>
  <c r="S886" i="1"/>
  <c r="M904" i="1"/>
  <c r="K924" i="1"/>
  <c r="P853" i="1"/>
  <c r="F849" i="1"/>
  <c r="U858" i="1"/>
  <c r="Q910" i="1"/>
  <c r="C923" i="1"/>
  <c r="K795" i="1"/>
  <c r="R794" i="1"/>
  <c r="S899" i="1"/>
  <c r="B734" i="1"/>
  <c r="U879" i="1"/>
  <c r="J903" i="1"/>
  <c r="I910" i="1"/>
  <c r="M916" i="1"/>
  <c r="C866" i="1"/>
  <c r="B818" i="1"/>
  <c r="A763" i="1"/>
  <c r="Q886" i="1"/>
  <c r="S904" i="1"/>
  <c r="Q855" i="1"/>
  <c r="J814" i="1"/>
  <c r="L812" i="1"/>
  <c r="D773" i="1"/>
  <c r="M648" i="1"/>
  <c r="Q872" i="1"/>
  <c r="I736" i="1"/>
  <c r="S849" i="1"/>
  <c r="V705" i="1"/>
  <c r="U852" i="1"/>
  <c r="P896" i="1"/>
  <c r="B835" i="1"/>
  <c r="S866" i="1"/>
  <c r="K819" i="1"/>
  <c r="Q893" i="1"/>
  <c r="T905" i="1"/>
  <c r="U768" i="1"/>
  <c r="C761" i="1"/>
  <c r="B670" i="1"/>
  <c r="E889" i="1"/>
  <c r="L865" i="1"/>
  <c r="H917" i="1"/>
  <c r="O837" i="1"/>
  <c r="O900" i="1"/>
  <c r="J797" i="1"/>
  <c r="E898" i="1"/>
  <c r="I921" i="1"/>
  <c r="N791" i="1"/>
  <c r="P903" i="1"/>
  <c r="G827" i="1"/>
  <c r="P851" i="1"/>
  <c r="H753" i="1"/>
  <c r="C874" i="1"/>
  <c r="J853" i="1"/>
  <c r="H878" i="1"/>
  <c r="B839" i="1"/>
  <c r="U914" i="1"/>
  <c r="T839" i="1"/>
  <c r="E643" i="1"/>
  <c r="F826" i="1"/>
  <c r="I905" i="1"/>
  <c r="E894" i="1"/>
  <c r="P698" i="1"/>
  <c r="R827" i="1"/>
  <c r="N877" i="1"/>
  <c r="B885" i="1"/>
  <c r="Q816" i="1"/>
  <c r="N917" i="1"/>
  <c r="D911" i="1"/>
  <c r="M907" i="1"/>
  <c r="T898" i="1"/>
  <c r="A880" i="1"/>
  <c r="G900" i="1"/>
  <c r="M787" i="1"/>
  <c r="R802" i="1"/>
  <c r="D793" i="1"/>
  <c r="F829" i="1"/>
  <c r="U911" i="1"/>
  <c r="J869" i="1"/>
  <c r="P643" i="1"/>
  <c r="J916" i="1"/>
  <c r="D739" i="1"/>
  <c r="S912" i="1"/>
  <c r="P858" i="1"/>
  <c r="F862" i="1"/>
  <c r="C872" i="1"/>
  <c r="O894" i="1"/>
  <c r="G733" i="1"/>
  <c r="V920" i="1"/>
  <c r="A776" i="1"/>
  <c r="V823" i="1"/>
  <c r="J920" i="1"/>
  <c r="G866" i="1"/>
  <c r="V788" i="1"/>
  <c r="C828" i="1"/>
  <c r="F744" i="1"/>
  <c r="U885" i="1"/>
  <c r="R713" i="1"/>
  <c r="V892" i="1"/>
  <c r="A824" i="1"/>
  <c r="T817" i="1"/>
  <c r="M827" i="1"/>
  <c r="A807" i="1"/>
  <c r="I711" i="1"/>
  <c r="S919" i="1"/>
  <c r="U733" i="1"/>
  <c r="B887" i="1"/>
  <c r="V860" i="1"/>
  <c r="L915" i="1"/>
  <c r="K876" i="1"/>
  <c r="G826" i="1"/>
  <c r="K920" i="1"/>
  <c r="I821" i="1"/>
  <c r="C910" i="1"/>
  <c r="P888" i="1"/>
  <c r="D858" i="1"/>
  <c r="V867" i="1"/>
  <c r="K919" i="1"/>
  <c r="C863" i="1"/>
  <c r="R828" i="1"/>
  <c r="O760" i="1"/>
  <c r="B900" i="1"/>
  <c r="D742" i="1"/>
  <c r="J794" i="1"/>
  <c r="L876" i="1"/>
  <c r="J878" i="1"/>
  <c r="V903" i="1"/>
  <c r="L853" i="1"/>
  <c r="C732" i="1"/>
  <c r="K879" i="1"/>
  <c r="G855" i="1"/>
  <c r="J855" i="1"/>
  <c r="M877" i="1"/>
  <c r="S839" i="1"/>
  <c r="E923" i="1"/>
  <c r="B851" i="1"/>
  <c r="M908" i="1"/>
  <c r="G770" i="1"/>
  <c r="K891" i="1"/>
  <c r="V838" i="1"/>
  <c r="P868" i="1"/>
  <c r="G897" i="1"/>
  <c r="U818" i="1"/>
  <c r="F895" i="1"/>
  <c r="F879" i="1"/>
  <c r="O856" i="1"/>
  <c r="Q866" i="1"/>
  <c r="K830" i="1"/>
  <c r="P782" i="1"/>
  <c r="S858" i="1"/>
  <c r="M712" i="1"/>
  <c r="M711" i="1"/>
  <c r="C787" i="1"/>
  <c r="K733" i="1"/>
  <c r="S881" i="1"/>
  <c r="K698" i="1"/>
  <c r="L923" i="1"/>
  <c r="V854" i="1"/>
  <c r="J836" i="1"/>
  <c r="B915" i="1"/>
  <c r="U850" i="1"/>
  <c r="K890" i="1"/>
  <c r="Q832" i="1"/>
  <c r="L895" i="1"/>
  <c r="L794" i="1"/>
  <c r="B809" i="1"/>
  <c r="E908" i="1"/>
  <c r="G815" i="1"/>
  <c r="F827" i="1"/>
  <c r="J860" i="1"/>
  <c r="V900" i="1"/>
  <c r="F785" i="1"/>
  <c r="A894" i="1"/>
  <c r="N880" i="1"/>
  <c r="O759" i="1"/>
  <c r="S805" i="1"/>
  <c r="A899" i="1"/>
  <c r="S801" i="1"/>
  <c r="K817" i="1"/>
  <c r="U908" i="1"/>
  <c r="B713" i="1"/>
  <c r="H812" i="1"/>
  <c r="N902" i="1"/>
  <c r="L845" i="1"/>
  <c r="G844" i="1"/>
  <c r="A879" i="1"/>
  <c r="B700" i="1"/>
  <c r="G870" i="1"/>
  <c r="S822" i="1"/>
  <c r="E860" i="1"/>
  <c r="U838" i="1"/>
  <c r="R871" i="1"/>
  <c r="M889" i="1"/>
  <c r="L911" i="1"/>
  <c r="F871" i="1"/>
  <c r="D894" i="1"/>
  <c r="R736" i="1"/>
  <c r="J765" i="1"/>
  <c r="D801" i="1"/>
  <c r="H752" i="1"/>
  <c r="P846" i="1"/>
  <c r="G896" i="1"/>
  <c r="M896" i="1"/>
  <c r="L854" i="1"/>
  <c r="L813" i="1"/>
  <c r="L764" i="1"/>
  <c r="D878" i="1"/>
  <c r="M830" i="1"/>
  <c r="R919" i="1"/>
  <c r="D850" i="1"/>
  <c r="S876" i="1"/>
  <c r="K764" i="1"/>
  <c r="F863" i="1"/>
  <c r="P723" i="1"/>
  <c r="B904" i="1"/>
  <c r="F722" i="1"/>
  <c r="C906" i="1"/>
  <c r="Q918" i="1"/>
  <c r="F835" i="1"/>
  <c r="K824" i="1"/>
  <c r="G920" i="1"/>
  <c r="Q869" i="1"/>
  <c r="N734" i="1"/>
  <c r="Q768" i="1"/>
  <c r="R789" i="1"/>
  <c r="V750" i="1"/>
  <c r="D834" i="1"/>
  <c r="L635" i="1"/>
  <c r="G898" i="1"/>
  <c r="O906" i="1"/>
  <c r="G872" i="1"/>
  <c r="G867" i="1"/>
  <c r="Q923" i="1"/>
  <c r="K847" i="1"/>
  <c r="A916" i="1"/>
  <c r="J880" i="1"/>
  <c r="S809" i="1"/>
  <c r="E886" i="1"/>
  <c r="R822" i="1"/>
  <c r="A860" i="1"/>
  <c r="L848" i="1"/>
  <c r="G731" i="1"/>
  <c r="R888" i="1"/>
  <c r="C908" i="1"/>
  <c r="V855" i="1"/>
  <c r="M890" i="1"/>
  <c r="R894" i="1"/>
  <c r="K856" i="1"/>
  <c r="D866" i="1"/>
  <c r="P877" i="1"/>
  <c r="O892" i="1"/>
  <c r="H708" i="1"/>
  <c r="T917" i="1"/>
  <c r="I887" i="1"/>
  <c r="J874" i="1"/>
  <c r="I771" i="1"/>
  <c r="C844" i="1"/>
  <c r="S905" i="1"/>
  <c r="D785" i="1"/>
  <c r="I906" i="1"/>
  <c r="E875" i="1"/>
  <c r="G755" i="1"/>
  <c r="L912" i="1"/>
  <c r="H873" i="1"/>
  <c r="O873" i="1"/>
  <c r="C893" i="1"/>
  <c r="B906" i="1"/>
  <c r="E846" i="1"/>
  <c r="U890" i="1"/>
  <c r="B811" i="1"/>
  <c r="F723" i="1"/>
  <c r="E774" i="1"/>
  <c r="R893" i="1"/>
  <c r="E885" i="1"/>
  <c r="B810" i="1"/>
  <c r="T887" i="1"/>
  <c r="A878" i="1"/>
  <c r="Q755" i="1"/>
  <c r="D898" i="1"/>
  <c r="I807" i="1"/>
  <c r="O921" i="1"/>
  <c r="F858" i="1"/>
  <c r="P857" i="1"/>
  <c r="H824" i="1"/>
  <c r="D919" i="1"/>
  <c r="U777" i="1"/>
  <c r="H804" i="1"/>
  <c r="P904" i="1"/>
  <c r="T895" i="1"/>
  <c r="K923" i="1"/>
  <c r="D844" i="1"/>
  <c r="G793" i="1"/>
  <c r="Q775" i="1"/>
  <c r="C748" i="1"/>
  <c r="L786" i="1"/>
  <c r="R881" i="1"/>
  <c r="R835" i="1"/>
  <c r="P899" i="1"/>
  <c r="B790" i="1"/>
  <c r="F903" i="1"/>
  <c r="Q836" i="1"/>
  <c r="U868" i="1"/>
  <c r="G876" i="1"/>
  <c r="L795" i="1"/>
  <c r="F773" i="1"/>
  <c r="N806" i="1"/>
  <c r="B868" i="1"/>
  <c r="J914" i="1"/>
  <c r="L879" i="1"/>
  <c r="O897" i="1"/>
  <c r="M854" i="1"/>
  <c r="C777" i="1"/>
  <c r="F899" i="1"/>
  <c r="P916" i="1"/>
  <c r="Q907" i="1"/>
  <c r="C899" i="1"/>
  <c r="M852" i="1"/>
  <c r="R854" i="1"/>
  <c r="G823" i="1"/>
  <c r="Q905" i="1"/>
  <c r="R651" i="1"/>
  <c r="S824" i="1"/>
  <c r="E814" i="1"/>
  <c r="E831" i="1"/>
  <c r="I839" i="1"/>
  <c r="K820" i="1"/>
  <c r="H858" i="1"/>
  <c r="P733" i="1"/>
  <c r="T739" i="1"/>
  <c r="A845" i="1"/>
  <c r="G790" i="1"/>
  <c r="S880" i="1"/>
  <c r="S892" i="1"/>
  <c r="F922" i="1"/>
  <c r="C840" i="1"/>
  <c r="U787" i="1"/>
  <c r="J735" i="1"/>
  <c r="B702" i="1"/>
  <c r="F918" i="1"/>
  <c r="V904" i="1"/>
  <c r="H823" i="1"/>
  <c r="P815" i="1"/>
  <c r="L900" i="1"/>
  <c r="F880" i="1"/>
  <c r="V869" i="1"/>
  <c r="K921" i="1"/>
  <c r="P894" i="1"/>
  <c r="G893" i="1"/>
  <c r="V828" i="1"/>
  <c r="L902" i="1"/>
  <c r="U874" i="1"/>
  <c r="M880" i="1"/>
  <c r="P902" i="1"/>
  <c r="N751" i="1"/>
  <c r="E708" i="1"/>
  <c r="G847" i="1"/>
  <c r="G915" i="1"/>
  <c r="A919" i="1"/>
  <c r="L822" i="1"/>
  <c r="L864" i="1"/>
  <c r="M912" i="1"/>
  <c r="H867" i="1"/>
  <c r="D833" i="1"/>
  <c r="B876" i="1"/>
  <c r="E777" i="1"/>
  <c r="L890" i="1"/>
  <c r="Q736" i="1"/>
  <c r="F888" i="1"/>
  <c r="B837" i="1"/>
  <c r="E913" i="1"/>
  <c r="P787" i="1"/>
  <c r="Q851" i="1"/>
  <c r="P830" i="1"/>
  <c r="N892" i="1"/>
  <c r="O917" i="1"/>
  <c r="D851" i="1"/>
  <c r="U853" i="1"/>
  <c r="A906" i="1"/>
  <c r="Q874" i="1"/>
  <c r="I898" i="1"/>
  <c r="C902" i="1"/>
  <c r="C887" i="1"/>
  <c r="F831" i="1"/>
  <c r="V886" i="1"/>
  <c r="L922" i="1"/>
  <c r="K860" i="1"/>
  <c r="A788" i="1"/>
  <c r="N845" i="1"/>
  <c r="H712" i="1"/>
  <c r="F896" i="1"/>
  <c r="P907" i="1"/>
  <c r="F814" i="1"/>
  <c r="G873" i="1"/>
  <c r="K832" i="1"/>
  <c r="H796" i="1"/>
  <c r="H811" i="1"/>
  <c r="O778" i="1"/>
  <c r="P832" i="1"/>
  <c r="A828" i="1"/>
  <c r="V751" i="1"/>
  <c r="N920" i="1"/>
  <c r="B717" i="1"/>
  <c r="B696" i="1"/>
  <c r="T835" i="1"/>
  <c r="E819" i="1"/>
  <c r="Q785" i="1"/>
  <c r="R862" i="1"/>
  <c r="I828" i="1"/>
  <c r="G892" i="1"/>
  <c r="A902" i="1"/>
  <c r="F854" i="1"/>
  <c r="R917" i="1"/>
  <c r="K866" i="1"/>
  <c r="Q812" i="1"/>
  <c r="C697" i="1"/>
  <c r="K905" i="1"/>
  <c r="M843" i="1"/>
  <c r="Q804" i="1"/>
  <c r="B908" i="1"/>
  <c r="K745" i="1"/>
  <c r="G694" i="1"/>
  <c r="D901" i="1"/>
  <c r="M902" i="1"/>
  <c r="R921" i="1"/>
  <c r="D859" i="1"/>
  <c r="D805" i="1"/>
  <c r="C862" i="1"/>
  <c r="T828" i="1"/>
  <c r="L891" i="1"/>
  <c r="U756" i="1"/>
  <c r="J825" i="1"/>
  <c r="O885" i="1"/>
  <c r="O822" i="1"/>
  <c r="V836" i="1"/>
  <c r="L860" i="1"/>
  <c r="U912" i="1"/>
  <c r="T809" i="1"/>
  <c r="D871" i="1"/>
  <c r="D797" i="1"/>
  <c r="T840" i="1"/>
  <c r="T920" i="1"/>
  <c r="S834" i="1"/>
  <c r="B924" i="1"/>
  <c r="K896" i="1"/>
  <c r="Q881" i="1"/>
  <c r="K854" i="1"/>
  <c r="D822" i="1"/>
  <c r="I782" i="1"/>
  <c r="U881" i="1"/>
  <c r="G908" i="1"/>
  <c r="S781" i="1"/>
  <c r="A686" i="1"/>
  <c r="M788" i="1"/>
  <c r="G922" i="1"/>
  <c r="L893" i="1"/>
  <c r="I888" i="1"/>
  <c r="C922" i="1"/>
  <c r="J821" i="1"/>
  <c r="H825" i="1"/>
  <c r="O861" i="1"/>
  <c r="O830" i="1"/>
  <c r="S714" i="1"/>
  <c r="D817" i="1"/>
  <c r="M792" i="1"/>
  <c r="S855" i="1"/>
  <c r="H887" i="1"/>
  <c r="A839" i="1"/>
  <c r="K908" i="1"/>
  <c r="A910" i="1"/>
  <c r="C901" i="1"/>
  <c r="K888" i="1"/>
  <c r="P860" i="1"/>
  <c r="M695" i="1"/>
  <c r="F833" i="1"/>
  <c r="A865" i="1"/>
  <c r="S771" i="1"/>
  <c r="D892" i="1"/>
  <c r="B797" i="1"/>
  <c r="J871" i="1"/>
  <c r="D849" i="1"/>
  <c r="V821" i="1"/>
  <c r="L759" i="1"/>
  <c r="A701" i="1"/>
  <c r="T888" i="1"/>
  <c r="H877" i="1"/>
  <c r="C904" i="1"/>
  <c r="N909" i="1"/>
  <c r="G829" i="1"/>
  <c r="V872" i="1"/>
  <c r="E836" i="1"/>
  <c r="K887" i="1"/>
  <c r="F830" i="1"/>
  <c r="M921" i="1"/>
  <c r="C848" i="1"/>
  <c r="P918" i="1"/>
  <c r="A898" i="1"/>
  <c r="E873" i="1"/>
  <c r="H871" i="1"/>
  <c r="O859" i="1"/>
  <c r="C780" i="1"/>
  <c r="P921" i="1"/>
  <c r="I874" i="1"/>
  <c r="P844" i="1"/>
  <c r="E795" i="1"/>
  <c r="T830" i="1"/>
  <c r="P822" i="1"/>
  <c r="R774" i="1"/>
  <c r="C903" i="1"/>
  <c r="I894" i="1"/>
  <c r="D787" i="1"/>
  <c r="S745" i="1"/>
  <c r="E845" i="1"/>
  <c r="R782" i="1"/>
  <c r="A872" i="1"/>
  <c r="T891" i="1"/>
  <c r="P890" i="1"/>
  <c r="V887" i="1"/>
  <c r="U825" i="1"/>
  <c r="M851" i="1"/>
  <c r="S917" i="1"/>
  <c r="K848" i="1"/>
  <c r="I885" i="1"/>
  <c r="K892" i="1"/>
  <c r="D913" i="1"/>
  <c r="C897" i="1"/>
  <c r="L725" i="1"/>
  <c r="K658" i="1"/>
  <c r="O893" i="1"/>
  <c r="R804" i="1"/>
  <c r="H843" i="1"/>
  <c r="J861" i="1"/>
  <c r="Q772" i="1"/>
  <c r="Q859" i="1"/>
  <c r="C704" i="1"/>
  <c r="H785" i="1"/>
  <c r="D798" i="1"/>
  <c r="M879" i="1"/>
  <c r="F870" i="1"/>
  <c r="E871" i="1"/>
  <c r="J718" i="1"/>
  <c r="F913" i="1"/>
  <c r="L819" i="1"/>
  <c r="O912" i="1"/>
  <c r="N848" i="1"/>
  <c r="N844" i="1"/>
  <c r="D902" i="1"/>
  <c r="M820" i="1"/>
  <c r="N875" i="1"/>
  <c r="Q839" i="1"/>
  <c r="U726" i="1"/>
  <c r="S703" i="1"/>
  <c r="C801" i="1"/>
  <c r="R903" i="1"/>
  <c r="V754" i="1"/>
  <c r="D768" i="1"/>
  <c r="U784" i="1"/>
  <c r="V881" i="1"/>
  <c r="M749" i="1"/>
  <c r="P712" i="1"/>
  <c r="G846" i="1"/>
  <c r="G665" i="1"/>
  <c r="V861" i="1"/>
  <c r="K885" i="1"/>
  <c r="C744" i="1"/>
  <c r="C806" i="1"/>
  <c r="P752" i="1"/>
  <c r="I747" i="1"/>
  <c r="R675" i="1"/>
  <c r="L729" i="1"/>
  <c r="U478" i="1"/>
  <c r="C849" i="1"/>
  <c r="N769" i="1"/>
  <c r="F881" i="1"/>
  <c r="L751" i="1"/>
  <c r="P754" i="1"/>
  <c r="O920" i="1"/>
  <c r="Q817" i="1"/>
  <c r="F780" i="1"/>
  <c r="A844" i="1"/>
  <c r="J701" i="1"/>
  <c r="K769" i="1"/>
  <c r="R911" i="1"/>
  <c r="M705" i="1"/>
  <c r="S811" i="1"/>
  <c r="D828" i="1"/>
  <c r="F855" i="1"/>
  <c r="T795" i="1"/>
  <c r="K781" i="1"/>
  <c r="C852" i="1"/>
  <c r="E906" i="1"/>
  <c r="L704" i="1"/>
  <c r="O865" i="1"/>
  <c r="V704" i="1"/>
  <c r="A792" i="1"/>
  <c r="I872" i="1"/>
  <c r="R666" i="1"/>
  <c r="N852" i="1"/>
  <c r="K909" i="1"/>
  <c r="K877" i="1"/>
  <c r="J822" i="1"/>
  <c r="Q824" i="1"/>
  <c r="I788" i="1"/>
  <c r="C737" i="1"/>
  <c r="R873" i="1"/>
  <c r="G877" i="1"/>
  <c r="U872" i="1"/>
  <c r="B834" i="1"/>
  <c r="S856" i="1"/>
  <c r="D836" i="1"/>
  <c r="I819" i="1"/>
  <c r="N668" i="1"/>
  <c r="D924" i="1"/>
  <c r="T854" i="1"/>
  <c r="B821" i="1"/>
  <c r="I764" i="1"/>
  <c r="G924" i="1"/>
  <c r="B789" i="1"/>
  <c r="B865" i="1"/>
  <c r="R767" i="1"/>
  <c r="I808" i="1"/>
  <c r="B888" i="1"/>
  <c r="A885" i="1"/>
  <c r="V917" i="1"/>
  <c r="Q762" i="1"/>
  <c r="K813" i="1"/>
  <c r="V871" i="1"/>
  <c r="S756" i="1"/>
  <c r="H888" i="1"/>
  <c r="E911" i="1"/>
  <c r="C805" i="1"/>
  <c r="B802" i="1"/>
  <c r="E709" i="1"/>
  <c r="I909" i="1"/>
  <c r="C867" i="1"/>
  <c r="A875" i="1"/>
  <c r="M869" i="1"/>
  <c r="H870" i="1"/>
  <c r="E916" i="1"/>
  <c r="S882" i="1"/>
  <c r="E915" i="1"/>
  <c r="P820" i="1"/>
  <c r="P895" i="1"/>
  <c r="O887" i="1"/>
  <c r="N660" i="1"/>
  <c r="R784" i="1"/>
  <c r="P908" i="1"/>
  <c r="K786" i="1"/>
  <c r="B813" i="1"/>
  <c r="N908" i="1"/>
  <c r="E770" i="1"/>
  <c r="D869" i="1"/>
  <c r="F911" i="1"/>
  <c r="P721" i="1"/>
  <c r="P809" i="1"/>
  <c r="U665" i="1"/>
  <c r="D733" i="1"/>
  <c r="B838" i="1"/>
  <c r="H834" i="1"/>
  <c r="B905" i="1"/>
  <c r="R728" i="1"/>
  <c r="A821" i="1"/>
  <c r="J754" i="1"/>
  <c r="F803" i="1"/>
  <c r="J823" i="1"/>
  <c r="P870" i="1"/>
  <c r="H828" i="1"/>
  <c r="Q870" i="1"/>
  <c r="C875" i="1"/>
  <c r="K765" i="1"/>
  <c r="V852" i="1"/>
  <c r="Q861" i="1"/>
  <c r="N773" i="1"/>
  <c r="E862" i="1"/>
  <c r="U737" i="1"/>
  <c r="G899" i="1"/>
  <c r="U892" i="1"/>
  <c r="E824" i="1"/>
  <c r="H733" i="1"/>
  <c r="K740" i="1"/>
  <c r="D863" i="1"/>
  <c r="A818" i="1"/>
  <c r="M922" i="1"/>
  <c r="S887" i="1"/>
  <c r="N837" i="1"/>
  <c r="O705" i="1"/>
  <c r="K870" i="1"/>
  <c r="E825" i="1"/>
  <c r="F714" i="1"/>
  <c r="C804" i="1"/>
  <c r="J845" i="1"/>
  <c r="O725" i="1"/>
  <c r="C818" i="1"/>
  <c r="T706" i="1"/>
  <c r="U695" i="1"/>
  <c r="S609" i="1"/>
  <c r="M741" i="1"/>
  <c r="D634" i="1"/>
  <c r="L606" i="1"/>
  <c r="M742" i="1"/>
  <c r="T911" i="1"/>
  <c r="F910" i="1"/>
  <c r="V832" i="1"/>
  <c r="V889" i="1"/>
  <c r="T748" i="1"/>
  <c r="P687" i="1"/>
  <c r="H911" i="1"/>
  <c r="M868" i="1"/>
  <c r="O789" i="1"/>
  <c r="O672" i="1"/>
  <c r="K872" i="1"/>
  <c r="O918" i="1"/>
  <c r="M727" i="1"/>
  <c r="H898" i="1"/>
  <c r="C740" i="1"/>
  <c r="U855" i="1"/>
  <c r="C782" i="1"/>
  <c r="P633" i="1"/>
  <c r="M887" i="1"/>
  <c r="Q794" i="1"/>
  <c r="H859" i="1"/>
  <c r="G918" i="1"/>
  <c r="E880" i="1"/>
  <c r="V810" i="1"/>
  <c r="A830" i="1"/>
  <c r="P843" i="1"/>
  <c r="N761" i="1"/>
  <c r="Q882" i="1"/>
  <c r="R847" i="1"/>
  <c r="N889" i="1"/>
  <c r="O878" i="1"/>
  <c r="Q776" i="1"/>
  <c r="F906" i="1"/>
  <c r="F724" i="1"/>
  <c r="F740" i="1"/>
  <c r="M754" i="1"/>
  <c r="H860" i="1"/>
  <c r="N822" i="1"/>
  <c r="E830" i="1"/>
  <c r="E888" i="1"/>
  <c r="N785" i="1"/>
  <c r="F776" i="1"/>
  <c r="A684" i="1"/>
  <c r="K787" i="1"/>
  <c r="V792" i="1"/>
  <c r="R915" i="1"/>
  <c r="C797" i="1"/>
  <c r="T906" i="1"/>
  <c r="M805" i="1"/>
  <c r="Q693" i="1"/>
  <c r="Q858" i="1"/>
  <c r="B782" i="1"/>
  <c r="A789" i="1"/>
  <c r="F828" i="1"/>
  <c r="P917" i="1"/>
  <c r="E717" i="1"/>
  <c r="Q916" i="1"/>
  <c r="C791" i="1"/>
  <c r="V885" i="1"/>
  <c r="P873" i="1"/>
  <c r="P731" i="1"/>
  <c r="G865" i="1"/>
  <c r="E865" i="1"/>
  <c r="S826" i="1"/>
  <c r="E803" i="1"/>
  <c r="N896" i="1"/>
  <c r="P893" i="1"/>
  <c r="V880" i="1"/>
  <c r="I891" i="1"/>
  <c r="M858" i="1"/>
  <c r="Q711" i="1"/>
  <c r="L877" i="1"/>
  <c r="K796" i="1"/>
  <c r="F792" i="1"/>
  <c r="M910" i="1"/>
  <c r="K844" i="1"/>
  <c r="N792" i="1"/>
  <c r="C809" i="1"/>
  <c r="P920" i="1"/>
  <c r="E893" i="1"/>
  <c r="E722" i="1"/>
  <c r="E701" i="1"/>
  <c r="N921" i="1"/>
  <c r="G917" i="1"/>
  <c r="C760" i="1"/>
  <c r="A840" i="1"/>
  <c r="L745" i="1"/>
  <c r="B804" i="1"/>
  <c r="Q843" i="1"/>
  <c r="H808" i="1"/>
  <c r="B816" i="1"/>
  <c r="Q919" i="1"/>
  <c r="C870" i="1"/>
  <c r="M913" i="1"/>
  <c r="K903" i="1"/>
  <c r="D916" i="1"/>
  <c r="U770" i="1"/>
  <c r="U785" i="1"/>
  <c r="R844" i="1"/>
  <c r="V719" i="1"/>
  <c r="O809" i="1"/>
  <c r="D693" i="1"/>
  <c r="R652" i="1"/>
  <c r="E848" i="1"/>
  <c r="L863" i="1"/>
  <c r="O909" i="1"/>
  <c r="M853" i="1"/>
  <c r="M737" i="1"/>
  <c r="N825" i="1"/>
  <c r="V764" i="1"/>
  <c r="P879" i="1"/>
  <c r="V918" i="1"/>
  <c r="N797" i="1"/>
  <c r="U919" i="1"/>
  <c r="T831" i="1"/>
  <c r="K680" i="1"/>
  <c r="U792" i="1"/>
  <c r="H789" i="1"/>
  <c r="E924" i="1"/>
  <c r="Q461" i="1"/>
  <c r="B794" i="1"/>
  <c r="I817" i="1"/>
  <c r="Q892" i="1"/>
  <c r="E789" i="1"/>
  <c r="C898" i="1"/>
  <c r="H853" i="1"/>
  <c r="A819" i="1"/>
  <c r="F823" i="1"/>
  <c r="I880" i="1"/>
  <c r="D908" i="1"/>
  <c r="O862" i="1"/>
  <c r="T722" i="1"/>
  <c r="L859" i="1"/>
  <c r="M802" i="1"/>
  <c r="B722" i="1"/>
  <c r="S893" i="1"/>
  <c r="G779" i="1"/>
  <c r="I829" i="1"/>
  <c r="R874" i="1"/>
  <c r="N893" i="1"/>
  <c r="S921" i="1"/>
  <c r="K912" i="1"/>
  <c r="R859" i="1"/>
  <c r="A905" i="1"/>
  <c r="K850" i="1"/>
  <c r="M761" i="1"/>
  <c r="E895" i="1"/>
  <c r="J789" i="1"/>
  <c r="N894" i="1"/>
  <c r="R922" i="1"/>
  <c r="Q908" i="1"/>
  <c r="A850" i="1"/>
  <c r="H637" i="1"/>
  <c r="G704" i="1"/>
  <c r="H914" i="1"/>
  <c r="N814" i="1"/>
  <c r="O767" i="1"/>
  <c r="R857" i="1"/>
  <c r="U864" i="1"/>
  <c r="B824" i="1"/>
  <c r="T876" i="1"/>
  <c r="L913" i="1"/>
  <c r="O793" i="1"/>
  <c r="I830" i="1"/>
  <c r="S740" i="1"/>
  <c r="A842" i="1"/>
  <c r="A922" i="1"/>
  <c r="U859" i="1"/>
  <c r="G880" i="1"/>
  <c r="N789" i="1"/>
  <c r="D763" i="1"/>
  <c r="H819" i="1"/>
  <c r="G881" i="1"/>
  <c r="O850" i="1"/>
  <c r="U869" i="1"/>
  <c r="M663" i="1"/>
  <c r="O849" i="1"/>
  <c r="Q586" i="1"/>
  <c r="U860" i="1"/>
  <c r="U745" i="1"/>
  <c r="E796" i="1"/>
  <c r="F719" i="1"/>
  <c r="F864" i="1"/>
  <c r="V879" i="1"/>
  <c r="V840" i="1"/>
  <c r="V785" i="1"/>
  <c r="H817" i="1"/>
  <c r="R748" i="1"/>
  <c r="N701" i="1"/>
  <c r="L852" i="1"/>
  <c r="M639" i="1"/>
  <c r="S830" i="1"/>
  <c r="K893" i="1"/>
  <c r="J919" i="1"/>
  <c r="E892" i="1"/>
  <c r="B826" i="1"/>
  <c r="K834" i="1"/>
  <c r="F796" i="1"/>
  <c r="L833" i="1"/>
  <c r="H854" i="1"/>
  <c r="G726" i="1"/>
  <c r="A766" i="1"/>
  <c r="F797" i="1"/>
  <c r="I793" i="1"/>
  <c r="V905" i="1"/>
  <c r="S788" i="1"/>
  <c r="J899" i="1"/>
  <c r="K852" i="1"/>
  <c r="N873" i="1"/>
  <c r="N900" i="1"/>
  <c r="F813" i="1"/>
  <c r="K898" i="1"/>
  <c r="A623" i="1"/>
  <c r="A770" i="1"/>
  <c r="J805" i="1"/>
  <c r="K861" i="1"/>
  <c r="V907" i="1"/>
  <c r="G737" i="1"/>
  <c r="I737" i="1"/>
  <c r="O836" i="1"/>
  <c r="L667" i="1"/>
  <c r="N637" i="1"/>
  <c r="M923" i="1"/>
  <c r="H849" i="1"/>
  <c r="G891" i="1"/>
  <c r="N919" i="1"/>
  <c r="B895" i="1"/>
  <c r="S736" i="1"/>
  <c r="V912" i="1"/>
  <c r="S906" i="1"/>
  <c r="L878" i="1"/>
  <c r="D847" i="1"/>
  <c r="K917" i="1"/>
  <c r="Q879" i="1"/>
  <c r="H736" i="1"/>
  <c r="O801" i="1"/>
  <c r="G698" i="1"/>
  <c r="D809" i="1"/>
  <c r="D746" i="1"/>
  <c r="K708" i="1"/>
  <c r="N878" i="1"/>
  <c r="Q792" i="1"/>
  <c r="G696" i="1"/>
  <c r="G919" i="1"/>
  <c r="O707" i="1"/>
  <c r="G622" i="1"/>
  <c r="D882" i="1"/>
  <c r="M687" i="1"/>
  <c r="L826" i="1"/>
  <c r="N905" i="1"/>
  <c r="S885" i="1"/>
  <c r="B638" i="1"/>
  <c r="H879" i="1"/>
  <c r="Q840" i="1"/>
  <c r="M847" i="1"/>
  <c r="J924" i="1"/>
  <c r="E768" i="1"/>
  <c r="N855" i="1"/>
  <c r="I731" i="1"/>
  <c r="J864" i="1"/>
  <c r="B894" i="1"/>
  <c r="C877" i="1"/>
  <c r="J838" i="1"/>
  <c r="G769" i="1"/>
  <c r="O915" i="1"/>
  <c r="R850" i="1"/>
  <c r="M905" i="1"/>
  <c r="G913" i="1"/>
  <c r="M920" i="1"/>
  <c r="D776" i="1"/>
  <c r="L851" i="1"/>
  <c r="E827" i="1"/>
  <c r="C882" i="1"/>
  <c r="S908" i="1"/>
  <c r="H896" i="1"/>
  <c r="C871" i="1"/>
  <c r="L870" i="1"/>
  <c r="M835" i="1"/>
  <c r="L896" i="1"/>
  <c r="F820" i="1"/>
  <c r="U835" i="1"/>
  <c r="F919" i="1"/>
  <c r="K880" i="1"/>
  <c r="I889" i="1"/>
  <c r="R837" i="1"/>
  <c r="S918" i="1"/>
  <c r="I837" i="1"/>
  <c r="J817" i="1"/>
  <c r="C896" i="1"/>
  <c r="E859" i="1"/>
  <c r="A896" i="1"/>
  <c r="M888" i="1"/>
  <c r="R805" i="1"/>
  <c r="P765" i="1"/>
  <c r="Q672" i="1"/>
  <c r="E659" i="1"/>
  <c r="C868" i="1"/>
  <c r="A817" i="1"/>
  <c r="L763" i="1"/>
  <c r="B801" i="1"/>
  <c r="J826" i="1"/>
  <c r="R628" i="1"/>
  <c r="R880" i="1"/>
  <c r="L844" i="1"/>
  <c r="J828" i="1"/>
  <c r="V859" i="1"/>
  <c r="J839" i="1"/>
  <c r="D845" i="1"/>
  <c r="P829" i="1"/>
  <c r="O832" i="1"/>
  <c r="E804" i="1"/>
  <c r="H707" i="1"/>
  <c r="O886" i="1"/>
  <c r="L850" i="1"/>
  <c r="V888" i="1"/>
  <c r="M870" i="1"/>
  <c r="H719" i="1"/>
  <c r="M822" i="1"/>
  <c r="V691" i="1"/>
  <c r="C763" i="1"/>
  <c r="S901" i="1"/>
  <c r="Q860" i="1"/>
  <c r="L921" i="1"/>
  <c r="A849" i="1"/>
  <c r="U865" i="1"/>
  <c r="S751" i="1"/>
  <c r="P693" i="1"/>
  <c r="P810" i="1"/>
  <c r="V629" i="1"/>
  <c r="H706" i="1"/>
  <c r="Q692" i="1"/>
  <c r="I813" i="1"/>
  <c r="J763" i="1"/>
  <c r="O774" i="1"/>
  <c r="K878" i="1"/>
  <c r="C812" i="1"/>
  <c r="V793" i="1"/>
  <c r="D890" i="1"/>
  <c r="E679" i="1"/>
  <c r="A563" i="1"/>
  <c r="C909" i="1"/>
  <c r="R710" i="1"/>
  <c r="B770" i="1"/>
  <c r="P825" i="1"/>
  <c r="S913" i="1"/>
  <c r="K857" i="1"/>
  <c r="C779" i="1"/>
  <c r="V922" i="1"/>
  <c r="R861" i="1"/>
  <c r="S832" i="1"/>
  <c r="J870" i="1"/>
  <c r="H865" i="1"/>
  <c r="C742" i="1"/>
  <c r="F818" i="1"/>
  <c r="C918" i="1"/>
  <c r="A864" i="1"/>
  <c r="U832" i="1"/>
  <c r="P762" i="1"/>
  <c r="F890" i="1"/>
  <c r="I719" i="1"/>
  <c r="M914" i="1"/>
  <c r="N924" i="1"/>
  <c r="N923" i="1"/>
  <c r="B812" i="1"/>
  <c r="S852" i="1"/>
  <c r="U675" i="1"/>
  <c r="N901" i="1"/>
  <c r="H777" i="1"/>
  <c r="O821" i="1"/>
  <c r="F629" i="1"/>
  <c r="C853" i="1"/>
  <c r="A791" i="1"/>
  <c r="U718" i="1"/>
  <c r="J717" i="1"/>
  <c r="B860" i="1"/>
  <c r="N899" i="1"/>
  <c r="P796" i="1"/>
  <c r="B901" i="1"/>
  <c r="I723" i="1"/>
  <c r="K646" i="1"/>
  <c r="A836" i="1"/>
  <c r="P728" i="1"/>
  <c r="H821" i="1"/>
  <c r="A725" i="1"/>
  <c r="M814" i="1"/>
  <c r="K899" i="1"/>
  <c r="R656" i="1"/>
  <c r="F739" i="1"/>
  <c r="Q698" i="1"/>
  <c r="S869" i="1"/>
  <c r="T918" i="1"/>
  <c r="T813" i="1"/>
  <c r="P924" i="1"/>
  <c r="D708" i="1"/>
  <c r="F704" i="1"/>
  <c r="O835" i="1"/>
  <c r="D900" i="1"/>
  <c r="U822" i="1"/>
  <c r="U773" i="1"/>
  <c r="O875" i="1"/>
  <c r="T892" i="1"/>
  <c r="H876" i="1"/>
  <c r="P812" i="1"/>
  <c r="K863" i="1"/>
  <c r="E786" i="1"/>
  <c r="M903" i="1"/>
  <c r="L867" i="1"/>
  <c r="D906" i="1"/>
  <c r="C825" i="1"/>
  <c r="N796" i="1"/>
  <c r="C834" i="1"/>
  <c r="C888" i="1"/>
  <c r="V833" i="1"/>
  <c r="I797" i="1"/>
  <c r="A767" i="1"/>
  <c r="S909" i="1"/>
  <c r="T909" i="1"/>
  <c r="D791" i="1"/>
  <c r="U882" i="1"/>
  <c r="T822" i="1"/>
  <c r="B725" i="1"/>
  <c r="I904" i="1"/>
  <c r="P914" i="1"/>
  <c r="S825" i="1"/>
  <c r="G864" i="1"/>
  <c r="Q759" i="1"/>
  <c r="U823" i="1"/>
  <c r="A859" i="1"/>
  <c r="J835" i="1"/>
  <c r="F661" i="1"/>
  <c r="B829" i="1"/>
  <c r="R839" i="1"/>
  <c r="Q904" i="1"/>
  <c r="O871" i="1"/>
  <c r="O923" i="1"/>
  <c r="N858" i="1"/>
  <c r="L836" i="1"/>
  <c r="V717" i="1"/>
  <c r="B786" i="1"/>
  <c r="K853" i="1"/>
  <c r="J759" i="1"/>
  <c r="L811" i="1"/>
  <c r="M855" i="1"/>
  <c r="L823" i="1"/>
  <c r="T900" i="1"/>
  <c r="B918" i="1"/>
  <c r="Q897" i="1"/>
  <c r="T912" i="1"/>
  <c r="B742" i="1"/>
  <c r="K922" i="1"/>
  <c r="S896" i="1"/>
  <c r="R718" i="1"/>
  <c r="V822" i="1"/>
  <c r="L866" i="1"/>
  <c r="T820" i="1"/>
  <c r="D918" i="1"/>
  <c r="U693" i="1"/>
  <c r="I734" i="1"/>
  <c r="E839" i="1"/>
  <c r="O840" i="1"/>
  <c r="P886" i="1"/>
  <c r="H787" i="1"/>
  <c r="C890" i="1"/>
  <c r="E852" i="1"/>
  <c r="T756" i="1"/>
  <c r="H653" i="1"/>
  <c r="P724" i="1"/>
  <c r="A805" i="1"/>
  <c r="H903" i="1"/>
  <c r="J766" i="1"/>
  <c r="G832" i="1"/>
  <c r="I922" i="1"/>
  <c r="U888" i="1"/>
  <c r="R722" i="1"/>
  <c r="C839" i="1"/>
  <c r="A870" i="1"/>
  <c r="I835" i="1"/>
  <c r="C823" i="1"/>
  <c r="S911" i="1"/>
  <c r="F843" i="1"/>
  <c r="R730" i="1"/>
  <c r="J896" i="1"/>
  <c r="V819" i="1"/>
  <c r="D887" i="1"/>
  <c r="C708" i="1"/>
  <c r="U801" i="1"/>
  <c r="I864" i="1"/>
  <c r="K823" i="1"/>
  <c r="F901" i="1"/>
  <c r="G837" i="1"/>
  <c r="P911" i="1"/>
  <c r="S871" i="1"/>
  <c r="N812" i="1"/>
  <c r="S768" i="1"/>
  <c r="O754" i="1"/>
  <c r="F734" i="1"/>
  <c r="V893" i="1"/>
  <c r="C651" i="1"/>
  <c r="K629" i="1"/>
  <c r="F806" i="1"/>
  <c r="R619" i="1"/>
  <c r="L647" i="1"/>
  <c r="O858" i="1"/>
  <c r="N823" i="1"/>
  <c r="I748" i="1"/>
  <c r="N787" i="1"/>
  <c r="T827" i="1"/>
  <c r="D818" i="1"/>
  <c r="V791" i="1"/>
  <c r="V742" i="1"/>
  <c r="P862" i="1"/>
  <c r="J787" i="1"/>
  <c r="D722" i="1"/>
  <c r="N872" i="1"/>
  <c r="T751" i="1"/>
  <c r="C819" i="1"/>
  <c r="Q665" i="1"/>
  <c r="A598" i="1"/>
  <c r="S840" i="1"/>
  <c r="K816" i="1"/>
  <c r="O794" i="1"/>
  <c r="N821" i="1"/>
  <c r="R742" i="1"/>
  <c r="M650" i="1"/>
  <c r="V865" i="1"/>
  <c r="C836" i="1"/>
  <c r="V787" i="1"/>
  <c r="A773" i="1"/>
  <c r="N910" i="1"/>
  <c r="D843" i="1"/>
  <c r="S851" i="1"/>
  <c r="G843" i="1"/>
  <c r="M893" i="1"/>
  <c r="I895" i="1"/>
  <c r="L906" i="1"/>
  <c r="U772" i="1"/>
  <c r="L727" i="1"/>
  <c r="A887" i="1"/>
  <c r="S888" i="1"/>
  <c r="N911" i="1"/>
  <c r="T754" i="1"/>
  <c r="K827" i="1"/>
  <c r="N863" i="1"/>
  <c r="S821" i="1"/>
  <c r="T862" i="1"/>
  <c r="Q877" i="1"/>
  <c r="E823" i="1"/>
  <c r="K897" i="1"/>
  <c r="U796" i="1"/>
  <c r="H797" i="1"/>
  <c r="N903" i="1"/>
  <c r="S787" i="1"/>
  <c r="O896" i="1"/>
  <c r="H905" i="1"/>
  <c r="I783" i="1"/>
  <c r="H856" i="1"/>
  <c r="B843" i="1"/>
  <c r="K881" i="1"/>
  <c r="N888" i="1"/>
  <c r="G903" i="1"/>
  <c r="S890" i="1"/>
  <c r="S847" i="1"/>
  <c r="K804" i="1"/>
  <c r="V817" i="1"/>
  <c r="B774" i="1"/>
  <c r="A877" i="1"/>
  <c r="L787" i="1"/>
  <c r="A794" i="1"/>
  <c r="Q710" i="1"/>
  <c r="G856" i="1"/>
  <c r="Q912" i="1"/>
  <c r="P741" i="1"/>
  <c r="G808" i="1"/>
  <c r="H895" i="1"/>
  <c r="N887" i="1"/>
  <c r="D912" i="1"/>
  <c r="N766" i="1"/>
  <c r="K805" i="1"/>
  <c r="A813" i="1"/>
  <c r="V910" i="1"/>
  <c r="A907" i="1"/>
  <c r="S747" i="1"/>
  <c r="U671" i="1"/>
  <c r="F584" i="1"/>
  <c r="I825" i="1"/>
  <c r="H729" i="1"/>
  <c r="I680" i="1"/>
  <c r="H723" i="1"/>
  <c r="L889" i="1"/>
  <c r="V781" i="1"/>
  <c r="A670" i="1"/>
  <c r="D807" i="1"/>
  <c r="G729" i="1"/>
  <c r="K628" i="1"/>
  <c r="B714" i="1"/>
  <c r="G821" i="1"/>
  <c r="V767" i="1"/>
  <c r="A886" i="1"/>
  <c r="D891" i="1"/>
  <c r="J810" i="1"/>
  <c r="D744" i="1"/>
  <c r="J898" i="1"/>
  <c r="D830" i="1"/>
  <c r="A923" i="1"/>
  <c r="N811" i="1"/>
  <c r="G786" i="1"/>
  <c r="L718" i="1"/>
  <c r="S792" i="1"/>
  <c r="O823" i="1"/>
  <c r="N867" i="1"/>
  <c r="D899" i="1"/>
  <c r="I822" i="1"/>
  <c r="B766" i="1"/>
  <c r="A843" i="1"/>
  <c r="H778" i="1"/>
  <c r="O902" i="1"/>
  <c r="L669" i="1"/>
  <c r="M786" i="1"/>
  <c r="N762" i="1"/>
  <c r="V786" i="1"/>
  <c r="E652" i="1"/>
  <c r="H891" i="1"/>
  <c r="J770" i="1"/>
  <c r="L855" i="1"/>
  <c r="J612" i="1"/>
  <c r="G652" i="1"/>
  <c r="H536" i="1"/>
  <c r="E658" i="1"/>
  <c r="P882" i="1"/>
  <c r="F916" i="1"/>
  <c r="U845" i="1"/>
  <c r="V906" i="1"/>
  <c r="D765" i="1"/>
  <c r="V878" i="1"/>
  <c r="F807" i="1"/>
  <c r="G818" i="1"/>
  <c r="F713" i="1"/>
  <c r="L862" i="1"/>
  <c r="I893" i="1"/>
  <c r="F767" i="1"/>
  <c r="T896" i="1"/>
  <c r="G889" i="1"/>
  <c r="A881" i="1"/>
  <c r="L825" i="1"/>
  <c r="U863" i="1"/>
  <c r="A847" i="1"/>
  <c r="B728" i="1"/>
  <c r="D815" i="1"/>
  <c r="P889" i="1"/>
  <c r="A758" i="1"/>
  <c r="O639" i="1"/>
  <c r="C792" i="1"/>
  <c r="Q863" i="1"/>
  <c r="O820" i="1"/>
  <c r="B855" i="1"/>
  <c r="B916" i="1"/>
  <c r="O860" i="1"/>
  <c r="B867" i="1"/>
  <c r="E919" i="1"/>
  <c r="E835" i="1"/>
  <c r="N846" i="1"/>
  <c r="G910" i="1"/>
  <c r="H794" i="1"/>
  <c r="A908" i="1"/>
  <c r="H923" i="1"/>
  <c r="M721" i="1"/>
  <c r="E840" i="1"/>
  <c r="T823" i="1"/>
  <c r="A802" i="1"/>
  <c r="A914" i="1"/>
  <c r="D775" i="1"/>
  <c r="I840" i="1"/>
  <c r="C833" i="1"/>
  <c r="U876" i="1"/>
  <c r="S859" i="1"/>
  <c r="F839" i="1"/>
  <c r="E833" i="1"/>
  <c r="J724" i="1"/>
  <c r="L872" i="1"/>
  <c r="L914" i="1"/>
  <c r="B854" i="1"/>
  <c r="G916" i="1"/>
  <c r="C662" i="1"/>
  <c r="O804" i="1"/>
  <c r="S818" i="1"/>
  <c r="E834" i="1"/>
  <c r="U907" i="1"/>
  <c r="I818" i="1"/>
  <c r="L885" i="1"/>
  <c r="Q915" i="1"/>
  <c r="L835" i="1"/>
  <c r="D783" i="1"/>
  <c r="H762" i="1"/>
  <c r="G683" i="1"/>
  <c r="R855" i="1"/>
  <c r="N813" i="1"/>
  <c r="B893" i="1"/>
  <c r="A815" i="1"/>
  <c r="I453" i="1"/>
  <c r="G778" i="1"/>
  <c r="G736" i="1"/>
  <c r="O765" i="1"/>
  <c r="C900" i="1"/>
  <c r="G921" i="1"/>
  <c r="N809" i="1"/>
  <c r="O867" i="1"/>
  <c r="O798" i="1"/>
  <c r="K790" i="1"/>
  <c r="S734" i="1"/>
  <c r="E790" i="1"/>
  <c r="L806" i="1"/>
  <c r="Q810" i="1"/>
  <c r="V729" i="1"/>
  <c r="U816" i="1"/>
  <c r="M812" i="1"/>
  <c r="B912" i="1"/>
  <c r="R858" i="1"/>
  <c r="J812" i="1"/>
  <c r="F692" i="1"/>
  <c r="Q659" i="1"/>
  <c r="B765" i="1"/>
  <c r="Q876" i="1"/>
  <c r="O792" i="1"/>
  <c r="T910" i="1"/>
  <c r="A861" i="1"/>
  <c r="V808" i="1"/>
  <c r="V779" i="1"/>
  <c r="U743" i="1"/>
  <c r="Q909" i="1"/>
  <c r="Q748" i="1"/>
  <c r="M713" i="1"/>
  <c r="S895" i="1"/>
  <c r="V801" i="1"/>
  <c r="M833" i="1"/>
  <c r="S670" i="1"/>
  <c r="S897" i="1"/>
  <c r="D784" i="1"/>
  <c r="L871" i="1"/>
  <c r="J774" i="1"/>
  <c r="E735" i="1"/>
  <c r="P875" i="1"/>
  <c r="V682" i="1"/>
  <c r="I852" i="1"/>
  <c r="K711" i="1"/>
  <c r="T705" i="1"/>
  <c r="L583" i="1"/>
  <c r="K724" i="1"/>
  <c r="U683" i="1"/>
  <c r="E575" i="1"/>
  <c r="H613" i="1"/>
  <c r="N643" i="1"/>
  <c r="S689" i="1"/>
  <c r="D569" i="1"/>
  <c r="F636" i="1"/>
  <c r="V773" i="1"/>
  <c r="J921" i="1"/>
  <c r="D794" i="1"/>
  <c r="Q878" i="1"/>
  <c r="M881" i="1"/>
  <c r="M811" i="1"/>
  <c r="I900" i="1"/>
  <c r="O864" i="1"/>
  <c r="R899" i="1"/>
  <c r="J885" i="1"/>
  <c r="T776" i="1"/>
  <c r="N682" i="1"/>
  <c r="O853" i="1"/>
  <c r="B859" i="1"/>
  <c r="K886" i="1"/>
  <c r="B762" i="1"/>
  <c r="G732" i="1"/>
  <c r="M826" i="1"/>
  <c r="B527" i="1"/>
  <c r="O595" i="1"/>
  <c r="I765" i="1"/>
  <c r="C894" i="1"/>
  <c r="V789" i="1"/>
  <c r="O669" i="1"/>
  <c r="H904" i="1"/>
  <c r="B907" i="1"/>
  <c r="O656" i="1"/>
  <c r="D875" i="1"/>
  <c r="B879" i="1"/>
  <c r="A863" i="1"/>
  <c r="E879" i="1"/>
  <c r="S854" i="1"/>
  <c r="D923" i="1"/>
  <c r="H921" i="1"/>
  <c r="V825" i="1"/>
  <c r="S916" i="1"/>
  <c r="G853" i="1"/>
  <c r="R908" i="1"/>
  <c r="B823" i="1"/>
  <c r="C702" i="1"/>
  <c r="L784" i="1"/>
  <c r="A903" i="1"/>
  <c r="U837" i="1"/>
  <c r="N781" i="1"/>
  <c r="V805" i="1"/>
  <c r="O790" i="1"/>
  <c r="I892" i="1"/>
  <c r="L798" i="1"/>
  <c r="S808" i="1"/>
  <c r="N815" i="1"/>
  <c r="A721" i="1"/>
  <c r="B877" i="1"/>
  <c r="A812" i="1"/>
  <c r="U861" i="1"/>
  <c r="J854" i="1"/>
  <c r="Q900" i="1"/>
  <c r="E881" i="1"/>
  <c r="C889" i="1"/>
  <c r="U813" i="1"/>
  <c r="N828" i="1"/>
  <c r="G862" i="1"/>
  <c r="B796" i="1"/>
  <c r="K882" i="1"/>
  <c r="A876" i="1"/>
  <c r="E610" i="1"/>
  <c r="E897" i="1"/>
  <c r="O879" i="1"/>
  <c r="U703" i="1"/>
  <c r="U668" i="1"/>
  <c r="U791" i="1"/>
  <c r="U917" i="1"/>
  <c r="P816" i="1"/>
  <c r="S870" i="1"/>
  <c r="M772" i="1"/>
  <c r="J915" i="1"/>
  <c r="O739" i="1"/>
  <c r="V923" i="1"/>
  <c r="G743" i="1"/>
  <c r="A852" i="1"/>
  <c r="E750" i="1"/>
  <c r="J721" i="1"/>
  <c r="U913" i="1"/>
  <c r="L816" i="1"/>
  <c r="Q747" i="1"/>
  <c r="I826" i="1"/>
  <c r="A882" i="1"/>
  <c r="Q815" i="1"/>
  <c r="G888" i="1"/>
  <c r="S815" i="1"/>
  <c r="K895" i="1"/>
  <c r="I913" i="1"/>
  <c r="P892" i="1"/>
  <c r="H913" i="1"/>
  <c r="Q853" i="1"/>
  <c r="K788" i="1"/>
  <c r="G911" i="1"/>
  <c r="E870" i="1"/>
  <c r="N839" i="1"/>
  <c r="S683" i="1"/>
  <c r="L903" i="1"/>
  <c r="B776" i="1"/>
  <c r="E802" i="1"/>
  <c r="U802" i="1"/>
  <c r="P779" i="1"/>
  <c r="O922" i="1"/>
  <c r="B596" i="1"/>
  <c r="T790" i="1"/>
  <c r="E754" i="1"/>
  <c r="U844" i="1"/>
  <c r="I762" i="1"/>
  <c r="C808" i="1"/>
  <c r="K782" i="1"/>
  <c r="L663" i="1"/>
  <c r="K843" i="1"/>
  <c r="G788" i="1"/>
  <c r="S539" i="1"/>
  <c r="R814" i="1"/>
  <c r="A696" i="1"/>
  <c r="H893" i="1"/>
  <c r="T904" i="1"/>
  <c r="R791" i="1"/>
  <c r="F877" i="1"/>
  <c r="S862" i="1"/>
  <c r="O889" i="1"/>
  <c r="D663" i="1"/>
  <c r="A637" i="1"/>
  <c r="H829" i="1"/>
  <c r="N729" i="1"/>
  <c r="Q718" i="1"/>
  <c r="K798" i="1"/>
  <c r="T785" i="1"/>
  <c r="R771" i="1"/>
  <c r="R729" i="1"/>
  <c r="Q743" i="1"/>
  <c r="R707" i="1"/>
  <c r="V866" i="1"/>
  <c r="D735" i="1"/>
  <c r="L743" i="1"/>
  <c r="N641" i="1"/>
  <c r="T878" i="1"/>
  <c r="A724" i="1"/>
  <c r="B771" i="1"/>
  <c r="F891" i="1"/>
  <c r="U750" i="1"/>
  <c r="P748" i="1"/>
  <c r="O905" i="1"/>
  <c r="A803" i="1"/>
  <c r="S867" i="1"/>
  <c r="J662" i="1"/>
  <c r="J917" i="1"/>
  <c r="Q833" i="1"/>
  <c r="A781" i="1"/>
  <c r="L776" i="1"/>
  <c r="L739" i="1"/>
  <c r="V806" i="1"/>
  <c r="V656" i="1"/>
  <c r="T779" i="1"/>
  <c r="P915" i="1"/>
  <c r="G906" i="1"/>
  <c r="S574" i="1"/>
  <c r="J711" i="1"/>
  <c r="J904" i="1"/>
  <c r="U603" i="1"/>
  <c r="G734" i="1"/>
  <c r="S700" i="1"/>
  <c r="E828" i="1"/>
  <c r="D895" i="1"/>
  <c r="G728" i="1"/>
  <c r="N704" i="1"/>
  <c r="U531" i="1"/>
  <c r="F597" i="1"/>
  <c r="N874" i="1"/>
  <c r="K437" i="1"/>
  <c r="T874" i="1"/>
  <c r="H916" i="1"/>
  <c r="O919" i="1"/>
  <c r="B917" i="1"/>
  <c r="O851" i="1"/>
  <c r="S779" i="1"/>
  <c r="T742" i="1"/>
  <c r="U920" i="1"/>
  <c r="H875" i="1"/>
  <c r="P756" i="1"/>
  <c r="E779" i="1"/>
  <c r="L882" i="1"/>
  <c r="V898" i="1"/>
  <c r="M917" i="1"/>
  <c r="D896" i="1"/>
  <c r="N759" i="1"/>
  <c r="B922" i="1"/>
  <c r="F710" i="1"/>
  <c r="D862" i="1"/>
  <c r="T728" i="1"/>
  <c r="A748" i="1"/>
  <c r="E718" i="1"/>
  <c r="G878" i="1"/>
  <c r="V640" i="1"/>
  <c r="C891" i="1"/>
  <c r="R826" i="1"/>
  <c r="A731" i="1"/>
  <c r="Q922" i="1"/>
  <c r="A895" i="1"/>
  <c r="H769" i="1"/>
  <c r="B896" i="1"/>
  <c r="R907" i="1"/>
  <c r="V921" i="1"/>
  <c r="A762" i="1"/>
  <c r="I838" i="1"/>
  <c r="M637" i="1"/>
  <c r="I789" i="1"/>
  <c r="R897" i="1"/>
  <c r="C845" i="1"/>
  <c r="T894" i="1"/>
  <c r="P665" i="1"/>
  <c r="B869" i="1"/>
  <c r="L742" i="1"/>
  <c r="E712" i="1"/>
  <c r="O585" i="1"/>
  <c r="T833" i="1"/>
  <c r="L803" i="1"/>
  <c r="S812" i="1"/>
  <c r="U764" i="1"/>
  <c r="I858" i="1"/>
  <c r="I811" i="1"/>
  <c r="Q779" i="1"/>
  <c r="J654" i="1"/>
  <c r="M776" i="1"/>
  <c r="K821" i="1"/>
  <c r="P901" i="1"/>
  <c r="G882" i="1"/>
  <c r="T811" i="1"/>
  <c r="Q828" i="1"/>
  <c r="V736" i="1"/>
  <c r="E808" i="1"/>
  <c r="O854" i="1"/>
  <c r="I882" i="1"/>
  <c r="M818" i="1"/>
  <c r="L744" i="1"/>
  <c r="P811" i="1"/>
  <c r="P713" i="1"/>
  <c r="G901" i="1"/>
  <c r="M906" i="1"/>
  <c r="M735" i="1"/>
  <c r="K797" i="1"/>
  <c r="E810" i="1"/>
  <c r="E703" i="1"/>
  <c r="V829" i="1"/>
  <c r="C879" i="1"/>
  <c r="K725" i="1"/>
  <c r="J897" i="1"/>
  <c r="D867" i="1"/>
  <c r="J856" i="1"/>
  <c r="N827" i="1"/>
  <c r="D855" i="1"/>
  <c r="D868" i="1"/>
  <c r="E720" i="1"/>
  <c r="A756" i="1"/>
  <c r="A617" i="1"/>
  <c r="R655" i="1"/>
  <c r="Q612" i="1"/>
  <c r="A682" i="1"/>
  <c r="R532" i="1"/>
  <c r="E482" i="1"/>
  <c r="K864" i="1"/>
  <c r="B544" i="1"/>
  <c r="M797" i="1"/>
  <c r="A797" i="1"/>
  <c r="G834" i="1"/>
  <c r="L732" i="1"/>
  <c r="N636" i="1"/>
  <c r="P766" i="1"/>
  <c r="U728" i="1"/>
  <c r="B637" i="1"/>
  <c r="F537" i="1"/>
  <c r="G828" i="1"/>
  <c r="S691" i="1"/>
  <c r="V540" i="1"/>
  <c r="N710" i="1"/>
  <c r="T634" i="1"/>
  <c r="M878" i="1"/>
  <c r="I836" i="1"/>
  <c r="G754" i="1"/>
  <c r="G909" i="1"/>
  <c r="N836" i="1"/>
  <c r="A831" i="1"/>
  <c r="N857" i="1"/>
  <c r="N879" i="1"/>
  <c r="P837" i="1"/>
  <c r="Q784" i="1"/>
  <c r="R755" i="1"/>
  <c r="H647" i="1"/>
  <c r="E671" i="1"/>
  <c r="O668" i="1"/>
  <c r="M748" i="1"/>
  <c r="D606" i="1"/>
  <c r="K578" i="1"/>
  <c r="E527" i="1"/>
  <c r="S594" i="1"/>
  <c r="D827" i="1"/>
  <c r="F848" i="1"/>
  <c r="B668" i="1"/>
  <c r="I770" i="1"/>
  <c r="F893" i="1"/>
  <c r="I648" i="1"/>
  <c r="B780" i="1"/>
  <c r="H677" i="1"/>
  <c r="N752" i="1"/>
  <c r="H541" i="1"/>
  <c r="V568" i="1"/>
  <c r="T919" i="1"/>
  <c r="I492" i="1"/>
  <c r="R895" i="1"/>
  <c r="N868" i="1"/>
  <c r="F865" i="1"/>
  <c r="P794" i="1"/>
  <c r="I866" i="1"/>
  <c r="B752" i="1"/>
  <c r="G817" i="1"/>
  <c r="G845" i="1"/>
  <c r="R825" i="1"/>
  <c r="G759" i="1"/>
  <c r="Q582" i="1"/>
  <c r="R780" i="1"/>
  <c r="S642" i="1"/>
  <c r="L608" i="1"/>
  <c r="U886" i="1"/>
  <c r="M876" i="1"/>
  <c r="O827" i="1"/>
  <c r="Q733" i="1"/>
  <c r="J843" i="1"/>
  <c r="F897" i="1"/>
  <c r="H773" i="1"/>
  <c r="T698" i="1"/>
  <c r="M892" i="1"/>
  <c r="U780" i="1"/>
  <c r="P863" i="1"/>
  <c r="A851" i="1"/>
  <c r="B864" i="1"/>
  <c r="O846" i="1"/>
  <c r="M901" i="1"/>
  <c r="Q830" i="1"/>
  <c r="D813" i="1"/>
  <c r="M886" i="1"/>
  <c r="B676" i="1"/>
  <c r="B899" i="1"/>
  <c r="E651" i="1"/>
  <c r="D653" i="1"/>
  <c r="T816" i="1"/>
  <c r="D920" i="1"/>
  <c r="R889" i="1"/>
  <c r="O779" i="1"/>
  <c r="T826" i="1"/>
  <c r="L897" i="1"/>
  <c r="B661" i="1"/>
  <c r="A804" i="1"/>
  <c r="U904" i="1"/>
  <c r="L829" i="1"/>
  <c r="S694" i="1"/>
  <c r="S635" i="1"/>
  <c r="T886" i="1"/>
  <c r="N840" i="1"/>
  <c r="J737" i="1"/>
  <c r="I919" i="1"/>
  <c r="O824" i="1"/>
  <c r="C895" i="1"/>
  <c r="I738" i="1"/>
  <c r="C857" i="1"/>
  <c r="Q585" i="1"/>
  <c r="R783" i="1"/>
  <c r="P910" i="1"/>
  <c r="C677" i="1"/>
  <c r="L730" i="1"/>
  <c r="T691" i="1"/>
  <c r="M807" i="1"/>
  <c r="V680" i="1"/>
  <c r="L695" i="1"/>
  <c r="G810" i="1"/>
  <c r="K918" i="1"/>
  <c r="C753" i="1"/>
  <c r="B861" i="1"/>
  <c r="C830" i="1"/>
  <c r="R754" i="1"/>
  <c r="U898" i="1"/>
  <c r="T783" i="1"/>
  <c r="B845" i="1"/>
  <c r="D915" i="1"/>
  <c r="K676" i="1"/>
  <c r="C907" i="1"/>
  <c r="P788" i="1"/>
  <c r="U831" i="1"/>
  <c r="F633" i="1"/>
  <c r="S707" i="1"/>
  <c r="M719" i="1"/>
  <c r="P651" i="1"/>
  <c r="N567" i="1"/>
  <c r="V734" i="1"/>
  <c r="T530" i="1"/>
  <c r="F612" i="1"/>
  <c r="O844" i="1"/>
  <c r="J888" i="1"/>
  <c r="D685" i="1"/>
  <c r="D602" i="1"/>
  <c r="Q805" i="1"/>
  <c r="R747" i="1"/>
  <c r="E687" i="1"/>
  <c r="P517" i="1"/>
  <c r="N700" i="1"/>
  <c r="N470" i="1"/>
  <c r="H725" i="1"/>
  <c r="E877" i="1"/>
  <c r="O890" i="1"/>
  <c r="P821" i="1"/>
  <c r="A730" i="1"/>
  <c r="E903" i="1"/>
  <c r="C803" i="1"/>
  <c r="K835" i="1"/>
  <c r="B753" i="1"/>
  <c r="M774" i="1"/>
  <c r="S567" i="1"/>
  <c r="A751" i="1"/>
  <c r="C601" i="1"/>
  <c r="Q537" i="1"/>
  <c r="N783" i="1"/>
  <c r="T703" i="1"/>
  <c r="V635" i="1"/>
  <c r="V611" i="1"/>
  <c r="D629" i="1"/>
  <c r="R776" i="1"/>
  <c r="G636" i="1"/>
  <c r="H643" i="1"/>
  <c r="V835" i="1"/>
  <c r="F650" i="1"/>
  <c r="D683" i="1"/>
  <c r="T781" i="1"/>
  <c r="D771" i="1"/>
  <c r="C628" i="1"/>
  <c r="B623" i="1"/>
  <c r="Q662" i="1"/>
  <c r="B833" i="1"/>
  <c r="H872" i="1"/>
  <c r="L901" i="1"/>
  <c r="G886" i="1"/>
  <c r="F789" i="1"/>
  <c r="M899" i="1"/>
  <c r="O740" i="1"/>
  <c r="I785" i="1"/>
  <c r="I709" i="1"/>
  <c r="B886" i="1"/>
  <c r="G727" i="1"/>
  <c r="F736" i="1"/>
  <c r="D870" i="1"/>
  <c r="P603" i="1"/>
  <c r="R746" i="1"/>
  <c r="P859" i="1"/>
  <c r="P871" i="1"/>
  <c r="C886" i="1"/>
  <c r="K901" i="1"/>
  <c r="C913" i="1"/>
  <c r="V851" i="1"/>
  <c r="R898" i="1"/>
  <c r="V908" i="1"/>
  <c r="V658" i="1"/>
  <c r="B903" i="1"/>
  <c r="L783" i="1"/>
  <c r="G822" i="1"/>
  <c r="B856" i="1"/>
  <c r="L550" i="1"/>
  <c r="A871" i="1"/>
  <c r="K773" i="1"/>
  <c r="K780" i="1"/>
  <c r="R765" i="1"/>
  <c r="A848" i="1"/>
  <c r="J813" i="1"/>
  <c r="V771" i="1"/>
  <c r="O635" i="1"/>
  <c r="T717" i="1"/>
  <c r="J827" i="1"/>
  <c r="L774" i="1"/>
  <c r="A780" i="1"/>
  <c r="B748" i="1"/>
  <c r="H770" i="1"/>
  <c r="R798" i="1"/>
  <c r="G680" i="1"/>
  <c r="B756" i="1"/>
  <c r="S772" i="1"/>
  <c r="V524" i="1"/>
  <c r="O776" i="1"/>
  <c r="N719" i="1"/>
  <c r="P854" i="1"/>
  <c r="U711" i="1"/>
  <c r="K746" i="1"/>
  <c r="U846" i="1"/>
  <c r="U824" i="1"/>
  <c r="R834" i="1"/>
  <c r="O746" i="1"/>
  <c r="T713" i="1"/>
  <c r="M882" i="1"/>
  <c r="H642" i="1"/>
  <c r="N743" i="1"/>
  <c r="V873" i="1"/>
  <c r="R819" i="1"/>
  <c r="L624" i="1"/>
  <c r="G741" i="1"/>
  <c r="F642" i="1"/>
  <c r="F889" i="1"/>
  <c r="S816" i="1"/>
  <c r="J908" i="1"/>
  <c r="C921" i="1"/>
  <c r="O727" i="1"/>
  <c r="A743" i="1"/>
  <c r="I689" i="1"/>
  <c r="I754" i="1"/>
  <c r="M738" i="1"/>
  <c r="G712" i="1"/>
  <c r="F787" i="1"/>
  <c r="S833" i="1"/>
  <c r="B911" i="1"/>
  <c r="Q873" i="1"/>
  <c r="M729" i="1"/>
  <c r="D880" i="1"/>
  <c r="C858" i="1"/>
  <c r="V846" i="1"/>
  <c r="O924" i="1"/>
  <c r="T908" i="1"/>
  <c r="G692" i="1"/>
  <c r="V794" i="1"/>
  <c r="D852" i="1"/>
  <c r="F687" i="1"/>
  <c r="D749" i="1"/>
  <c r="Q644" i="1"/>
  <c r="N741" i="1"/>
  <c r="A826" i="1"/>
  <c r="B873" i="1"/>
  <c r="I911" i="1"/>
  <c r="M535" i="1"/>
  <c r="D732" i="1"/>
  <c r="N572" i="1"/>
  <c r="J731" i="1"/>
  <c r="K822" i="1"/>
  <c r="R745" i="1"/>
  <c r="Q802" i="1"/>
  <c r="J881" i="1"/>
  <c r="N713" i="1"/>
  <c r="I784" i="1"/>
  <c r="U691" i="1"/>
  <c r="D881" i="1"/>
  <c r="O901" i="1"/>
  <c r="M486" i="1"/>
  <c r="G868" i="1"/>
  <c r="A636" i="1"/>
  <c r="T846" i="1"/>
  <c r="H861" i="1"/>
  <c r="S782" i="1"/>
  <c r="F748" i="1"/>
  <c r="E869" i="1"/>
  <c r="Q793" i="1"/>
  <c r="T732" i="1"/>
  <c r="M747" i="1"/>
  <c r="F856" i="1"/>
  <c r="H833" i="1"/>
  <c r="L767" i="1"/>
  <c r="B808" i="1"/>
  <c r="O734" i="1"/>
  <c r="E822" i="1"/>
  <c r="J753" i="1"/>
  <c r="S644" i="1"/>
  <c r="H655" i="1"/>
  <c r="N725" i="1"/>
  <c r="K837" i="1"/>
  <c r="Q895" i="1"/>
  <c r="J902" i="1"/>
  <c r="H890" i="1"/>
  <c r="T868" i="1"/>
  <c r="O831" i="1"/>
  <c r="O684" i="1"/>
  <c r="D725" i="1"/>
  <c r="S845" i="1"/>
  <c r="P847" i="1"/>
  <c r="T782" i="1"/>
  <c r="K871" i="1"/>
  <c r="C775" i="1"/>
  <c r="A832" i="1"/>
  <c r="J803" i="1"/>
  <c r="V621" i="1"/>
  <c r="D596" i="1"/>
  <c r="F494" i="1"/>
  <c r="J727" i="1"/>
  <c r="J893" i="1"/>
  <c r="G629" i="1"/>
  <c r="H398" i="1"/>
  <c r="Q902" i="1"/>
  <c r="V731" i="1"/>
  <c r="B872" i="1"/>
  <c r="T760" i="1"/>
  <c r="K811" i="1"/>
  <c r="A785" i="1"/>
  <c r="M671" i="1"/>
  <c r="R801" i="1"/>
  <c r="O736" i="1"/>
  <c r="K766" i="1"/>
  <c r="U829" i="1"/>
  <c r="V831" i="1"/>
  <c r="P736" i="1"/>
  <c r="F904" i="1"/>
  <c r="A808" i="1"/>
  <c r="U916" i="1"/>
  <c r="H720" i="1"/>
  <c r="J775" i="1"/>
  <c r="H912" i="1"/>
  <c r="Q820" i="1"/>
  <c r="E882" i="1"/>
  <c r="E901" i="1"/>
  <c r="G825" i="1"/>
  <c r="G798" i="1"/>
  <c r="S894" i="1"/>
  <c r="J683" i="1"/>
  <c r="A649" i="1"/>
  <c r="J771" i="1"/>
  <c r="J848" i="1"/>
  <c r="B549" i="1"/>
  <c r="J751" i="1"/>
  <c r="B598" i="1"/>
  <c r="I756" i="1"/>
  <c r="J887" i="1"/>
  <c r="S731" i="1"/>
  <c r="I739" i="1"/>
  <c r="D808" i="1"/>
  <c r="C659" i="1"/>
  <c r="E628" i="1"/>
  <c r="T610" i="1"/>
  <c r="L756" i="1"/>
  <c r="I803" i="1"/>
  <c r="T834" i="1"/>
  <c r="J829" i="1"/>
  <c r="O908" i="1"/>
  <c r="A680" i="1"/>
  <c r="J705" i="1"/>
  <c r="E843" i="1"/>
  <c r="O876" i="1"/>
  <c r="E744" i="1"/>
  <c r="O642" i="1"/>
  <c r="A909" i="1"/>
  <c r="V877" i="1"/>
  <c r="J901" i="1"/>
  <c r="T773" i="1"/>
  <c r="J742" i="1"/>
  <c r="E838" i="1"/>
  <c r="I751" i="1"/>
  <c r="M784" i="1"/>
  <c r="I924" i="1"/>
  <c r="R832" i="1"/>
  <c r="F690" i="1"/>
  <c r="P867" i="1"/>
  <c r="T848" i="1"/>
  <c r="V876" i="1"/>
  <c r="P573" i="1"/>
  <c r="P650" i="1"/>
  <c r="Q887" i="1"/>
  <c r="Q920" i="1"/>
  <c r="D873" i="1"/>
  <c r="K755" i="1"/>
  <c r="Q639" i="1"/>
  <c r="B803" i="1"/>
  <c r="B898" i="1"/>
  <c r="T766" i="1"/>
  <c r="K683" i="1"/>
  <c r="A746" i="1"/>
  <c r="G816" i="1"/>
  <c r="R849" i="1"/>
  <c r="L791" i="1"/>
  <c r="C914" i="1"/>
  <c r="T768" i="1"/>
  <c r="V738" i="1"/>
  <c r="C717" i="1"/>
  <c r="L894" i="1"/>
  <c r="D840" i="1"/>
  <c r="L717" i="1"/>
  <c r="D719" i="1"/>
  <c r="Q795" i="1"/>
  <c r="R848" i="1"/>
  <c r="I902" i="1"/>
  <c r="G879" i="1"/>
  <c r="V868" i="1"/>
  <c r="F837" i="1"/>
  <c r="C860" i="1"/>
  <c r="L793" i="1"/>
  <c r="H786" i="1"/>
  <c r="J752" i="1"/>
  <c r="M693" i="1"/>
  <c r="L832" i="1"/>
  <c r="I749" i="1"/>
  <c r="G869" i="1"/>
  <c r="N644" i="1"/>
  <c r="F698" i="1"/>
  <c r="E851" i="1"/>
  <c r="H709" i="1"/>
  <c r="P905" i="1"/>
  <c r="D854" i="1"/>
  <c r="J709" i="1"/>
  <c r="A726" i="1"/>
  <c r="T729" i="1"/>
  <c r="M839" i="1"/>
  <c r="O815" i="1"/>
  <c r="F751" i="1"/>
  <c r="R902" i="1"/>
  <c r="H776" i="1"/>
  <c r="A735" i="1"/>
  <c r="V749" i="1"/>
  <c r="F765" i="1"/>
  <c r="T719" i="1"/>
  <c r="S568" i="1"/>
  <c r="V702" i="1"/>
  <c r="V652" i="1"/>
  <c r="J520" i="1"/>
  <c r="O701" i="1"/>
  <c r="F684" i="1"/>
  <c r="G537" i="1"/>
  <c r="F467" i="1"/>
  <c r="B688" i="1"/>
  <c r="T902" i="1"/>
  <c r="N826" i="1"/>
  <c r="N649" i="1"/>
  <c r="S724" i="1"/>
  <c r="R749" i="1"/>
  <c r="U870" i="1"/>
  <c r="V813" i="1"/>
  <c r="F794" i="1"/>
  <c r="R701" i="1"/>
  <c r="M898" i="1"/>
  <c r="B857" i="1"/>
  <c r="L747" i="1"/>
  <c r="D664" i="1"/>
  <c r="A778" i="1"/>
  <c r="R886" i="1"/>
  <c r="N890" i="1"/>
  <c r="P906" i="1"/>
  <c r="E847" i="1"/>
  <c r="U702" i="1"/>
  <c r="U923" i="1"/>
  <c r="M751" i="1"/>
  <c r="V780" i="1"/>
  <c r="E740" i="1"/>
  <c r="H449" i="1"/>
  <c r="P602" i="1"/>
  <c r="M618" i="1"/>
  <c r="P649" i="1"/>
  <c r="S776" i="1"/>
  <c r="I672" i="1"/>
  <c r="A579" i="1"/>
  <c r="P776" i="1"/>
  <c r="J806" i="1"/>
  <c r="C917" i="1"/>
  <c r="M808" i="1"/>
  <c r="G820" i="1"/>
  <c r="M789" i="1"/>
  <c r="P645" i="1"/>
  <c r="F769" i="1"/>
  <c r="S761" i="1"/>
  <c r="U820" i="1"/>
  <c r="F832" i="1"/>
  <c r="A816" i="1"/>
  <c r="O791" i="1"/>
  <c r="O730" i="1"/>
  <c r="P747" i="1"/>
  <c r="E876" i="1"/>
  <c r="B840" i="1"/>
  <c r="P849" i="1"/>
  <c r="B874" i="1"/>
  <c r="N754" i="1"/>
  <c r="H724" i="1"/>
  <c r="U809" i="1"/>
  <c r="J719" i="1"/>
  <c r="E726" i="1"/>
  <c r="K720" i="1"/>
  <c r="M733" i="1"/>
  <c r="M897" i="1"/>
  <c r="R733" i="1"/>
  <c r="I798" i="1"/>
  <c r="C873" i="1"/>
  <c r="L714" i="1"/>
  <c r="R833" i="1"/>
  <c r="F798" i="1"/>
  <c r="I832" i="1"/>
  <c r="A704" i="1"/>
  <c r="O645" i="1"/>
  <c r="U836" i="1"/>
  <c r="N864" i="1"/>
  <c r="K914" i="1"/>
  <c r="R852" i="1"/>
  <c r="E890" i="1"/>
  <c r="J579" i="1"/>
  <c r="U732" i="1"/>
  <c r="L779" i="1"/>
  <c r="P708" i="1"/>
  <c r="T714" i="1"/>
  <c r="N853" i="1"/>
  <c r="E776" i="1"/>
  <c r="K620" i="1"/>
  <c r="M685" i="1"/>
  <c r="Q745" i="1"/>
  <c r="O711" i="1"/>
  <c r="M817" i="1"/>
  <c r="N684" i="1"/>
  <c r="O729" i="1"/>
  <c r="F621" i="1"/>
  <c r="F741" i="1"/>
  <c r="S907" i="1"/>
  <c r="U896" i="1"/>
  <c r="U866" i="1"/>
  <c r="K867" i="1"/>
  <c r="E863" i="1"/>
  <c r="U915" i="1"/>
  <c r="R830" i="1"/>
  <c r="A580" i="1"/>
  <c r="A717" i="1"/>
  <c r="A693" i="1"/>
  <c r="F737" i="1"/>
  <c r="C629" i="1"/>
  <c r="T654" i="1"/>
  <c r="G839" i="1"/>
  <c r="R821" i="1"/>
  <c r="P833" i="1"/>
  <c r="T824" i="1"/>
  <c r="U814" i="1"/>
  <c r="J834" i="1"/>
  <c r="Q721" i="1"/>
  <c r="M924" i="1"/>
  <c r="C771" i="1"/>
  <c r="E594" i="1"/>
  <c r="S823" i="1"/>
  <c r="D709" i="1"/>
  <c r="B593" i="1"/>
  <c r="U710" i="1"/>
  <c r="C690" i="1"/>
  <c r="P555" i="1"/>
  <c r="I846" i="1"/>
  <c r="U679" i="1"/>
  <c r="A867" i="1"/>
  <c r="D662" i="1"/>
  <c r="M660" i="1"/>
  <c r="C638" i="1"/>
  <c r="K625" i="1"/>
  <c r="O781" i="1"/>
  <c r="O608" i="1"/>
  <c r="T890" i="1"/>
  <c r="F645" i="1"/>
  <c r="F766" i="1"/>
  <c r="P865" i="1"/>
  <c r="J824" i="1"/>
  <c r="O843" i="1"/>
  <c r="P919" i="1"/>
  <c r="E912" i="1"/>
  <c r="P864" i="1"/>
  <c r="L904" i="1"/>
  <c r="D737" i="1"/>
  <c r="B849" i="1"/>
  <c r="N772" i="1"/>
  <c r="P746" i="1"/>
  <c r="K763" i="1"/>
  <c r="O541" i="1"/>
  <c r="N513" i="1"/>
  <c r="F754" i="1"/>
  <c r="M641" i="1"/>
  <c r="L661" i="1"/>
  <c r="Q738" i="1"/>
  <c r="F781" i="1"/>
  <c r="I726" i="1"/>
  <c r="R637" i="1"/>
  <c r="P848" i="1"/>
  <c r="G848" i="1"/>
  <c r="C712" i="1"/>
  <c r="C580" i="1"/>
  <c r="M795" i="1"/>
  <c r="M909" i="1"/>
  <c r="L683" i="1"/>
  <c r="H656" i="1"/>
  <c r="R779" i="1"/>
  <c r="R920" i="1"/>
  <c r="G806" i="1"/>
  <c r="H899" i="1"/>
  <c r="H886" i="1"/>
  <c r="O907" i="1"/>
  <c r="N918" i="1"/>
  <c r="P913" i="1"/>
  <c r="C861" i="1"/>
  <c r="T829" i="1"/>
  <c r="N607" i="1"/>
  <c r="M856" i="1"/>
  <c r="L858" i="1"/>
  <c r="T864" i="1"/>
  <c r="H881" i="1"/>
  <c r="M809" i="1"/>
  <c r="E896" i="1"/>
  <c r="F817" i="1"/>
  <c r="L907" i="1"/>
  <c r="K894" i="1"/>
  <c r="Q864" i="1"/>
  <c r="C735" i="1"/>
  <c r="A891" i="1"/>
  <c r="M728" i="1"/>
  <c r="K714" i="1"/>
  <c r="C694" i="1"/>
  <c r="A911" i="1"/>
  <c r="N776" i="1"/>
  <c r="J798" i="1"/>
  <c r="A630" i="1"/>
  <c r="T858" i="1"/>
  <c r="Q924" i="1"/>
  <c r="F699" i="1"/>
  <c r="S915" i="1"/>
  <c r="G803" i="1"/>
  <c r="M704" i="1"/>
  <c r="V909" i="1"/>
  <c r="M762" i="1"/>
  <c r="Q899" i="1"/>
  <c r="N847" i="1"/>
  <c r="E780" i="1"/>
  <c r="B778" i="1"/>
  <c r="T762" i="1"/>
  <c r="R639" i="1"/>
  <c r="N885" i="1"/>
  <c r="E706" i="1"/>
  <c r="H699" i="1"/>
  <c r="C838" i="1"/>
  <c r="B712" i="1"/>
  <c r="K615" i="1"/>
  <c r="C527" i="1"/>
  <c r="E878" i="1"/>
  <c r="J879" i="1"/>
  <c r="F869" i="1"/>
  <c r="F764" i="1"/>
  <c r="J862" i="1"/>
  <c r="U805" i="1"/>
  <c r="L753" i="1"/>
  <c r="M770" i="1"/>
  <c r="D812" i="1"/>
  <c r="P784" i="1"/>
  <c r="Q847" i="1"/>
  <c r="F712" i="1"/>
  <c r="B768" i="1"/>
  <c r="J657" i="1"/>
  <c r="Q880" i="1"/>
  <c r="H788" i="1"/>
  <c r="O810" i="1"/>
  <c r="P690" i="1"/>
  <c r="Q592" i="1"/>
  <c r="U880" i="1"/>
  <c r="P751" i="1"/>
  <c r="Q728" i="1"/>
  <c r="C670" i="1"/>
  <c r="M734" i="1"/>
  <c r="E636" i="1"/>
  <c r="B920" i="1"/>
  <c r="P703" i="1"/>
  <c r="F669" i="1"/>
  <c r="U663" i="1"/>
  <c r="H689" i="1"/>
  <c r="V718" i="1"/>
  <c r="A604" i="1"/>
  <c r="T518" i="1"/>
  <c r="G556" i="1"/>
  <c r="R876" i="1"/>
  <c r="A745" i="1"/>
  <c r="E686" i="1"/>
  <c r="V574" i="1"/>
  <c r="S798" i="1"/>
  <c r="D594" i="1"/>
  <c r="O805" i="1"/>
  <c r="B831" i="1"/>
  <c r="Q811" i="1"/>
  <c r="H880" i="1"/>
  <c r="B880" i="1"/>
  <c r="D829" i="1"/>
  <c r="I707" i="1"/>
  <c r="B878" i="1"/>
  <c r="S857" i="1"/>
  <c r="H618" i="1"/>
  <c r="J627" i="1"/>
  <c r="R793" i="1"/>
  <c r="O517" i="1"/>
  <c r="H577" i="1"/>
  <c r="N869" i="1"/>
  <c r="F838" i="1"/>
  <c r="C595" i="1"/>
  <c r="R714" i="1"/>
  <c r="V802" i="1"/>
  <c r="P679" i="1"/>
  <c r="P680" i="1"/>
  <c r="O627" i="1"/>
  <c r="R766" i="1"/>
  <c r="U900" i="1"/>
  <c r="N745" i="1"/>
  <c r="U699" i="1"/>
  <c r="G713" i="1"/>
  <c r="B521" i="1"/>
  <c r="V703" i="1"/>
  <c r="T921" i="1"/>
  <c r="S733" i="1"/>
  <c r="B773" i="1"/>
  <c r="F894" i="1"/>
  <c r="E858" i="1"/>
  <c r="I878" i="1"/>
  <c r="F730" i="1"/>
  <c r="D837" i="1"/>
  <c r="C827" i="1"/>
  <c r="B775" i="1"/>
  <c r="H831" i="1"/>
  <c r="R909" i="1"/>
  <c r="D922" i="1"/>
  <c r="P876" i="1"/>
  <c r="F872" i="1"/>
  <c r="B863" i="1"/>
  <c r="L881" i="1"/>
  <c r="V699" i="1"/>
  <c r="J675" i="1"/>
  <c r="R640" i="1"/>
  <c r="O882" i="1"/>
  <c r="A823" i="1"/>
  <c r="G765" i="1"/>
  <c r="E904" i="1"/>
  <c r="E837" i="1"/>
  <c r="V914" i="1"/>
  <c r="U905" i="1"/>
  <c r="J873" i="1"/>
  <c r="N820" i="1"/>
  <c r="S551" i="1"/>
  <c r="Q849" i="1"/>
  <c r="F746" i="1"/>
  <c r="B636" i="1"/>
  <c r="V820" i="1"/>
  <c r="L820" i="1"/>
  <c r="L824" i="1"/>
  <c r="J875" i="1"/>
  <c r="Q670" i="1"/>
  <c r="G887" i="1"/>
  <c r="F875" i="1"/>
  <c r="I533" i="1"/>
  <c r="P897" i="1"/>
  <c r="U810" i="1"/>
  <c r="B738" i="1"/>
  <c r="G902" i="1"/>
  <c r="L924" i="1"/>
  <c r="F902" i="1"/>
  <c r="M857" i="1"/>
  <c r="E811" i="1"/>
  <c r="V777" i="1"/>
  <c r="M785" i="1"/>
  <c r="L481" i="1"/>
  <c r="S744" i="1"/>
  <c r="O712" i="1"/>
  <c r="A601" i="1"/>
  <c r="K525" i="1"/>
  <c r="R796" i="1"/>
  <c r="H685" i="1"/>
  <c r="D712" i="1"/>
  <c r="C725" i="1"/>
  <c r="V784" i="1"/>
  <c r="Q867" i="1"/>
  <c r="H862" i="1"/>
  <c r="E872" i="1"/>
  <c r="U744" i="1"/>
  <c r="U607" i="1"/>
  <c r="G591" i="1"/>
  <c r="C747" i="1"/>
  <c r="K907" i="1"/>
  <c r="F685" i="1"/>
  <c r="C755" i="1"/>
  <c r="P861" i="1"/>
  <c r="H727" i="1"/>
  <c r="P496" i="1"/>
  <c r="R875" i="1"/>
  <c r="F882" i="1"/>
  <c r="O899" i="1"/>
  <c r="D778" i="1"/>
  <c r="P891" i="1"/>
  <c r="B882" i="1"/>
  <c r="S775" i="1"/>
  <c r="Q650" i="1"/>
  <c r="V513" i="1"/>
  <c r="R720" i="1"/>
  <c r="U727" i="1"/>
  <c r="J866" i="1"/>
  <c r="Q770" i="1"/>
  <c r="A668" i="1"/>
  <c r="P785" i="1"/>
  <c r="S738" i="1"/>
  <c r="V707" i="1"/>
  <c r="E761" i="1"/>
  <c r="M479" i="1"/>
  <c r="F920" i="1"/>
  <c r="I805" i="1"/>
  <c r="T434" i="1"/>
  <c r="B639" i="1"/>
  <c r="N833" i="1"/>
  <c r="M679" i="1"/>
  <c r="H857" i="1"/>
  <c r="H906" i="1"/>
  <c r="U875" i="1"/>
  <c r="L828" i="1"/>
  <c r="J865" i="1"/>
  <c r="D905" i="1"/>
  <c r="N835" i="1"/>
  <c r="I812" i="1"/>
  <c r="O868" i="1"/>
  <c r="D684" i="1"/>
  <c r="C892" i="1"/>
  <c r="R860" i="1"/>
  <c r="F851" i="1"/>
  <c r="I744" i="1"/>
  <c r="R596" i="1"/>
  <c r="F850" i="1"/>
  <c r="Q868" i="1"/>
  <c r="M804" i="1"/>
  <c r="D820" i="1"/>
  <c r="S709" i="1"/>
  <c r="Q697" i="1"/>
  <c r="C646" i="1"/>
  <c r="I914" i="1"/>
  <c r="G703" i="1"/>
  <c r="B709" i="1"/>
  <c r="K718" i="1"/>
  <c r="K900" i="1"/>
  <c r="H827" i="1"/>
  <c r="G923" i="1"/>
  <c r="M649" i="1"/>
  <c r="M652" i="1"/>
  <c r="I562" i="1"/>
  <c r="G854" i="1"/>
  <c r="J819" i="1"/>
  <c r="J911" i="1"/>
  <c r="B866" i="1"/>
  <c r="H845" i="1"/>
  <c r="D677" i="1"/>
  <c r="U783" i="1"/>
  <c r="O752" i="1"/>
  <c r="G912" i="1"/>
  <c r="Q633" i="1"/>
  <c r="C727" i="1"/>
  <c r="H813" i="1"/>
  <c r="O557" i="1"/>
  <c r="K915" i="1"/>
  <c r="C905" i="1"/>
  <c r="U687" i="1"/>
  <c r="R882" i="1"/>
  <c r="N778" i="1"/>
  <c r="Q756" i="1"/>
  <c r="P745" i="1"/>
  <c r="L919" i="1"/>
  <c r="E905" i="1"/>
  <c r="S819" i="1"/>
  <c r="T792" i="1"/>
  <c r="N856" i="1"/>
  <c r="B578" i="1"/>
  <c r="C796" i="1"/>
  <c r="H745" i="1"/>
  <c r="J769" i="1"/>
  <c r="O648" i="1"/>
  <c r="H839" i="1"/>
  <c r="T730" i="1"/>
  <c r="N784" i="1"/>
  <c r="H646" i="1"/>
  <c r="V509" i="1"/>
  <c r="S676" i="1"/>
  <c r="F577" i="1"/>
  <c r="N669" i="1"/>
  <c r="P718" i="1"/>
  <c r="S583" i="1"/>
  <c r="I558" i="1"/>
  <c r="R735" i="1"/>
  <c r="B923" i="1"/>
  <c r="B793" i="1"/>
  <c r="I759" i="1"/>
  <c r="P761" i="1"/>
  <c r="E794" i="1"/>
  <c r="M696" i="1"/>
  <c r="C855" i="1"/>
  <c r="G789" i="1"/>
  <c r="F805" i="1"/>
  <c r="D767" i="1"/>
  <c r="Q760" i="1"/>
  <c r="V728" i="1"/>
  <c r="Q831" i="1"/>
  <c r="S601" i="1"/>
  <c r="F711" i="1"/>
  <c r="D731" i="1"/>
  <c r="E854" i="1"/>
  <c r="Q891" i="1"/>
  <c r="J783" i="1"/>
  <c r="D856" i="1"/>
  <c r="E791" i="1"/>
  <c r="N722" i="1"/>
  <c r="L607" i="1"/>
  <c r="I833" i="1"/>
  <c r="F753" i="1"/>
  <c r="S579" i="1"/>
  <c r="T734" i="1"/>
  <c r="S836" i="1"/>
  <c r="R624" i="1"/>
  <c r="R698" i="1"/>
  <c r="U834" i="1"/>
  <c r="F592" i="1"/>
  <c r="R818" i="1"/>
  <c r="O828" i="1"/>
  <c r="I724" i="1"/>
  <c r="S786" i="1"/>
  <c r="D699" i="1"/>
  <c r="L761" i="1"/>
  <c r="O676" i="1"/>
  <c r="G805" i="1"/>
  <c r="V845" i="1"/>
  <c r="J830" i="1"/>
  <c r="S639" i="1"/>
  <c r="Q875" i="1"/>
  <c r="D897" i="1"/>
  <c r="R872" i="1"/>
  <c r="P767" i="1"/>
  <c r="E806" i="1"/>
  <c r="A782" i="1"/>
  <c r="E868" i="1"/>
  <c r="L775" i="1"/>
  <c r="V915" i="1"/>
  <c r="Q787" i="1"/>
  <c r="U709" i="1"/>
  <c r="V618" i="1"/>
  <c r="U910" i="1"/>
  <c r="O898" i="1"/>
  <c r="K722" i="1"/>
  <c r="G857" i="1"/>
  <c r="E635" i="1"/>
  <c r="S765" i="1"/>
  <c r="Q688" i="1"/>
  <c r="B792" i="1"/>
  <c r="B871" i="1"/>
  <c r="E569" i="1"/>
  <c r="O735" i="1"/>
  <c r="M794" i="1"/>
  <c r="G784" i="1"/>
  <c r="F693" i="1"/>
  <c r="V646" i="1"/>
  <c r="S688" i="1"/>
  <c r="B731" i="1"/>
  <c r="H840" i="1"/>
  <c r="M891" i="1"/>
  <c r="F738" i="1"/>
  <c r="M915" i="1"/>
  <c r="M722" i="1"/>
  <c r="U848" i="1"/>
  <c r="E559" i="1"/>
  <c r="L861" i="1"/>
  <c r="Q587" i="1"/>
  <c r="I862" i="1"/>
  <c r="I827" i="1"/>
  <c r="G859" i="1"/>
  <c r="O913" i="1"/>
  <c r="Q837" i="1"/>
  <c r="H743" i="1"/>
  <c r="L706" i="1"/>
  <c r="J779" i="1"/>
  <c r="O819" i="1"/>
  <c r="C854" i="1"/>
  <c r="R905" i="1"/>
  <c r="C817" i="1"/>
  <c r="A912" i="1"/>
  <c r="S746" i="1"/>
  <c r="P793" i="1"/>
  <c r="M793" i="1"/>
  <c r="F566" i="1"/>
  <c r="P798" i="1"/>
  <c r="A733" i="1"/>
  <c r="O802" i="1"/>
  <c r="L518" i="1"/>
  <c r="K826" i="1"/>
  <c r="F709" i="1"/>
  <c r="T812" i="1"/>
  <c r="L886" i="1"/>
  <c r="J844" i="1"/>
  <c r="F703" i="1"/>
  <c r="I713" i="1"/>
  <c r="D846" i="1"/>
  <c r="G751" i="1"/>
  <c r="M730" i="1"/>
  <c r="E784" i="1"/>
  <c r="L849" i="1"/>
  <c r="E856" i="1"/>
  <c r="S820" i="1"/>
  <c r="A873" i="1"/>
  <c r="Q684" i="1"/>
  <c r="U817" i="1"/>
  <c r="F603" i="1"/>
  <c r="F825" i="1"/>
  <c r="K574" i="1"/>
  <c r="F774" i="1"/>
  <c r="H907" i="1"/>
  <c r="T882" i="1"/>
  <c r="B604" i="1"/>
  <c r="V732" i="1"/>
  <c r="E797" i="1"/>
  <c r="M813" i="1"/>
  <c r="D874" i="1"/>
  <c r="L723" i="1"/>
  <c r="O637" i="1"/>
  <c r="A874" i="1"/>
  <c r="I697" i="1"/>
  <c r="D694" i="1"/>
  <c r="O560" i="1"/>
  <c r="K806" i="1"/>
  <c r="T870" i="1"/>
  <c r="V591" i="1"/>
  <c r="P878" i="1"/>
  <c r="E817" i="1"/>
  <c r="F886" i="1"/>
  <c r="J684" i="1"/>
  <c r="G700" i="1"/>
  <c r="Q845" i="1"/>
  <c r="M690" i="1"/>
  <c r="F777" i="1"/>
  <c r="O703" i="1"/>
  <c r="M615" i="1"/>
  <c r="S735" i="1"/>
  <c r="A924" i="1"/>
  <c r="O747" i="1"/>
  <c r="L888" i="1"/>
  <c r="R650" i="1"/>
  <c r="C691" i="1"/>
  <c r="R732" i="1"/>
  <c r="L659" i="1"/>
  <c r="R772" i="1"/>
  <c r="C850" i="1"/>
  <c r="D803" i="1"/>
  <c r="K654" i="1"/>
  <c r="H533" i="1"/>
  <c r="N666" i="1"/>
  <c r="B710" i="1"/>
  <c r="R892" i="1"/>
  <c r="D848" i="1"/>
  <c r="U795" i="1"/>
  <c r="S804" i="1"/>
  <c r="H680" i="1"/>
  <c r="M844" i="1"/>
  <c r="R823" i="1"/>
  <c r="R906" i="1"/>
  <c r="G792" i="1"/>
  <c r="A915" i="1"/>
  <c r="O818" i="1"/>
  <c r="C919" i="1"/>
  <c r="C703" i="1"/>
  <c r="L830" i="1"/>
  <c r="P734" i="1"/>
  <c r="O723" i="1"/>
  <c r="N731" i="1"/>
  <c r="S802" i="1"/>
  <c r="C774" i="1"/>
  <c r="R672" i="1"/>
  <c r="I792" i="1"/>
  <c r="H765" i="1"/>
  <c r="P791" i="1"/>
  <c r="J702" i="1"/>
  <c r="O825" i="1"/>
  <c r="B767" i="1"/>
  <c r="S708" i="1"/>
  <c r="B697" i="1"/>
  <c r="O775" i="1"/>
  <c r="I816" i="1"/>
  <c r="U895" i="1"/>
  <c r="Q602" i="1"/>
  <c r="U891" i="1"/>
  <c r="U830" i="1"/>
  <c r="H902" i="1"/>
  <c r="O718" i="1"/>
  <c r="G796" i="1"/>
  <c r="C880" i="1"/>
  <c r="N625" i="1"/>
  <c r="Q723" i="1"/>
  <c r="K490" i="1"/>
  <c r="Q865" i="1"/>
  <c r="B754" i="1"/>
  <c r="T850" i="1"/>
  <c r="E698" i="1"/>
  <c r="E721" i="1"/>
  <c r="I790" i="1"/>
  <c r="O806" i="1"/>
  <c r="G794" i="1"/>
  <c r="U871" i="1"/>
  <c r="C769" i="1"/>
  <c r="V890" i="1"/>
  <c r="M867" i="1"/>
  <c r="B881" i="1"/>
  <c r="L810" i="1"/>
  <c r="I761" i="1"/>
  <c r="M801" i="1"/>
  <c r="A892" i="1"/>
  <c r="H910" i="1"/>
  <c r="U636" i="1"/>
  <c r="T818" i="1"/>
  <c r="L916" i="1"/>
  <c r="Q890" i="1"/>
  <c r="H846" i="1"/>
  <c r="B777" i="1"/>
  <c r="E853" i="1"/>
  <c r="K802" i="1"/>
  <c r="R797" i="1"/>
  <c r="R648" i="1"/>
  <c r="G739" i="1"/>
  <c r="K671" i="1"/>
  <c r="R543" i="1"/>
  <c r="N854" i="1"/>
  <c r="V761" i="1"/>
  <c r="J773" i="1"/>
  <c r="B719" i="1"/>
  <c r="L908" i="1"/>
  <c r="N542" i="1"/>
  <c r="O633" i="1"/>
  <c r="D921" i="1"/>
  <c r="D770" i="1"/>
  <c r="U815" i="1"/>
  <c r="E787" i="1"/>
  <c r="N657" i="1"/>
  <c r="I700" i="1"/>
  <c r="S753" i="1"/>
  <c r="S910" i="1"/>
  <c r="H731" i="1"/>
  <c r="V911" i="1"/>
  <c r="V625" i="1"/>
  <c r="B847" i="1"/>
  <c r="Q797" i="1"/>
  <c r="T594" i="1"/>
  <c r="F679" i="1"/>
  <c r="I605" i="1"/>
  <c r="H761" i="1"/>
  <c r="P630" i="1"/>
  <c r="M873" i="1"/>
  <c r="M647" i="1"/>
  <c r="J682" i="1"/>
  <c r="P786" i="1"/>
  <c r="D518" i="1"/>
  <c r="K815" i="1"/>
  <c r="E866" i="1"/>
  <c r="J677" i="1"/>
  <c r="U893" i="1"/>
  <c r="E764" i="1"/>
  <c r="F857" i="1"/>
  <c r="J583" i="1"/>
  <c r="S624" i="1"/>
  <c r="E666" i="1"/>
  <c r="C741" i="1"/>
  <c r="C711" i="1"/>
  <c r="Q827" i="1"/>
  <c r="I629" i="1"/>
  <c r="C751" i="1"/>
  <c r="U524" i="1"/>
  <c r="N661" i="1"/>
  <c r="O565" i="1"/>
  <c r="C920" i="1"/>
  <c r="I786" i="1"/>
  <c r="B690" i="1"/>
  <c r="L846" i="1"/>
  <c r="F917" i="1"/>
  <c r="R756" i="1"/>
  <c r="E626" i="1"/>
  <c r="J852" i="1"/>
  <c r="F923" i="1"/>
  <c r="E821" i="1"/>
  <c r="E625" i="1"/>
  <c r="D774" i="1"/>
  <c r="J790" i="1"/>
  <c r="B919" i="1"/>
  <c r="S868" i="1"/>
  <c r="R891" i="1"/>
  <c r="D910" i="1"/>
  <c r="O696" i="1"/>
  <c r="C698" i="1"/>
  <c r="B721" i="1"/>
  <c r="O770" i="1"/>
  <c r="H649" i="1"/>
  <c r="L696" i="1"/>
  <c r="C664" i="1"/>
  <c r="M779" i="1"/>
  <c r="Q578" i="1"/>
  <c r="R676" i="1"/>
  <c r="Q538" i="1"/>
  <c r="R711" i="1"/>
  <c r="U656" i="1"/>
  <c r="H669" i="1"/>
  <c r="S785" i="1"/>
  <c r="U690" i="1"/>
  <c r="O511" i="1"/>
  <c r="K840" i="1"/>
  <c r="R721" i="1"/>
  <c r="C686" i="1"/>
  <c r="J671" i="1"/>
  <c r="A635" i="1"/>
  <c r="Q782" i="1"/>
  <c r="E900" i="1"/>
  <c r="J772" i="1"/>
  <c r="N859" i="1"/>
  <c r="C831" i="1"/>
  <c r="L887" i="1"/>
  <c r="L685" i="1"/>
  <c r="D734" i="1"/>
  <c r="N664" i="1"/>
  <c r="P852" i="1"/>
  <c r="U730" i="1"/>
  <c r="B913" i="1"/>
  <c r="D879" i="1"/>
  <c r="E855" i="1"/>
  <c r="J808" i="1"/>
  <c r="K858" i="1"/>
  <c r="N740" i="1"/>
  <c r="J857" i="1"/>
  <c r="T803" i="1"/>
  <c r="P898" i="1"/>
  <c r="V654" i="1"/>
  <c r="U798" i="1"/>
  <c r="O839" i="1"/>
  <c r="F900" i="1"/>
  <c r="G761" i="1"/>
  <c r="E539" i="1"/>
  <c r="S687" i="1"/>
  <c r="K906" i="1"/>
  <c r="Q889" i="1"/>
  <c r="I916" i="1"/>
  <c r="C772" i="1"/>
  <c r="E759" i="1"/>
  <c r="R838" i="1"/>
  <c r="N672" i="1"/>
  <c r="F795" i="1"/>
  <c r="D824" i="1"/>
  <c r="Q857" i="1"/>
  <c r="P759" i="1"/>
  <c r="V772" i="1"/>
  <c r="U742" i="1"/>
  <c r="Q581" i="1"/>
  <c r="K731" i="1"/>
  <c r="F649" i="1"/>
  <c r="O888" i="1"/>
  <c r="R741" i="1"/>
  <c r="N696" i="1"/>
  <c r="D717" i="1"/>
  <c r="M815" i="1"/>
  <c r="S863" i="1"/>
  <c r="B814" i="1"/>
  <c r="R863" i="1"/>
  <c r="K913" i="1"/>
  <c r="D907" i="1"/>
  <c r="T753" i="1"/>
  <c r="C621" i="1"/>
  <c r="B703" i="1"/>
  <c r="H767" i="1"/>
  <c r="H663" i="1"/>
  <c r="G756" i="1"/>
  <c r="U826" i="1"/>
  <c r="D831" i="1"/>
  <c r="S903" i="1"/>
  <c r="Q885" i="1"/>
  <c r="P769" i="1"/>
  <c r="I856" i="1"/>
  <c r="A741" i="1"/>
  <c r="N765" i="1"/>
  <c r="L615" i="1"/>
  <c r="A548" i="1"/>
  <c r="S829" i="1"/>
  <c r="L680" i="1"/>
  <c r="E755" i="1"/>
  <c r="B698" i="1"/>
  <c r="T743" i="1"/>
  <c r="S773" i="1"/>
  <c r="P923" i="1"/>
  <c r="O911" i="1"/>
  <c r="J900" i="1"/>
  <c r="N831" i="1"/>
  <c r="C820" i="1"/>
  <c r="H802" i="1"/>
  <c r="B921" i="1"/>
  <c r="O695" i="1"/>
  <c r="V870" i="1"/>
  <c r="F844" i="1"/>
  <c r="S755" i="1"/>
  <c r="C556" i="1"/>
  <c r="C924" i="1"/>
  <c r="H790" i="1"/>
  <c r="E809" i="1"/>
  <c r="G753" i="1"/>
  <c r="S877" i="1"/>
  <c r="I650" i="1"/>
  <c r="D729" i="1"/>
  <c r="Q838" i="1"/>
  <c r="D865" i="1"/>
  <c r="C881" i="1"/>
  <c r="R806" i="1"/>
  <c r="G577" i="1"/>
  <c r="R904" i="1"/>
  <c r="P540" i="1"/>
  <c r="H756" i="1"/>
  <c r="N633" i="1"/>
  <c r="C793" i="1"/>
  <c r="N850" i="1"/>
  <c r="B772" i="1"/>
  <c r="E695" i="1"/>
  <c r="I870" i="1"/>
  <c r="T915" i="1"/>
  <c r="R812" i="1"/>
  <c r="R845" i="1"/>
  <c r="S914" i="1"/>
  <c r="E729" i="1"/>
  <c r="H809" i="1"/>
  <c r="O762" i="1"/>
  <c r="D806" i="1"/>
  <c r="I915" i="1"/>
  <c r="A888" i="1"/>
  <c r="I781" i="1"/>
  <c r="D826" i="1"/>
  <c r="U782" i="1"/>
  <c r="M803" i="1"/>
  <c r="B862" i="1"/>
  <c r="N694" i="1"/>
  <c r="V797" i="1"/>
  <c r="E807" i="1"/>
  <c r="O665" i="1"/>
  <c r="R723" i="1"/>
  <c r="L558" i="1"/>
  <c r="J610" i="1"/>
  <c r="T744" i="1"/>
  <c r="C798" i="1"/>
  <c r="I810" i="1"/>
  <c r="E902" i="1"/>
  <c r="U706" i="1"/>
  <c r="E914" i="1"/>
  <c r="N603" i="1"/>
  <c r="V672" i="1"/>
  <c r="R653" i="1"/>
  <c r="K808" i="1"/>
  <c r="U677" i="1"/>
  <c r="U924" i="1"/>
  <c r="U697" i="1"/>
  <c r="L719" i="1"/>
  <c r="L623" i="1"/>
  <c r="K807" i="1"/>
  <c r="I677" i="1"/>
  <c r="N860" i="1"/>
  <c r="J454" i="1"/>
  <c r="E921" i="1"/>
  <c r="N712" i="1"/>
  <c r="D623" i="1"/>
  <c r="Q577" i="1"/>
  <c r="B484" i="1"/>
  <c r="D689" i="1"/>
  <c r="G814" i="1"/>
  <c r="H882" i="1"/>
  <c r="I568" i="1"/>
  <c r="R456" i="1"/>
  <c r="J892" i="1"/>
  <c r="V916" i="1"/>
  <c r="H532" i="1"/>
  <c r="S861" i="1"/>
  <c r="O700" i="1"/>
  <c r="U647" i="1"/>
  <c r="T682" i="1"/>
  <c r="O855" i="1"/>
  <c r="U776" i="1"/>
  <c r="L710" i="1"/>
  <c r="R437" i="1"/>
  <c r="C574" i="1"/>
  <c r="N365" i="1"/>
  <c r="O755" i="1"/>
  <c r="J713" i="1"/>
  <c r="P608" i="1"/>
  <c r="B362" i="1"/>
  <c r="O652" i="1"/>
  <c r="P692" i="1"/>
  <c r="K560" i="1"/>
  <c r="P801" i="1"/>
  <c r="C624" i="1"/>
  <c r="U554" i="1"/>
  <c r="R610" i="1"/>
  <c r="V830" i="1"/>
  <c r="Q566" i="1"/>
  <c r="U856" i="1"/>
  <c r="C534" i="1"/>
  <c r="P836" i="1"/>
  <c r="O834" i="1"/>
  <c r="H748" i="1"/>
  <c r="I823" i="1"/>
  <c r="Q707" i="1"/>
  <c r="S705" i="1"/>
  <c r="E668" i="1"/>
  <c r="Q720" i="1"/>
  <c r="D752" i="1"/>
  <c r="C679" i="1"/>
  <c r="G762" i="1"/>
  <c r="D755" i="1"/>
  <c r="R281" i="1"/>
  <c r="G809" i="1"/>
  <c r="F602" i="1"/>
  <c r="S692" i="1"/>
  <c r="O604" i="1"/>
  <c r="H820" i="1"/>
  <c r="F866" i="1"/>
  <c r="K768" i="1"/>
  <c r="L601" i="1"/>
  <c r="G840" i="1"/>
  <c r="M819" i="1"/>
  <c r="J729" i="1"/>
  <c r="B787" i="1"/>
  <c r="U705" i="1"/>
  <c r="P803" i="1"/>
  <c r="B779" i="1"/>
  <c r="D666" i="1"/>
  <c r="G852" i="1"/>
  <c r="S663" i="1"/>
  <c r="P653" i="1"/>
  <c r="G804" i="1"/>
  <c r="A806" i="1"/>
  <c r="T688" i="1"/>
  <c r="M864" i="1"/>
  <c r="G723" i="1"/>
  <c r="Q894" i="1"/>
  <c r="V863" i="1"/>
  <c r="V606" i="1"/>
  <c r="C826" i="1"/>
  <c r="K700" i="1"/>
  <c r="O768" i="1"/>
  <c r="U612" i="1"/>
  <c r="O742" i="1"/>
  <c r="G774" i="1"/>
  <c r="V919" i="1"/>
  <c r="P831" i="1"/>
  <c r="K650" i="1"/>
  <c r="U887" i="1"/>
  <c r="R790" i="1"/>
  <c r="A723" i="1"/>
  <c r="A727" i="1"/>
  <c r="C650" i="1"/>
  <c r="B662" i="1"/>
  <c r="R807" i="1"/>
  <c r="K833" i="1"/>
  <c r="E696" i="1"/>
  <c r="T794" i="1"/>
  <c r="F846" i="1"/>
  <c r="I642" i="1"/>
  <c r="F747" i="1"/>
  <c r="J723" i="1"/>
  <c r="G747" i="1"/>
  <c r="T778" i="1"/>
  <c r="U648" i="1"/>
  <c r="D672" i="1"/>
  <c r="G748" i="1"/>
  <c r="H662" i="1"/>
  <c r="T636" i="1"/>
  <c r="L535" i="1"/>
  <c r="E849" i="1"/>
  <c r="N834" i="1"/>
  <c r="F791" i="1"/>
  <c r="I791" i="1"/>
  <c r="B679" i="1"/>
  <c r="H615" i="1"/>
  <c r="T710" i="1"/>
  <c r="T648" i="1"/>
  <c r="P742" i="1"/>
  <c r="K552" i="1"/>
  <c r="T772" i="1"/>
  <c r="C781" i="1"/>
  <c r="N706" i="1"/>
  <c r="J430" i="1"/>
  <c r="I625" i="1"/>
  <c r="G648" i="1"/>
  <c r="A555" i="1"/>
  <c r="S622" i="1"/>
  <c r="T738" i="1"/>
  <c r="N764" i="1"/>
  <c r="I644" i="1"/>
  <c r="Q573" i="1"/>
  <c r="G567" i="1"/>
  <c r="B540" i="1"/>
  <c r="V634" i="1"/>
  <c r="J894" i="1"/>
  <c r="A846" i="1"/>
  <c r="F535" i="1"/>
  <c r="A494" i="1"/>
  <c r="B853" i="1"/>
  <c r="U717" i="1"/>
  <c r="A783" i="1"/>
  <c r="T608" i="1"/>
  <c r="R910" i="1"/>
  <c r="T619" i="1"/>
  <c r="N652" i="1"/>
  <c r="E731" i="1"/>
  <c r="E741" i="1"/>
  <c r="J623" i="1"/>
  <c r="P685" i="1"/>
  <c r="F788" i="1"/>
  <c r="P730" i="1"/>
  <c r="A609" i="1"/>
  <c r="C652" i="1"/>
  <c r="N817" i="1"/>
  <c r="E571" i="1"/>
  <c r="R885" i="1"/>
  <c r="I534" i="1"/>
  <c r="J594" i="1"/>
  <c r="M577" i="1"/>
  <c r="D779" i="1"/>
  <c r="A576" i="1"/>
  <c r="C676" i="1"/>
  <c r="V630" i="1"/>
  <c r="R529" i="1"/>
  <c r="B807" i="1"/>
  <c r="K539" i="1"/>
  <c r="S898" i="1"/>
  <c r="H599" i="1"/>
  <c r="A728" i="1"/>
  <c r="K911" i="1"/>
  <c r="H627" i="1"/>
  <c r="R769" i="1"/>
  <c r="Q597" i="1"/>
  <c r="A514" i="1"/>
  <c r="V814" i="1"/>
  <c r="C634" i="1"/>
  <c r="U746" i="1"/>
  <c r="B850" i="1"/>
  <c r="R734" i="1"/>
  <c r="A809" i="1"/>
  <c r="I778" i="1"/>
  <c r="J782" i="1"/>
  <c r="G819" i="1"/>
  <c r="I876" i="1"/>
  <c r="V790" i="1"/>
  <c r="I787" i="1"/>
  <c r="H534" i="1"/>
  <c r="T752" i="1"/>
  <c r="D681" i="1"/>
  <c r="D860" i="1"/>
  <c r="D885" i="1"/>
  <c r="K836" i="1"/>
  <c r="J768" i="1"/>
  <c r="U774" i="1"/>
  <c r="N728" i="1"/>
  <c r="H885" i="1"/>
  <c r="U643" i="1"/>
  <c r="E678" i="1"/>
  <c r="A534" i="1"/>
  <c r="J776" i="1"/>
  <c r="V752" i="1"/>
  <c r="S728" i="1"/>
  <c r="A577" i="1"/>
  <c r="Q822" i="1"/>
  <c r="L434" i="1"/>
  <c r="J624" i="1"/>
  <c r="F878" i="1"/>
  <c r="Q826" i="1"/>
  <c r="L579" i="1"/>
  <c r="D903" i="1"/>
  <c r="J698" i="1"/>
  <c r="V768" i="1"/>
  <c r="E910" i="1"/>
  <c r="P834" i="1"/>
  <c r="K916" i="1"/>
  <c r="I890" i="1"/>
  <c r="E738" i="1"/>
  <c r="U793" i="1"/>
  <c r="J889" i="1"/>
  <c r="A793" i="1"/>
  <c r="T916" i="1"/>
  <c r="R709" i="1"/>
  <c r="M664" i="1"/>
  <c r="C915" i="1"/>
  <c r="N895" i="1"/>
  <c r="V864" i="1"/>
  <c r="K849" i="1"/>
  <c r="K732" i="1"/>
  <c r="O870" i="1"/>
  <c r="K814" i="1"/>
  <c r="L720" i="1"/>
  <c r="T759" i="1"/>
  <c r="L670" i="1"/>
  <c r="R896" i="1"/>
  <c r="G714" i="1"/>
  <c r="N788" i="1"/>
  <c r="T806" i="1"/>
  <c r="Q844" i="1"/>
  <c r="K754" i="1"/>
  <c r="M766" i="1"/>
  <c r="M796" i="1"/>
  <c r="D614" i="1"/>
  <c r="Q605" i="1"/>
  <c r="R820" i="1"/>
  <c r="C480" i="1"/>
  <c r="V696" i="1"/>
  <c r="M746" i="1"/>
  <c r="H783" i="1"/>
  <c r="B646" i="1"/>
  <c r="U729" i="1"/>
  <c r="H698" i="1"/>
  <c r="C666" i="1"/>
  <c r="J620" i="1"/>
  <c r="I750" i="1"/>
  <c r="C759" i="1"/>
  <c r="Q739" i="1"/>
  <c r="L629" i="1"/>
  <c r="J832" i="1"/>
  <c r="R705" i="1"/>
  <c r="F591" i="1"/>
  <c r="M583" i="1"/>
  <c r="A755" i="1"/>
  <c r="N830" i="1"/>
  <c r="E654" i="1"/>
  <c r="M849" i="1"/>
  <c r="P909" i="1"/>
  <c r="B685" i="1"/>
  <c r="L821" i="1"/>
  <c r="C859" i="1"/>
  <c r="H574" i="1"/>
  <c r="A754" i="1"/>
  <c r="A889" i="1"/>
  <c r="A709" i="1"/>
  <c r="M723" i="1"/>
  <c r="J600" i="1"/>
  <c r="G721" i="1"/>
  <c r="D736" i="1"/>
  <c r="J744" i="1"/>
  <c r="M709" i="1"/>
  <c r="S723" i="1"/>
  <c r="J909" i="1"/>
  <c r="T885" i="1"/>
  <c r="F630" i="1"/>
  <c r="B543" i="1"/>
  <c r="E474" i="1"/>
  <c r="U700" i="1"/>
  <c r="R535" i="1"/>
  <c r="K681" i="1"/>
  <c r="C538" i="1"/>
  <c r="T572" i="1"/>
  <c r="C739" i="1"/>
  <c r="K791" i="1"/>
  <c r="H468" i="1"/>
  <c r="A869" i="1"/>
  <c r="B727" i="1"/>
  <c r="H868" i="1"/>
  <c r="C770" i="1"/>
  <c r="F784" i="1"/>
  <c r="V657" i="1"/>
  <c r="S680" i="1"/>
  <c r="E649" i="1"/>
  <c r="H832" i="1"/>
  <c r="U918" i="1"/>
  <c r="P726" i="1"/>
  <c r="K602" i="1"/>
  <c r="S503" i="1"/>
  <c r="F672" i="1"/>
  <c r="R603" i="1"/>
  <c r="B692" i="1"/>
  <c r="D909" i="1"/>
  <c r="M745" i="1"/>
  <c r="F859" i="1"/>
  <c r="A771" i="1"/>
  <c r="Q746" i="1"/>
  <c r="B914" i="1"/>
  <c r="M848" i="1"/>
  <c r="A854" i="1"/>
  <c r="F731" i="1"/>
  <c r="F760" i="1"/>
  <c r="I753" i="1"/>
  <c r="C598" i="1"/>
  <c r="L917" i="1"/>
  <c r="U621" i="1"/>
  <c r="I588" i="1"/>
  <c r="O784" i="1"/>
  <c r="M686" i="1"/>
  <c r="S587" i="1"/>
  <c r="N886" i="1"/>
  <c r="V857" i="1"/>
  <c r="I848" i="1"/>
  <c r="S711" i="1"/>
  <c r="J686" i="1"/>
  <c r="E746" i="1"/>
  <c r="H810" i="1"/>
  <c r="J786" i="1"/>
  <c r="I907" i="1"/>
  <c r="K851" i="1"/>
  <c r="N461" i="1"/>
  <c r="M651" i="1"/>
  <c r="L698" i="1"/>
  <c r="D698" i="1"/>
  <c r="S922" i="1"/>
  <c r="G894" i="1"/>
  <c r="Q846" i="1"/>
  <c r="T836" i="1"/>
  <c r="S806" i="1"/>
  <c r="Q560" i="1"/>
  <c r="C864" i="1"/>
  <c r="C876" i="1"/>
  <c r="H894" i="1"/>
  <c r="C856" i="1"/>
  <c r="T725" i="1"/>
  <c r="D751" i="1"/>
  <c r="P770" i="1"/>
  <c r="D575" i="1"/>
  <c r="B852" i="1"/>
  <c r="M743" i="1"/>
  <c r="K784" i="1"/>
  <c r="L626" i="1"/>
  <c r="R635" i="1"/>
  <c r="Q722" i="1"/>
  <c r="P662" i="1"/>
  <c r="T733" i="1"/>
  <c r="M791" i="1"/>
  <c r="I729" i="1"/>
  <c r="C824" i="1"/>
  <c r="P676" i="1"/>
  <c r="E598" i="1"/>
  <c r="Q761" i="1"/>
  <c r="R864" i="1"/>
  <c r="L748" i="1"/>
  <c r="M672" i="1"/>
  <c r="Q778" i="1"/>
  <c r="P855" i="1"/>
  <c r="R541" i="1"/>
  <c r="R587" i="1"/>
  <c r="T844" i="1"/>
  <c r="O628" i="1"/>
  <c r="I806" i="1"/>
  <c r="M599" i="1"/>
  <c r="N876" i="1"/>
  <c r="S576" i="1"/>
  <c r="D641" i="1"/>
  <c r="I820" i="1"/>
  <c r="B828" i="1"/>
  <c r="D580" i="1"/>
  <c r="E608" i="1"/>
  <c r="B897" i="1"/>
  <c r="K556" i="1"/>
  <c r="B444" i="1"/>
  <c r="Q552" i="1"/>
  <c r="P725" i="1"/>
  <c r="K640" i="1"/>
  <c r="O872" i="1"/>
  <c r="J922" i="1"/>
  <c r="L584" i="1"/>
  <c r="I701" i="1"/>
  <c r="E918" i="1"/>
  <c r="B699" i="1"/>
  <c r="J793" i="1"/>
  <c r="B761" i="1"/>
  <c r="Q557" i="1"/>
  <c r="G635" i="1"/>
  <c r="U771" i="1"/>
  <c r="P326" i="1"/>
  <c r="S764" i="1"/>
  <c r="G571" i="1"/>
  <c r="V809" i="1"/>
  <c r="N709" i="1"/>
  <c r="U894" i="1"/>
  <c r="P869" i="1"/>
  <c r="V662" i="1"/>
  <c r="R923" i="1"/>
  <c r="P520" i="1"/>
  <c r="T531" i="1"/>
  <c r="N502" i="1"/>
  <c r="S721" i="1"/>
  <c r="A545" i="1"/>
  <c r="H798" i="1"/>
  <c r="H920" i="1"/>
  <c r="G850" i="1"/>
  <c r="J850" i="1"/>
  <c r="M782" i="1"/>
  <c r="U781" i="1"/>
  <c r="R727" i="1"/>
  <c r="J867" i="1"/>
  <c r="I774" i="1"/>
  <c r="Q712" i="1"/>
  <c r="H863" i="1"/>
  <c r="K515" i="1"/>
  <c r="N515" i="1"/>
  <c r="D691" i="1"/>
  <c r="F486" i="1"/>
  <c r="K760" i="1"/>
  <c r="H516" i="1"/>
  <c r="K576" i="1"/>
  <c r="M862" i="1"/>
  <c r="P771" i="1"/>
  <c r="V603" i="1"/>
  <c r="I654" i="1"/>
  <c r="I732" i="1"/>
  <c r="G684" i="1"/>
  <c r="D810" i="1"/>
  <c r="P711" i="1"/>
  <c r="L834" i="1"/>
  <c r="M714" i="1"/>
  <c r="F682" i="1"/>
  <c r="L899" i="1"/>
  <c r="G749" i="1"/>
  <c r="T810" i="1"/>
  <c r="S725" i="1"/>
  <c r="L792" i="1"/>
  <c r="M557" i="1"/>
  <c r="T560" i="1"/>
  <c r="M894" i="1"/>
  <c r="K889" i="1"/>
  <c r="C745" i="1"/>
  <c r="L530" i="1"/>
  <c r="U580" i="1"/>
  <c r="E739" i="1"/>
  <c r="U713" i="1"/>
  <c r="D655" i="1"/>
  <c r="H734" i="1"/>
  <c r="O796" i="1"/>
  <c r="N904" i="1"/>
  <c r="H801" i="1"/>
  <c r="H751" i="1"/>
  <c r="B875" i="1"/>
  <c r="M919" i="1"/>
  <c r="B749" i="1"/>
  <c r="I868" i="1"/>
  <c r="M692" i="1"/>
  <c r="S844" i="1"/>
  <c r="G773" i="1"/>
  <c r="K845" i="1"/>
  <c r="M911" i="1"/>
  <c r="K825" i="1"/>
  <c r="J730" i="1"/>
  <c r="F686" i="1"/>
  <c r="F914" i="1"/>
  <c r="G801" i="1"/>
  <c r="L746" i="1"/>
  <c r="K803" i="1"/>
  <c r="V563" i="1"/>
  <c r="A768" i="1"/>
  <c r="R569" i="1"/>
  <c r="U635" i="1"/>
  <c r="I772" i="1"/>
  <c r="C608" i="1"/>
  <c r="C618" i="1"/>
  <c r="O811" i="1"/>
  <c r="R759" i="1"/>
  <c r="G656" i="1"/>
  <c r="J890" i="1"/>
  <c r="F749" i="1"/>
  <c r="H623" i="1"/>
  <c r="H830" i="1"/>
  <c r="Q653" i="1"/>
  <c r="V648" i="1"/>
  <c r="G563" i="1"/>
  <c r="J473" i="1"/>
  <c r="F599" i="1"/>
  <c r="O362" i="1"/>
  <c r="V722" i="1"/>
  <c r="U707" i="1"/>
  <c r="R518" i="1"/>
  <c r="H323" i="1"/>
  <c r="U719" i="1"/>
  <c r="G750" i="1"/>
  <c r="R565" i="1"/>
  <c r="Q591" i="1"/>
  <c r="B509" i="1"/>
  <c r="S696" i="1"/>
  <c r="P720" i="1"/>
  <c r="H604" i="1"/>
  <c r="F702" i="1"/>
  <c r="P697" i="1"/>
  <c r="N807" i="1"/>
  <c r="G914" i="1"/>
  <c r="H665" i="1"/>
  <c r="B666" i="1"/>
  <c r="O751" i="1"/>
  <c r="T819" i="1"/>
  <c r="Q675" i="1"/>
  <c r="N441" i="1"/>
  <c r="L588" i="1"/>
  <c r="H517" i="1"/>
  <c r="T787" i="1"/>
  <c r="T638" i="1"/>
  <c r="H901" i="1"/>
  <c r="C829" i="1"/>
  <c r="V882" i="1"/>
  <c r="P737" i="1"/>
  <c r="I896" i="1"/>
  <c r="P701" i="1"/>
  <c r="K810" i="1"/>
  <c r="R725" i="1"/>
  <c r="O561" i="1"/>
  <c r="L837" i="1"/>
  <c r="E733" i="1"/>
  <c r="G874" i="1"/>
  <c r="J577" i="1"/>
  <c r="R507" i="1"/>
  <c r="N816" i="1"/>
  <c r="F644" i="1"/>
  <c r="G291" i="1"/>
  <c r="K368" i="1"/>
  <c r="O847" i="1"/>
  <c r="N647" i="1"/>
  <c r="L839" i="1"/>
  <c r="D649" i="1"/>
  <c r="S794" i="1"/>
  <c r="U688" i="1"/>
  <c r="O766" i="1"/>
  <c r="A633" i="1"/>
  <c r="O671" i="1"/>
  <c r="G689" i="1"/>
  <c r="M790" i="1"/>
  <c r="H626" i="1"/>
  <c r="M614" i="1"/>
  <c r="E763" i="1"/>
  <c r="G541" i="1"/>
  <c r="U803" i="1"/>
  <c r="M821" i="1"/>
  <c r="L892" i="1"/>
  <c r="R878" i="1"/>
  <c r="J708" i="1"/>
  <c r="K611" i="1"/>
  <c r="L856" i="1"/>
  <c r="S796" i="1"/>
  <c r="K838" i="1"/>
  <c r="O904" i="1"/>
  <c r="P804" i="1"/>
  <c r="A900" i="1"/>
  <c r="S752" i="1"/>
  <c r="J668" i="1"/>
  <c r="O621" i="1"/>
  <c r="H622" i="1"/>
  <c r="E832" i="1"/>
  <c r="E691" i="1"/>
  <c r="H609" i="1"/>
  <c r="J453" i="1"/>
  <c r="O640" i="1"/>
  <c r="U761" i="1"/>
  <c r="S556" i="1"/>
  <c r="I630" i="1"/>
  <c r="M646" i="1"/>
  <c r="N748" i="1"/>
  <c r="Q911" i="1"/>
  <c r="O623" i="1"/>
  <c r="O869" i="1"/>
  <c r="T746" i="1"/>
  <c r="J678" i="1"/>
  <c r="B449" i="1"/>
  <c r="J868" i="1"/>
  <c r="J781" i="1"/>
  <c r="G668" i="1"/>
  <c r="U666" i="1"/>
  <c r="V895" i="1"/>
  <c r="C656" i="1"/>
  <c r="J726" i="1"/>
  <c r="P777" i="1"/>
  <c r="S754" i="1"/>
  <c r="M874" i="1"/>
  <c r="P473" i="1"/>
  <c r="E753" i="1"/>
  <c r="D639" i="1"/>
  <c r="A481" i="1"/>
  <c r="B680" i="1"/>
  <c r="D769" i="1"/>
  <c r="P814" i="1"/>
  <c r="L662" i="1"/>
  <c r="V796" i="1"/>
  <c r="K643" i="1"/>
  <c r="E728" i="1"/>
  <c r="F433" i="1"/>
  <c r="Q767" i="1"/>
  <c r="G797" i="1"/>
  <c r="V735" i="1"/>
  <c r="Q790" i="1"/>
  <c r="K675" i="1"/>
  <c r="B667" i="1"/>
  <c r="F478" i="1"/>
  <c r="M759" i="1"/>
  <c r="G771" i="1"/>
  <c r="P627" i="1"/>
  <c r="A656" i="1"/>
  <c r="Q699" i="1"/>
  <c r="C520" i="1"/>
  <c r="E734" i="1"/>
  <c r="C633" i="1"/>
  <c r="D579" i="1"/>
  <c r="F808" i="1"/>
  <c r="I779" i="1"/>
  <c r="H822" i="1"/>
  <c r="E682" i="1"/>
  <c r="I705" i="1"/>
  <c r="S658" i="1"/>
  <c r="F705" i="1"/>
  <c r="Q727" i="1"/>
  <c r="A500" i="1"/>
  <c r="A699" i="1"/>
  <c r="I802" i="1"/>
  <c r="M836" i="1"/>
  <c r="D519" i="1"/>
  <c r="H438" i="1"/>
  <c r="K569" i="1"/>
  <c r="S636" i="1"/>
  <c r="E920" i="1"/>
  <c r="G907" i="1"/>
  <c r="V582" i="1"/>
  <c r="C728" i="1"/>
  <c r="J785" i="1"/>
  <c r="J795" i="1"/>
  <c r="O486" i="1"/>
  <c r="T726" i="1"/>
  <c r="D705" i="1"/>
  <c r="D713" i="1"/>
  <c r="R914" i="1"/>
  <c r="A662" i="1"/>
  <c r="U627" i="1"/>
  <c r="V741" i="1"/>
  <c r="N916" i="1"/>
  <c r="T439" i="1"/>
  <c r="K655" i="1"/>
  <c r="I809" i="1"/>
  <c r="H684" i="1"/>
  <c r="O597" i="1"/>
  <c r="P626" i="1"/>
  <c r="C764" i="1"/>
  <c r="V688" i="1"/>
  <c r="V536" i="1"/>
  <c r="P545" i="1"/>
  <c r="Q588" i="1"/>
  <c r="I703" i="1"/>
  <c r="M343" i="1"/>
  <c r="P639" i="1"/>
  <c r="B391" i="1"/>
  <c r="I454" i="1"/>
  <c r="J491" i="1"/>
  <c r="B910" i="1"/>
  <c r="Q819" i="1"/>
  <c r="B439" i="1"/>
  <c r="H850" i="1"/>
  <c r="I908" i="1"/>
  <c r="C719" i="1"/>
  <c r="R523" i="1"/>
  <c r="M629" i="1"/>
  <c r="P566" i="1"/>
  <c r="D613" i="1"/>
  <c r="Q627" i="1"/>
  <c r="G777" i="1"/>
  <c r="N736" i="1"/>
  <c r="F666" i="1"/>
  <c r="N626" i="1"/>
  <c r="J526" i="1"/>
  <c r="J614" i="1"/>
  <c r="M680" i="1"/>
  <c r="S653" i="1"/>
  <c r="L593" i="1"/>
  <c r="R642" i="1"/>
  <c r="S797" i="1"/>
  <c r="E812" i="1"/>
  <c r="R667" i="1"/>
  <c r="G620" i="1"/>
  <c r="I373" i="1"/>
  <c r="I591" i="1"/>
  <c r="A659" i="1"/>
  <c r="S720" i="1"/>
  <c r="P465" i="1"/>
  <c r="O549" i="1"/>
  <c r="V730" i="1"/>
  <c r="H866" i="1"/>
  <c r="C822" i="1"/>
  <c r="T821" i="1"/>
  <c r="C699" i="1"/>
  <c r="M703" i="1"/>
  <c r="N680" i="1"/>
  <c r="F646" i="1"/>
  <c r="Q741" i="1"/>
  <c r="E762" i="1"/>
  <c r="R519" i="1"/>
  <c r="F809" i="1"/>
  <c r="S543" i="1"/>
  <c r="H814" i="1"/>
  <c r="L533" i="1"/>
  <c r="V614" i="1"/>
  <c r="K617" i="1"/>
  <c r="K682" i="1"/>
  <c r="C689" i="1"/>
  <c r="P538" i="1"/>
  <c r="T866" i="1"/>
  <c r="N634" i="1"/>
  <c r="R737" i="1"/>
  <c r="B473" i="1"/>
  <c r="K477" i="1"/>
  <c r="C539" i="1"/>
  <c r="I600" i="1"/>
  <c r="U357" i="1"/>
  <c r="M436" i="1"/>
  <c r="T413" i="1"/>
  <c r="I580" i="1"/>
  <c r="N793" i="1"/>
  <c r="I595" i="1"/>
  <c r="D839" i="1"/>
  <c r="Q834" i="1"/>
  <c r="V766" i="1"/>
  <c r="E922" i="1"/>
  <c r="L637" i="1"/>
  <c r="I550" i="1"/>
  <c r="M918" i="1"/>
  <c r="S573" i="1"/>
  <c r="N656" i="1"/>
  <c r="R775" i="1"/>
  <c r="A901" i="1"/>
  <c r="H611" i="1"/>
  <c r="A732" i="1"/>
  <c r="E555" i="1"/>
  <c r="P609" i="1"/>
  <c r="I634" i="1"/>
  <c r="J503" i="1"/>
  <c r="M625" i="1"/>
  <c r="U828" i="1"/>
  <c r="V747" i="1"/>
  <c r="E684" i="1"/>
  <c r="T660" i="1"/>
  <c r="O749" i="1"/>
  <c r="F414" i="1"/>
  <c r="L490" i="1"/>
  <c r="K538" i="1"/>
  <c r="Q533" i="1"/>
  <c r="U630" i="1"/>
  <c r="L752" i="1"/>
  <c r="H408" i="1"/>
  <c r="G745" i="1"/>
  <c r="J499" i="1"/>
  <c r="H479" i="1"/>
  <c r="F443" i="1"/>
  <c r="U485" i="1"/>
  <c r="D418" i="1"/>
  <c r="L485" i="1"/>
  <c r="P887" i="1"/>
  <c r="L597" i="1"/>
  <c r="U909" i="1"/>
  <c r="G435" i="1"/>
  <c r="Q341" i="1"/>
  <c r="N756" i="1"/>
  <c r="D588" i="1"/>
  <c r="H746" i="1"/>
  <c r="R724" i="1"/>
  <c r="S517" i="1"/>
  <c r="T617" i="1"/>
  <c r="F677" i="1"/>
  <c r="K652" i="1"/>
  <c r="L440" i="1"/>
  <c r="V848" i="1"/>
  <c r="S487" i="1"/>
  <c r="U735" i="1"/>
  <c r="B402" i="1"/>
  <c r="G776" i="1"/>
  <c r="S241" i="1"/>
  <c r="B764" i="1"/>
  <c r="U572" i="1"/>
  <c r="R577" i="1"/>
  <c r="U435" i="1"/>
  <c r="U762" i="1"/>
  <c r="L817" i="1"/>
  <c r="M571" i="1"/>
  <c r="T593" i="1"/>
  <c r="I149" i="1"/>
  <c r="S704" i="1"/>
  <c r="L492" i="1"/>
  <c r="M435" i="1"/>
  <c r="S262" i="1"/>
  <c r="O537" i="1"/>
  <c r="D469" i="1"/>
  <c r="G489" i="1"/>
  <c r="A473" i="1"/>
  <c r="M865" i="1"/>
  <c r="B795" i="1"/>
  <c r="N782" i="1"/>
  <c r="R840" i="1"/>
  <c r="P753" i="1"/>
  <c r="T798" i="1"/>
  <c r="K904" i="1"/>
  <c r="E793" i="1"/>
  <c r="F905" i="1"/>
  <c r="D682" i="1"/>
  <c r="F909" i="1"/>
  <c r="K530" i="1"/>
  <c r="I445" i="1"/>
  <c r="G735" i="1"/>
  <c r="M872" i="1"/>
  <c r="M768" i="1"/>
  <c r="G752" i="1"/>
  <c r="V576" i="1"/>
  <c r="S850" i="1"/>
  <c r="E692" i="1"/>
  <c r="H815" i="1"/>
  <c r="N650" i="1"/>
  <c r="O678" i="1"/>
  <c r="G495" i="1"/>
  <c r="S803" i="1"/>
  <c r="H740" i="1"/>
  <c r="A866" i="1"/>
  <c r="J877" i="1"/>
  <c r="O709" i="1"/>
  <c r="C685" i="1"/>
  <c r="B740" i="1"/>
  <c r="A681" i="1"/>
  <c r="K738" i="1"/>
  <c r="M726" i="1"/>
  <c r="R549" i="1"/>
  <c r="S638" i="1"/>
  <c r="M676" i="1"/>
  <c r="L636" i="1"/>
  <c r="F662" i="1"/>
  <c r="G760" i="1"/>
  <c r="R712" i="1"/>
  <c r="T771" i="1"/>
  <c r="I683" i="1"/>
  <c r="N699" i="1"/>
  <c r="G557" i="1"/>
  <c r="F720" i="1"/>
  <c r="S565" i="1"/>
  <c r="C654" i="1"/>
  <c r="M658" i="1"/>
  <c r="F678" i="1"/>
  <c r="H782" i="1"/>
  <c r="Q649" i="1"/>
  <c r="R659" i="1"/>
  <c r="B858" i="1"/>
  <c r="S874" i="1"/>
  <c r="R916" i="1"/>
  <c r="A834" i="1"/>
  <c r="K644" i="1"/>
  <c r="F908" i="1"/>
  <c r="G536" i="1"/>
  <c r="K776" i="1"/>
  <c r="V874" i="1"/>
  <c r="S698" i="1"/>
  <c r="K672" i="1"/>
  <c r="D876" i="1"/>
  <c r="A632" i="1"/>
  <c r="P866" i="1"/>
  <c r="T923" i="1"/>
  <c r="N698" i="1"/>
  <c r="I501" i="1"/>
  <c r="E672" i="1"/>
  <c r="T696" i="1"/>
  <c r="M575" i="1"/>
  <c r="G510" i="1"/>
  <c r="Q754" i="1"/>
  <c r="G709" i="1"/>
  <c r="K507" i="1"/>
  <c r="S607" i="1"/>
  <c r="N627" i="1"/>
  <c r="O532" i="1"/>
  <c r="O341" i="1"/>
  <c r="H900" i="1"/>
  <c r="O492" i="1"/>
  <c r="P792" i="1"/>
  <c r="L738" i="1"/>
  <c r="V811" i="1"/>
  <c r="F708" i="1"/>
  <c r="F790" i="1"/>
  <c r="D640" i="1"/>
  <c r="S872" i="1"/>
  <c r="C518" i="1"/>
  <c r="F824" i="1"/>
  <c r="J649" i="1"/>
  <c r="K667" i="1"/>
  <c r="O619" i="1"/>
  <c r="M837" i="1"/>
  <c r="M677" i="1"/>
  <c r="U587" i="1"/>
  <c r="A747" i="1"/>
  <c r="U654" i="1"/>
  <c r="L688" i="1"/>
  <c r="B658" i="1"/>
  <c r="N692" i="1"/>
  <c r="B459" i="1"/>
  <c r="P856" i="1"/>
  <c r="I730" i="1"/>
  <c r="O797" i="1"/>
  <c r="O599" i="1"/>
  <c r="H690" i="1"/>
  <c r="V581" i="1"/>
  <c r="U760" i="1"/>
  <c r="I392" i="1"/>
  <c r="K353" i="1"/>
  <c r="I586" i="1"/>
  <c r="O629" i="1"/>
  <c r="V739" i="1"/>
  <c r="Q682" i="1"/>
  <c r="J816" i="1"/>
  <c r="B726" i="1"/>
  <c r="R817" i="1"/>
  <c r="C701" i="1"/>
  <c r="G582" i="1"/>
  <c r="Q625" i="1"/>
  <c r="J891" i="1"/>
  <c r="O814" i="1"/>
  <c r="G708" i="1"/>
  <c r="I376" i="1"/>
  <c r="I721" i="1"/>
  <c r="Q663" i="1"/>
  <c r="M816" i="1"/>
  <c r="U605" i="1"/>
  <c r="P615" i="1"/>
  <c r="K723" i="1"/>
  <c r="S770" i="1"/>
  <c r="O773" i="1"/>
  <c r="R636" i="1"/>
  <c r="S864" i="1"/>
  <c r="S538" i="1"/>
  <c r="A764" i="1"/>
  <c r="H714" i="1"/>
  <c r="H601" i="1"/>
  <c r="C400" i="1"/>
  <c r="R576" i="1"/>
  <c r="N460" i="1"/>
  <c r="J533" i="1"/>
  <c r="B503" i="1"/>
  <c r="S554" i="1"/>
  <c r="L563" i="1"/>
  <c r="M707" i="1"/>
  <c r="C911" i="1"/>
  <c r="S767" i="1"/>
  <c r="A897" i="1"/>
  <c r="R744" i="1"/>
  <c r="F626" i="1"/>
  <c r="A661" i="1"/>
  <c r="N832" i="1"/>
  <c r="U827" i="1"/>
  <c r="L909" i="1"/>
  <c r="L700" i="1"/>
  <c r="N721" i="1"/>
  <c r="J582" i="1"/>
  <c r="T793" i="1"/>
  <c r="I628" i="1"/>
  <c r="K476" i="1"/>
  <c r="H299" i="1"/>
  <c r="C587" i="1"/>
  <c r="H683" i="1"/>
  <c r="Q687" i="1"/>
  <c r="D485" i="1"/>
  <c r="L621" i="1"/>
  <c r="M875" i="1"/>
  <c r="E580" i="1"/>
  <c r="H460" i="1"/>
  <c r="S686" i="1"/>
  <c r="A553" i="1"/>
  <c r="P659" i="1"/>
  <c r="F514" i="1"/>
  <c r="J641" i="1"/>
  <c r="V569" i="1"/>
  <c r="T626" i="1"/>
  <c r="B567" i="1"/>
  <c r="E917" i="1"/>
  <c r="B656" i="1"/>
  <c r="O683" i="1"/>
  <c r="G595" i="1"/>
  <c r="J833" i="1"/>
  <c r="M544" i="1"/>
  <c r="M562" i="1"/>
  <c r="P598" i="1"/>
  <c r="A827" i="1"/>
  <c r="E710" i="1"/>
  <c r="O686" i="1"/>
  <c r="A567" i="1"/>
  <c r="M536" i="1"/>
  <c r="T476" i="1"/>
  <c r="G775" i="1"/>
  <c r="K705" i="1"/>
  <c r="B892" i="1"/>
  <c r="K553" i="1"/>
  <c r="R787" i="1"/>
  <c r="R750" i="1"/>
  <c r="U562" i="1"/>
  <c r="R690" i="1"/>
  <c r="A503" i="1"/>
  <c r="T642" i="1"/>
  <c r="P559" i="1"/>
  <c r="E215" i="1"/>
  <c r="N566" i="1"/>
  <c r="E545" i="1"/>
  <c r="V571" i="1"/>
  <c r="I609" i="1"/>
  <c r="I543" i="1"/>
  <c r="J450" i="1"/>
  <c r="P781" i="1"/>
  <c r="A774" i="1"/>
  <c r="A536" i="1"/>
  <c r="N640" i="1"/>
  <c r="R753" i="1"/>
  <c r="F912" i="1"/>
  <c r="V755" i="1"/>
  <c r="N770" i="1"/>
  <c r="M850" i="1"/>
  <c r="K694" i="1"/>
  <c r="F770" i="1"/>
  <c r="I735" i="1"/>
  <c r="H700" i="1"/>
  <c r="O895" i="1"/>
  <c r="G625" i="1"/>
  <c r="N530" i="1"/>
  <c r="L731" i="1"/>
  <c r="B750" i="1"/>
  <c r="J479" i="1"/>
  <c r="E599" i="1"/>
  <c r="G532" i="1"/>
  <c r="O469" i="1"/>
  <c r="N453" i="1"/>
  <c r="A469" i="1"/>
  <c r="K695" i="1"/>
  <c r="G553" i="1"/>
  <c r="F655" i="1"/>
  <c r="N520" i="1"/>
  <c r="J498" i="1"/>
  <c r="M455" i="1"/>
  <c r="A293" i="1"/>
  <c r="A712" i="1"/>
  <c r="N457" i="1"/>
  <c r="Q265" i="1"/>
  <c r="U544" i="1"/>
  <c r="B626" i="1"/>
  <c r="T453" i="1"/>
  <c r="G215" i="1"/>
  <c r="T206" i="1"/>
  <c r="B651" i="1"/>
  <c r="S580" i="1"/>
  <c r="L289" i="1"/>
  <c r="R829" i="1"/>
  <c r="R763" i="1"/>
  <c r="R890" i="1"/>
  <c r="V843" i="1"/>
  <c r="V901" i="1"/>
  <c r="C865" i="1"/>
  <c r="U692" i="1"/>
  <c r="S837" i="1"/>
  <c r="Q798" i="1"/>
  <c r="V824" i="1"/>
  <c r="K744" i="1"/>
  <c r="J656" i="1"/>
  <c r="H679" i="1"/>
  <c r="B783" i="1"/>
  <c r="M659" i="1"/>
  <c r="O663" i="1"/>
  <c r="T737" i="1"/>
  <c r="Q823" i="1"/>
  <c r="K727" i="1"/>
  <c r="P583" i="1"/>
  <c r="C645" i="1"/>
  <c r="H638" i="1"/>
  <c r="D618" i="1"/>
  <c r="T543" i="1"/>
  <c r="I804" i="1"/>
  <c r="C714" i="1"/>
  <c r="M780" i="1"/>
  <c r="D652" i="1"/>
  <c r="L686" i="1"/>
  <c r="J791" i="1"/>
  <c r="K527" i="1"/>
  <c r="T675" i="1"/>
  <c r="M736" i="1"/>
  <c r="E627" i="1"/>
  <c r="S750" i="1"/>
  <c r="N907" i="1"/>
  <c r="H436" i="1"/>
  <c r="E864" i="1"/>
  <c r="D628" i="1"/>
  <c r="E730" i="1"/>
  <c r="S577" i="1"/>
  <c r="J756" i="1"/>
  <c r="B616" i="1"/>
  <c r="B732" i="1"/>
  <c r="D647" i="1"/>
  <c r="N711" i="1"/>
  <c r="F840" i="1"/>
  <c r="A518" i="1"/>
  <c r="V684" i="1"/>
  <c r="M739" i="1"/>
  <c r="K742" i="1"/>
  <c r="F588" i="1"/>
  <c r="M390" i="1"/>
  <c r="Q749" i="1"/>
  <c r="A798" i="1"/>
  <c r="S924" i="1"/>
  <c r="D657" i="1"/>
  <c r="P738" i="1"/>
  <c r="B650" i="1"/>
  <c r="G667" i="1"/>
  <c r="V827" i="1"/>
  <c r="J820" i="1"/>
  <c r="L641" i="1"/>
  <c r="U645" i="1"/>
  <c r="U808" i="1"/>
  <c r="T538" i="1"/>
  <c r="K626" i="1"/>
  <c r="T624" i="1"/>
  <c r="C813" i="1"/>
  <c r="R717" i="1"/>
  <c r="I886" i="1"/>
  <c r="H603" i="1"/>
  <c r="E685" i="1"/>
  <c r="A714" i="1"/>
  <c r="K664" i="1"/>
  <c r="V775" i="1"/>
  <c r="P557" i="1"/>
  <c r="M773" i="1"/>
  <c r="Q638" i="1"/>
  <c r="L470" i="1"/>
  <c r="D707" i="1"/>
  <c r="H807" i="1"/>
  <c r="S640" i="1"/>
  <c r="M831" i="1"/>
  <c r="L750" i="1"/>
  <c r="P802" i="1"/>
  <c r="V896" i="1"/>
  <c r="I676" i="1"/>
  <c r="K583" i="1"/>
  <c r="D696" i="1"/>
  <c r="I618" i="1"/>
  <c r="S405" i="1"/>
  <c r="H652" i="1"/>
  <c r="S749" i="1"/>
  <c r="P677" i="1"/>
  <c r="J912" i="1"/>
  <c r="J699" i="1"/>
  <c r="D710" i="1"/>
  <c r="R739" i="1"/>
  <c r="C743" i="1"/>
  <c r="P575" i="1"/>
  <c r="M694" i="1"/>
  <c r="B634" i="1"/>
  <c r="C361" i="1"/>
  <c r="K753" i="1"/>
  <c r="L352" i="1"/>
  <c r="C655" i="1"/>
  <c r="Q731" i="1"/>
  <c r="V479" i="1"/>
  <c r="M603" i="1"/>
  <c r="J710" i="1"/>
  <c r="K443" i="1"/>
  <c r="F317" i="1"/>
  <c r="E572" i="1"/>
  <c r="O687" i="1"/>
  <c r="R760" i="1"/>
  <c r="N478" i="1"/>
  <c r="J907" i="1"/>
  <c r="A653" i="1"/>
  <c r="I854" i="1"/>
  <c r="G649" i="1"/>
  <c r="F768" i="1"/>
  <c r="Q646" i="1"/>
  <c r="L316" i="1"/>
  <c r="M609" i="1"/>
  <c r="N753" i="1"/>
  <c r="R647" i="1"/>
  <c r="U839" i="1"/>
  <c r="U734" i="1"/>
  <c r="J895" i="1"/>
  <c r="M775" i="1"/>
  <c r="R913" i="1"/>
  <c r="C577" i="1"/>
  <c r="V638" i="1"/>
  <c r="T825" i="1"/>
  <c r="R443" i="1"/>
  <c r="D584" i="1"/>
  <c r="C509" i="1"/>
  <c r="D530" i="1"/>
  <c r="Q680" i="1"/>
  <c r="K465" i="1"/>
  <c r="R866" i="1"/>
  <c r="K603" i="1"/>
  <c r="A550" i="1"/>
  <c r="N419" i="1"/>
  <c r="B640" i="1"/>
  <c r="H558" i="1"/>
  <c r="U570" i="1"/>
  <c r="J661" i="1"/>
  <c r="K792" i="1"/>
  <c r="K846" i="1"/>
  <c r="L671" i="1"/>
  <c r="P704" i="1"/>
  <c r="A695" i="1"/>
  <c r="H687" i="1"/>
  <c r="L785" i="1"/>
  <c r="C736" i="1"/>
  <c r="U786" i="1"/>
  <c r="N689" i="1"/>
  <c r="F594" i="1"/>
  <c r="C554" i="1"/>
  <c r="T791" i="1"/>
  <c r="T537" i="1"/>
  <c r="C543" i="1"/>
  <c r="C317" i="1"/>
  <c r="C614" i="1"/>
  <c r="G813" i="1"/>
  <c r="G687" i="1"/>
  <c r="T707" i="1"/>
  <c r="P402" i="1"/>
  <c r="N586" i="1"/>
  <c r="C446" i="1"/>
  <c r="T690" i="1"/>
  <c r="A540" i="1"/>
  <c r="J691" i="1"/>
  <c r="N356" i="1"/>
  <c r="O290" i="1"/>
  <c r="A583" i="1"/>
  <c r="E495" i="1"/>
  <c r="M501" i="1"/>
  <c r="C260" i="1"/>
  <c r="J749" i="1"/>
  <c r="A825" i="1"/>
  <c r="U819" i="1"/>
  <c r="S598" i="1"/>
  <c r="K568" i="1"/>
  <c r="I745" i="1"/>
  <c r="U661" i="1"/>
  <c r="O697" i="1"/>
  <c r="J693" i="1"/>
  <c r="R598" i="1"/>
  <c r="G619" i="1"/>
  <c r="T914" i="1"/>
  <c r="U725" i="1"/>
  <c r="M840" i="1"/>
  <c r="P818" i="1"/>
  <c r="L777" i="1"/>
  <c r="H356" i="1"/>
  <c r="U753" i="1"/>
  <c r="T478" i="1"/>
  <c r="Q703" i="1"/>
  <c r="G677" i="1"/>
  <c r="T658" i="1"/>
  <c r="T700" i="1"/>
  <c r="M552" i="1"/>
  <c r="D565" i="1"/>
  <c r="E583" i="1"/>
  <c r="H328" i="1"/>
  <c r="V913" i="1"/>
  <c r="J472" i="1"/>
  <c r="M597" i="1"/>
  <c r="A646" i="1"/>
  <c r="M561" i="1"/>
  <c r="T352" i="1"/>
  <c r="M691" i="1"/>
  <c r="B412" i="1"/>
  <c r="O527" i="1"/>
  <c r="T580" i="1"/>
  <c r="G720" i="1"/>
  <c r="K767" i="1"/>
  <c r="J642" i="1"/>
  <c r="N582" i="1"/>
  <c r="T545" i="1"/>
  <c r="K875" i="1"/>
  <c r="U877" i="1"/>
  <c r="L804" i="1"/>
  <c r="R795" i="1"/>
  <c r="N912" i="1"/>
  <c r="H586" i="1"/>
  <c r="M781" i="1"/>
  <c r="R811" i="1"/>
  <c r="I918" i="1"/>
  <c r="A616" i="1"/>
  <c r="D667" i="1"/>
  <c r="Q529" i="1"/>
  <c r="O803" i="1"/>
  <c r="N394" i="1"/>
  <c r="C750" i="1"/>
  <c r="O813" i="1"/>
  <c r="J618" i="1"/>
  <c r="H485" i="1"/>
  <c r="J732" i="1"/>
  <c r="N648" i="1"/>
  <c r="H803" i="1"/>
  <c r="Q635" i="1"/>
  <c r="T602" i="1"/>
  <c r="V744" i="1"/>
  <c r="E719" i="1"/>
  <c r="L652" i="1"/>
  <c r="O479" i="1"/>
  <c r="A716" i="1"/>
  <c r="A546" i="1"/>
  <c r="S889" i="1"/>
  <c r="K748" i="1"/>
  <c r="F811" i="1"/>
  <c r="C499" i="1"/>
  <c r="L808" i="1"/>
  <c r="F701" i="1"/>
  <c r="J846" i="1"/>
  <c r="L691" i="1"/>
  <c r="E618" i="1"/>
  <c r="K609" i="1"/>
  <c r="J634" i="1"/>
  <c r="A590" i="1"/>
  <c r="G630" i="1"/>
  <c r="R528" i="1"/>
  <c r="L772" i="1"/>
  <c r="K593" i="1"/>
  <c r="J679" i="1"/>
  <c r="S637" i="1"/>
  <c r="A918" i="1"/>
  <c r="S780" i="1"/>
  <c r="D877" i="1"/>
  <c r="I728" i="1"/>
  <c r="L665" i="1"/>
  <c r="K730" i="1"/>
  <c r="C885" i="1"/>
  <c r="S727" i="1"/>
  <c r="K855" i="1"/>
  <c r="S706" i="1"/>
  <c r="H793" i="1"/>
  <c r="A442" i="1"/>
  <c r="I708" i="1"/>
  <c r="E660" i="1"/>
  <c r="V856" i="1"/>
  <c r="J636" i="1"/>
  <c r="A499" i="1"/>
  <c r="U721" i="1"/>
  <c r="K642" i="1"/>
  <c r="H676" i="1"/>
  <c r="N540" i="1"/>
  <c r="U571" i="1"/>
  <c r="R808" i="1"/>
  <c r="L625" i="1"/>
  <c r="K761" i="1"/>
  <c r="Q917" i="1"/>
  <c r="D690" i="1"/>
  <c r="N726" i="1"/>
  <c r="F656" i="1"/>
  <c r="M654" i="1"/>
  <c r="A657" i="1"/>
  <c r="T622" i="1"/>
  <c r="R887" i="1"/>
  <c r="A853" i="1"/>
  <c r="S717" i="1"/>
  <c r="H704" i="1"/>
  <c r="D889" i="1"/>
  <c r="K659" i="1"/>
  <c r="Q888" i="1"/>
  <c r="S628" i="1"/>
  <c r="B513" i="1"/>
  <c r="T727" i="1"/>
  <c r="O713" i="1"/>
  <c r="F355" i="1"/>
  <c r="G851" i="1"/>
  <c r="D393" i="1"/>
  <c r="E724" i="1"/>
  <c r="N406" i="1"/>
  <c r="N651" i="1"/>
  <c r="N645" i="1"/>
  <c r="Q647" i="1"/>
  <c r="G637" i="1"/>
  <c r="R788" i="1"/>
  <c r="A585" i="1"/>
  <c r="U411" i="1"/>
  <c r="R697" i="1"/>
  <c r="U694" i="1"/>
  <c r="H779" i="1"/>
  <c r="M424" i="1"/>
  <c r="N526" i="1"/>
  <c r="E546" i="1"/>
  <c r="E406" i="1"/>
  <c r="U551" i="1"/>
  <c r="N325" i="1"/>
  <c r="Q719" i="1"/>
  <c r="K779" i="1"/>
  <c r="V664" i="1"/>
  <c r="U731" i="1"/>
  <c r="I755" i="1"/>
  <c r="Q623" i="1"/>
  <c r="H909" i="1"/>
  <c r="F623" i="1"/>
  <c r="M740" i="1"/>
  <c r="Q786" i="1"/>
  <c r="S828" i="1"/>
  <c r="F529" i="1"/>
  <c r="E655" i="1"/>
  <c r="U360" i="1"/>
  <c r="O615" i="1"/>
  <c r="F539" i="1"/>
  <c r="B711" i="1"/>
  <c r="J863" i="1"/>
  <c r="H591" i="1"/>
  <c r="R770" i="1"/>
  <c r="C483" i="1"/>
  <c r="V516" i="1"/>
  <c r="E451" i="1"/>
  <c r="P707" i="1"/>
  <c r="E534" i="1"/>
  <c r="M523" i="1"/>
  <c r="T473" i="1"/>
  <c r="A202" i="1"/>
  <c r="C546" i="1"/>
  <c r="S357" i="1"/>
  <c r="D619" i="1"/>
  <c r="E311" i="1"/>
  <c r="S835" i="1"/>
  <c r="H784" i="1"/>
  <c r="S666" i="1"/>
  <c r="H722" i="1"/>
  <c r="Q854" i="1"/>
  <c r="P542" i="1"/>
  <c r="P634" i="1"/>
  <c r="P617" i="1"/>
  <c r="G746" i="1"/>
  <c r="T576" i="1"/>
  <c r="T745" i="1"/>
  <c r="S860" i="1"/>
  <c r="O524" i="1"/>
  <c r="L609" i="1"/>
  <c r="E909" i="1"/>
  <c r="R613" i="1"/>
  <c r="B482" i="1"/>
  <c r="V458" i="1"/>
  <c r="J628" i="1"/>
  <c r="V713" i="1"/>
  <c r="R726" i="1"/>
  <c r="J544" i="1"/>
  <c r="T770" i="1"/>
  <c r="F523" i="1"/>
  <c r="H563" i="1"/>
  <c r="B507" i="1"/>
  <c r="N562" i="1"/>
  <c r="G647" i="1"/>
  <c r="G508" i="1"/>
  <c r="A644" i="1"/>
  <c r="O491" i="1"/>
  <c r="K410" i="1"/>
  <c r="S730" i="1"/>
  <c r="A787" i="1"/>
  <c r="S873" i="1"/>
  <c r="N818" i="1"/>
  <c r="V687" i="1"/>
  <c r="Q475" i="1"/>
  <c r="K801" i="1"/>
  <c r="S763" i="1"/>
  <c r="U922" i="1"/>
  <c r="H713" i="1"/>
  <c r="B609" i="1"/>
  <c r="B751" i="1"/>
  <c r="B815" i="1"/>
  <c r="R416" i="1"/>
  <c r="I593" i="1"/>
  <c r="L722" i="1"/>
  <c r="N481" i="1"/>
  <c r="N738" i="1"/>
  <c r="Q774" i="1"/>
  <c r="N539" i="1"/>
  <c r="E432" i="1"/>
  <c r="E805" i="1"/>
  <c r="F688" i="1"/>
  <c r="Q437" i="1"/>
  <c r="I815" i="1"/>
  <c r="N482" i="1"/>
  <c r="V624" i="1"/>
  <c r="Q551" i="1"/>
  <c r="L769" i="1"/>
  <c r="E461" i="1"/>
  <c r="M440" i="1"/>
  <c r="Q445" i="1"/>
  <c r="D577" i="1"/>
  <c r="I686" i="1"/>
  <c r="L642" i="1"/>
  <c r="V763" i="1"/>
  <c r="G478" i="1"/>
  <c r="D726" i="1"/>
  <c r="N630" i="1"/>
  <c r="K726" i="1"/>
  <c r="F670" i="1"/>
  <c r="Q906" i="1"/>
  <c r="Q691" i="1"/>
  <c r="F761" i="1"/>
  <c r="U767" i="1"/>
  <c r="N798" i="1"/>
  <c r="D676" i="1"/>
  <c r="E501" i="1"/>
  <c r="L376" i="1"/>
  <c r="S597" i="1"/>
  <c r="J606" i="1"/>
  <c r="D753" i="1"/>
  <c r="G484" i="1"/>
  <c r="E504" i="1"/>
  <c r="E544" i="1"/>
  <c r="B621" i="1"/>
  <c r="K692" i="1"/>
  <c r="N418" i="1"/>
  <c r="Q284" i="1"/>
  <c r="C807" i="1"/>
  <c r="G444" i="1"/>
  <c r="N498" i="1"/>
  <c r="C567" i="1"/>
  <c r="O457" i="1"/>
  <c r="H391" i="1"/>
  <c r="T405" i="1"/>
  <c r="V390" i="1"/>
  <c r="R743" i="1"/>
  <c r="S664" i="1"/>
  <c r="B693" i="1"/>
  <c r="U283" i="1"/>
  <c r="P288" i="1"/>
  <c r="M602" i="1"/>
  <c r="D496" i="1"/>
  <c r="G763" i="1"/>
  <c r="R809" i="1"/>
  <c r="F611" i="1"/>
  <c r="B736" i="1"/>
  <c r="B822" i="1"/>
  <c r="K693" i="1"/>
  <c r="F845" i="1"/>
  <c r="R785" i="1"/>
  <c r="M863" i="1"/>
  <c r="Q848" i="1"/>
  <c r="G807" i="1"/>
  <c r="E732" i="1"/>
  <c r="R679" i="1"/>
  <c r="V853" i="1"/>
  <c r="M531" i="1"/>
  <c r="I718" i="1"/>
  <c r="G766" i="1"/>
  <c r="B451" i="1"/>
  <c r="Q809" i="1"/>
  <c r="E705" i="1"/>
  <c r="H561" i="1"/>
  <c r="K684" i="1"/>
  <c r="C647" i="1"/>
  <c r="J578" i="1"/>
  <c r="O874" i="1"/>
  <c r="D904" i="1"/>
  <c r="B707" i="1"/>
  <c r="O866" i="1"/>
  <c r="J872" i="1"/>
  <c r="G858" i="1"/>
  <c r="U606" i="1"/>
  <c r="S685" i="1"/>
  <c r="C517" i="1"/>
  <c r="C613" i="1"/>
  <c r="N795" i="1"/>
  <c r="G764" i="1"/>
  <c r="Q554" i="1"/>
  <c r="D759" i="1"/>
  <c r="H711" i="1"/>
  <c r="C723" i="1"/>
  <c r="N614" i="1"/>
  <c r="R768" i="1"/>
  <c r="N617" i="1"/>
  <c r="B846" i="1"/>
  <c r="B488" i="1"/>
  <c r="U714" i="1"/>
  <c r="O593" i="1"/>
  <c r="H446" i="1"/>
  <c r="O363" i="1"/>
  <c r="V668" i="1"/>
  <c r="C700" i="1"/>
  <c r="O591" i="1"/>
  <c r="V733" i="1"/>
  <c r="E867" i="1"/>
  <c r="D914" i="1"/>
  <c r="L843" i="1"/>
  <c r="A857" i="1"/>
  <c r="H568" i="1"/>
  <c r="V515" i="1"/>
  <c r="B733" i="1"/>
  <c r="B739" i="1"/>
  <c r="O891" i="1"/>
  <c r="B534" i="1"/>
  <c r="N746" i="1"/>
  <c r="N681" i="1"/>
  <c r="K619" i="1"/>
  <c r="G904" i="1"/>
  <c r="T755" i="1"/>
  <c r="F834" i="1"/>
  <c r="J733" i="1"/>
  <c r="U646" i="1"/>
  <c r="V698" i="1"/>
  <c r="M448" i="1"/>
  <c r="P874" i="1"/>
  <c r="R618" i="1"/>
  <c r="P691" i="1"/>
  <c r="V609" i="1"/>
  <c r="P826" i="1"/>
  <c r="L572" i="1"/>
  <c r="L571" i="1"/>
  <c r="R661" i="1"/>
  <c r="B528" i="1"/>
  <c r="S657" i="1"/>
  <c r="K624" i="1"/>
  <c r="C837" i="1"/>
  <c r="S838" i="1"/>
  <c r="O788" i="1"/>
  <c r="P654" i="1"/>
  <c r="N537" i="1"/>
  <c r="M832" i="1"/>
  <c r="B743" i="1"/>
  <c r="S669" i="1"/>
  <c r="V902" i="1"/>
  <c r="T796" i="1"/>
  <c r="R485" i="1"/>
  <c r="Q652" i="1"/>
  <c r="O643" i="1"/>
  <c r="P735" i="1"/>
  <c r="J411" i="1"/>
  <c r="T597" i="1"/>
  <c r="L805" i="1"/>
  <c r="E690" i="1"/>
  <c r="F660" i="1"/>
  <c r="B672" i="1"/>
  <c r="D624" i="1"/>
  <c r="E640" i="1"/>
  <c r="H692" i="1"/>
  <c r="O499" i="1"/>
  <c r="U385" i="1"/>
  <c r="D679" i="1"/>
  <c r="S652" i="1"/>
  <c r="M513" i="1"/>
  <c r="Q336" i="1"/>
  <c r="R777" i="1"/>
  <c r="H346" i="1"/>
  <c r="S793" i="1"/>
  <c r="T514" i="1"/>
  <c r="B788" i="1"/>
  <c r="C821" i="1"/>
  <c r="R813" i="1"/>
  <c r="L605" i="1"/>
  <c r="H760" i="1"/>
  <c r="D680" i="1"/>
  <c r="F847" i="1"/>
  <c r="L694" i="1"/>
  <c r="J652" i="1"/>
  <c r="B537" i="1"/>
  <c r="P717" i="1"/>
  <c r="F647" i="1"/>
  <c r="T686" i="1"/>
  <c r="N390" i="1"/>
  <c r="J676" i="1"/>
  <c r="A689" i="1"/>
  <c r="J905" i="1"/>
  <c r="V666" i="1"/>
  <c r="P638" i="1"/>
  <c r="L736" i="1"/>
  <c r="E439" i="1"/>
  <c r="E622" i="1"/>
  <c r="D545" i="1"/>
  <c r="G610" i="1"/>
  <c r="L532" i="1"/>
  <c r="S766" i="1"/>
  <c r="R665" i="1"/>
  <c r="N579" i="1"/>
  <c r="L290" i="1"/>
  <c r="R524" i="1"/>
  <c r="D558" i="1"/>
  <c r="L875" i="1"/>
  <c r="U889" i="1"/>
  <c r="P840" i="1"/>
  <c r="R641" i="1"/>
  <c r="R517" i="1"/>
  <c r="C729" i="1"/>
  <c r="Q601" i="1"/>
  <c r="B535" i="1"/>
  <c r="N426" i="1"/>
  <c r="L628" i="1"/>
  <c r="H696" i="1"/>
  <c r="J804" i="1"/>
  <c r="K735" i="1"/>
  <c r="Q766" i="1"/>
  <c r="J664" i="1"/>
  <c r="H750" i="1"/>
  <c r="K759" i="1"/>
  <c r="H500" i="1"/>
  <c r="M806" i="1"/>
  <c r="K750" i="1"/>
  <c r="J859" i="1"/>
  <c r="U552" i="1"/>
  <c r="N662" i="1"/>
  <c r="B423" i="1"/>
  <c r="D743" i="1"/>
  <c r="C766" i="1"/>
  <c r="G672" i="1"/>
  <c r="A524" i="1"/>
  <c r="A692" i="1"/>
  <c r="B760" i="1"/>
  <c r="G695" i="1"/>
  <c r="F385" i="1"/>
  <c r="C916" i="1"/>
  <c r="T735" i="1"/>
  <c r="O753" i="1"/>
  <c r="J565" i="1"/>
  <c r="L721" i="1"/>
  <c r="I794" i="1"/>
  <c r="M549" i="1"/>
  <c r="D570" i="1"/>
  <c r="J647" i="1"/>
  <c r="L880" i="1"/>
  <c r="B891" i="1"/>
  <c r="C549" i="1"/>
  <c r="M778" i="1"/>
  <c r="S690" i="1"/>
  <c r="L827" i="1"/>
  <c r="F725" i="1"/>
  <c r="E593" i="1"/>
  <c r="H848" i="1"/>
  <c r="T601" i="1"/>
  <c r="R580" i="1"/>
  <c r="S853" i="1"/>
  <c r="B615" i="1"/>
  <c r="F637" i="1"/>
  <c r="U741" i="1"/>
  <c r="B708" i="1"/>
  <c r="J401" i="1"/>
  <c r="K662" i="1"/>
  <c r="K427" i="1"/>
  <c r="U532" i="1"/>
  <c r="U575" i="1"/>
  <c r="J541" i="1"/>
  <c r="Q466" i="1"/>
  <c r="H537" i="1"/>
  <c r="O534" i="1"/>
  <c r="A702" i="1"/>
  <c r="H414" i="1"/>
  <c r="J517" i="1"/>
  <c r="P485" i="1"/>
  <c r="E700" i="1"/>
  <c r="K902" i="1"/>
  <c r="J704" i="1"/>
  <c r="B602" i="1"/>
  <c r="T731" i="1"/>
  <c r="G597" i="1"/>
  <c r="Q513" i="1"/>
  <c r="H559" i="1"/>
  <c r="C811" i="1"/>
  <c r="C776" i="1"/>
  <c r="M689" i="1"/>
  <c r="C835" i="1"/>
  <c r="T387" i="1"/>
  <c r="C420" i="1"/>
  <c r="E676" i="1"/>
  <c r="C575" i="1"/>
  <c r="D557" i="1"/>
  <c r="A529" i="1"/>
  <c r="B557" i="1"/>
  <c r="T630" i="1"/>
  <c r="G439" i="1"/>
  <c r="S814" i="1"/>
  <c r="G540" i="1"/>
  <c r="U458" i="1"/>
  <c r="L325" i="1"/>
  <c r="L567" i="1"/>
  <c r="F555" i="1"/>
  <c r="M412" i="1"/>
  <c r="C356" i="1"/>
  <c r="O504" i="1"/>
  <c r="O680" i="1"/>
  <c r="S426" i="1"/>
  <c r="S375" i="1"/>
  <c r="G502" i="1"/>
  <c r="E367" i="1"/>
  <c r="P331" i="1"/>
  <c r="M279" i="1"/>
  <c r="N866" i="1"/>
  <c r="P525" i="1"/>
  <c r="S616" i="1"/>
  <c r="K696" i="1"/>
  <c r="P719" i="1"/>
  <c r="L602" i="1"/>
  <c r="V875" i="1"/>
  <c r="L678" i="1"/>
  <c r="O761" i="1"/>
  <c r="L918" i="1"/>
  <c r="B769" i="1"/>
  <c r="M683" i="1"/>
  <c r="U652" i="1"/>
  <c r="T625" i="1"/>
  <c r="D688" i="1"/>
  <c r="G657" i="1"/>
  <c r="C746" i="1"/>
  <c r="B357" i="1"/>
  <c r="P571" i="1"/>
  <c r="L814" i="1"/>
  <c r="A893" i="1"/>
  <c r="F461" i="1"/>
  <c r="F750" i="1"/>
  <c r="H918" i="1"/>
  <c r="J847" i="1"/>
  <c r="L712" i="1"/>
  <c r="L569" i="1"/>
  <c r="V798" i="1"/>
  <c r="T814" i="1"/>
  <c r="T503" i="1"/>
  <c r="M608" i="1"/>
  <c r="R630" i="1"/>
  <c r="Q681" i="1"/>
  <c r="K604" i="1"/>
  <c r="K635" i="1"/>
  <c r="K812" i="1"/>
  <c r="F887" i="1"/>
  <c r="I917" i="1"/>
  <c r="G681" i="1"/>
  <c r="C607" i="1"/>
  <c r="I441" i="1"/>
  <c r="F567" i="1"/>
  <c r="E820" i="1"/>
  <c r="N802" i="1"/>
  <c r="P835" i="1"/>
  <c r="J831" i="1"/>
  <c r="R575" i="1"/>
  <c r="N529" i="1"/>
  <c r="P828" i="1"/>
  <c r="L537" i="1"/>
  <c r="T681" i="1"/>
  <c r="C643" i="1"/>
  <c r="L874" i="1"/>
  <c r="B844" i="1"/>
  <c r="B848" i="1"/>
  <c r="Q676" i="1"/>
  <c r="D853" i="1"/>
  <c r="V834" i="1"/>
  <c r="B671" i="1"/>
  <c r="G707" i="1"/>
  <c r="L656" i="1"/>
  <c r="V762" i="1"/>
  <c r="T749" i="1"/>
  <c r="A706" i="1"/>
  <c r="S777" i="1"/>
  <c r="N913" i="1"/>
  <c r="P706" i="1"/>
  <c r="O857" i="1"/>
  <c r="I763" i="1"/>
  <c r="J913" i="1"/>
  <c r="J593" i="1"/>
  <c r="P488" i="1"/>
  <c r="Q372" i="1"/>
  <c r="O578" i="1"/>
  <c r="R901" i="1"/>
  <c r="O807" i="1"/>
  <c r="U724" i="1"/>
  <c r="N891" i="1"/>
  <c r="P819" i="1"/>
  <c r="B682" i="1"/>
  <c r="Q671" i="1"/>
  <c r="E769" i="1"/>
  <c r="F394" i="1"/>
  <c r="Q850" i="1"/>
  <c r="J858" i="1"/>
  <c r="G659" i="1"/>
  <c r="D695" i="1"/>
  <c r="V740" i="1"/>
  <c r="Q642" i="1"/>
  <c r="T740" i="1"/>
  <c r="A710" i="1"/>
  <c r="K859" i="1"/>
  <c r="L711" i="1"/>
  <c r="D656" i="1"/>
  <c r="R731" i="1"/>
  <c r="U840" i="1"/>
  <c r="A396" i="1"/>
  <c r="Q806" i="1"/>
  <c r="O376" i="1"/>
  <c r="P369" i="1"/>
  <c r="B579" i="1"/>
  <c r="E480" i="1"/>
  <c r="A552" i="1"/>
  <c r="H501" i="1"/>
  <c r="I678" i="1"/>
  <c r="K528" i="1"/>
  <c r="M598" i="1"/>
  <c r="H869" i="1"/>
  <c r="Q913" i="1"/>
  <c r="N687" i="1"/>
  <c r="G559" i="1"/>
  <c r="Q390" i="1"/>
  <c r="C795" i="1"/>
  <c r="H524" i="1"/>
  <c r="K575" i="1"/>
  <c r="P495" i="1"/>
  <c r="J918" i="1"/>
  <c r="T718" i="1"/>
  <c r="M573" i="1"/>
  <c r="H744" i="1"/>
  <c r="A742" i="1"/>
  <c r="C810" i="1"/>
  <c r="V710" i="1"/>
  <c r="G580" i="1"/>
  <c r="P529" i="1"/>
  <c r="E579" i="1"/>
  <c r="J492" i="1"/>
  <c r="C843" i="1"/>
  <c r="R459" i="1"/>
  <c r="Q594" i="1"/>
  <c r="S350" i="1"/>
  <c r="A476" i="1"/>
  <c r="M702" i="1"/>
  <c r="Q726" i="1"/>
  <c r="M532" i="1"/>
  <c r="E707" i="1"/>
  <c r="C721" i="1"/>
  <c r="P805" i="1"/>
  <c r="J629" i="1"/>
  <c r="S791" i="1"/>
  <c r="V602" i="1"/>
  <c r="L672" i="1"/>
  <c r="D440" i="1"/>
  <c r="F320" i="1"/>
  <c r="G711" i="1"/>
  <c r="Q690" i="1"/>
  <c r="V364" i="1"/>
  <c r="F190" i="1"/>
  <c r="Q835" i="1"/>
  <c r="M859" i="1"/>
  <c r="K522" i="1"/>
  <c r="R824" i="1"/>
  <c r="O706" i="1"/>
  <c r="V709" i="1"/>
  <c r="G725" i="1"/>
  <c r="J537" i="1"/>
  <c r="P795" i="1"/>
  <c r="E736" i="1"/>
  <c r="R879" i="1"/>
  <c r="P749" i="1"/>
  <c r="Q821" i="1"/>
  <c r="V711" i="1"/>
  <c r="A703" i="1"/>
  <c r="H520" i="1"/>
  <c r="A752" i="1"/>
  <c r="K597" i="1"/>
  <c r="C458" i="1"/>
  <c r="H569" i="1"/>
  <c r="H694" i="1"/>
  <c r="E600" i="1"/>
  <c r="F595" i="1"/>
  <c r="Q489" i="1"/>
  <c r="K500" i="1"/>
  <c r="U763" i="1"/>
  <c r="A917" i="1"/>
  <c r="P628" i="1"/>
  <c r="P621" i="1"/>
  <c r="A517" i="1"/>
  <c r="P499" i="1"/>
  <c r="V450" i="1"/>
  <c r="J788" i="1"/>
  <c r="L801" i="1"/>
  <c r="R869" i="1"/>
  <c r="N843" i="1"/>
  <c r="N724" i="1"/>
  <c r="E857" i="1"/>
  <c r="I493" i="1"/>
  <c r="H851" i="1"/>
  <c r="I714" i="1"/>
  <c r="A627" i="1"/>
  <c r="P618" i="1"/>
  <c r="D535" i="1"/>
  <c r="V626" i="1"/>
  <c r="K542" i="1"/>
  <c r="C707" i="1"/>
  <c r="C536" i="1"/>
  <c r="G583" i="1"/>
  <c r="P880" i="1"/>
  <c r="L634" i="1"/>
  <c r="R623" i="1"/>
  <c r="L465" i="1"/>
  <c r="R595" i="1"/>
  <c r="N523" i="1"/>
  <c r="E503" i="1"/>
  <c r="G662" i="1"/>
  <c r="K728" i="1"/>
  <c r="D669" i="1"/>
  <c r="A564" i="1"/>
  <c r="O612" i="1"/>
  <c r="V818" i="1"/>
  <c r="B781" i="1"/>
  <c r="U427" i="1"/>
  <c r="P374" i="1"/>
  <c r="N720" i="1"/>
  <c r="V530" i="1"/>
  <c r="N737" i="1"/>
  <c r="B515" i="1"/>
  <c r="H847" i="1"/>
  <c r="G836" i="1"/>
  <c r="S523" i="1"/>
  <c r="K710" i="1"/>
  <c r="K565" i="1"/>
  <c r="K451" i="1"/>
  <c r="G607" i="1"/>
  <c r="N755" i="1"/>
  <c r="H768" i="1"/>
  <c r="T907" i="1"/>
  <c r="U740" i="1"/>
  <c r="I652" i="1"/>
  <c r="R445" i="1"/>
  <c r="C602" i="1"/>
  <c r="I727" i="1"/>
  <c r="T436" i="1"/>
  <c r="O816" i="1"/>
  <c r="F638" i="1"/>
  <c r="N538" i="1"/>
  <c r="R645" i="1"/>
  <c r="E402" i="1"/>
  <c r="D450" i="1"/>
  <c r="R719" i="1"/>
  <c r="S633" i="1"/>
  <c r="G724" i="1"/>
  <c r="K503" i="1"/>
  <c r="R469" i="1"/>
  <c r="K415" i="1"/>
  <c r="K292" i="1"/>
  <c r="I725" i="1"/>
  <c r="S361" i="1"/>
  <c r="C788" i="1"/>
  <c r="J419" i="1"/>
  <c r="K432" i="1"/>
  <c r="K636" i="1"/>
  <c r="N301" i="1"/>
  <c r="T595" i="1"/>
  <c r="T402" i="1"/>
  <c r="U901" i="1"/>
  <c r="O848" i="1"/>
  <c r="V897" i="1"/>
  <c r="I780" i="1"/>
  <c r="G738" i="1"/>
  <c r="N613" i="1"/>
  <c r="N733" i="1"/>
  <c r="T604" i="1"/>
  <c r="P807" i="1"/>
  <c r="T832" i="1"/>
  <c r="E661" i="1"/>
  <c r="D819" i="1"/>
  <c r="R669" i="1"/>
  <c r="B798" i="1"/>
  <c r="E597" i="1"/>
  <c r="T913" i="1"/>
  <c r="J706" i="1"/>
  <c r="E669" i="1"/>
  <c r="B529" i="1"/>
  <c r="F802" i="1"/>
  <c r="D543" i="1"/>
  <c r="E751" i="1"/>
  <c r="J802" i="1"/>
  <c r="U754" i="1"/>
  <c r="J728" i="1"/>
  <c r="L664" i="1"/>
  <c r="B806" i="1"/>
  <c r="G835" i="1"/>
  <c r="I682" i="1"/>
  <c r="R490" i="1"/>
  <c r="D790" i="1"/>
  <c r="R803" i="1"/>
  <c r="A711" i="1"/>
  <c r="A586" i="1"/>
  <c r="S678" i="1"/>
  <c r="V643" i="1"/>
  <c r="C482" i="1"/>
  <c r="O698" i="1"/>
  <c r="H721" i="1"/>
  <c r="C752" i="1"/>
  <c r="M497" i="1"/>
  <c r="L869" i="1"/>
  <c r="Q704" i="1"/>
  <c r="O553" i="1"/>
  <c r="F387" i="1"/>
  <c r="F868" i="1"/>
  <c r="F639" i="1"/>
  <c r="M623" i="1"/>
  <c r="Q753" i="1"/>
  <c r="S695" i="1"/>
  <c r="N527" i="1"/>
  <c r="Q856" i="1"/>
  <c r="F772" i="1"/>
  <c r="G525" i="1"/>
  <c r="M527" i="1"/>
  <c r="R816" i="1"/>
  <c r="R703" i="1"/>
  <c r="N718" i="1"/>
  <c r="T546" i="1"/>
  <c r="S848" i="1"/>
  <c r="S510" i="1"/>
  <c r="Q487" i="1"/>
  <c r="I860" i="1"/>
  <c r="J714" i="1"/>
  <c r="E167" i="1"/>
  <c r="Q430" i="1"/>
  <c r="F396" i="1"/>
  <c r="S544" i="1"/>
  <c r="T615" i="1"/>
  <c r="L681" i="1"/>
  <c r="B377" i="1"/>
  <c r="K367" i="1"/>
  <c r="J738" i="1"/>
  <c r="R670" i="1"/>
  <c r="S430" i="1"/>
  <c r="G442" i="1"/>
  <c r="E602" i="1"/>
  <c r="M73" i="1"/>
  <c r="D347" i="1"/>
  <c r="C104" i="1"/>
  <c r="G795" i="1"/>
  <c r="Q737" i="1"/>
  <c r="E386" i="1"/>
  <c r="T104" i="1"/>
  <c r="N90" i="1"/>
  <c r="B395" i="1"/>
  <c r="K751" i="1"/>
  <c r="P383" i="1"/>
  <c r="K483" i="1"/>
  <c r="J478" i="1"/>
  <c r="Q751" i="1"/>
  <c r="D609" i="1"/>
  <c r="S425" i="1"/>
  <c r="H764" i="1"/>
  <c r="R924" i="1"/>
  <c r="P710" i="1"/>
  <c r="C768" i="1"/>
  <c r="G612" i="1"/>
  <c r="G615" i="1"/>
  <c r="U902" i="1"/>
  <c r="D702" i="1"/>
  <c r="Q532" i="1"/>
  <c r="R660" i="1"/>
  <c r="U807" i="1"/>
  <c r="I604" i="1"/>
  <c r="V816" i="1"/>
  <c r="U759" i="1"/>
  <c r="Q668" i="1"/>
  <c r="T780" i="1"/>
  <c r="I469" i="1"/>
  <c r="Q765" i="1"/>
  <c r="G838" i="1"/>
  <c r="H535" i="1"/>
  <c r="U906" i="1"/>
  <c r="J748" i="1"/>
  <c r="B538" i="1"/>
  <c r="B747" i="1"/>
  <c r="D740" i="1"/>
  <c r="H728" i="1"/>
  <c r="F819" i="1"/>
  <c r="C693" i="1"/>
  <c r="F898" i="1"/>
  <c r="U867" i="1"/>
  <c r="N678" i="1"/>
  <c r="G616" i="1"/>
  <c r="C611" i="1"/>
  <c r="Q617" i="1"/>
  <c r="C786" i="1"/>
  <c r="H844" i="1"/>
  <c r="A920" i="1"/>
  <c r="S902" i="1"/>
  <c r="S784" i="1"/>
  <c r="O826" i="1"/>
  <c r="B889" i="1"/>
  <c r="F652" i="1"/>
  <c r="M624" i="1"/>
  <c r="R643" i="1"/>
  <c r="A645" i="1"/>
  <c r="U899" i="1"/>
  <c r="J694" i="1"/>
  <c r="B471" i="1"/>
  <c r="G676" i="1"/>
  <c r="K585" i="1"/>
  <c r="T709" i="1"/>
  <c r="P457" i="1"/>
  <c r="A622" i="1"/>
  <c r="G641" i="1"/>
  <c r="E667" i="1"/>
  <c r="U849" i="1"/>
  <c r="S729" i="1"/>
  <c r="V567" i="1"/>
  <c r="G682" i="1"/>
  <c r="U578" i="1"/>
  <c r="F349" i="1"/>
  <c r="L574" i="1"/>
  <c r="M656" i="1"/>
  <c r="N558" i="1"/>
  <c r="S879" i="1"/>
  <c r="H306" i="1"/>
  <c r="I288" i="1"/>
  <c r="A690" i="1"/>
  <c r="M520" i="1"/>
  <c r="K709" i="1"/>
  <c r="N691" i="1"/>
  <c r="I431" i="1"/>
  <c r="B394" i="1"/>
  <c r="E399" i="1"/>
  <c r="N583" i="1"/>
  <c r="L418" i="1"/>
  <c r="H332" i="1"/>
  <c r="A252" i="1"/>
  <c r="N352" i="1"/>
  <c r="D70" i="1"/>
  <c r="F569" i="1"/>
  <c r="T591" i="1"/>
  <c r="F530" i="1"/>
  <c r="D455" i="1"/>
  <c r="C246" i="1"/>
  <c r="D343" i="1"/>
  <c r="P462" i="1"/>
  <c r="U390" i="1"/>
  <c r="K518" i="1"/>
  <c r="P521" i="1"/>
  <c r="U618" i="1"/>
  <c r="A405" i="1"/>
  <c r="O316" i="1"/>
  <c r="A107" i="1"/>
  <c r="E612" i="1"/>
  <c r="E278" i="1"/>
  <c r="T516" i="1"/>
  <c r="G860" i="1"/>
  <c r="M750" i="1"/>
  <c r="I824" i="1"/>
  <c r="U748" i="1"/>
  <c r="E749" i="1"/>
  <c r="Q750" i="1"/>
  <c r="A820" i="1"/>
  <c r="U854" i="1"/>
  <c r="K719" i="1"/>
  <c r="O682" i="1"/>
  <c r="F446" i="1"/>
  <c r="M418" i="1"/>
  <c r="Q648" i="1"/>
  <c r="K485" i="1"/>
  <c r="M554" i="1"/>
  <c r="B759" i="1"/>
  <c r="S586" i="1"/>
  <c r="O567" i="1"/>
  <c r="H641" i="1"/>
  <c r="H531" i="1"/>
  <c r="V693" i="1"/>
  <c r="K498" i="1"/>
  <c r="A447" i="1"/>
  <c r="B255" i="1"/>
  <c r="G324" i="1"/>
  <c r="T358" i="1"/>
  <c r="B569" i="1"/>
  <c r="P410" i="1"/>
  <c r="P446" i="1"/>
  <c r="P535" i="1"/>
  <c r="E377" i="1"/>
  <c r="L369" i="1"/>
  <c r="U862" i="1"/>
  <c r="I520" i="1"/>
  <c r="D643" i="1"/>
  <c r="D578" i="1"/>
  <c r="N679" i="1"/>
  <c r="H341" i="1"/>
  <c r="E478" i="1"/>
  <c r="A487" i="1"/>
  <c r="U313" i="1"/>
  <c r="E493" i="1"/>
  <c r="V683" i="1"/>
  <c r="E375" i="1"/>
  <c r="A515" i="1"/>
  <c r="K425" i="1"/>
  <c r="J285" i="1"/>
  <c r="I437" i="1"/>
  <c r="Q142" i="1"/>
  <c r="I319" i="1"/>
  <c r="B399" i="1"/>
  <c r="O445" i="1"/>
  <c r="Q361" i="1"/>
  <c r="Q814" i="1"/>
  <c r="P336" i="1"/>
  <c r="T588" i="1"/>
  <c r="G51" i="1"/>
  <c r="J489" i="1"/>
  <c r="K360" i="1"/>
  <c r="J412" i="1"/>
  <c r="G210" i="1"/>
  <c r="J299" i="1"/>
  <c r="J736" i="1"/>
  <c r="G562" i="1"/>
  <c r="N829" i="1"/>
  <c r="D509" i="1"/>
  <c r="P806" i="1"/>
  <c r="B663" i="1"/>
  <c r="K774" i="1"/>
  <c r="G618" i="1"/>
  <c r="D917" i="1"/>
  <c r="Q599" i="1"/>
  <c r="F874" i="1"/>
  <c r="M636" i="1"/>
  <c r="U629" i="1"/>
  <c r="T428" i="1"/>
  <c r="U625" i="1"/>
  <c r="J390" i="1"/>
  <c r="A642" i="1"/>
  <c r="B683" i="1"/>
  <c r="H458" i="1"/>
  <c r="N439" i="1"/>
  <c r="E567" i="1"/>
  <c r="Q714" i="1"/>
  <c r="I844" i="1"/>
  <c r="Q608" i="1"/>
  <c r="K469" i="1"/>
  <c r="T662" i="1"/>
  <c r="H650" i="1"/>
  <c r="D402" i="1"/>
  <c r="D398" i="1"/>
  <c r="M764" i="1"/>
  <c r="C374" i="1"/>
  <c r="S718" i="1"/>
  <c r="Q522" i="1"/>
  <c r="U414" i="1"/>
  <c r="S329" i="1"/>
  <c r="U670" i="1"/>
  <c r="S476" i="1"/>
  <c r="E317" i="1"/>
  <c r="P534" i="1"/>
  <c r="B622" i="1"/>
  <c r="T443" i="1"/>
  <c r="R495" i="1"/>
  <c r="R740" i="1"/>
  <c r="P823" i="1"/>
  <c r="C418" i="1"/>
  <c r="H660" i="1"/>
  <c r="J413" i="1"/>
  <c r="R291" i="1"/>
  <c r="A180" i="1"/>
  <c r="Q555" i="1"/>
  <c r="L542" i="1"/>
  <c r="S447" i="1"/>
  <c r="F476" i="1"/>
  <c r="B234" i="1"/>
  <c r="F327" i="1"/>
  <c r="V850" i="1"/>
  <c r="M825" i="1"/>
  <c r="L346" i="1"/>
  <c r="G507" i="1"/>
  <c r="M613" i="1"/>
  <c r="C335" i="1"/>
  <c r="C155" i="1"/>
  <c r="C511" i="1"/>
  <c r="A597" i="1"/>
  <c r="J784" i="1"/>
  <c r="B836" i="1"/>
  <c r="B654" i="1"/>
  <c r="R601" i="1"/>
  <c r="O717" i="1"/>
  <c r="M860" i="1"/>
  <c r="A740" i="1"/>
  <c r="B819" i="1"/>
  <c r="A739" i="1"/>
  <c r="S795" i="1"/>
  <c r="J778" i="1"/>
  <c r="R374" i="1"/>
  <c r="L831" i="1"/>
  <c r="Q769" i="1"/>
  <c r="H657" i="1"/>
  <c r="B791" i="1"/>
  <c r="N915" i="1"/>
  <c r="V899" i="1"/>
  <c r="K649" i="1"/>
  <c r="F511" i="1"/>
  <c r="G671" i="1"/>
  <c r="K651" i="1"/>
  <c r="P670" i="1"/>
  <c r="F727" i="1"/>
  <c r="D408" i="1"/>
  <c r="N654" i="1"/>
  <c r="H855" i="1"/>
  <c r="U843" i="1"/>
  <c r="O845" i="1"/>
  <c r="E781" i="1"/>
  <c r="T784" i="1"/>
  <c r="V639" i="1"/>
  <c r="S789" i="1"/>
  <c r="T693" i="1"/>
  <c r="C675" i="1"/>
  <c r="C869" i="1"/>
  <c r="A652" i="1"/>
  <c r="H675" i="1"/>
  <c r="F860" i="1"/>
  <c r="F759" i="1"/>
  <c r="N361" i="1"/>
  <c r="P778" i="1"/>
  <c r="C718" i="1"/>
  <c r="A868" i="1"/>
  <c r="R561" i="1"/>
  <c r="L815" i="1"/>
  <c r="O772" i="1"/>
  <c r="E543" i="1"/>
  <c r="T721" i="1"/>
  <c r="K639" i="1"/>
  <c r="S726" i="1"/>
  <c r="D888" i="1"/>
  <c r="N559" i="1"/>
  <c r="D576" i="1"/>
  <c r="K546" i="1"/>
  <c r="R692" i="1"/>
  <c r="S665" i="1"/>
  <c r="L692" i="1"/>
  <c r="I741" i="1"/>
  <c r="C778" i="1"/>
  <c r="O559" i="1"/>
  <c r="U704" i="1"/>
  <c r="T765" i="1"/>
  <c r="K601" i="1"/>
  <c r="H427" i="1"/>
  <c r="Q685" i="1"/>
  <c r="M675" i="1"/>
  <c r="G575" i="1"/>
  <c r="J653" i="1"/>
  <c r="J837" i="1"/>
  <c r="J572" i="1"/>
  <c r="V578" i="1"/>
  <c r="R658" i="1"/>
  <c r="V542" i="1"/>
  <c r="K599" i="1"/>
  <c r="G400" i="1"/>
  <c r="R573" i="1"/>
  <c r="P395" i="1"/>
  <c r="D560" i="1"/>
  <c r="T644" i="1"/>
  <c r="K387" i="1"/>
  <c r="G643" i="1"/>
  <c r="D484" i="1"/>
  <c r="P739" i="1"/>
  <c r="V385" i="1"/>
  <c r="M616" i="1"/>
  <c r="K613" i="1"/>
  <c r="I365" i="1"/>
  <c r="E675" i="1"/>
  <c r="N804" i="1"/>
  <c r="H388" i="1"/>
  <c r="O474" i="1"/>
  <c r="A566" i="1"/>
  <c r="V441" i="1"/>
  <c r="A433" i="1"/>
  <c r="D522" i="1"/>
  <c r="V595" i="1"/>
  <c r="V644" i="1"/>
  <c r="M166" i="1"/>
  <c r="T398" i="1"/>
  <c r="V561" i="1"/>
  <c r="I332" i="1"/>
  <c r="J259" i="1"/>
  <c r="D572" i="1"/>
  <c r="S532" i="1"/>
  <c r="B502" i="1"/>
  <c r="M434" i="1"/>
  <c r="U7" i="1"/>
  <c r="M595" i="1"/>
  <c r="P872" i="1"/>
  <c r="L708" i="1"/>
  <c r="G811" i="1"/>
  <c r="D447" i="1"/>
  <c r="H922" i="1"/>
  <c r="L529" i="1"/>
  <c r="F653" i="1"/>
  <c r="B642" i="1"/>
  <c r="T677" i="1"/>
  <c r="A638" i="1"/>
  <c r="J639" i="1"/>
  <c r="T584" i="1"/>
  <c r="J740" i="1"/>
  <c r="R633" i="1"/>
  <c r="L733" i="1"/>
  <c r="N522" i="1"/>
  <c r="H755" i="1"/>
  <c r="E562" i="1"/>
  <c r="O910" i="1"/>
  <c r="E528" i="1"/>
  <c r="O664" i="1"/>
  <c r="L401" i="1"/>
  <c r="K712" i="1"/>
  <c r="P774" i="1"/>
  <c r="I620" i="1"/>
  <c r="R493" i="1"/>
  <c r="C658" i="1"/>
  <c r="B559" i="1"/>
  <c r="G396" i="1"/>
  <c r="R599" i="1"/>
  <c r="R751" i="1"/>
  <c r="B458" i="1"/>
  <c r="I417" i="1"/>
  <c r="N440" i="1"/>
  <c r="K559" i="1"/>
  <c r="A346" i="1"/>
  <c r="I462" i="1"/>
  <c r="F428" i="1"/>
  <c r="E767" i="1"/>
  <c r="E576" i="1"/>
  <c r="P743" i="1"/>
  <c r="K605" i="1"/>
  <c r="M259" i="1"/>
  <c r="O769" i="1"/>
  <c r="K377" i="1"/>
  <c r="A350" i="1"/>
  <c r="M760" i="1"/>
  <c r="P431" i="1"/>
  <c r="J302" i="1"/>
  <c r="H293" i="1"/>
  <c r="C615" i="1"/>
  <c r="Q593" i="1"/>
  <c r="E592" i="1"/>
  <c r="E645" i="1"/>
  <c r="H654" i="1"/>
  <c r="E499" i="1"/>
  <c r="T489" i="1"/>
  <c r="V356" i="1"/>
  <c r="I340" i="1"/>
  <c r="E263" i="1"/>
  <c r="N233" i="1"/>
  <c r="B38" i="1"/>
  <c r="M248" i="1"/>
  <c r="O607" i="1"/>
  <c r="G824" i="1"/>
  <c r="S719" i="1"/>
  <c r="M566" i="1"/>
  <c r="F481" i="1"/>
  <c r="J910" i="1"/>
  <c r="J734" i="1"/>
  <c r="Q896" i="1"/>
  <c r="O581" i="1"/>
  <c r="U477" i="1"/>
  <c r="E588" i="1"/>
  <c r="K584" i="1"/>
  <c r="N824" i="1"/>
  <c r="P790" i="1"/>
  <c r="E552" i="1"/>
  <c r="O574" i="1"/>
  <c r="S445" i="1"/>
  <c r="Q636" i="1"/>
  <c r="B610" i="1"/>
  <c r="M572" i="1"/>
  <c r="L240" i="1"/>
  <c r="O550" i="1"/>
  <c r="M395" i="1"/>
  <c r="H795" i="1"/>
  <c r="J366" i="1"/>
  <c r="Q604" i="1"/>
  <c r="D520" i="1"/>
  <c r="N695" i="1"/>
  <c r="F318" i="1"/>
  <c r="T598" i="1"/>
  <c r="D706" i="1"/>
  <c r="R491" i="1"/>
  <c r="F323" i="1"/>
  <c r="P278" i="1"/>
  <c r="V499" i="1"/>
  <c r="P607" i="1"/>
  <c r="L467" i="1"/>
  <c r="T391" i="1"/>
  <c r="I449" i="1"/>
  <c r="A765" i="1"/>
  <c r="G533" i="1"/>
  <c r="K362" i="1"/>
  <c r="J560" i="1"/>
  <c r="P514" i="1"/>
  <c r="T432" i="1"/>
  <c r="J361" i="1"/>
  <c r="J542" i="1"/>
  <c r="A507" i="1"/>
  <c r="K473" i="1"/>
  <c r="I712" i="1"/>
  <c r="D425" i="1"/>
  <c r="H511" i="1"/>
  <c r="C494" i="1"/>
  <c r="I350" i="1"/>
  <c r="D479" i="1"/>
  <c r="P428" i="1"/>
  <c r="J260" i="1"/>
  <c r="P705" i="1"/>
  <c r="C432" i="1"/>
  <c r="H374" i="1"/>
  <c r="A137" i="1"/>
  <c r="L562" i="1"/>
  <c r="P396" i="1"/>
  <c r="O699" i="1"/>
  <c r="T429" i="1"/>
  <c r="O863" i="1"/>
  <c r="C681" i="1"/>
  <c r="A691" i="1"/>
  <c r="P817" i="1"/>
  <c r="V622" i="1"/>
  <c r="I666" i="1"/>
  <c r="L578" i="1"/>
  <c r="Q606" i="1"/>
  <c r="O658" i="1"/>
  <c r="B614" i="1"/>
  <c r="Q415" i="1"/>
  <c r="K669" i="1"/>
  <c r="M688" i="1"/>
  <c r="P641" i="1"/>
  <c r="A856" i="1"/>
  <c r="R877" i="1"/>
  <c r="R843" i="1"/>
  <c r="E788" i="1"/>
  <c r="I411" i="1"/>
  <c r="T678" i="1"/>
  <c r="R778" i="1"/>
  <c r="L705" i="1"/>
  <c r="T454" i="1"/>
  <c r="B729" i="1"/>
  <c r="E737" i="1"/>
  <c r="A884" i="1"/>
  <c r="D615" i="1"/>
  <c r="H897" i="1"/>
  <c r="H889" i="1"/>
  <c r="B745" i="1"/>
  <c r="N555" i="1"/>
  <c r="O903" i="1"/>
  <c r="O786" i="1"/>
  <c r="U680" i="1"/>
  <c r="F885" i="1"/>
  <c r="R867" i="1"/>
  <c r="R846" i="1"/>
  <c r="D621" i="1"/>
  <c r="K783" i="1"/>
  <c r="U523" i="1"/>
  <c r="C705" i="1"/>
  <c r="L920" i="1"/>
  <c r="H630" i="1"/>
  <c r="G890" i="1"/>
  <c r="K862" i="1"/>
  <c r="H606" i="1"/>
  <c r="H633" i="1"/>
  <c r="D389" i="1"/>
  <c r="P768" i="1"/>
  <c r="E623" i="1"/>
  <c r="U752" i="1"/>
  <c r="T620" i="1"/>
  <c r="J741" i="1"/>
  <c r="I529" i="1"/>
  <c r="A769" i="1"/>
  <c r="P610" i="1"/>
  <c r="D544" i="1"/>
  <c r="H781" i="1"/>
  <c r="Q479" i="1"/>
  <c r="N882" i="1"/>
  <c r="N790" i="1"/>
  <c r="S681" i="1"/>
  <c r="S468" i="1"/>
  <c r="N629" i="1"/>
  <c r="U662" i="1"/>
  <c r="A786" i="1"/>
  <c r="H636" i="1"/>
  <c r="E556" i="1"/>
  <c r="A561" i="1"/>
  <c r="D675" i="1"/>
  <c r="L575" i="1"/>
  <c r="C529" i="1"/>
  <c r="T702" i="1"/>
  <c r="H605" i="1"/>
  <c r="I526" i="1"/>
  <c r="V460" i="1"/>
  <c r="B580" i="1"/>
  <c r="V469" i="1"/>
  <c r="E587" i="1"/>
  <c r="C413" i="1"/>
  <c r="S401" i="1"/>
  <c r="K558" i="1"/>
  <c r="N750" i="1"/>
  <c r="P388" i="1"/>
  <c r="N906" i="1"/>
  <c r="H362" i="1"/>
  <c r="G663" i="1"/>
  <c r="L499" i="1"/>
  <c r="D442" i="1"/>
  <c r="V746" i="1"/>
  <c r="C724" i="1"/>
  <c r="P523" i="1"/>
  <c r="V507" i="1"/>
  <c r="R474" i="1"/>
  <c r="S432" i="1"/>
  <c r="A415" i="1"/>
  <c r="D533" i="1"/>
  <c r="D357" i="1"/>
  <c r="C603" i="1"/>
  <c r="L459" i="1"/>
  <c r="K493" i="1"/>
  <c r="H400" i="1"/>
  <c r="S542" i="1"/>
  <c r="I91" i="1"/>
  <c r="F454" i="1"/>
  <c r="T529" i="1"/>
  <c r="C301" i="1"/>
  <c r="L35" i="1"/>
  <c r="U402" i="1"/>
  <c r="G885" i="1"/>
  <c r="N727" i="1"/>
  <c r="D620" i="1"/>
  <c r="I459" i="1"/>
  <c r="H703" i="1"/>
  <c r="D795" i="1"/>
  <c r="Q643" i="1"/>
  <c r="V678" i="1"/>
  <c r="D687" i="1"/>
  <c r="G626" i="1"/>
  <c r="U821" i="1"/>
  <c r="F585" i="1"/>
  <c r="Q764" i="1"/>
  <c r="F695" i="1"/>
  <c r="L618" i="1"/>
  <c r="E604" i="1"/>
  <c r="H538" i="1"/>
  <c r="K729" i="1"/>
  <c r="G628" i="1"/>
  <c r="E277" i="1"/>
  <c r="C606" i="1"/>
  <c r="U617" i="1"/>
  <c r="V804" i="1"/>
  <c r="H494" i="1"/>
  <c r="B456" i="1"/>
  <c r="R649" i="1"/>
  <c r="M846" i="1"/>
  <c r="K289" i="1"/>
  <c r="G386" i="1"/>
  <c r="E663" i="1"/>
  <c r="U473" i="1"/>
  <c r="M414" i="1"/>
  <c r="E369" i="1"/>
  <c r="U490" i="1"/>
  <c r="F373" i="1"/>
  <c r="A558" i="1"/>
  <c r="I606" i="1"/>
  <c r="F556" i="1"/>
  <c r="F634" i="1"/>
  <c r="H430" i="1"/>
  <c r="K656" i="1"/>
  <c r="O625" i="1"/>
  <c r="O584" i="1"/>
  <c r="J513" i="1"/>
  <c r="E526" i="1"/>
  <c r="S546" i="1"/>
  <c r="Q267" i="1"/>
  <c r="J543" i="1"/>
  <c r="Q352" i="1"/>
  <c r="H476" i="1"/>
  <c r="R215" i="1"/>
  <c r="K737" i="1"/>
  <c r="S572" i="1"/>
  <c r="G406" i="1"/>
  <c r="J241" i="1"/>
  <c r="F654" i="1"/>
  <c r="U292" i="1"/>
  <c r="Q137" i="1"/>
  <c r="G80" i="1"/>
  <c r="I467" i="1"/>
  <c r="T623" i="1"/>
  <c r="D282" i="1"/>
  <c r="T98" i="1"/>
  <c r="K420" i="1"/>
  <c r="O914" i="1"/>
  <c r="R918" i="1"/>
  <c r="L653" i="1"/>
  <c r="L651" i="1"/>
  <c r="S646" i="1"/>
  <c r="V645" i="1"/>
  <c r="M581" i="1"/>
  <c r="U873" i="1"/>
  <c r="A838" i="1"/>
  <c r="R865" i="1"/>
  <c r="R685" i="1"/>
  <c r="P541" i="1"/>
  <c r="R542" i="1"/>
  <c r="N585" i="1"/>
  <c r="K459" i="1"/>
  <c r="A522" i="1"/>
  <c r="V743" i="1"/>
  <c r="M494" i="1"/>
  <c r="Q383" i="1"/>
  <c r="L726" i="1"/>
  <c r="O710" i="1"/>
  <c r="Q724" i="1"/>
  <c r="O777" i="1"/>
  <c r="E511" i="1"/>
  <c r="J485" i="1"/>
  <c r="H308" i="1"/>
  <c r="N444" i="1"/>
  <c r="V349" i="1"/>
  <c r="U408" i="1"/>
  <c r="A621" i="1"/>
  <c r="V291" i="1"/>
  <c r="M373" i="1"/>
  <c r="N171" i="1"/>
  <c r="U434" i="1"/>
  <c r="D507" i="1"/>
  <c r="P554" i="1"/>
  <c r="I613" i="1"/>
  <c r="A273" i="1"/>
  <c r="J351" i="1"/>
  <c r="S369" i="1"/>
  <c r="H450" i="1"/>
  <c r="U550" i="1"/>
  <c r="L643" i="1"/>
  <c r="B655" i="1"/>
  <c r="S536" i="1"/>
  <c r="U533" i="1"/>
  <c r="P479" i="1"/>
  <c r="S261" i="1"/>
  <c r="V559" i="1"/>
  <c r="I611" i="1"/>
  <c r="N628" i="1"/>
  <c r="Q658" i="1"/>
  <c r="B587" i="1"/>
  <c r="S318" i="1"/>
  <c r="G370" i="1"/>
  <c r="O808" i="1"/>
  <c r="A441" i="1"/>
  <c r="N577" i="1"/>
  <c r="S39" i="1"/>
  <c r="A436" i="1"/>
  <c r="H530" i="1"/>
  <c r="H411" i="1"/>
  <c r="E481" i="1"/>
  <c r="Q229" i="1"/>
  <c r="H717" i="1"/>
  <c r="B617" i="1"/>
  <c r="L713" i="1"/>
  <c r="M626" i="1"/>
  <c r="L818" i="1"/>
  <c r="D750" i="1"/>
  <c r="J605" i="1"/>
  <c r="V592" i="1"/>
  <c r="H457" i="1"/>
  <c r="N619" i="1"/>
  <c r="N659" i="1"/>
  <c r="B332" i="1"/>
  <c r="N767" i="1"/>
  <c r="J255" i="1"/>
  <c r="S790" i="1"/>
  <c r="D893" i="1"/>
  <c r="G767" i="1"/>
  <c r="N705" i="1"/>
  <c r="H595" i="1"/>
  <c r="Q686" i="1"/>
  <c r="R546" i="1"/>
  <c r="O733" i="1"/>
  <c r="E907" i="1"/>
  <c r="S603" i="1"/>
  <c r="U778" i="1"/>
  <c r="T860" i="1"/>
  <c r="A574" i="1"/>
  <c r="O745" i="1"/>
  <c r="L734" i="1"/>
  <c r="M900" i="1"/>
  <c r="C720" i="1"/>
  <c r="K562" i="1"/>
  <c r="K869" i="1"/>
  <c r="L546" i="1"/>
  <c r="U387" i="1"/>
  <c r="K717" i="1"/>
  <c r="K670" i="1"/>
  <c r="V593" i="1"/>
  <c r="O653" i="1"/>
  <c r="L630" i="1"/>
  <c r="P709" i="1"/>
  <c r="K775" i="1"/>
  <c r="D660" i="1"/>
  <c r="Q640" i="1"/>
  <c r="H852" i="1"/>
  <c r="L677" i="1"/>
  <c r="Q735" i="1"/>
  <c r="G717" i="1"/>
  <c r="F574" i="1"/>
  <c r="F619" i="1"/>
  <c r="L603" i="1"/>
  <c r="E656" i="1"/>
  <c r="Q549" i="1"/>
  <c r="B457" i="1"/>
  <c r="B870" i="1"/>
  <c r="L585" i="1"/>
  <c r="E747" i="1"/>
  <c r="U372" i="1"/>
  <c r="I522" i="1"/>
  <c r="P722" i="1"/>
  <c r="G490" i="1"/>
  <c r="R761" i="1"/>
  <c r="S684" i="1"/>
  <c r="L504" i="1"/>
  <c r="Q788" i="1"/>
  <c r="M499" i="1"/>
  <c r="S660" i="1"/>
  <c r="G627" i="1"/>
  <c r="H816" i="1"/>
  <c r="O785" i="1"/>
  <c r="J851" i="1"/>
  <c r="M720" i="1"/>
  <c r="I706" i="1"/>
  <c r="B356" i="1"/>
  <c r="Q514" i="1"/>
  <c r="E512" i="1"/>
  <c r="G499" i="1"/>
  <c r="T838" i="1"/>
  <c r="S625" i="1"/>
  <c r="L406" i="1"/>
  <c r="H668" i="1"/>
  <c r="N553" i="1"/>
  <c r="C289" i="1"/>
  <c r="R681" i="1"/>
  <c r="O501" i="1"/>
  <c r="O306" i="1"/>
  <c r="Q245" i="1"/>
  <c r="I622" i="1"/>
  <c r="B316" i="1"/>
  <c r="L645" i="1"/>
  <c r="T455" i="1"/>
  <c r="S201" i="1"/>
  <c r="T60" i="1"/>
  <c r="R900" i="1"/>
  <c r="I333" i="1"/>
  <c r="H369" i="1"/>
  <c r="H335" i="1"/>
  <c r="K472" i="1"/>
  <c r="P306" i="1"/>
  <c r="L277" i="1"/>
  <c r="J496" i="1"/>
  <c r="B619" i="1"/>
  <c r="B368" i="1"/>
  <c r="O441" i="1"/>
  <c r="U516" i="1"/>
  <c r="R781" i="1"/>
  <c r="A419" i="1"/>
  <c r="B514" i="1"/>
  <c r="T204" i="1"/>
  <c r="A811" i="1"/>
  <c r="L689" i="1"/>
  <c r="H587" i="1"/>
  <c r="H730" i="1"/>
  <c r="B644" i="1"/>
  <c r="P824" i="1"/>
  <c r="D635" i="1"/>
  <c r="I473" i="1"/>
  <c r="S571" i="1"/>
  <c r="N517" i="1"/>
  <c r="M622" i="1"/>
  <c r="J707" i="1"/>
  <c r="D392" i="1"/>
  <c r="E235" i="1"/>
  <c r="U481" i="1"/>
  <c r="F625" i="1"/>
  <c r="U461" i="1"/>
  <c r="F614" i="1"/>
  <c r="O538" i="1"/>
  <c r="V685" i="1"/>
  <c r="U747" i="1"/>
  <c r="C508" i="1"/>
  <c r="E697" i="1"/>
  <c r="L384" i="1"/>
  <c r="P635" i="1"/>
  <c r="P353" i="1"/>
  <c r="B524" i="1"/>
  <c r="K262" i="1"/>
  <c r="E826" i="1"/>
  <c r="Q898" i="1"/>
  <c r="Q360" i="1"/>
  <c r="O431" i="1"/>
  <c r="O388" i="1"/>
  <c r="N677" i="1"/>
  <c r="K448" i="1"/>
  <c r="K777" i="1"/>
  <c r="R557" i="1"/>
  <c r="B577" i="1"/>
  <c r="F524" i="1"/>
  <c r="R448" i="1"/>
  <c r="K526" i="1"/>
  <c r="U448" i="1"/>
  <c r="Q579" i="1"/>
  <c r="R616" i="1"/>
  <c r="P471" i="1"/>
  <c r="P487" i="1"/>
  <c r="R453" i="1"/>
  <c r="V219" i="1"/>
  <c r="B396" i="1"/>
  <c r="B297" i="1"/>
  <c r="R314" i="1"/>
  <c r="J540" i="1"/>
  <c r="C604" i="1"/>
  <c r="S737" i="1"/>
  <c r="P344" i="1"/>
  <c r="J645" i="1"/>
  <c r="A519" i="1"/>
  <c r="I408" i="1"/>
  <c r="B453" i="1"/>
  <c r="R545" i="1"/>
  <c r="N370" i="1"/>
  <c r="E518" i="1"/>
  <c r="I348" i="1"/>
  <c r="U301" i="1"/>
  <c r="J796" i="1"/>
  <c r="J923" i="1"/>
  <c r="L682" i="1"/>
  <c r="P695" i="1"/>
  <c r="H735" i="1"/>
  <c r="F782" i="1"/>
  <c r="F786" i="1"/>
  <c r="C427" i="1"/>
  <c r="U497" i="1"/>
  <c r="E771" i="1"/>
  <c r="R446" i="1"/>
  <c r="F565" i="1"/>
  <c r="R521" i="1"/>
  <c r="H529" i="1"/>
  <c r="F608" i="1"/>
  <c r="S389" i="1"/>
  <c r="L425" i="1"/>
  <c r="H749" i="1"/>
  <c r="S545" i="1"/>
  <c r="V546" i="1"/>
  <c r="F586" i="1"/>
  <c r="T650" i="1"/>
  <c r="D697" i="1"/>
  <c r="N610" i="1"/>
  <c r="F550" i="1"/>
  <c r="S450" i="1"/>
  <c r="A738" i="1"/>
  <c r="D432" i="1"/>
  <c r="H483" i="1"/>
  <c r="C784" i="1"/>
  <c r="Q803" i="1"/>
  <c r="A678" i="1"/>
  <c r="E273" i="1"/>
  <c r="V661" i="1"/>
  <c r="H738" i="1"/>
  <c r="G476" i="1"/>
  <c r="R526" i="1"/>
  <c r="C563" i="1"/>
  <c r="E785" i="1"/>
  <c r="V655" i="1"/>
  <c r="O315" i="1"/>
  <c r="K653" i="1"/>
  <c r="N779" i="1"/>
  <c r="J646" i="1"/>
  <c r="P681" i="1"/>
  <c r="P339" i="1"/>
  <c r="S520" i="1"/>
  <c r="V354" i="1"/>
  <c r="U664" i="1"/>
  <c r="M301" i="1"/>
  <c r="P574" i="1"/>
  <c r="C429" i="1"/>
  <c r="F543" i="1"/>
  <c r="I401" i="1"/>
  <c r="P176" i="1"/>
  <c r="H382" i="1"/>
  <c r="B409" i="1"/>
  <c r="M417" i="1"/>
  <c r="D730" i="1"/>
  <c r="V317" i="1"/>
  <c r="S289" i="1"/>
  <c r="V208" i="1"/>
  <c r="H575" i="1"/>
  <c r="E321" i="1"/>
  <c r="D718" i="1"/>
  <c r="E899" i="1"/>
  <c r="V753" i="1"/>
  <c r="O679" i="1"/>
  <c r="P838" i="1"/>
  <c r="A578" i="1"/>
  <c r="H565" i="1"/>
  <c r="J549" i="1"/>
  <c r="O644" i="1"/>
  <c r="U659" i="1"/>
  <c r="J801" i="1"/>
  <c r="Q780" i="1"/>
  <c r="J592" i="1"/>
  <c r="I742" i="1"/>
  <c r="E773" i="1"/>
  <c r="U788" i="1"/>
  <c r="D541" i="1"/>
  <c r="G640" i="1"/>
  <c r="V409" i="1"/>
  <c r="T680" i="1"/>
  <c r="I920" i="1"/>
  <c r="A790" i="1"/>
  <c r="E615" i="1"/>
  <c r="G483" i="1"/>
  <c r="R792" i="1"/>
  <c r="L658" i="1"/>
  <c r="V697" i="1"/>
  <c r="N801" i="1"/>
  <c r="G588" i="1"/>
  <c r="U794" i="1"/>
  <c r="L684" i="1"/>
  <c r="U611" i="1"/>
  <c r="J815" i="1"/>
  <c r="N849" i="1"/>
  <c r="M845" i="1"/>
  <c r="C706" i="1"/>
  <c r="D654" i="1"/>
  <c r="N451" i="1"/>
  <c r="R594" i="1"/>
  <c r="I814" i="1"/>
  <c r="H433" i="1"/>
  <c r="O215" i="1"/>
  <c r="K701" i="1"/>
  <c r="E850" i="1"/>
  <c r="L768" i="1"/>
  <c r="D585" i="1"/>
  <c r="G586" i="1"/>
  <c r="F876" i="1"/>
  <c r="D504" i="1"/>
  <c r="B629" i="1"/>
  <c r="C667" i="1"/>
  <c r="H805" i="1"/>
  <c r="T670" i="1"/>
  <c r="J886" i="1"/>
  <c r="O551" i="1"/>
  <c r="M645" i="1"/>
  <c r="U560" i="1"/>
  <c r="L740" i="1"/>
  <c r="H658" i="1"/>
  <c r="D781" i="1"/>
  <c r="I897" i="1"/>
  <c r="Q556" i="1"/>
  <c r="F659" i="1"/>
  <c r="N430" i="1"/>
  <c r="V560" i="1"/>
  <c r="T508" i="1"/>
  <c r="R476" i="1"/>
  <c r="U698" i="1"/>
  <c r="C710" i="1"/>
  <c r="I693" i="1"/>
  <c r="C765" i="1"/>
  <c r="N780" i="1"/>
  <c r="Q435" i="1"/>
  <c r="C789" i="1"/>
  <c r="K749" i="1"/>
  <c r="A594" i="1"/>
  <c r="Q622" i="1"/>
  <c r="U576" i="1"/>
  <c r="L361" i="1"/>
  <c r="T301" i="1"/>
  <c r="M769" i="1"/>
  <c r="O191" i="1"/>
  <c r="G574" i="1"/>
  <c r="B546" i="1"/>
  <c r="I293" i="1"/>
  <c r="H584" i="1"/>
  <c r="Q626" i="1"/>
  <c r="O368" i="1"/>
  <c r="G782" i="1"/>
  <c r="R461" i="1"/>
  <c r="S406" i="1"/>
  <c r="K378" i="1"/>
  <c r="K458" i="1"/>
  <c r="I409" i="1"/>
  <c r="V274" i="1"/>
  <c r="S507" i="1"/>
  <c r="S649" i="1"/>
  <c r="F381" i="1"/>
  <c r="E443" i="1"/>
  <c r="P516" i="1"/>
  <c r="C9" i="1"/>
  <c r="J433" i="1"/>
  <c r="K612" i="1"/>
  <c r="B612" i="1"/>
  <c r="L570" i="1"/>
  <c r="T417" i="1"/>
  <c r="C123" i="1"/>
  <c r="H576" i="1"/>
  <c r="J722" i="1"/>
  <c r="I662" i="1"/>
  <c r="T797" i="1"/>
  <c r="V660" i="1"/>
  <c r="L565" i="1"/>
  <c r="Q657" i="1"/>
  <c r="H780" i="1"/>
  <c r="K563" i="1"/>
  <c r="B677" i="1"/>
  <c r="E549" i="1"/>
  <c r="I572" i="1"/>
  <c r="J747" i="1"/>
  <c r="K634" i="1"/>
  <c r="H491" i="1"/>
  <c r="A483" i="1"/>
  <c r="C487" i="1"/>
  <c r="U494" i="1"/>
  <c r="E772" i="1"/>
  <c r="T599" i="1"/>
  <c r="H695" i="1"/>
  <c r="S672" i="1"/>
  <c r="I795" i="1"/>
  <c r="U476" i="1"/>
  <c r="H614" i="1"/>
  <c r="R677" i="1"/>
  <c r="N549" i="1"/>
  <c r="K438" i="1"/>
  <c r="V393" i="1"/>
  <c r="D534" i="1"/>
  <c r="P530" i="1"/>
  <c r="T493" i="1"/>
  <c r="L577" i="1"/>
  <c r="L773" i="1"/>
  <c r="S923" i="1"/>
  <c r="G718" i="1"/>
  <c r="I623" i="1"/>
  <c r="D633" i="1"/>
  <c r="V398" i="1"/>
  <c r="H640" i="1"/>
  <c r="I834" i="1"/>
  <c r="L701" i="1"/>
  <c r="A822" i="1"/>
  <c r="F683" i="1"/>
  <c r="P513" i="1"/>
  <c r="Q315" i="1"/>
  <c r="D872" i="1"/>
  <c r="N703" i="1"/>
  <c r="M514" i="1"/>
  <c r="R607" i="1"/>
  <c r="B730" i="1"/>
  <c r="K793" i="1"/>
  <c r="J680" i="1"/>
  <c r="D754" i="1"/>
  <c r="C785" i="1"/>
  <c r="T789" i="1"/>
  <c r="D861" i="1"/>
  <c r="F544" i="1"/>
  <c r="H838" i="1"/>
  <c r="G555" i="1"/>
  <c r="P491" i="1"/>
  <c r="K509" i="1"/>
  <c r="Q763" i="1"/>
  <c r="E745" i="1"/>
  <c r="C594" i="1"/>
  <c r="E816" i="1"/>
  <c r="D500" i="1"/>
  <c r="N465" i="1"/>
  <c r="V322" i="1"/>
  <c r="N575" i="1"/>
  <c r="M635" i="1"/>
  <c r="A705" i="1"/>
  <c r="S634" i="1"/>
  <c r="F641" i="1"/>
  <c r="C851" i="1"/>
  <c r="A654" i="1"/>
  <c r="R268" i="1"/>
  <c r="K130" i="1"/>
  <c r="U903" i="1"/>
  <c r="I710" i="1"/>
  <c r="I614" i="1"/>
  <c r="H682" i="1"/>
  <c r="T605" i="1"/>
  <c r="N438" i="1"/>
  <c r="C695" i="1"/>
  <c r="H791" i="1"/>
  <c r="P494" i="1"/>
  <c r="L735" i="1"/>
  <c r="D562" i="1"/>
  <c r="T628" i="1"/>
  <c r="K910" i="1"/>
  <c r="P560" i="1"/>
  <c r="H431" i="1"/>
  <c r="N624" i="1"/>
  <c r="R693" i="1"/>
  <c r="T427" i="1"/>
  <c r="J665" i="1"/>
  <c r="U143" i="1"/>
  <c r="Q396" i="1"/>
  <c r="V386" i="1"/>
  <c r="L649" i="1"/>
  <c r="C692" i="1"/>
  <c r="N870" i="1"/>
  <c r="S524" i="1"/>
  <c r="R473" i="1"/>
  <c r="D521" i="1"/>
  <c r="R539" i="1"/>
  <c r="S645" i="1"/>
  <c r="L525" i="1"/>
  <c r="U344" i="1"/>
  <c r="H610" i="1"/>
  <c r="M163" i="1"/>
  <c r="N598" i="1"/>
  <c r="R316" i="1"/>
  <c r="F664" i="1"/>
  <c r="F498" i="1"/>
  <c r="B584" i="1"/>
  <c r="G276" i="1"/>
  <c r="G523" i="1"/>
  <c r="E374" i="1"/>
  <c r="J615" i="1"/>
  <c r="R486" i="1"/>
  <c r="P850" i="1"/>
  <c r="J425" i="1"/>
  <c r="C381" i="1"/>
  <c r="R204" i="1"/>
  <c r="H440" i="1"/>
  <c r="S460" i="1"/>
  <c r="V839" i="1"/>
  <c r="E742" i="1"/>
  <c r="S651" i="1"/>
  <c r="V653" i="1"/>
  <c r="F689" i="1"/>
  <c r="D886" i="1"/>
  <c r="V554" i="1"/>
  <c r="E584" i="1"/>
  <c r="C582" i="1"/>
  <c r="V577" i="1"/>
  <c r="A625" i="1"/>
  <c r="U622" i="1"/>
  <c r="K492" i="1"/>
  <c r="S397" i="1"/>
  <c r="A569" i="1"/>
  <c r="Q559" i="1"/>
  <c r="M725" i="1"/>
  <c r="R378" i="1"/>
  <c r="A452" i="1"/>
  <c r="K686" i="1"/>
  <c r="J569" i="1"/>
  <c r="K470" i="1"/>
  <c r="E566" i="1"/>
  <c r="J294" i="1"/>
  <c r="P655" i="1"/>
  <c r="E798" i="1"/>
  <c r="J357" i="1"/>
  <c r="S540" i="1"/>
  <c r="V598" i="1"/>
  <c r="P532" i="1"/>
  <c r="H499" i="1"/>
  <c r="K713" i="1"/>
  <c r="S367" i="1"/>
  <c r="T668" i="1"/>
  <c r="J585" i="1"/>
  <c r="V708" i="1"/>
  <c r="P342" i="1"/>
  <c r="D601" i="1"/>
  <c r="R585" i="1"/>
  <c r="V584" i="1"/>
  <c r="V442" i="1"/>
  <c r="O412" i="1"/>
  <c r="D720" i="1"/>
  <c r="P612" i="1"/>
  <c r="K361" i="1"/>
  <c r="K271" i="1"/>
  <c r="I439" i="1"/>
  <c r="C243" i="1"/>
  <c r="M517" i="1"/>
  <c r="V504" i="1"/>
  <c r="F456" i="1"/>
  <c r="R452" i="1"/>
  <c r="V209" i="1"/>
  <c r="N204" i="1"/>
  <c r="B723" i="1"/>
  <c r="T582" i="1"/>
  <c r="N473" i="1"/>
  <c r="H383" i="1"/>
  <c r="I486" i="1"/>
  <c r="A666" i="1"/>
  <c r="B461" i="1"/>
  <c r="A619" i="1"/>
  <c r="L660" i="1"/>
  <c r="S610" i="1"/>
  <c r="I626" i="1"/>
  <c r="F742" i="1"/>
  <c r="Q471" i="1"/>
  <c r="L675" i="1"/>
  <c r="A626" i="1"/>
  <c r="V669" i="1"/>
  <c r="G482" i="1"/>
  <c r="O356" i="1"/>
  <c r="O838" i="1"/>
  <c r="N622" i="1"/>
  <c r="U775" i="1"/>
  <c r="K375" i="1"/>
  <c r="S564" i="1"/>
  <c r="B755" i="1"/>
  <c r="B568" i="1"/>
  <c r="R428" i="1"/>
  <c r="F575" i="1"/>
  <c r="F635" i="1"/>
  <c r="A471" i="1"/>
  <c r="U536" i="1"/>
  <c r="A736" i="1"/>
  <c r="O691" i="1"/>
  <c r="U507" i="1"/>
  <c r="G685" i="1"/>
  <c r="H313" i="1"/>
  <c r="J341" i="1"/>
  <c r="G787" i="1"/>
  <c r="N331" i="1"/>
  <c r="G240" i="1"/>
  <c r="B400" i="1"/>
  <c r="F487" i="1"/>
  <c r="K424" i="1"/>
  <c r="I413" i="1"/>
  <c r="U519" i="1"/>
  <c r="G524" i="1"/>
  <c r="E407" i="1"/>
  <c r="V257" i="1"/>
  <c r="F509" i="1"/>
  <c r="F533" i="1"/>
  <c r="F700" i="1"/>
  <c r="S345" i="1"/>
  <c r="Q446" i="1"/>
  <c r="L566" i="1"/>
  <c r="L410" i="1"/>
  <c r="M585" i="1"/>
  <c r="P702" i="1"/>
  <c r="U231" i="1"/>
  <c r="P343" i="1"/>
  <c r="H672" i="1"/>
  <c r="P470" i="1"/>
  <c r="U595" i="1"/>
  <c r="H482" i="1"/>
  <c r="Q440" i="1"/>
  <c r="M508" i="1"/>
  <c r="S555" i="1"/>
  <c r="C372" i="1"/>
  <c r="J650" i="1"/>
  <c r="B498" i="1"/>
  <c r="H892" i="1"/>
  <c r="A458" i="1"/>
  <c r="E494" i="1"/>
  <c r="A315" i="1"/>
  <c r="V324" i="1"/>
  <c r="S19" i="1"/>
  <c r="A698" i="1"/>
  <c r="E639" i="1"/>
  <c r="K462" i="1"/>
  <c r="D724" i="1"/>
  <c r="M823" i="1"/>
  <c r="V448" i="1"/>
  <c r="R494" i="1"/>
  <c r="T893" i="1"/>
  <c r="G644" i="1"/>
  <c r="J720" i="1"/>
  <c r="D587" i="1"/>
  <c r="M389" i="1"/>
  <c r="N427" i="1"/>
  <c r="H612" i="1"/>
  <c r="Q791" i="1"/>
  <c r="T526" i="1"/>
  <c r="E713" i="1"/>
  <c r="T656" i="1"/>
  <c r="L741" i="1"/>
  <c r="L553" i="1"/>
  <c r="H836" i="1"/>
  <c r="K491" i="1"/>
  <c r="O396" i="1"/>
  <c r="A488" i="1"/>
  <c r="E248" i="1"/>
  <c r="G278" i="1"/>
  <c r="S920" i="1"/>
  <c r="J780" i="1"/>
  <c r="P579" i="1"/>
  <c r="O571" i="1"/>
  <c r="A655" i="1"/>
  <c r="R615" i="1"/>
  <c r="P454" i="1"/>
  <c r="T689" i="1"/>
  <c r="H582" i="1"/>
  <c r="G256" i="1"/>
  <c r="E431" i="1"/>
  <c r="G498" i="1"/>
  <c r="C814" i="1"/>
  <c r="E243" i="1"/>
  <c r="L320" i="1"/>
  <c r="N358" i="1"/>
  <c r="V862" i="1"/>
  <c r="R621" i="1"/>
  <c r="I479" i="1"/>
  <c r="A560" i="1"/>
  <c r="U619" i="1"/>
  <c r="B620" i="1"/>
  <c r="M521" i="1"/>
  <c r="M467" i="1"/>
  <c r="P508" i="1"/>
  <c r="H467" i="1"/>
  <c r="A614" i="1"/>
  <c r="J570" i="1"/>
  <c r="S214" i="1"/>
  <c r="I514" i="1"/>
  <c r="L426" i="1"/>
  <c r="Q530" i="1"/>
  <c r="G706" i="1"/>
  <c r="K486" i="1"/>
  <c r="O783" i="1"/>
  <c r="O702" i="1"/>
  <c r="D459" i="1"/>
  <c r="N293" i="1"/>
  <c r="G600" i="1"/>
  <c r="U495" i="1"/>
  <c r="S482" i="1"/>
  <c r="H31" i="1"/>
  <c r="P581" i="1"/>
  <c r="C261" i="1"/>
  <c r="J666" i="1"/>
  <c r="I776" i="1"/>
  <c r="U637" i="1"/>
  <c r="V894" i="1"/>
  <c r="I695" i="1"/>
  <c r="O472" i="1"/>
  <c r="V572" i="1"/>
  <c r="A358" i="1"/>
  <c r="S606" i="1"/>
  <c r="G564" i="1"/>
  <c r="A660" i="1"/>
  <c r="M644" i="1"/>
  <c r="F513" i="1"/>
  <c r="J509" i="1"/>
  <c r="G701" i="1"/>
  <c r="U432" i="1"/>
  <c r="C394" i="1"/>
  <c r="Q677" i="1"/>
  <c r="P663" i="1"/>
  <c r="V636" i="1"/>
  <c r="L381" i="1"/>
  <c r="E336" i="1"/>
  <c r="I675" i="1"/>
  <c r="F435" i="1"/>
  <c r="O416" i="1"/>
  <c r="L446" i="1"/>
  <c r="N341" i="1"/>
  <c r="S417" i="1"/>
  <c r="V410" i="1"/>
  <c r="A795" i="1"/>
  <c r="L362" i="1"/>
  <c r="S455" i="1"/>
  <c r="M518" i="1"/>
  <c r="J576" i="1"/>
  <c r="H775" i="1"/>
  <c r="C783" i="1"/>
  <c r="D745" i="1"/>
  <c r="B517" i="1"/>
  <c r="E353" i="1"/>
  <c r="K313" i="1"/>
  <c r="D378" i="1"/>
  <c r="V534" i="1"/>
  <c r="L104" i="1"/>
  <c r="K403" i="1"/>
  <c r="B763" i="1"/>
  <c r="C644" i="1"/>
  <c r="P435" i="1"/>
  <c r="Q521" i="1"/>
  <c r="J481" i="1"/>
  <c r="K555" i="1"/>
  <c r="E327" i="1"/>
  <c r="B372" i="1"/>
  <c r="M538" i="1"/>
  <c r="R303" i="1"/>
  <c r="I399" i="1"/>
  <c r="T774" i="1"/>
  <c r="E418" i="1"/>
  <c r="G639" i="1"/>
  <c r="J339" i="1"/>
  <c r="O880" i="1"/>
  <c r="O558" i="1"/>
  <c r="G550" i="1"/>
  <c r="N450" i="1"/>
  <c r="O602" i="1"/>
  <c r="U462" i="1"/>
  <c r="P714" i="1"/>
  <c r="L699" i="1"/>
  <c r="G503" i="1"/>
  <c r="E450" i="1"/>
  <c r="N810" i="1"/>
  <c r="U293" i="1"/>
  <c r="B355" i="1"/>
  <c r="L655" i="1"/>
  <c r="H300" i="1"/>
  <c r="Q357" i="1"/>
  <c r="R312" i="1"/>
  <c r="O743" i="1"/>
  <c r="E429" i="1"/>
  <c r="S661" i="1"/>
  <c r="T378" i="1"/>
  <c r="Q921" i="1"/>
  <c r="L868" i="1"/>
  <c r="B633" i="1"/>
  <c r="P696" i="1"/>
  <c r="S454" i="1"/>
  <c r="E523" i="1"/>
  <c r="H742" i="1"/>
  <c r="S699" i="1"/>
  <c r="M433" i="1"/>
  <c r="A708" i="1"/>
  <c r="D616" i="1"/>
  <c r="U616" i="1"/>
  <c r="I381" i="1"/>
  <c r="U443" i="1"/>
  <c r="V795" i="1"/>
  <c r="D344" i="1"/>
  <c r="E581" i="1"/>
  <c r="F534" i="1"/>
  <c r="M481" i="1"/>
  <c r="A426" i="1"/>
  <c r="O555" i="1"/>
  <c r="R468" i="1"/>
  <c r="H507" i="1"/>
  <c r="S465" i="1"/>
  <c r="R815" i="1"/>
  <c r="G744" i="1"/>
  <c r="V663" i="1"/>
  <c r="E801" i="1"/>
  <c r="U657" i="1"/>
  <c r="K607" i="1"/>
  <c r="F483" i="1"/>
  <c r="E642" i="1"/>
  <c r="D761" i="1"/>
  <c r="N593" i="1"/>
  <c r="S675" i="1"/>
  <c r="F587" i="1"/>
  <c r="P458" i="1"/>
  <c r="M584" i="1"/>
  <c r="S558" i="1"/>
  <c r="D668" i="1"/>
  <c r="I370" i="1"/>
  <c r="I115" i="1"/>
  <c r="G281" i="1"/>
  <c r="V778" i="1"/>
  <c r="F229" i="1"/>
  <c r="P409" i="1"/>
  <c r="I388" i="1"/>
  <c r="V369" i="1"/>
  <c r="V769" i="1"/>
  <c r="V586" i="1"/>
  <c r="B737" i="1"/>
  <c r="M834" i="1"/>
  <c r="B416" i="1"/>
  <c r="A647" i="1"/>
  <c r="B805" i="1"/>
  <c r="C561" i="1"/>
  <c r="Q614" i="1"/>
  <c r="M732" i="1"/>
  <c r="K685" i="1"/>
  <c r="N499" i="1"/>
  <c r="P900" i="1"/>
  <c r="P764" i="1"/>
  <c r="T687" i="1"/>
  <c r="E748" i="1"/>
  <c r="U738" i="1"/>
  <c r="T558" i="1"/>
  <c r="G501" i="1"/>
  <c r="M121" i="1"/>
  <c r="V587" i="1"/>
  <c r="H919" i="1"/>
  <c r="F593" i="1"/>
  <c r="L375" i="1"/>
  <c r="C493" i="1"/>
  <c r="J445" i="1"/>
  <c r="S742" i="1"/>
  <c r="I309" i="1"/>
  <c r="D789" i="1"/>
  <c r="F259" i="1"/>
  <c r="F353" i="1"/>
  <c r="M397" i="1"/>
  <c r="V525" i="1"/>
  <c r="V689" i="1"/>
  <c r="J882" i="1"/>
  <c r="P740" i="1"/>
  <c r="B909" i="1"/>
  <c r="D553" i="1"/>
  <c r="I598" i="1"/>
  <c r="U681" i="1"/>
  <c r="I528" i="1"/>
  <c r="N881" i="1"/>
  <c r="S479" i="1"/>
  <c r="Q630" i="1"/>
  <c r="O667" i="1"/>
  <c r="K280" i="1"/>
  <c r="V430" i="1"/>
  <c r="I406" i="1"/>
  <c r="L455" i="1"/>
  <c r="P461" i="1"/>
  <c r="G491" i="1"/>
  <c r="L782" i="1"/>
  <c r="D87" i="1"/>
  <c r="L517" i="1"/>
  <c r="N252" i="1"/>
  <c r="C367" i="1"/>
  <c r="B480" i="1"/>
  <c r="E232" i="1"/>
  <c r="Q535" i="1"/>
  <c r="N417" i="1"/>
  <c r="F386" i="1"/>
  <c r="J331" i="1"/>
  <c r="K382" i="1"/>
  <c r="N340" i="1"/>
  <c r="A760" i="1"/>
  <c r="J480" i="1"/>
  <c r="T332" i="1"/>
  <c r="N269" i="1"/>
  <c r="B476" i="1"/>
  <c r="K508" i="1"/>
  <c r="A829" i="1"/>
  <c r="I692" i="1"/>
  <c r="F681" i="1"/>
  <c r="F576" i="1"/>
  <c r="F520" i="1"/>
  <c r="K734" i="1"/>
  <c r="R606" i="1"/>
  <c r="L728" i="1"/>
  <c r="F706" i="1"/>
  <c r="T704" i="1"/>
  <c r="R362" i="1"/>
  <c r="T260" i="1"/>
  <c r="C597" i="1"/>
  <c r="E530" i="1"/>
  <c r="H288" i="1"/>
  <c r="F480" i="1"/>
  <c r="J436" i="1"/>
  <c r="F907" i="1"/>
  <c r="H418" i="1"/>
  <c r="F384" i="1"/>
  <c r="C492" i="1"/>
  <c r="K373" i="1"/>
  <c r="S335" i="1"/>
  <c r="V346" i="1"/>
  <c r="E409" i="1"/>
  <c r="Q277" i="1"/>
  <c r="F453" i="1"/>
  <c r="D492" i="1"/>
  <c r="T321" i="1"/>
  <c r="L703" i="1"/>
  <c r="L693" i="1"/>
  <c r="J692" i="1"/>
  <c r="K223" i="1"/>
  <c r="F570" i="1"/>
  <c r="P600" i="1"/>
  <c r="E792" i="1"/>
  <c r="P475" i="1"/>
  <c r="G609" i="1"/>
  <c r="B510" i="1"/>
  <c r="O437" i="1"/>
  <c r="I796" i="1"/>
  <c r="M456" i="1"/>
  <c r="Q392" i="1"/>
  <c r="M871" i="1"/>
  <c r="J441" i="1"/>
  <c r="U403" i="1"/>
  <c r="F717" i="1"/>
  <c r="L371" i="1"/>
  <c r="P384" i="1"/>
  <c r="M682" i="1"/>
  <c r="V136" i="1"/>
  <c r="N351" i="1"/>
  <c r="Q375" i="1"/>
  <c r="L687" i="1"/>
  <c r="S602" i="1"/>
  <c r="E426" i="1"/>
  <c r="K868" i="1"/>
  <c r="R480" i="1"/>
  <c r="L646" i="1"/>
  <c r="R706" i="1"/>
  <c r="F816" i="1"/>
  <c r="J546" i="1"/>
  <c r="A557" i="1"/>
  <c r="N541" i="1"/>
  <c r="Q773" i="1"/>
  <c r="Q669" i="1"/>
  <c r="L611" i="1"/>
  <c r="I694" i="1"/>
  <c r="J696" i="1"/>
  <c r="J581" i="1"/>
  <c r="B320" i="1"/>
  <c r="A424" i="1"/>
  <c r="E467" i="1"/>
  <c r="F420" i="1"/>
  <c r="O495" i="1"/>
  <c r="T504" i="1"/>
  <c r="R472" i="1"/>
  <c r="G465" i="1"/>
  <c r="G486" i="1"/>
  <c r="C636" i="1"/>
  <c r="C265" i="1"/>
  <c r="O576" i="1"/>
  <c r="U475" i="1"/>
  <c r="M701" i="1"/>
  <c r="L324" i="1"/>
  <c r="F873" i="1"/>
  <c r="G408" i="1"/>
  <c r="J597" i="1"/>
  <c r="U521" i="1"/>
  <c r="Q339" i="1"/>
  <c r="S484" i="1"/>
  <c r="V283" i="1"/>
  <c r="E891" i="1"/>
  <c r="N449" i="1"/>
  <c r="H567" i="1"/>
  <c r="C371" i="1"/>
  <c r="J286" i="1"/>
  <c r="S62" i="1"/>
  <c r="I161" i="1"/>
  <c r="V298" i="1"/>
  <c r="A234" i="1"/>
  <c r="H297" i="1"/>
  <c r="V457" i="1"/>
  <c r="U567" i="1"/>
  <c r="O397" i="1"/>
  <c r="A383" i="1"/>
  <c r="F515" i="1"/>
  <c r="S135" i="1"/>
  <c r="B310" i="1"/>
  <c r="U579" i="1"/>
  <c r="A489" i="1"/>
  <c r="U515" i="1"/>
  <c r="U749" i="1"/>
  <c r="F743" i="1"/>
  <c r="D711" i="1"/>
  <c r="B660" i="1"/>
  <c r="N774" i="1"/>
  <c r="H629" i="1"/>
  <c r="P732" i="1"/>
  <c r="R581" i="1"/>
  <c r="A669" i="1"/>
  <c r="U470" i="1"/>
  <c r="P813" i="1"/>
  <c r="N287" i="1"/>
  <c r="A527" i="1"/>
  <c r="B389" i="1"/>
  <c r="P646" i="1"/>
  <c r="C266" i="1"/>
  <c r="A216" i="1"/>
  <c r="F583" i="1"/>
  <c r="T231" i="1"/>
  <c r="M661" i="1"/>
  <c r="R313" i="1"/>
  <c r="Q717" i="1"/>
  <c r="G453" i="1"/>
  <c r="D452" i="1"/>
  <c r="K418" i="1"/>
  <c r="B599" i="1"/>
  <c r="K623" i="1"/>
  <c r="A613" i="1"/>
  <c r="J501" i="1"/>
  <c r="F651" i="1"/>
  <c r="D777" i="1"/>
  <c r="D487" i="1"/>
  <c r="L797" i="1"/>
  <c r="S643" i="1"/>
  <c r="R534" i="1"/>
  <c r="C878" i="1"/>
  <c r="A299" i="1"/>
  <c r="F409" i="1"/>
  <c r="K294" i="1"/>
  <c r="R392" i="1"/>
  <c r="V279" i="1"/>
  <c r="R213" i="1"/>
  <c r="I503" i="1"/>
  <c r="Q494" i="1"/>
  <c r="N676" i="1"/>
  <c r="H40" i="1"/>
  <c r="K405" i="1"/>
  <c r="A506" i="1"/>
  <c r="N382" i="1"/>
  <c r="U651" i="1"/>
  <c r="U797" i="1"/>
  <c r="V721" i="1"/>
  <c r="C726" i="1"/>
  <c r="E448" i="1"/>
  <c r="K663" i="1"/>
  <c r="T370" i="1"/>
  <c r="D603" i="1"/>
  <c r="L332" i="1"/>
  <c r="Q789" i="1"/>
  <c r="V495" i="1"/>
  <c r="M662" i="1"/>
  <c r="Q374" i="1"/>
  <c r="P481" i="1"/>
  <c r="V557" i="1"/>
  <c r="I670" i="1"/>
  <c r="G791" i="1"/>
  <c r="D367" i="1"/>
  <c r="J545" i="1"/>
  <c r="N535" i="1"/>
  <c r="M503" i="1"/>
  <c r="E541" i="1"/>
  <c r="F752" i="1"/>
  <c r="G440" i="1"/>
  <c r="R49" i="1"/>
  <c r="M771" i="1"/>
  <c r="E412" i="1"/>
  <c r="R810" i="1"/>
  <c r="C626" i="1"/>
  <c r="C488" i="1"/>
  <c r="I912" i="1"/>
  <c r="T802" i="1"/>
  <c r="D525" i="1"/>
  <c r="P444" i="1"/>
  <c r="P455" i="1"/>
  <c r="C572" i="1"/>
  <c r="P729" i="1"/>
  <c r="E341" i="1"/>
  <c r="M653" i="1"/>
  <c r="S593" i="1"/>
  <c r="F733" i="1"/>
  <c r="Q563" i="1"/>
  <c r="T491" i="1"/>
  <c r="F411" i="1"/>
  <c r="L424" i="1"/>
  <c r="C473" i="1"/>
  <c r="L472" i="1"/>
  <c r="F921" i="1"/>
  <c r="O345" i="1"/>
  <c r="Q451" i="1"/>
  <c r="G781" i="1"/>
  <c r="Q449" i="1"/>
  <c r="M546" i="1"/>
  <c r="L220" i="1"/>
  <c r="R550" i="1"/>
  <c r="K449" i="1"/>
  <c r="C325" i="1"/>
  <c r="R484" i="1"/>
  <c r="Q620" i="1"/>
  <c r="K771" i="1"/>
  <c r="F618" i="1"/>
  <c r="G473" i="1"/>
  <c r="T482" i="1"/>
  <c r="N596" i="1"/>
  <c r="J313" i="1"/>
  <c r="S515" i="1"/>
  <c r="F726" i="1"/>
  <c r="T720" i="1"/>
  <c r="I540" i="1"/>
  <c r="B558" i="1"/>
  <c r="C238" i="1"/>
  <c r="D499" i="1"/>
  <c r="J332" i="1"/>
  <c r="M351" i="1"/>
  <c r="N459" i="1"/>
  <c r="K321" i="1"/>
  <c r="U221" i="1"/>
  <c r="I268" i="1"/>
  <c r="I698" i="1"/>
  <c r="R620" i="1"/>
  <c r="O259" i="1"/>
  <c r="H247" i="1"/>
  <c r="I236" i="1"/>
  <c r="F236" i="1"/>
  <c r="F469" i="1"/>
  <c r="K595" i="1"/>
  <c r="L77" i="1"/>
  <c r="O385" i="1"/>
  <c r="A361" i="1"/>
  <c r="O365" i="1"/>
  <c r="K404" i="1"/>
  <c r="V146" i="1"/>
  <c r="A364" i="1"/>
  <c r="L520" i="1"/>
  <c r="M717" i="1"/>
  <c r="I801" i="1"/>
  <c r="U811" i="1"/>
  <c r="U520" i="1"/>
  <c r="J703" i="1"/>
  <c r="D512" i="1"/>
  <c r="C642" i="1"/>
  <c r="P553" i="1"/>
  <c r="H578" i="1"/>
  <c r="O448" i="1"/>
  <c r="T499" i="1"/>
  <c r="A363" i="1"/>
  <c r="G905" i="1"/>
  <c r="I681" i="1"/>
  <c r="V720" i="1"/>
  <c r="H571" i="1"/>
  <c r="R433" i="1"/>
  <c r="O462" i="1"/>
  <c r="U564" i="1"/>
  <c r="G352" i="1"/>
  <c r="U397" i="1"/>
  <c r="H303" i="1"/>
  <c r="E844" i="1"/>
  <c r="Q348" i="1"/>
  <c r="E657" i="1"/>
  <c r="Q558" i="1"/>
  <c r="E535" i="1"/>
  <c r="J762" i="1"/>
  <c r="O152" i="1"/>
  <c r="T227" i="1"/>
  <c r="E496" i="1"/>
  <c r="F213" i="1"/>
  <c r="R762" i="1"/>
  <c r="R579" i="1"/>
  <c r="B720" i="1"/>
  <c r="J371" i="1"/>
  <c r="O569" i="1"/>
  <c r="D514" i="1"/>
  <c r="D796" i="1"/>
  <c r="I760" i="1"/>
  <c r="L502" i="1"/>
  <c r="R912" i="1"/>
  <c r="B643" i="1"/>
  <c r="J535" i="1"/>
  <c r="B329" i="1"/>
  <c r="Q347" i="1"/>
  <c r="I537" i="1"/>
  <c r="C462" i="1"/>
  <c r="D433" i="1"/>
  <c r="I612" i="1"/>
  <c r="S393" i="1"/>
  <c r="L754" i="1"/>
  <c r="F285" i="1"/>
  <c r="B647" i="1"/>
  <c r="E413" i="1"/>
  <c r="T305" i="1"/>
  <c r="O722" i="1"/>
  <c r="Q679" i="1"/>
  <c r="O516" i="1"/>
  <c r="K580" i="1"/>
  <c r="U779" i="1"/>
  <c r="J370" i="1"/>
  <c r="C815" i="1"/>
  <c r="P536" i="1"/>
  <c r="B550" i="1"/>
  <c r="C320" i="1"/>
  <c r="D333" i="1"/>
  <c r="F756" i="1"/>
  <c r="S500" i="1"/>
  <c r="M385" i="1"/>
  <c r="E606" i="1"/>
  <c r="Q730" i="1"/>
  <c r="M451" i="1"/>
  <c r="F395" i="1"/>
  <c r="T804" i="1"/>
  <c r="E307" i="1"/>
  <c r="E394" i="1"/>
  <c r="M406" i="1"/>
  <c r="A650" i="1"/>
  <c r="T371" i="1"/>
  <c r="L286" i="1"/>
  <c r="Q706" i="1"/>
  <c r="E438" i="1"/>
  <c r="S557" i="1"/>
  <c r="G456" i="1"/>
  <c r="I831" i="1"/>
  <c r="P430" i="1"/>
  <c r="G308" i="1"/>
  <c r="U302" i="1"/>
  <c r="S424" i="1"/>
  <c r="J818" i="1"/>
  <c r="E446" i="1"/>
  <c r="O317" i="1"/>
  <c r="J603" i="1"/>
  <c r="I465" i="1"/>
  <c r="V260" i="1"/>
  <c r="G284" i="1"/>
  <c r="B325" i="1"/>
  <c r="G77" i="1"/>
  <c r="H542" i="1"/>
  <c r="F144" i="1"/>
  <c r="S394" i="1"/>
  <c r="N546" i="1"/>
  <c r="M431" i="1"/>
  <c r="I299" i="1"/>
  <c r="C68" i="1"/>
  <c r="N665" i="1"/>
  <c r="C522" i="1"/>
  <c r="A332" i="1"/>
  <c r="V397" i="1"/>
  <c r="C329" i="1"/>
  <c r="C521" i="1"/>
  <c r="L512" i="1"/>
  <c r="S629" i="1"/>
  <c r="S891" i="1"/>
  <c r="M593" i="1"/>
  <c r="V522" i="1"/>
  <c r="I482" i="1"/>
  <c r="U326" i="1"/>
  <c r="B432" i="1"/>
  <c r="O514" i="1"/>
  <c r="P827" i="1"/>
  <c r="O731" i="1"/>
  <c r="Q796" i="1"/>
  <c r="S459" i="1"/>
  <c r="E372" i="1"/>
  <c r="S817" i="1"/>
  <c r="U522" i="1"/>
  <c r="B820" i="1"/>
  <c r="S509" i="1"/>
  <c r="Q695" i="1"/>
  <c r="S501" i="1"/>
  <c r="S437" i="1"/>
  <c r="U620" i="1"/>
  <c r="F579" i="1"/>
  <c r="N345" i="1"/>
  <c r="G441" i="1"/>
  <c r="S760" i="1"/>
  <c r="H759" i="1"/>
  <c r="H864" i="1"/>
  <c r="E887" i="1"/>
  <c r="T544" i="1"/>
  <c r="R786" i="1"/>
  <c r="Q539" i="1"/>
  <c r="R396" i="1"/>
  <c r="E670" i="1"/>
  <c r="U561" i="1"/>
  <c r="C680" i="1"/>
  <c r="O881" i="1"/>
  <c r="R455" i="1"/>
  <c r="H874" i="1"/>
  <c r="F519" i="1"/>
  <c r="K594" i="1"/>
  <c r="N371" i="1"/>
  <c r="O546" i="1"/>
  <c r="S461" i="1"/>
  <c r="J648" i="1"/>
  <c r="P404" i="1"/>
  <c r="O721" i="1"/>
  <c r="G118" i="1"/>
  <c r="Q504" i="1"/>
  <c r="D550" i="1"/>
  <c r="N532" i="1"/>
  <c r="A391" i="1"/>
  <c r="J712" i="1"/>
  <c r="S659" i="1"/>
  <c r="J571" i="1"/>
  <c r="H316" i="1"/>
  <c r="Q455" i="1"/>
  <c r="N742" i="1"/>
  <c r="M611" i="1"/>
  <c r="I450" i="1"/>
  <c r="L356" i="1"/>
  <c r="C316" i="1"/>
  <c r="C754" i="1"/>
  <c r="S739" i="1"/>
  <c r="P780" i="1"/>
  <c r="J688" i="1"/>
  <c r="P255" i="1"/>
  <c r="F493" i="1"/>
  <c r="A683" i="1"/>
  <c r="F135" i="1"/>
  <c r="O586" i="1"/>
  <c r="D251" i="1"/>
  <c r="V261" i="1"/>
  <c r="M386" i="1"/>
  <c r="L760" i="1"/>
  <c r="K647" i="1"/>
  <c r="D802" i="1"/>
  <c r="U789" i="1"/>
  <c r="C569" i="1"/>
  <c r="U555" i="1"/>
  <c r="M699" i="1"/>
  <c r="K666" i="1"/>
  <c r="J343" i="1"/>
  <c r="B470" i="1"/>
  <c r="B664" i="1"/>
  <c r="U569" i="1"/>
  <c r="U410" i="1"/>
  <c r="T325" i="1"/>
  <c r="E507" i="1"/>
  <c r="G702" i="1"/>
  <c r="U655" i="1"/>
  <c r="C92" i="1"/>
  <c r="V562" i="1"/>
  <c r="E743" i="1"/>
  <c r="I64" i="1"/>
  <c r="H376" i="1"/>
  <c r="S641" i="1"/>
  <c r="M277" i="1"/>
  <c r="F671" i="1"/>
  <c r="E554" i="1"/>
  <c r="P500" i="1"/>
  <c r="U465" i="1"/>
  <c r="D288" i="1"/>
  <c r="L227" i="1"/>
  <c r="Q500" i="1"/>
  <c r="C350" i="1"/>
  <c r="Q401" i="1"/>
  <c r="T685" i="1"/>
  <c r="J811" i="1"/>
  <c r="J687" i="1"/>
  <c r="I720" i="1"/>
  <c r="E392" i="1"/>
  <c r="R578" i="1"/>
  <c r="T712" i="1"/>
  <c r="M564" i="1"/>
  <c r="S526" i="1"/>
  <c r="M586" i="1"/>
  <c r="Q442" i="1"/>
  <c r="J840" i="1"/>
  <c r="C526" i="1"/>
  <c r="F427" i="1"/>
  <c r="F382" i="1"/>
  <c r="S677" i="1"/>
  <c r="V637" i="1"/>
  <c r="C552" i="1"/>
  <c r="J561" i="1"/>
  <c r="A511" i="1"/>
  <c r="C430" i="1"/>
  <c r="N416" i="1"/>
  <c r="S290" i="1"/>
  <c r="L599" i="1"/>
  <c r="C581" i="1"/>
  <c r="D582" i="1"/>
  <c r="G686" i="1"/>
  <c r="F892" i="1"/>
  <c r="K687" i="1"/>
  <c r="F694" i="1"/>
  <c r="O572" i="1"/>
  <c r="T692" i="1"/>
  <c r="R570" i="1"/>
  <c r="T242" i="1"/>
  <c r="T265" i="1"/>
  <c r="N487" i="1"/>
  <c r="G449" i="1"/>
  <c r="B695" i="1"/>
  <c r="P375" i="1"/>
  <c r="D219" i="1"/>
  <c r="O399" i="1"/>
  <c r="E489" i="1"/>
  <c r="E561" i="1"/>
  <c r="E344" i="1"/>
  <c r="I294" i="1"/>
  <c r="K411" i="1"/>
  <c r="C332" i="1"/>
  <c r="P881" i="1"/>
  <c r="I601" i="1"/>
  <c r="S759" i="1"/>
  <c r="T723" i="1"/>
  <c r="K514" i="1"/>
  <c r="J500" i="1"/>
  <c r="A554" i="1"/>
  <c r="N612" i="1"/>
  <c r="P629" i="1"/>
  <c r="V355" i="1"/>
  <c r="H258" i="1"/>
  <c r="M591" i="1"/>
  <c r="C197" i="1"/>
  <c r="U393" i="1"/>
  <c r="K741" i="1"/>
  <c r="B438" i="1"/>
  <c r="T469" i="1"/>
  <c r="V316" i="1"/>
  <c r="R465" i="1"/>
  <c r="K430" i="1"/>
  <c r="L318" i="1"/>
  <c r="G303" i="1"/>
  <c r="V555" i="1"/>
  <c r="I313" i="1"/>
  <c r="T763" i="1"/>
  <c r="O732" i="1"/>
  <c r="F853" i="1"/>
  <c r="O484" i="1"/>
  <c r="H634" i="1"/>
  <c r="P656" i="1"/>
  <c r="R354" i="1"/>
  <c r="R662" i="1"/>
  <c r="D423" i="1"/>
  <c r="O539" i="1"/>
  <c r="V444" i="1"/>
  <c r="N717" i="1"/>
  <c r="O456" i="1"/>
  <c r="G661" i="1"/>
  <c r="U685" i="1"/>
  <c r="Q562" i="1"/>
  <c r="R319" i="1"/>
  <c r="U265" i="1"/>
  <c r="G436" i="1"/>
  <c r="R388" i="1"/>
  <c r="A435" i="1"/>
  <c r="K778" i="1"/>
  <c r="C278" i="1"/>
  <c r="R773" i="1"/>
  <c r="M177" i="1"/>
  <c r="Q407" i="1"/>
  <c r="H543" i="1"/>
  <c r="K331" i="1"/>
  <c r="B203" i="1"/>
  <c r="E520" i="1"/>
  <c r="J551" i="1"/>
  <c r="V462" i="1"/>
  <c r="F356" i="1"/>
  <c r="N409" i="1"/>
  <c r="D397" i="1"/>
  <c r="Q462" i="1"/>
  <c r="F431" i="1"/>
  <c r="L503" i="1"/>
  <c r="O616" i="1"/>
  <c r="B213" i="1"/>
  <c r="Q409" i="1"/>
  <c r="R504" i="1"/>
  <c r="J761" i="1"/>
  <c r="J495" i="1"/>
  <c r="R225" i="1"/>
  <c r="D194" i="1"/>
  <c r="H705" i="1"/>
  <c r="A750" i="1"/>
  <c r="E385" i="1"/>
  <c r="G334" i="1"/>
  <c r="Q678" i="1"/>
  <c r="H454" i="1"/>
  <c r="Q661" i="1"/>
  <c r="P272" i="1"/>
  <c r="P366" i="1"/>
  <c r="M580" i="1"/>
  <c r="U565" i="1"/>
  <c r="A707" i="1"/>
  <c r="R571" i="1"/>
  <c r="D322" i="1"/>
  <c r="P671" i="1"/>
  <c r="N690" i="1"/>
  <c r="I300" i="1"/>
  <c r="N219" i="1"/>
  <c r="F810" i="1"/>
  <c r="Q515" i="1"/>
  <c r="I646" i="1"/>
  <c r="D294" i="1"/>
  <c r="J470" i="1"/>
  <c r="N714" i="1"/>
  <c r="T347" i="1"/>
  <c r="D678" i="1"/>
  <c r="T889" i="1"/>
  <c r="B574" i="1"/>
  <c r="T459" i="1"/>
  <c r="P664" i="1"/>
  <c r="S402" i="1"/>
  <c r="L491" i="1"/>
  <c r="F278" i="1"/>
  <c r="O318" i="1"/>
  <c r="V282" i="1"/>
  <c r="K621" i="1"/>
  <c r="S741" i="1"/>
  <c r="E582" i="1"/>
  <c r="D517" i="1"/>
  <c r="L790" i="1"/>
  <c r="F466" i="1"/>
  <c r="S582" i="1"/>
  <c r="M667" i="1"/>
  <c r="A582" i="1"/>
  <c r="V619" i="1"/>
  <c r="R638" i="1"/>
  <c r="E521" i="1"/>
  <c r="Q474" i="1"/>
  <c r="I691" i="1"/>
  <c r="D814" i="1"/>
  <c r="M364" i="1"/>
  <c r="S368" i="1"/>
  <c r="F292" i="1"/>
  <c r="G346" i="1"/>
  <c r="E475" i="1"/>
  <c r="D284" i="1"/>
  <c r="U549" i="1"/>
  <c r="B397" i="1"/>
  <c r="K818" i="1"/>
  <c r="R870" i="1"/>
  <c r="P585" i="1"/>
  <c r="R868" i="1"/>
  <c r="T532" i="1"/>
  <c r="D727" i="1"/>
  <c r="P483" i="1"/>
  <c r="U806" i="1"/>
  <c r="G675" i="1"/>
  <c r="T607" i="1"/>
  <c r="C846" i="1"/>
  <c r="U708" i="1"/>
  <c r="K689" i="1"/>
  <c r="T408" i="1"/>
  <c r="R412" i="1"/>
  <c r="J393" i="1"/>
  <c r="I496" i="1"/>
  <c r="F406" i="1"/>
  <c r="L458" i="1"/>
  <c r="P700" i="1"/>
  <c r="D486" i="1"/>
  <c r="M895" i="1"/>
  <c r="G402" i="1"/>
  <c r="V320" i="1"/>
  <c r="E12" i="1"/>
  <c r="J334" i="1"/>
  <c r="F728" i="1"/>
  <c r="R600" i="1"/>
  <c r="E766" i="1"/>
  <c r="M617" i="1"/>
  <c r="V783" i="1"/>
  <c r="Q771" i="1"/>
  <c r="C392" i="1"/>
  <c r="O520" i="1"/>
  <c r="P531" i="1"/>
  <c r="E648" i="1"/>
  <c r="P622" i="1"/>
  <c r="B566" i="1"/>
  <c r="M416" i="1"/>
  <c r="M282" i="1"/>
  <c r="R516" i="1"/>
  <c r="Q525" i="1"/>
  <c r="H600" i="1"/>
  <c r="I542" i="1"/>
  <c r="M642" i="1"/>
  <c r="U553" i="1"/>
  <c r="O262" i="1"/>
  <c r="G742" i="1"/>
  <c r="A439" i="1"/>
  <c r="F131" i="1"/>
  <c r="V727" i="1"/>
  <c r="H111" i="1"/>
  <c r="T449" i="1"/>
  <c r="U598" i="1"/>
  <c r="I220" i="1"/>
  <c r="N360" i="1"/>
  <c r="O655" i="1"/>
  <c r="H579" i="1"/>
  <c r="I624" i="1"/>
  <c r="E765" i="1"/>
  <c r="B583" i="1"/>
  <c r="B603" i="1"/>
  <c r="K523" i="1"/>
  <c r="V726" i="1"/>
  <c r="M496" i="1"/>
  <c r="K587" i="1"/>
  <c r="H602" i="1"/>
  <c r="B404" i="1"/>
  <c r="F607" i="1"/>
  <c r="Q429" i="1"/>
  <c r="S434" i="1"/>
  <c r="N635" i="1"/>
  <c r="A484" i="1"/>
  <c r="K794" i="1"/>
  <c r="B479" i="1"/>
  <c r="D429" i="1"/>
  <c r="F522" i="1"/>
  <c r="F70" i="1"/>
  <c r="D191" i="1"/>
  <c r="H484" i="1"/>
  <c r="K16" i="1"/>
  <c r="N310" i="1"/>
  <c r="N623" i="1"/>
  <c r="P551" i="1"/>
  <c r="T291" i="1"/>
  <c r="J37" i="1"/>
  <c r="A354" i="1"/>
  <c r="Q281" i="1"/>
  <c r="I321" i="1"/>
  <c r="V414" i="1"/>
  <c r="J64" i="1"/>
  <c r="G326" i="1"/>
  <c r="O430" i="1"/>
  <c r="K103" i="1"/>
  <c r="U457" i="1"/>
  <c r="V712" i="1"/>
  <c r="S769" i="1"/>
  <c r="A722" i="1"/>
  <c r="B665" i="1"/>
  <c r="C688" i="1"/>
  <c r="P661" i="1"/>
  <c r="F578" i="1"/>
  <c r="M439" i="1"/>
  <c r="N608" i="1"/>
  <c r="I702" i="1"/>
  <c r="C251" i="1"/>
  <c r="R293" i="1"/>
  <c r="B718" i="1"/>
  <c r="P546" i="1"/>
  <c r="U696" i="1"/>
  <c r="D401" i="1"/>
  <c r="P620" i="1"/>
  <c r="G645" i="1"/>
  <c r="B374" i="1"/>
  <c r="D610" i="1"/>
  <c r="I180" i="1"/>
  <c r="O443" i="1"/>
  <c r="D782" i="1"/>
  <c r="B250" i="1"/>
  <c r="G384" i="1"/>
  <c r="Q426" i="1"/>
  <c r="C364" i="1"/>
  <c r="T512" i="1"/>
  <c r="V216" i="1"/>
  <c r="F559" i="1"/>
  <c r="I690" i="1"/>
  <c r="J876" i="1"/>
  <c r="J849" i="1"/>
  <c r="D474" i="1"/>
  <c r="R634" i="1"/>
  <c r="V607" i="1"/>
  <c r="I498" i="1"/>
  <c r="C794" i="1"/>
  <c r="M347" i="1"/>
  <c r="I610" i="1"/>
  <c r="M594" i="1"/>
  <c r="D528" i="1"/>
  <c r="L595" i="1"/>
  <c r="N319" i="1"/>
  <c r="P493" i="1"/>
  <c r="C586" i="1"/>
  <c r="B381" i="1"/>
  <c r="V497" i="1"/>
  <c r="J431" i="1"/>
  <c r="I717" i="1"/>
  <c r="C489" i="1"/>
  <c r="M381" i="1"/>
  <c r="G785" i="1"/>
  <c r="D381" i="1"/>
  <c r="G207" i="1"/>
  <c r="H697" i="1"/>
  <c r="A784" i="1"/>
  <c r="V659" i="1"/>
  <c r="L516" i="1"/>
  <c r="L644" i="1"/>
  <c r="P667" i="1"/>
  <c r="O562" i="1"/>
  <c r="N851" i="1"/>
  <c r="R622" i="1"/>
  <c r="D443" i="1"/>
  <c r="P469" i="1"/>
  <c r="E492" i="1"/>
  <c r="R695" i="1"/>
  <c r="K513" i="1"/>
  <c r="A587" i="1"/>
  <c r="S647" i="1"/>
  <c r="T562" i="1"/>
  <c r="S376" i="1"/>
  <c r="B624" i="1"/>
  <c r="G594" i="1"/>
  <c r="R440" i="1"/>
  <c r="S783" i="1"/>
  <c r="K648" i="1"/>
  <c r="H466" i="1"/>
  <c r="E268" i="1"/>
  <c r="M706" i="1"/>
  <c r="Q862" i="1"/>
  <c r="G539" i="1"/>
  <c r="L847" i="1"/>
  <c r="Q457" i="1"/>
  <c r="J625" i="1"/>
  <c r="P370" i="1"/>
  <c r="S562" i="1"/>
  <c r="E502" i="1"/>
  <c r="Q568" i="1"/>
  <c r="V206" i="1"/>
  <c r="S372" i="1"/>
  <c r="O324" i="1"/>
  <c r="M627" i="1"/>
  <c r="P330" i="1"/>
  <c r="E335" i="1"/>
  <c r="E471" i="1"/>
  <c r="B452" i="1"/>
  <c r="D648" i="1"/>
  <c r="I427" i="1"/>
  <c r="B308" i="1"/>
  <c r="J56" i="1"/>
  <c r="S588" i="1"/>
  <c r="E517" i="1"/>
  <c r="C226" i="1"/>
  <c r="F359" i="1"/>
  <c r="E694" i="1"/>
  <c r="Q370" i="1"/>
  <c r="R680" i="1"/>
  <c r="K17" i="1"/>
  <c r="B474" i="1"/>
  <c r="R831" i="1"/>
  <c r="G710" i="1"/>
  <c r="N642" i="1"/>
  <c r="H625" i="1"/>
  <c r="L802" i="1"/>
  <c r="J518" i="1"/>
  <c r="J573" i="1"/>
  <c r="L378" i="1"/>
  <c r="P595" i="1"/>
  <c r="L497" i="1"/>
  <c r="T684" i="1"/>
  <c r="P442" i="1"/>
  <c r="G565" i="1"/>
  <c r="L781" i="1"/>
  <c r="L668" i="1"/>
  <c r="E486" i="1"/>
  <c r="S581" i="1"/>
  <c r="B628" i="1"/>
  <c r="L429" i="1"/>
  <c r="C558" i="1"/>
  <c r="S448" i="1"/>
  <c r="H732" i="1"/>
  <c r="N600" i="1"/>
  <c r="A374" i="1"/>
  <c r="I592" i="1"/>
  <c r="T627" i="1"/>
  <c r="G617" i="1"/>
  <c r="O677" i="1"/>
  <c r="P472" i="1"/>
  <c r="Q871" i="1"/>
  <c r="O617" i="1"/>
  <c r="M866" i="1"/>
  <c r="B645" i="1"/>
  <c r="H573" i="1"/>
  <c r="Q740" i="1"/>
  <c r="B592" i="1"/>
  <c r="U474" i="1"/>
  <c r="Q403" i="1"/>
  <c r="O481" i="1"/>
  <c r="A368" i="1"/>
  <c r="A777" i="1"/>
  <c r="J743" i="1"/>
  <c r="H521" i="1"/>
  <c r="G152" i="1"/>
  <c r="I602" i="1"/>
  <c r="B339" i="1"/>
  <c r="M384" i="1"/>
  <c r="O434" i="1"/>
  <c r="C306" i="1"/>
  <c r="H792" i="1"/>
  <c r="K581" i="1"/>
  <c r="M829" i="1"/>
  <c r="Q781" i="1"/>
  <c r="D738" i="1"/>
  <c r="L531" i="1"/>
  <c r="O817" i="1"/>
  <c r="J539" i="1"/>
  <c r="J558" i="1"/>
  <c r="M574" i="1"/>
  <c r="K352" i="1"/>
  <c r="U442" i="1"/>
  <c r="D574" i="1"/>
  <c r="M634" i="1"/>
  <c r="E282" i="1"/>
  <c r="B385" i="1"/>
  <c r="O232" i="1"/>
  <c r="J607" i="1"/>
  <c r="Q405" i="1"/>
  <c r="A513" i="1"/>
  <c r="L416" i="1"/>
  <c r="Q651" i="1"/>
  <c r="R700" i="1"/>
  <c r="D462" i="1"/>
  <c r="G576" i="1"/>
  <c r="S810" i="1"/>
  <c r="N914" i="1"/>
  <c r="G335" i="1"/>
  <c r="G653" i="1"/>
  <c r="O728" i="1"/>
  <c r="H837" i="1"/>
  <c r="E756" i="1"/>
  <c r="H826" i="1"/>
  <c r="C733" i="1"/>
  <c r="O322" i="1"/>
  <c r="E595" i="1"/>
  <c r="T741" i="1"/>
  <c r="M491" i="1"/>
  <c r="Q701" i="1"/>
  <c r="I343" i="1"/>
  <c r="U609" i="1"/>
  <c r="H471" i="1"/>
  <c r="R668" i="1"/>
  <c r="K502" i="1"/>
  <c r="U399" i="1"/>
  <c r="J405" i="1"/>
  <c r="L771" i="1"/>
  <c r="H551" i="1"/>
  <c r="J451" i="1"/>
  <c r="L394" i="1"/>
  <c r="A603" i="1"/>
  <c r="K706" i="1"/>
  <c r="M783" i="1"/>
  <c r="C504" i="1"/>
  <c r="V585" i="1"/>
  <c r="V239" i="1"/>
  <c r="R402" i="1"/>
  <c r="Q783" i="1"/>
  <c r="F815" i="1"/>
  <c r="N897" i="1"/>
  <c r="L796" i="1"/>
  <c r="O694" i="1"/>
  <c r="K447" i="1"/>
  <c r="A490" i="1"/>
  <c r="H474" i="1"/>
  <c r="U213" i="1"/>
  <c r="C215" i="1"/>
  <c r="F442" i="1"/>
  <c r="T750" i="1"/>
  <c r="H513" i="1"/>
  <c r="F546" i="1"/>
  <c r="M596" i="1"/>
  <c r="P478" i="1"/>
  <c r="Q269" i="1"/>
  <c r="I80" i="1"/>
  <c r="D293" i="1"/>
  <c r="K239" i="1"/>
  <c r="V665" i="1"/>
  <c r="H666" i="1"/>
  <c r="H596" i="1"/>
  <c r="A357" i="1"/>
  <c r="O618" i="1"/>
  <c r="G446" i="1"/>
  <c r="D608" i="1"/>
  <c r="Q188" i="1"/>
  <c r="D764" i="1"/>
  <c r="P350" i="1"/>
  <c r="N560" i="1"/>
  <c r="E605" i="1"/>
  <c r="E19" i="1"/>
  <c r="Q427" i="1"/>
  <c r="D546" i="1"/>
  <c r="G332" i="1"/>
  <c r="L524" i="1"/>
  <c r="A225" i="1"/>
  <c r="S679" i="1"/>
  <c r="D804" i="1"/>
  <c r="T666" i="1"/>
  <c r="O744" i="1"/>
  <c r="J531" i="1"/>
  <c r="T652" i="1"/>
  <c r="K475" i="1"/>
  <c r="C802" i="1"/>
  <c r="A565" i="1"/>
  <c r="G783" i="1"/>
  <c r="N571" i="1"/>
  <c r="M461" i="1"/>
  <c r="I307" i="1"/>
  <c r="F199" i="1"/>
  <c r="D431" i="1"/>
  <c r="U669" i="1"/>
  <c r="D451" i="1"/>
  <c r="A620" i="1"/>
  <c r="P591" i="1"/>
  <c r="P501" i="1"/>
  <c r="K600" i="1"/>
  <c r="P682" i="1"/>
  <c r="C713" i="1"/>
  <c r="A737" i="1"/>
  <c r="L557" i="1"/>
  <c r="C449" i="1"/>
  <c r="A402" i="1"/>
  <c r="T364" i="1"/>
  <c r="K572" i="1"/>
  <c r="L125" i="1"/>
  <c r="J637" i="1"/>
  <c r="H262" i="1"/>
  <c r="F497" i="1"/>
  <c r="V432" i="1"/>
  <c r="L264" i="1"/>
  <c r="K697" i="1"/>
  <c r="O611" i="1"/>
  <c r="L755" i="1"/>
  <c r="J604" i="1"/>
  <c r="U543" i="1"/>
  <c r="N723" i="1"/>
  <c r="D366" i="1"/>
  <c r="N591" i="1"/>
  <c r="K641" i="1"/>
  <c r="B648" i="1"/>
  <c r="Q319" i="1"/>
  <c r="B467" i="1"/>
  <c r="L555" i="1"/>
  <c r="O693" i="1"/>
  <c r="V290" i="1"/>
  <c r="S396" i="1"/>
  <c r="T494" i="1"/>
  <c r="F423" i="1"/>
  <c r="U596" i="1"/>
  <c r="U384" i="1"/>
  <c r="N570" i="1"/>
  <c r="U600" i="1"/>
  <c r="C117" i="1"/>
  <c r="C498" i="1"/>
  <c r="N437" i="1"/>
  <c r="K743" i="1"/>
  <c r="E644" i="1"/>
  <c r="N671" i="1"/>
  <c r="B706" i="1"/>
  <c r="R287" i="1"/>
  <c r="D583" i="1"/>
  <c r="N594" i="1"/>
  <c r="J807" i="1"/>
  <c r="K699" i="1"/>
  <c r="I393" i="1"/>
  <c r="R501" i="1"/>
  <c r="C678" i="1"/>
  <c r="I746" i="1"/>
  <c r="S654" i="1"/>
  <c r="A388" i="1"/>
  <c r="S462" i="1"/>
  <c r="T322" i="1"/>
  <c r="S618" i="1"/>
  <c r="V327" i="1"/>
  <c r="T801" i="1"/>
  <c r="U540" i="1"/>
  <c r="V628" i="1"/>
  <c r="T288" i="1"/>
  <c r="G3" i="1"/>
  <c r="K22" i="1"/>
  <c r="F627" i="1"/>
  <c r="D326" i="1"/>
  <c r="S648" i="1"/>
  <c r="B343" i="1"/>
  <c r="J659" i="1"/>
  <c r="Q613" i="1"/>
  <c r="N604" i="1"/>
  <c r="R195" i="1"/>
  <c r="U491" i="1"/>
  <c r="M374" i="1"/>
  <c r="M460" i="1"/>
  <c r="Q438" i="1"/>
  <c r="A27" i="1"/>
  <c r="I616" i="1"/>
  <c r="I566" i="1"/>
  <c r="E366" i="1"/>
  <c r="V737" i="1"/>
  <c r="J663" i="1"/>
  <c r="K385" i="1"/>
  <c r="T24" i="1"/>
  <c r="P797" i="1"/>
  <c r="C609" i="1"/>
  <c r="D701" i="1"/>
  <c r="M468" i="1"/>
  <c r="U53" i="1"/>
  <c r="V93" i="1"/>
  <c r="G364" i="1"/>
  <c r="V426" i="1"/>
  <c r="M400" i="1"/>
  <c r="D600" i="1"/>
  <c r="H915" i="1"/>
  <c r="O852" i="1"/>
  <c r="B613" i="1"/>
  <c r="U460" i="1"/>
  <c r="N786" i="1"/>
  <c r="D780" i="1"/>
  <c r="R515" i="1"/>
  <c r="V418" i="1"/>
  <c r="M365" i="1"/>
  <c r="E680" i="1"/>
  <c r="N744" i="1"/>
  <c r="B511" i="1"/>
  <c r="K474" i="1"/>
  <c r="J626" i="1"/>
  <c r="B437" i="1"/>
  <c r="A406" i="1"/>
  <c r="N576" i="1"/>
  <c r="U591" i="1"/>
  <c r="E223" i="1"/>
  <c r="G487" i="1"/>
  <c r="R232" i="1"/>
  <c r="N605" i="1"/>
  <c r="G328" i="1"/>
  <c r="F822" i="1"/>
  <c r="R449" i="1"/>
  <c r="C912" i="1"/>
  <c r="Q621" i="1"/>
  <c r="T609" i="1"/>
  <c r="N898" i="1"/>
  <c r="A648" i="1"/>
  <c r="F540" i="1"/>
  <c r="U878" i="1"/>
  <c r="F755" i="1"/>
  <c r="P669" i="1"/>
  <c r="A434" i="1"/>
  <c r="L540" i="1"/>
  <c r="I773" i="1"/>
  <c r="M341" i="1"/>
  <c r="C583" i="1"/>
  <c r="B689" i="1"/>
  <c r="C290" i="1"/>
  <c r="N130" i="1"/>
  <c r="S444" i="1"/>
  <c r="V641" i="1"/>
  <c r="P318" i="1"/>
  <c r="N273" i="1"/>
  <c r="I656" i="1"/>
  <c r="T852" i="1"/>
  <c r="F366" i="1"/>
  <c r="J635" i="1"/>
  <c r="M767" i="1"/>
  <c r="Q903" i="1"/>
  <c r="J809" i="1"/>
  <c r="P688" i="1"/>
  <c r="A551" i="1"/>
  <c r="N819" i="1"/>
  <c r="N573" i="1"/>
  <c r="D524" i="1"/>
  <c r="J435" i="1"/>
  <c r="S630" i="1"/>
  <c r="Q645" i="1"/>
  <c r="T286" i="1"/>
  <c r="E565" i="1"/>
  <c r="N516" i="1"/>
  <c r="R336" i="1"/>
  <c r="D453" i="1"/>
  <c r="Q536" i="1"/>
  <c r="S374" i="1"/>
  <c r="O564" i="1"/>
  <c r="F508" i="1"/>
  <c r="H384" i="1"/>
  <c r="I410" i="1"/>
  <c r="D336" i="1"/>
  <c r="D646" i="1"/>
  <c r="D659" i="1"/>
  <c r="L639" i="1"/>
  <c r="R696" i="1"/>
  <c r="C696" i="1"/>
  <c r="G633" i="1"/>
  <c r="D811" i="1"/>
  <c r="L451" i="1"/>
  <c r="L534" i="1"/>
  <c r="R684" i="1"/>
  <c r="F616" i="1"/>
  <c r="J534" i="1"/>
  <c r="M755" i="1"/>
  <c r="B472" i="1"/>
  <c r="J525" i="1"/>
  <c r="F306" i="1"/>
  <c r="E371" i="1"/>
  <c r="N601" i="1"/>
  <c r="S483" i="1"/>
  <c r="O240" i="1"/>
  <c r="S427" i="1"/>
  <c r="K290" i="1"/>
  <c r="P429" i="1"/>
  <c r="H365" i="1"/>
  <c r="C452" i="1"/>
  <c r="S314" i="1"/>
  <c r="I556" i="1"/>
  <c r="I256" i="1"/>
  <c r="U36" i="1"/>
  <c r="G336" i="1"/>
  <c r="I358" i="1"/>
  <c r="N509" i="1"/>
  <c r="B526" i="1"/>
  <c r="B890" i="1"/>
  <c r="P544" i="1"/>
  <c r="V837" i="1"/>
  <c r="T384" i="1"/>
  <c r="L435" i="1"/>
  <c r="H741" i="1"/>
  <c r="M313" i="1"/>
  <c r="L305" i="1"/>
  <c r="E472" i="1"/>
  <c r="V514" i="1"/>
  <c r="J315" i="1"/>
  <c r="I242" i="1"/>
  <c r="M619" i="1"/>
  <c r="N475" i="1"/>
  <c r="Q122" i="1"/>
  <c r="C333" i="1"/>
  <c r="I474" i="1"/>
  <c r="Q237" i="1"/>
  <c r="G427" i="1"/>
  <c r="B256" i="1"/>
  <c r="U722" i="1"/>
  <c r="F429" i="1"/>
  <c r="M103" i="1"/>
  <c r="E529" i="1"/>
  <c r="E629" i="1"/>
  <c r="E279" i="1"/>
  <c r="N862" i="1"/>
  <c r="J216" i="1"/>
  <c r="B492" i="1"/>
  <c r="E460" i="1"/>
  <c r="B443" i="1"/>
  <c r="J383" i="1"/>
  <c r="D436" i="1"/>
  <c r="P582" i="1"/>
  <c r="L539" i="1"/>
  <c r="V365" i="1"/>
  <c r="E219" i="1"/>
  <c r="C340" i="1"/>
  <c r="V520" i="1"/>
  <c r="F549" i="1"/>
  <c r="O203" i="1"/>
  <c r="L762" i="1"/>
  <c r="J440" i="1"/>
  <c r="K531" i="1"/>
  <c r="I395" i="1"/>
  <c r="C425" i="1"/>
  <c r="P845" i="1"/>
  <c r="E664" i="1"/>
  <c r="L270" i="1"/>
  <c r="A665" i="1"/>
  <c r="M405" i="1"/>
  <c r="K466" i="1"/>
  <c r="O554" i="1"/>
  <c r="F208" i="1"/>
  <c r="J476" i="1"/>
  <c r="A634" i="1"/>
  <c r="R671" i="1"/>
  <c r="H452" i="1"/>
  <c r="L496" i="1"/>
  <c r="F237" i="1"/>
  <c r="I596" i="1"/>
  <c r="G460" i="1"/>
  <c r="F360" i="1"/>
  <c r="V480" i="1"/>
  <c r="U352" i="1"/>
  <c r="S525" i="1"/>
  <c r="A713" i="1"/>
  <c r="N683" i="1"/>
  <c r="G849" i="1"/>
  <c r="S626" i="1"/>
  <c r="Q609" i="1"/>
  <c r="P460" i="1"/>
  <c r="K616" i="1"/>
  <c r="L789" i="1"/>
  <c r="R552" i="1"/>
  <c r="A607" i="1"/>
  <c r="S702" i="1"/>
  <c r="K524" i="1"/>
  <c r="U626" i="1"/>
  <c r="U642" i="1"/>
  <c r="A676" i="1"/>
  <c r="E653" i="1"/>
  <c r="V544" i="1"/>
  <c r="Q744" i="1"/>
  <c r="C657" i="1"/>
  <c r="M612" i="1"/>
  <c r="I320" i="1"/>
  <c r="I451" i="1"/>
  <c r="N375" i="1"/>
  <c r="E15" i="1"/>
  <c r="Q580" i="1"/>
  <c r="V436" i="1"/>
  <c r="M885" i="1"/>
  <c r="O582" i="1"/>
  <c r="Q501" i="1"/>
  <c r="D356" i="1"/>
  <c r="M465" i="1"/>
  <c r="A423" i="1"/>
  <c r="F280" i="1"/>
  <c r="R704" i="1"/>
  <c r="I244" i="1"/>
  <c r="C358" i="1"/>
  <c r="Q64" i="1"/>
  <c r="I404" i="1"/>
  <c r="P399" i="1"/>
  <c r="V40" i="1"/>
  <c r="O577" i="1"/>
  <c r="C485" i="1"/>
  <c r="G596" i="1"/>
  <c r="L257" i="1"/>
  <c r="R434" i="1"/>
  <c r="I107" i="1"/>
  <c r="O877" i="1"/>
  <c r="R414" i="1"/>
  <c r="M329" i="1"/>
  <c r="B233" i="1"/>
  <c r="M195" i="1"/>
  <c r="B67" i="1"/>
  <c r="S42" i="1"/>
  <c r="M32" i="1"/>
  <c r="I261" i="1"/>
  <c r="A189" i="1"/>
  <c r="U307" i="1"/>
  <c r="S158" i="1"/>
  <c r="D124" i="1"/>
  <c r="S319" i="1"/>
  <c r="S343" i="1"/>
  <c r="M173" i="1"/>
  <c r="U440" i="1"/>
  <c r="K762" i="1"/>
  <c r="U488" i="1"/>
  <c r="N442" i="1"/>
  <c r="S831" i="1"/>
  <c r="B408" i="1"/>
  <c r="H594" i="1"/>
  <c r="R444" i="1"/>
  <c r="Q813" i="1"/>
  <c r="V714" i="1"/>
  <c r="T541" i="1"/>
  <c r="S553" i="1"/>
  <c r="A530" i="1"/>
  <c r="I570" i="1"/>
  <c r="A129" i="1"/>
  <c r="A858" i="1"/>
  <c r="S662" i="1"/>
  <c r="N646" i="1"/>
  <c r="S623" i="1"/>
  <c r="P922" i="1"/>
  <c r="C559" i="1"/>
  <c r="F915" i="1"/>
  <c r="C491" i="1"/>
  <c r="F351" i="1"/>
  <c r="U366" i="1"/>
  <c r="F372" i="1"/>
  <c r="J447" i="1"/>
  <c r="V671" i="1"/>
  <c r="T556" i="1"/>
  <c r="O795" i="1"/>
  <c r="T535" i="1"/>
  <c r="I488" i="1"/>
  <c r="L580" i="1"/>
  <c r="L438" i="1"/>
  <c r="U501" i="1"/>
  <c r="F499" i="1"/>
  <c r="B585" i="1"/>
  <c r="C665" i="1"/>
  <c r="P324" i="1"/>
  <c r="K549" i="1"/>
  <c r="M543" i="1"/>
  <c r="U804" i="1"/>
  <c r="N805" i="1"/>
  <c r="L454" i="1"/>
  <c r="U539" i="1"/>
  <c r="G650" i="1"/>
  <c r="B701" i="1"/>
  <c r="H651" i="1"/>
  <c r="Q628" i="1"/>
  <c r="V475" i="1"/>
  <c r="J616" i="1"/>
  <c r="L690" i="1"/>
  <c r="R496" i="1"/>
  <c r="R568" i="1"/>
  <c r="M219" i="1"/>
  <c r="F793" i="1"/>
  <c r="E596" i="1"/>
  <c r="L336" i="1"/>
  <c r="J536" i="1"/>
  <c r="E586" i="1"/>
  <c r="M182" i="1"/>
  <c r="B143" i="1"/>
  <c r="K828" i="1"/>
  <c r="T383" i="1"/>
  <c r="O724" i="1"/>
  <c r="Q460" i="1"/>
  <c r="F105" i="1"/>
  <c r="I430" i="1"/>
  <c r="C65" i="1"/>
  <c r="F438" i="1"/>
  <c r="C412" i="1"/>
  <c r="V325" i="1"/>
  <c r="H149" i="1"/>
  <c r="J172" i="1"/>
  <c r="F328" i="1"/>
  <c r="U471" i="1"/>
  <c r="R230" i="1"/>
  <c r="U585" i="1"/>
  <c r="C239" i="1"/>
  <c r="L263" i="1"/>
  <c r="O122" i="1"/>
  <c r="B5" i="1"/>
  <c r="F107" i="1"/>
  <c r="E165" i="1"/>
  <c r="L153" i="1"/>
  <c r="O509" i="1"/>
  <c r="N283" i="1"/>
  <c r="I59" i="1"/>
  <c r="B115" i="1"/>
  <c r="H19" i="1"/>
  <c r="C161" i="1"/>
  <c r="F164" i="1"/>
  <c r="N158" i="1"/>
  <c r="H562" i="1"/>
  <c r="G679" i="1"/>
  <c r="A533" i="1"/>
  <c r="C442" i="1"/>
  <c r="G830" i="1"/>
  <c r="T606" i="1"/>
  <c r="N803" i="1"/>
  <c r="D334" i="1"/>
  <c r="H774" i="1"/>
  <c r="H518" i="1"/>
  <c r="H564" i="1"/>
  <c r="I621" i="1"/>
  <c r="A453" i="1"/>
  <c r="T552" i="1"/>
  <c r="S472" i="1"/>
  <c r="G655" i="1"/>
  <c r="K428" i="1"/>
  <c r="S600" i="1"/>
  <c r="M224" i="1"/>
  <c r="V173" i="1"/>
  <c r="N199" i="1"/>
  <c r="C486" i="1"/>
  <c r="T178" i="1"/>
  <c r="P84" i="1"/>
  <c r="J325" i="1"/>
  <c r="S310" i="1"/>
  <c r="V541" i="1"/>
  <c r="V488" i="1"/>
  <c r="N342" i="1"/>
  <c r="P543" i="1"/>
  <c r="I356" i="1"/>
  <c r="E513" i="1"/>
  <c r="D319" i="1"/>
  <c r="H48" i="1"/>
  <c r="S10" i="1"/>
  <c r="J372" i="1"/>
  <c r="L231" i="1"/>
  <c r="F242" i="1"/>
  <c r="N838" i="1"/>
  <c r="V566" i="1"/>
  <c r="M370" i="1"/>
  <c r="H298" i="1"/>
  <c r="C273" i="1"/>
  <c r="Q326" i="1"/>
  <c r="H146" i="1"/>
  <c r="S99" i="1"/>
  <c r="R106" i="1"/>
  <c r="I617" i="1"/>
  <c r="B324" i="1"/>
  <c r="J290" i="1"/>
  <c r="R16" i="1"/>
  <c r="I90" i="1"/>
  <c r="Q100" i="1"/>
  <c r="B73" i="1"/>
  <c r="A535" i="1"/>
  <c r="S362" i="1"/>
  <c r="B427" i="1"/>
  <c r="R142" i="1"/>
  <c r="L226" i="1"/>
  <c r="M52" i="1"/>
  <c r="Q17" i="1"/>
  <c r="B268" i="1"/>
  <c r="L372" i="1"/>
  <c r="C417" i="1"/>
  <c r="N693" i="1"/>
  <c r="H681" i="1"/>
  <c r="M753" i="1"/>
  <c r="H451" i="1"/>
  <c r="A759" i="1"/>
  <c r="D460" i="1"/>
  <c r="O675" i="1"/>
  <c r="C555" i="1"/>
  <c r="V225" i="1"/>
  <c r="A437" i="1"/>
  <c r="A268" i="1"/>
  <c r="T701" i="1"/>
  <c r="H218" i="1"/>
  <c r="D329" i="1"/>
  <c r="O305" i="1"/>
  <c r="T536" i="1"/>
  <c r="B405" i="1"/>
  <c r="H397" i="1"/>
  <c r="T326" i="1"/>
  <c r="M186" i="1"/>
  <c r="P315" i="1"/>
  <c r="E391" i="1"/>
  <c r="C635" i="1"/>
  <c r="A671" i="1"/>
  <c r="G651" i="1"/>
  <c r="Q268" i="1"/>
  <c r="S671" i="1"/>
  <c r="V419" i="1"/>
  <c r="F596" i="1"/>
  <c r="M122" i="1"/>
  <c r="H412" i="1"/>
  <c r="N554" i="1"/>
  <c r="C334" i="1"/>
  <c r="A141" i="1"/>
  <c r="K225" i="1"/>
  <c r="S311" i="1"/>
  <c r="U415" i="1"/>
  <c r="F156" i="1"/>
  <c r="M191" i="1"/>
  <c r="L509" i="1"/>
  <c r="T475" i="1"/>
  <c r="C237" i="1"/>
  <c r="Q241" i="1"/>
  <c r="D382" i="1"/>
  <c r="O72" i="1"/>
  <c r="K79" i="1"/>
  <c r="R360" i="1"/>
  <c r="N508" i="1"/>
  <c r="U436" i="1"/>
  <c r="I484" i="1"/>
  <c r="H331" i="1"/>
  <c r="Q294" i="1"/>
  <c r="U316" i="1"/>
  <c r="K100" i="1"/>
  <c r="R228" i="1"/>
  <c r="S297" i="1"/>
  <c r="D427" i="1"/>
  <c r="C537" i="1"/>
  <c r="H195" i="1"/>
  <c r="M284" i="1"/>
  <c r="N492" i="1"/>
  <c r="B166" i="1"/>
  <c r="O309" i="1"/>
  <c r="D186" i="1"/>
  <c r="D823" i="1"/>
  <c r="N667" i="1"/>
  <c r="O603" i="1"/>
  <c r="F804" i="1"/>
  <c r="P539" i="1"/>
  <c r="J365" i="1"/>
  <c r="P346" i="1"/>
  <c r="F364" i="1"/>
  <c r="J563" i="1"/>
  <c r="J347" i="1"/>
  <c r="K395" i="1"/>
  <c r="N433" i="1"/>
  <c r="G658" i="1"/>
  <c r="D472" i="1"/>
  <c r="S198" i="1"/>
  <c r="H389" i="1"/>
  <c r="Q654" i="1"/>
  <c r="G286" i="1"/>
  <c r="H549" i="1"/>
  <c r="D448" i="1"/>
  <c r="P556" i="1"/>
  <c r="S420" i="1"/>
  <c r="U284" i="1"/>
  <c r="P451" i="1"/>
  <c r="E397" i="1"/>
  <c r="K785" i="1"/>
  <c r="J400" i="1"/>
  <c r="U247" i="1"/>
  <c r="B902" i="1"/>
  <c r="O400" i="1"/>
  <c r="K306" i="1"/>
  <c r="E174" i="1"/>
  <c r="H528" i="1"/>
  <c r="Q266" i="1"/>
  <c r="N702" i="1"/>
  <c r="S392" i="1"/>
  <c r="K545" i="1"/>
  <c r="B532" i="1"/>
  <c r="V454" i="1"/>
  <c r="A573" i="1"/>
  <c r="C709" i="1"/>
  <c r="J681" i="1"/>
  <c r="Q362" i="1"/>
  <c r="M114" i="1"/>
  <c r="R691" i="1"/>
  <c r="O720" i="1"/>
  <c r="T363" i="1"/>
  <c r="C816" i="1"/>
  <c r="F392" i="1"/>
  <c r="A248" i="1"/>
  <c r="C540" i="1"/>
  <c r="D497" i="1"/>
  <c r="R626" i="1"/>
  <c r="H555" i="1"/>
  <c r="U577" i="1"/>
  <c r="L619" i="1"/>
  <c r="U641" i="1"/>
  <c r="D437" i="1"/>
  <c r="Q424" i="1"/>
  <c r="D165" i="1"/>
  <c r="G599" i="1"/>
  <c r="N420" i="1"/>
  <c r="N480" i="1"/>
  <c r="O916" i="1"/>
  <c r="G691" i="1"/>
  <c r="K688" i="1"/>
  <c r="M483" i="1"/>
  <c r="O556" i="1"/>
  <c r="C439" i="1"/>
  <c r="R101" i="1"/>
  <c r="D786" i="1"/>
  <c r="G558" i="1"/>
  <c r="S615" i="1"/>
  <c r="C514" i="1"/>
  <c r="S807" i="1"/>
  <c r="G531" i="1"/>
  <c r="B681" i="1"/>
  <c r="C541" i="1"/>
  <c r="I480" i="1"/>
  <c r="A392" i="1"/>
  <c r="N708" i="1"/>
  <c r="E417" i="1"/>
  <c r="O714" i="1"/>
  <c r="I685" i="1"/>
  <c r="Q637" i="1"/>
  <c r="T747" i="1"/>
  <c r="I260" i="1"/>
  <c r="P368" i="1"/>
  <c r="A304" i="1"/>
  <c r="M376" i="1"/>
  <c r="J580" i="1"/>
  <c r="J515" i="1"/>
  <c r="S496" i="1"/>
  <c r="M559" i="1"/>
  <c r="E498" i="1"/>
  <c r="Q134" i="1"/>
  <c r="O17" i="1"/>
  <c r="U441" i="1"/>
  <c r="J108" i="1"/>
  <c r="B249" i="1"/>
  <c r="K158" i="1"/>
  <c r="A477" i="1"/>
  <c r="J669" i="1"/>
  <c r="O233" i="1"/>
  <c r="C56" i="1"/>
  <c r="V259" i="1"/>
  <c r="D197" i="1"/>
  <c r="M698" i="1"/>
  <c r="A394" i="1"/>
  <c r="O229" i="1"/>
  <c r="C454" i="1"/>
  <c r="H121" i="1"/>
  <c r="Q371" i="1"/>
  <c r="H294" i="1"/>
  <c r="P309" i="1"/>
  <c r="T219" i="1"/>
  <c r="V110" i="1"/>
  <c r="U137" i="1"/>
  <c r="T16" i="1"/>
  <c r="A581" i="1"/>
  <c r="S456" i="1"/>
  <c r="C139" i="1"/>
  <c r="E90" i="1"/>
  <c r="G92" i="1"/>
  <c r="R82" i="1"/>
  <c r="C49" i="1"/>
  <c r="J406" i="1"/>
  <c r="N618" i="1"/>
  <c r="V723" i="1"/>
  <c r="G802" i="1"/>
  <c r="O750" i="1"/>
  <c r="D700" i="1"/>
  <c r="J651" i="1"/>
  <c r="R512" i="1"/>
  <c r="M569" i="1"/>
  <c r="F525" i="1"/>
  <c r="C277" i="1"/>
  <c r="O650" i="1"/>
  <c r="E574" i="1"/>
  <c r="L638" i="1"/>
  <c r="Q246" i="1"/>
  <c r="T880" i="1"/>
  <c r="E428" i="1"/>
  <c r="R560" i="1"/>
  <c r="R466" i="1"/>
  <c r="P604" i="1"/>
  <c r="Q275" i="1"/>
  <c r="M454" i="1"/>
  <c r="O68" i="1"/>
  <c r="Q852" i="1"/>
  <c r="M105" i="1"/>
  <c r="O321" i="1"/>
  <c r="P789" i="1"/>
  <c r="S324" i="1"/>
  <c r="S373" i="1"/>
  <c r="B678" i="1"/>
  <c r="I512" i="1"/>
  <c r="S490" i="1"/>
  <c r="U633" i="1"/>
  <c r="S263" i="1"/>
  <c r="Q709" i="1"/>
  <c r="B271" i="1"/>
  <c r="B383" i="1"/>
  <c r="M256" i="1"/>
  <c r="L112" i="1"/>
  <c r="H645" i="1"/>
  <c r="C294" i="1"/>
  <c r="U455" i="1"/>
  <c r="N510" i="1"/>
  <c r="P322" i="1"/>
  <c r="J233" i="1"/>
  <c r="R123" i="1"/>
  <c r="R479" i="1"/>
  <c r="M79" i="1"/>
  <c r="E269" i="1"/>
  <c r="I494" i="1"/>
  <c r="G307" i="1"/>
  <c r="K431" i="1"/>
  <c r="M438" i="1"/>
  <c r="M507" i="1"/>
  <c r="G511" i="1"/>
  <c r="L69" i="1"/>
  <c r="Q520" i="1"/>
  <c r="O476" i="1"/>
  <c r="B288" i="1"/>
  <c r="T360" i="1"/>
  <c r="J279" i="1"/>
  <c r="V608" i="1"/>
  <c r="J359" i="1"/>
  <c r="I599" i="1"/>
  <c r="Q416" i="1"/>
  <c r="U66" i="1"/>
  <c r="I687" i="1"/>
  <c r="U624" i="1"/>
  <c r="C762" i="1"/>
  <c r="Q914" i="1"/>
  <c r="O418" i="1"/>
  <c r="G693" i="1"/>
  <c r="K630" i="1"/>
  <c r="L554" i="1"/>
  <c r="N383" i="1"/>
  <c r="T596" i="1"/>
  <c r="T312" i="1"/>
  <c r="I696" i="1"/>
  <c r="D721" i="1"/>
  <c r="F457" i="1"/>
  <c r="E531" i="1"/>
  <c r="G235" i="1"/>
  <c r="K571" i="1"/>
  <c r="D760" i="1"/>
  <c r="V858" i="1"/>
  <c r="N578" i="1"/>
  <c r="L600" i="1"/>
  <c r="R261" i="1"/>
  <c r="D309" i="1"/>
  <c r="G670" i="1"/>
  <c r="Q349" i="1"/>
  <c r="N922" i="1"/>
  <c r="J460" i="1"/>
  <c r="K235" i="1"/>
  <c r="R664" i="1"/>
  <c r="Q123" i="1"/>
  <c r="K497" i="1"/>
  <c r="M265" i="1"/>
  <c r="N258" i="1"/>
  <c r="R304" i="1"/>
  <c r="L617" i="1"/>
  <c r="F197" i="1"/>
  <c r="D353" i="1"/>
  <c r="P238" i="1"/>
  <c r="E89" i="1"/>
  <c r="I312" i="1"/>
  <c r="H205" i="1"/>
  <c r="D542" i="1"/>
  <c r="M551" i="1"/>
  <c r="R584" i="1"/>
  <c r="R563" i="1"/>
  <c r="R708" i="1"/>
  <c r="C627" i="1"/>
  <c r="U416" i="1"/>
  <c r="I9" i="1"/>
  <c r="G494" i="1"/>
  <c r="E465" i="1"/>
  <c r="T359" i="1"/>
  <c r="I51" i="1"/>
  <c r="D471" i="1"/>
  <c r="D190" i="1"/>
  <c r="F304" i="1"/>
  <c r="M286" i="1"/>
  <c r="K300" i="1"/>
  <c r="K364" i="1"/>
  <c r="K510" i="1"/>
  <c r="L387" i="1"/>
  <c r="S409" i="1"/>
  <c r="M255" i="1"/>
  <c r="T542" i="1"/>
  <c r="S710" i="1"/>
  <c r="D598" i="1"/>
  <c r="M670" i="1"/>
  <c r="D538" i="1"/>
  <c r="M511" i="1"/>
  <c r="F495" i="1"/>
  <c r="G451" i="1"/>
  <c r="V679" i="1"/>
  <c r="M309" i="1"/>
  <c r="D626" i="1"/>
  <c r="C360" i="1"/>
  <c r="H403" i="1"/>
  <c r="D566" i="1"/>
  <c r="F445" i="1"/>
  <c r="N501" i="1"/>
  <c r="N534" i="1"/>
  <c r="I336" i="1"/>
  <c r="O284" i="1"/>
  <c r="G515" i="1"/>
  <c r="G190" i="1"/>
  <c r="C749" i="1"/>
  <c r="S407" i="1"/>
  <c r="A269" i="1"/>
  <c r="L564" i="1"/>
  <c r="J557" i="1"/>
  <c r="H480" i="1"/>
  <c r="D376" i="1"/>
  <c r="V670" i="1"/>
  <c r="T527" i="1"/>
  <c r="F658" i="1"/>
  <c r="B675" i="1"/>
  <c r="B401" i="1"/>
  <c r="U346" i="1"/>
  <c r="V517" i="1"/>
  <c r="C219" i="1"/>
  <c r="A800" i="1"/>
  <c r="K495" i="1"/>
  <c r="J292" i="1"/>
  <c r="C500" i="1"/>
  <c r="S827" i="1"/>
  <c r="S342" i="1"/>
  <c r="L545" i="1"/>
  <c r="A331" i="1"/>
  <c r="Q713" i="1"/>
  <c r="V627" i="1"/>
  <c r="B454" i="1"/>
  <c r="O375" i="1"/>
  <c r="T510" i="1"/>
  <c r="B386" i="1"/>
  <c r="Q801" i="1"/>
  <c r="U723" i="1"/>
  <c r="R588" i="1"/>
  <c r="M810" i="1"/>
  <c r="A575" i="1"/>
  <c r="A385" i="1"/>
  <c r="B545" i="1"/>
  <c r="R554" i="1"/>
  <c r="R836" i="1"/>
  <c r="Q656" i="1"/>
  <c r="P313" i="1"/>
  <c r="P377" i="1"/>
  <c r="S453" i="1"/>
  <c r="V812" i="1"/>
  <c r="M640" i="1"/>
  <c r="F763" i="1"/>
  <c r="S499" i="1"/>
  <c r="O452" i="1"/>
  <c r="U684" i="1"/>
  <c r="P450" i="1"/>
  <c r="V891" i="1"/>
  <c r="P783" i="1"/>
  <c r="M765" i="1"/>
  <c r="O350" i="1"/>
  <c r="R462" i="1"/>
  <c r="U345" i="1"/>
  <c r="H772" i="1"/>
  <c r="T924" i="1"/>
  <c r="N398" i="1"/>
  <c r="F620" i="1"/>
  <c r="L514" i="1"/>
  <c r="J443" i="1"/>
  <c r="O660" i="1"/>
  <c r="V815" i="1"/>
  <c r="G585" i="1"/>
  <c r="E313" i="1"/>
  <c r="P885" i="1"/>
  <c r="H597" i="1"/>
  <c r="N386" i="1"/>
  <c r="E646" i="1"/>
  <c r="T437" i="1"/>
  <c r="K349" i="1"/>
  <c r="H448" i="1"/>
  <c r="G219" i="1"/>
  <c r="R208" i="1"/>
  <c r="E693" i="1"/>
  <c r="A9" i="1"/>
  <c r="E258" i="1"/>
  <c r="H461" i="1"/>
  <c r="U67" i="1"/>
  <c r="S418" i="1"/>
  <c r="E198" i="1"/>
  <c r="R323" i="1"/>
  <c r="U479" i="1"/>
  <c r="E190" i="1"/>
  <c r="H112" i="1"/>
  <c r="A101" i="1"/>
  <c r="R764" i="1"/>
  <c r="P311" i="1"/>
  <c r="I272" i="1"/>
  <c r="B378" i="1"/>
  <c r="T274" i="1"/>
  <c r="O685" i="1"/>
  <c r="L453" i="1"/>
  <c r="K219" i="1"/>
  <c r="Q404" i="1"/>
  <c r="K637" i="1"/>
  <c r="L359" i="1"/>
  <c r="V492" i="1"/>
  <c r="M375" i="1"/>
  <c r="V49" i="1"/>
  <c r="U423" i="1"/>
  <c r="M638" i="1"/>
  <c r="L442" i="1"/>
  <c r="E415" i="1"/>
  <c r="E31" i="1"/>
  <c r="Q382" i="1"/>
  <c r="I418" i="1"/>
  <c r="B684" i="1"/>
  <c r="U594" i="1"/>
  <c r="A718" i="1"/>
  <c r="V770" i="1"/>
  <c r="D670" i="1"/>
  <c r="O522" i="1"/>
  <c r="Q503" i="1"/>
  <c r="O394" i="1"/>
  <c r="S599" i="1"/>
  <c r="S287" i="1"/>
  <c r="D406" i="1"/>
  <c r="I594" i="1"/>
  <c r="V439" i="1"/>
  <c r="U499" i="1"/>
  <c r="R514" i="1"/>
  <c r="M430" i="1"/>
  <c r="D305" i="1"/>
  <c r="C616" i="1"/>
  <c r="V677" i="1"/>
  <c r="J382" i="1"/>
  <c r="G660" i="1"/>
  <c r="K226" i="1"/>
  <c r="I257" i="1"/>
  <c r="L765" i="1"/>
  <c r="T446" i="1"/>
  <c r="K598" i="1"/>
  <c r="Q454" i="1"/>
  <c r="U367" i="1"/>
  <c r="C734" i="1"/>
  <c r="N311" i="1"/>
  <c r="D330" i="1"/>
  <c r="G24" i="1"/>
  <c r="H510" i="1"/>
  <c r="P262" i="1"/>
  <c r="M697" i="1"/>
  <c r="D115" i="1"/>
  <c r="K457" i="1"/>
  <c r="N580" i="1"/>
  <c r="Q210" i="1"/>
  <c r="R533" i="1"/>
  <c r="M610" i="1"/>
  <c r="Q481" i="1"/>
  <c r="J459" i="1"/>
  <c r="D289" i="1"/>
  <c r="G59" i="1"/>
  <c r="V610" i="1"/>
  <c r="T465" i="1"/>
  <c r="P252" i="1"/>
  <c r="A289" i="1"/>
  <c r="V424" i="1"/>
  <c r="R617" i="1"/>
  <c r="Q172" i="1"/>
  <c r="M72" i="1"/>
  <c r="F527" i="1"/>
  <c r="A176" i="1"/>
  <c r="O494" i="1"/>
  <c r="G542" i="1"/>
  <c r="G317" i="1"/>
  <c r="D360" i="1"/>
  <c r="U122" i="1"/>
  <c r="H396" i="1"/>
  <c r="B519" i="1"/>
  <c r="I342" i="1"/>
  <c r="E384" i="1"/>
  <c r="F924" i="1"/>
  <c r="O726" i="1"/>
  <c r="H444" i="1"/>
  <c r="N574" i="1"/>
  <c r="A591" i="1"/>
  <c r="C524" i="1"/>
  <c r="R544" i="1"/>
  <c r="M752" i="1"/>
  <c r="F311" i="1"/>
  <c r="B659" i="1"/>
  <c r="K414" i="1"/>
  <c r="H519" i="1"/>
  <c r="U255" i="1"/>
  <c r="G529" i="1"/>
  <c r="T317" i="1"/>
  <c r="V237" i="1"/>
  <c r="Q162" i="1"/>
  <c r="M678" i="1"/>
  <c r="M246" i="1"/>
  <c r="F7" i="1"/>
  <c r="L333" i="1"/>
  <c r="M473" i="1"/>
  <c r="O219" i="1"/>
  <c r="K454" i="1"/>
  <c r="M93" i="1"/>
  <c r="V510" i="1"/>
  <c r="B445" i="1"/>
  <c r="G568" i="1"/>
  <c r="K393" i="1"/>
  <c r="D180" i="1"/>
  <c r="H583" i="1"/>
  <c r="L412" i="1"/>
  <c r="N353" i="1"/>
  <c r="O638" i="1"/>
  <c r="E320" i="1"/>
  <c r="M201" i="1"/>
  <c r="H318" i="1"/>
  <c r="Q571" i="1"/>
  <c r="N267" i="1"/>
  <c r="I679" i="1"/>
  <c r="E390" i="1"/>
  <c r="F335" i="1"/>
  <c r="F419" i="1"/>
  <c r="I284" i="1"/>
  <c r="K591" i="1"/>
  <c r="R243" i="1"/>
  <c r="R220" i="1"/>
  <c r="O32" i="1"/>
  <c r="S356" i="1"/>
  <c r="C311" i="1"/>
  <c r="I74" i="1"/>
  <c r="G153" i="1"/>
  <c r="L395" i="1"/>
  <c r="A212" i="1"/>
  <c r="F283" i="1"/>
  <c r="N565" i="1"/>
  <c r="V224" i="1"/>
  <c r="C164" i="1"/>
  <c r="G162" i="1"/>
  <c r="C84" i="1"/>
  <c r="K298" i="1"/>
  <c r="A42" i="1"/>
  <c r="P647" i="1"/>
  <c r="S519" i="1"/>
  <c r="L766" i="1"/>
  <c r="R537" i="1"/>
  <c r="E702" i="1"/>
  <c r="Q283" i="1"/>
  <c r="N615" i="1"/>
  <c r="H607" i="1"/>
  <c r="D359" i="1"/>
  <c r="L594" i="1"/>
  <c r="S578" i="1"/>
  <c r="L482" i="1"/>
  <c r="C377" i="1"/>
  <c r="G722" i="1"/>
  <c r="K372" i="1"/>
  <c r="H639" i="1"/>
  <c r="B52" i="1"/>
  <c r="D498" i="1"/>
  <c r="N495" i="1"/>
  <c r="P351" i="1"/>
  <c r="H284" i="1"/>
  <c r="U164" i="1"/>
  <c r="R451" i="1"/>
  <c r="I196" i="1"/>
  <c r="M270" i="1"/>
  <c r="C528" i="1"/>
  <c r="F374" i="1"/>
  <c r="K392" i="1"/>
  <c r="S584" i="1"/>
  <c r="R221" i="1"/>
  <c r="N403" i="1"/>
  <c r="K341" i="1"/>
  <c r="S440" i="1"/>
  <c r="K214" i="1"/>
  <c r="C641" i="1"/>
  <c r="D399" i="1"/>
  <c r="K444" i="1"/>
  <c r="R457" i="1"/>
  <c r="Q510" i="1"/>
  <c r="H737" i="1"/>
  <c r="V844" i="1"/>
  <c r="F867" i="1"/>
  <c r="L613" i="1"/>
  <c r="D686" i="1"/>
  <c r="I766" i="1"/>
  <c r="D516" i="1"/>
  <c r="I490" i="1"/>
  <c r="D788" i="1"/>
  <c r="Q550" i="1"/>
  <c r="Q468" i="1"/>
  <c r="U672" i="1"/>
  <c r="O515" i="1"/>
  <c r="B525" i="1"/>
  <c r="B490" i="1"/>
  <c r="K445" i="1"/>
  <c r="F451" i="1"/>
  <c r="F657" i="1"/>
  <c r="D117" i="1"/>
  <c r="A913" i="1"/>
  <c r="R438" i="1"/>
  <c r="S561" i="1"/>
  <c r="V527" i="1"/>
  <c r="E778" i="1"/>
  <c r="V352" i="1"/>
  <c r="B635" i="1"/>
  <c r="I538" i="1"/>
  <c r="P406" i="1"/>
  <c r="Q447" i="1"/>
  <c r="N732" i="1"/>
  <c r="B600" i="1"/>
  <c r="B832" i="1"/>
  <c r="M565" i="1"/>
  <c r="D857" i="1"/>
  <c r="L347" i="1"/>
  <c r="P334" i="1"/>
  <c r="V550" i="1"/>
  <c r="Q825" i="1"/>
  <c r="P552" i="1"/>
  <c r="F465" i="1"/>
  <c r="D551" i="1"/>
  <c r="G204" i="1"/>
  <c r="A19" i="1"/>
  <c r="F340" i="1"/>
  <c r="L737" i="1"/>
  <c r="A593" i="1"/>
  <c r="V483" i="1"/>
  <c r="A595" i="1"/>
  <c r="A403" i="1"/>
  <c r="K633" i="1"/>
  <c r="U222" i="1"/>
  <c r="O299" i="1"/>
  <c r="H691" i="1"/>
  <c r="I347" i="1"/>
  <c r="N298" i="1"/>
  <c r="K265" i="1"/>
  <c r="U689" i="1"/>
  <c r="U109" i="1"/>
  <c r="F368" i="1"/>
  <c r="V307" i="1"/>
  <c r="H265" i="1"/>
  <c r="F126" i="1"/>
  <c r="I477" i="1"/>
  <c r="G270" i="1"/>
  <c r="Q320" i="1"/>
  <c r="S732" i="1"/>
  <c r="F370" i="1"/>
  <c r="I425" i="1"/>
  <c r="L507" i="1"/>
  <c r="V487" i="1"/>
  <c r="O525" i="1"/>
  <c r="V690" i="1"/>
  <c r="L398" i="1"/>
  <c r="K307" i="1"/>
  <c r="P234" i="1"/>
  <c r="R263" i="1"/>
  <c r="D116" i="1"/>
  <c r="L79" i="1"/>
  <c r="R368" i="1"/>
  <c r="E363" i="1"/>
  <c r="S41" i="1"/>
  <c r="M537" i="1"/>
  <c r="E79" i="1"/>
  <c r="P239" i="1"/>
  <c r="H243" i="1"/>
  <c r="G634" i="1"/>
  <c r="O263" i="1"/>
  <c r="U381" i="1"/>
  <c r="D55" i="1"/>
  <c r="T501" i="1"/>
  <c r="P763" i="1"/>
  <c r="D508" i="1"/>
  <c r="F821" i="1"/>
  <c r="P303" i="1"/>
  <c r="D605" i="1"/>
  <c r="N491" i="1"/>
  <c r="F553" i="1"/>
  <c r="L443" i="1"/>
  <c r="E519" i="1"/>
  <c r="M606" i="1"/>
  <c r="C354" i="1"/>
  <c r="D714" i="1"/>
  <c r="B555" i="1"/>
  <c r="M498" i="1"/>
  <c r="V498" i="1"/>
  <c r="O471" i="1"/>
  <c r="E611" i="1"/>
  <c r="N768" i="1"/>
  <c r="B345" i="1"/>
  <c r="N376" i="1"/>
  <c r="F101" i="1"/>
  <c r="D300" i="1"/>
  <c r="F503" i="1"/>
  <c r="Q308" i="1"/>
  <c r="A628" i="1"/>
  <c r="S522" i="1"/>
  <c r="Q584" i="1"/>
  <c r="B188" i="1"/>
  <c r="K442" i="1"/>
  <c r="V765" i="1"/>
  <c r="Q595" i="1"/>
  <c r="C620" i="1"/>
  <c r="R470" i="1"/>
  <c r="P298" i="1"/>
  <c r="K399" i="1"/>
  <c r="O763" i="1"/>
  <c r="G443" i="1"/>
  <c r="O489" i="1"/>
  <c r="Q410" i="1"/>
  <c r="K49" i="1"/>
  <c r="M244" i="1"/>
  <c r="K479" i="1"/>
  <c r="P281" i="1"/>
  <c r="T93" i="1"/>
  <c r="F447" i="1"/>
  <c r="I452" i="1"/>
  <c r="S47" i="1"/>
  <c r="D434" i="1"/>
  <c r="E286" i="1"/>
  <c r="R450" i="1"/>
  <c r="A301" i="1"/>
  <c r="C406" i="1"/>
  <c r="H472" i="1"/>
  <c r="P613" i="1"/>
  <c r="P227" i="1"/>
  <c r="T299" i="1"/>
  <c r="R120" i="1"/>
  <c r="M504" i="1"/>
  <c r="R309" i="1"/>
  <c r="O108" i="1"/>
  <c r="H273" i="1"/>
  <c r="T289" i="1"/>
  <c r="N336" i="1"/>
  <c r="J655" i="1"/>
  <c r="T805" i="1"/>
  <c r="H688" i="1"/>
  <c r="G863" i="1"/>
  <c r="F582" i="1"/>
  <c r="G624" i="1"/>
  <c r="B588" i="1"/>
  <c r="D573" i="1"/>
  <c r="F309" i="1"/>
  <c r="M588" i="1"/>
  <c r="R536" i="1"/>
  <c r="O756" i="1"/>
  <c r="R510" i="1"/>
  <c r="S535" i="1"/>
  <c r="C326" i="1"/>
  <c r="K677" i="1"/>
  <c r="B335" i="1"/>
  <c r="M838" i="1"/>
  <c r="L354" i="1"/>
  <c r="H456" i="1"/>
  <c r="U10" i="1"/>
  <c r="H348" i="1"/>
  <c r="H368" i="1"/>
  <c r="Q227" i="1"/>
  <c r="M490" i="1"/>
  <c r="N861" i="1"/>
  <c r="E396" i="1"/>
  <c r="E220" i="1"/>
  <c r="F470" i="1"/>
  <c r="E319" i="1"/>
  <c r="V97" i="1"/>
  <c r="G318" i="1"/>
  <c r="O148" i="1"/>
  <c r="C530" i="1"/>
  <c r="K203" i="1"/>
  <c r="B360" i="1"/>
  <c r="T156" i="1"/>
  <c r="Q356" i="1"/>
  <c r="M756" i="1"/>
  <c r="P449" i="1"/>
  <c r="J67" i="1"/>
  <c r="Q384" i="1"/>
  <c r="B162" i="1"/>
  <c r="D100" i="1"/>
  <c r="O242" i="1"/>
  <c r="D762" i="1"/>
  <c r="F512" i="1"/>
  <c r="F219" i="1"/>
  <c r="U340" i="1"/>
  <c r="D35" i="1"/>
  <c r="M314" i="1"/>
  <c r="A264" i="1"/>
  <c r="G236" i="1"/>
  <c r="I195" i="1"/>
  <c r="K324" i="1"/>
  <c r="Q48" i="1"/>
  <c r="U469" i="1"/>
  <c r="E497" i="1"/>
  <c r="O245" i="1"/>
  <c r="Q234" i="1"/>
  <c r="U529" i="1"/>
  <c r="T566" i="1"/>
  <c r="Q189" i="1"/>
  <c r="K400" i="1"/>
  <c r="B257" i="1"/>
  <c r="O708" i="1"/>
  <c r="U755" i="1"/>
  <c r="L620" i="1"/>
  <c r="V686" i="1"/>
  <c r="U404" i="1"/>
  <c r="A643" i="1"/>
  <c r="S502" i="1"/>
  <c r="D825" i="1"/>
  <c r="G654" i="1"/>
  <c r="H378" i="1"/>
  <c r="A360" i="1"/>
  <c r="U227" i="1"/>
  <c r="J598" i="1"/>
  <c r="M367" i="1"/>
  <c r="S467" i="1"/>
  <c r="O488" i="1"/>
  <c r="C401" i="1"/>
  <c r="H526" i="1"/>
  <c r="C303" i="1"/>
  <c r="A685" i="1"/>
  <c r="C441" i="1"/>
  <c r="P332" i="1"/>
  <c r="I369" i="1"/>
  <c r="B370" i="1"/>
  <c r="Q196" i="1"/>
  <c r="A370" i="1"/>
  <c r="O646" i="1"/>
  <c r="H282" i="1"/>
  <c r="O372" i="1"/>
  <c r="L345" i="1"/>
  <c r="Q87" i="1"/>
  <c r="Q125" i="1"/>
  <c r="F404" i="1"/>
  <c r="A200" i="1"/>
  <c r="S168" i="1"/>
  <c r="C388" i="1"/>
  <c r="D671" i="1"/>
  <c r="E861" i="1"/>
  <c r="R687" i="1"/>
  <c r="P694" i="1"/>
  <c r="O579" i="1"/>
  <c r="T412" i="1"/>
  <c r="F610" i="1"/>
  <c r="M399" i="1"/>
  <c r="K494" i="1"/>
  <c r="B687" i="1"/>
  <c r="P240" i="1"/>
  <c r="J595" i="1"/>
  <c r="N808" i="1"/>
  <c r="I301" i="1"/>
  <c r="U751" i="1"/>
  <c r="B705" i="1"/>
  <c r="K739" i="1"/>
  <c r="A584" i="1"/>
  <c r="A537" i="1"/>
  <c r="B299" i="1"/>
  <c r="I354" i="1"/>
  <c r="C64" i="1"/>
  <c r="S529" i="1"/>
  <c r="J245" i="1"/>
  <c r="S480" i="1"/>
  <c r="H208" i="1"/>
  <c r="N777" i="1"/>
  <c r="N735" i="1"/>
  <c r="U584" i="1"/>
  <c r="N326" i="1"/>
  <c r="P466" i="1"/>
  <c r="G416" i="1"/>
  <c r="I743" i="1"/>
  <c r="E524" i="1"/>
  <c r="V456" i="1"/>
  <c r="Q491" i="1"/>
  <c r="G623" i="1"/>
  <c r="P549" i="1"/>
  <c r="P773" i="1"/>
  <c r="F697" i="1"/>
  <c r="I420" i="1"/>
  <c r="F668" i="1"/>
  <c r="Q708" i="1"/>
  <c r="A570" i="1"/>
  <c r="N377" i="1"/>
  <c r="P760" i="1"/>
  <c r="N500" i="1"/>
  <c r="R593" i="1"/>
  <c r="M525" i="1"/>
  <c r="C591" i="1"/>
  <c r="S416" i="1"/>
  <c r="U334" i="1"/>
  <c r="Q808" i="1"/>
  <c r="C731" i="1"/>
  <c r="K645" i="1"/>
  <c r="E187" i="1"/>
  <c r="U449" i="1"/>
  <c r="N139" i="1"/>
  <c r="A416" i="1"/>
  <c r="U311" i="1"/>
  <c r="A348" i="1"/>
  <c r="R432" i="1"/>
  <c r="B160" i="1"/>
  <c r="N330" i="1"/>
  <c r="T336" i="1"/>
  <c r="N435" i="1"/>
  <c r="E775" i="1"/>
  <c r="Q376" i="1"/>
  <c r="E298" i="1"/>
  <c r="M241" i="1"/>
  <c r="V533" i="1"/>
  <c r="H416" i="1"/>
  <c r="M354" i="1"/>
  <c r="L402" i="1"/>
  <c r="I504" i="1"/>
  <c r="T468" i="1"/>
  <c r="J78" i="1"/>
  <c r="D245" i="1"/>
  <c r="N216" i="1"/>
  <c r="O297" i="1"/>
  <c r="I245" i="1"/>
  <c r="K66" i="1"/>
  <c r="J243" i="1"/>
  <c r="L400" i="1"/>
  <c r="O359" i="1"/>
  <c r="V353" i="1"/>
  <c r="T477" i="1"/>
  <c r="P345" i="1"/>
  <c r="U226" i="1"/>
  <c r="C136" i="1"/>
  <c r="V564" i="1"/>
  <c r="L905" i="1"/>
  <c r="L780" i="1"/>
  <c r="N531" i="1"/>
  <c r="T600" i="1"/>
  <c r="V649" i="1"/>
  <c r="T837" i="1"/>
  <c r="Q453" i="1"/>
  <c r="K383" i="1"/>
  <c r="D642" i="1"/>
  <c r="R530" i="1"/>
  <c r="S743" i="1"/>
  <c r="T346" i="1"/>
  <c r="M89" i="1"/>
  <c r="O502" i="1"/>
  <c r="R178" i="1"/>
  <c r="F622" i="1"/>
  <c r="O598" i="1"/>
  <c r="M139" i="1"/>
  <c r="G517" i="1"/>
  <c r="B336" i="1"/>
  <c r="C390" i="1"/>
  <c r="E324" i="1"/>
  <c r="P260" i="1"/>
  <c r="L177" i="1"/>
  <c r="D167" i="1"/>
  <c r="Q342" i="1"/>
  <c r="Q121" i="1"/>
  <c r="A59" i="1"/>
  <c r="J355" i="1"/>
  <c r="R566" i="1"/>
  <c r="F398" i="1"/>
  <c r="H552" i="1"/>
  <c r="B392" i="1"/>
  <c r="O118" i="1"/>
  <c r="B314" i="1"/>
  <c r="C409" i="1"/>
  <c r="V152" i="1"/>
  <c r="N609" i="1"/>
  <c r="Q411" i="1"/>
  <c r="D342" i="1"/>
  <c r="P524" i="1"/>
  <c r="E401" i="1"/>
  <c r="E302" i="1"/>
  <c r="B334" i="1"/>
  <c r="G313" i="1"/>
  <c r="H248" i="1"/>
  <c r="D273" i="1"/>
  <c r="G244" i="1"/>
  <c r="O478" i="1"/>
  <c r="U412" i="1"/>
  <c r="V675" i="1"/>
  <c r="T263" i="1"/>
  <c r="D531" i="1"/>
  <c r="R40" i="1"/>
  <c r="K202" i="1"/>
  <c r="O168" i="1"/>
  <c r="B420" i="1"/>
  <c r="Q215" i="1"/>
  <c r="B76" i="1"/>
  <c r="J162" i="1"/>
  <c r="G348" i="1"/>
  <c r="J116" i="1"/>
  <c r="B61" i="1"/>
  <c r="N391" i="1"/>
  <c r="E815" i="1"/>
  <c r="Q517" i="1"/>
  <c r="N794" i="1"/>
  <c r="F538" i="1"/>
  <c r="D297" i="1"/>
  <c r="Q807" i="1"/>
  <c r="F361" i="1"/>
  <c r="T420" i="1"/>
  <c r="C365" i="1"/>
  <c r="L549" i="1"/>
  <c r="Q508" i="1"/>
  <c r="A549" i="1"/>
  <c r="J297" i="1"/>
  <c r="C623" i="1"/>
  <c r="E540" i="1"/>
  <c r="F399" i="1"/>
  <c r="S592" i="1"/>
  <c r="M708" i="1"/>
  <c r="F133" i="1"/>
  <c r="T95" i="1"/>
  <c r="B475" i="1"/>
  <c r="I351" i="1"/>
  <c r="J203" i="1"/>
  <c r="V399" i="1"/>
  <c r="I3" i="1"/>
  <c r="T278" i="1"/>
  <c r="D312" i="1"/>
  <c r="U260" i="1"/>
  <c r="P594" i="1"/>
  <c r="D61" i="1"/>
  <c r="U353" i="1"/>
  <c r="S83" i="1"/>
  <c r="F434" i="1"/>
  <c r="S320" i="1"/>
  <c r="N190" i="1"/>
  <c r="H373" i="1"/>
  <c r="H387" i="1"/>
  <c r="V803" i="1"/>
  <c r="N760" i="1"/>
  <c r="G262" i="1"/>
  <c r="H305" i="1"/>
  <c r="C562" i="1"/>
  <c r="A664" i="1"/>
  <c r="S481" i="1"/>
  <c r="O458" i="1"/>
  <c r="O482" i="1"/>
  <c r="B369" i="1"/>
  <c r="P355" i="1"/>
  <c r="P476" i="1"/>
  <c r="E704" i="1"/>
  <c r="S492" i="1"/>
  <c r="R612" i="1"/>
  <c r="U739" i="1"/>
  <c r="R279" i="1"/>
  <c r="G472" i="1"/>
  <c r="E479" i="1"/>
  <c r="V545" i="1"/>
  <c r="J250" i="1"/>
  <c r="V403" i="1"/>
  <c r="B96" i="1"/>
  <c r="F232" i="1"/>
  <c r="I72" i="1"/>
  <c r="B825" i="1"/>
  <c r="S591" i="1"/>
  <c r="E665" i="1"/>
  <c r="S381" i="1"/>
  <c r="P511" i="1"/>
  <c r="O782" i="1"/>
  <c r="O692" i="1"/>
  <c r="R611" i="1"/>
  <c r="O419" i="1"/>
  <c r="J745" i="1"/>
  <c r="G688" i="1"/>
  <c r="L709" i="1"/>
  <c r="G699" i="1"/>
  <c r="P755" i="1"/>
  <c r="B582" i="1"/>
  <c r="Q497" i="1"/>
  <c r="F357" i="1"/>
  <c r="U634" i="1"/>
  <c r="V756" i="1"/>
  <c r="M524" i="1"/>
  <c r="F325" i="1"/>
  <c r="U286" i="1"/>
  <c r="J601" i="1"/>
  <c r="T856" i="1"/>
  <c r="G578" i="1"/>
  <c r="C190" i="1"/>
  <c r="B553" i="1"/>
  <c r="F707" i="1"/>
  <c r="N507" i="1"/>
  <c r="U765" i="1"/>
  <c r="Q118" i="1"/>
  <c r="K68" i="1"/>
  <c r="Q297" i="1"/>
  <c r="P616" i="1"/>
  <c r="I134" i="1"/>
  <c r="K381" i="1"/>
  <c r="J556" i="1"/>
  <c r="M271" i="1"/>
  <c r="M335" i="1"/>
  <c r="A466" i="1"/>
  <c r="F180" i="1"/>
  <c r="P378" i="1"/>
  <c r="B382" i="1"/>
  <c r="N414" i="1"/>
  <c r="R267" i="1"/>
  <c r="L508" i="1"/>
  <c r="Q366" i="1"/>
  <c r="H550" i="1"/>
  <c r="G530" i="1"/>
  <c r="G195" i="1"/>
  <c r="F130" i="1"/>
  <c r="P146" i="1"/>
  <c r="U339" i="1"/>
  <c r="U182" i="1"/>
  <c r="C484" i="1"/>
  <c r="O250" i="1"/>
  <c r="S269" i="1"/>
  <c r="N476" i="1"/>
  <c r="S284" i="1"/>
  <c r="H264" i="1"/>
  <c r="P584" i="1"/>
  <c r="S235" i="1"/>
  <c r="K402" i="1"/>
  <c r="G426" i="1"/>
  <c r="C564" i="1"/>
  <c r="T672" i="1"/>
  <c r="I733" i="1"/>
  <c r="E782" i="1"/>
  <c r="O666" i="1"/>
  <c r="H326" i="1"/>
  <c r="T872" i="1"/>
  <c r="A667" i="1"/>
  <c r="E434" i="1"/>
  <c r="Q350" i="1"/>
  <c r="E155" i="1"/>
  <c r="J697" i="1"/>
  <c r="U451" i="1"/>
  <c r="J468" i="1"/>
  <c r="A161" i="1"/>
  <c r="I699" i="1"/>
  <c r="B556" i="1"/>
  <c r="D617" i="1"/>
  <c r="O249" i="1"/>
  <c r="B363" i="1"/>
  <c r="O121" i="1"/>
  <c r="E290" i="1"/>
  <c r="A77" i="1"/>
  <c r="N477" i="1"/>
  <c r="D435" i="1"/>
  <c r="D134" i="1"/>
  <c r="O480" i="1"/>
  <c r="J242" i="1"/>
  <c r="L206" i="1"/>
  <c r="S258" i="1"/>
  <c r="Q473" i="1"/>
  <c r="I564" i="1"/>
  <c r="B388" i="1"/>
  <c r="D491" i="1"/>
  <c r="H616" i="1"/>
  <c r="Q165" i="1"/>
  <c r="H423" i="1"/>
  <c r="G315" i="1"/>
  <c r="S497" i="1"/>
  <c r="C90" i="1"/>
  <c r="K347" i="1"/>
  <c r="N152" i="1"/>
  <c r="H235" i="1"/>
  <c r="U790" i="1"/>
  <c r="V511" i="1"/>
  <c r="O313" i="1"/>
  <c r="U310" i="1"/>
  <c r="N179" i="1"/>
  <c r="C610" i="1"/>
  <c r="H79" i="1"/>
  <c r="R81" i="1"/>
  <c r="S155" i="1"/>
  <c r="L250" i="1"/>
  <c r="O455" i="1"/>
  <c r="U188" i="1"/>
  <c r="N447" i="1"/>
  <c r="L141" i="1"/>
  <c r="E725" i="1"/>
  <c r="H61" i="1"/>
  <c r="Q94" i="1"/>
  <c r="T134" i="1"/>
  <c r="D36" i="1"/>
  <c r="N257" i="1"/>
  <c r="U513" i="1"/>
  <c r="L409" i="1"/>
  <c r="O651" i="1"/>
  <c r="P808" i="1"/>
  <c r="G412" i="1"/>
  <c r="J685" i="1"/>
  <c r="R572" i="1"/>
  <c r="D473" i="1"/>
  <c r="H522" i="1"/>
  <c r="E647" i="1"/>
  <c r="V425" i="1"/>
  <c r="B440" i="1"/>
  <c r="K436" i="1"/>
  <c r="C672" i="1"/>
  <c r="T277" i="1"/>
  <c r="J497" i="1"/>
  <c r="H371" i="1"/>
  <c r="I280" i="1"/>
  <c r="R344" i="1"/>
  <c r="S339" i="1"/>
  <c r="F377" i="1"/>
  <c r="B78" i="1"/>
  <c r="V496" i="1"/>
  <c r="L131" i="1"/>
  <c r="L124" i="1"/>
  <c r="K332" i="1"/>
  <c r="F510" i="1"/>
  <c r="T340" i="1"/>
  <c r="A297" i="1"/>
  <c r="D741" i="1"/>
  <c r="N611" i="1"/>
  <c r="S247" i="1"/>
  <c r="O513" i="1"/>
  <c r="K274" i="1"/>
  <c r="O332" i="1"/>
  <c r="L186" i="1"/>
  <c r="L351" i="1"/>
  <c r="G258" i="1"/>
  <c r="B186" i="1"/>
  <c r="Q472" i="1"/>
  <c r="B353" i="1"/>
  <c r="O381" i="1"/>
  <c r="K106" i="1"/>
  <c r="O432" i="1"/>
  <c r="D179" i="1"/>
  <c r="B89" i="1"/>
  <c r="Q272" i="1"/>
  <c r="I330" i="1"/>
  <c r="S76" i="1"/>
  <c r="P167" i="1"/>
  <c r="I12" i="1"/>
  <c r="P243" i="1"/>
  <c r="I471" i="1"/>
  <c r="U237" i="1"/>
  <c r="J95" i="1"/>
  <c r="H6" i="1"/>
  <c r="A15" i="1"/>
  <c r="P512" i="1"/>
  <c r="E354" i="1"/>
  <c r="I318" i="1"/>
  <c r="F267" i="1"/>
  <c r="D216" i="1"/>
  <c r="J36" i="1"/>
  <c r="M264" i="1"/>
  <c r="U359" i="1"/>
  <c r="F628" i="1"/>
  <c r="G833" i="1"/>
  <c r="O467" i="1"/>
  <c r="U766" i="1"/>
  <c r="G621" i="1"/>
  <c r="A921" i="1"/>
  <c r="D650" i="1"/>
  <c r="U218" i="1"/>
  <c r="V565" i="1"/>
  <c r="D490" i="1"/>
  <c r="O487" i="1"/>
  <c r="H351" i="1"/>
  <c r="O406" i="1"/>
  <c r="C323" i="1"/>
  <c r="I668" i="1"/>
  <c r="U649" i="1"/>
  <c r="O243" i="1"/>
  <c r="C671" i="1"/>
  <c r="T333" i="1"/>
  <c r="S477" i="1"/>
  <c r="G570" i="1"/>
  <c r="N243" i="1"/>
  <c r="B281" i="1"/>
  <c r="U214" i="1"/>
  <c r="U147" i="1"/>
  <c r="N237" i="1"/>
  <c r="K34" i="1"/>
  <c r="D173" i="1"/>
  <c r="U538" i="1"/>
  <c r="T522" i="1"/>
  <c r="S627" i="1"/>
  <c r="B267" i="1"/>
  <c r="H585" i="1"/>
  <c r="C399" i="1"/>
  <c r="D321" i="1"/>
  <c r="G323" i="1"/>
  <c r="C519" i="1"/>
  <c r="E440" i="1"/>
  <c r="V443" i="1"/>
  <c r="E633" i="1"/>
  <c r="C722" i="1"/>
  <c r="E609" i="1"/>
  <c r="K434" i="1"/>
  <c r="A446" i="1"/>
  <c r="F271" i="1"/>
  <c r="U467" i="1"/>
  <c r="T497" i="1"/>
  <c r="O109" i="1"/>
  <c r="B817" i="1"/>
  <c r="J630" i="1"/>
  <c r="C143" i="1"/>
  <c r="D523" i="1"/>
  <c r="K317" i="1"/>
  <c r="H407" i="1"/>
  <c r="L676" i="1"/>
  <c r="P320" i="1"/>
  <c r="H428" i="1"/>
  <c r="L294" i="1"/>
  <c r="D559" i="1"/>
  <c r="T302" i="1"/>
  <c r="J322" i="1"/>
  <c r="Q249" i="1"/>
  <c r="K267" i="1"/>
  <c r="N96" i="1"/>
  <c r="Q818" i="1"/>
  <c r="S697" i="1"/>
  <c r="A761" i="1"/>
  <c r="P480" i="1"/>
  <c r="L414" i="1"/>
  <c r="R308" i="1"/>
  <c r="K511" i="1"/>
  <c r="N739" i="1"/>
  <c r="T430" i="1"/>
  <c r="F334" i="1"/>
  <c r="U452" i="1"/>
  <c r="O25" i="1"/>
  <c r="B276" i="1"/>
  <c r="O160" i="1"/>
  <c r="T433" i="1"/>
  <c r="U110" i="1"/>
  <c r="C194" i="1"/>
  <c r="R206" i="1"/>
  <c r="P231" i="1"/>
  <c r="R352" i="1"/>
  <c r="G512" i="1"/>
  <c r="D838" i="1"/>
  <c r="N312" i="1"/>
  <c r="O429" i="1"/>
  <c r="O440" i="1"/>
  <c r="G452" i="1"/>
  <c r="E760" i="1"/>
  <c r="L702" i="1"/>
  <c r="B413" i="1"/>
  <c r="O829" i="1"/>
  <c r="E364" i="1"/>
  <c r="V74" i="1"/>
  <c r="S900" i="1"/>
  <c r="B504" i="1"/>
  <c r="I419" i="1"/>
  <c r="R420" i="1"/>
  <c r="E423" i="1"/>
  <c r="P264" i="1"/>
  <c r="D311" i="1"/>
  <c r="R265" i="1"/>
  <c r="F81" i="1"/>
  <c r="P660" i="1"/>
  <c r="D320" i="1"/>
  <c r="L197" i="1"/>
  <c r="O26" i="1"/>
  <c r="H420" i="1"/>
  <c r="A245" i="1"/>
  <c r="P230" i="1"/>
  <c r="S511" i="1"/>
  <c r="D270" i="1"/>
  <c r="I174" i="1"/>
  <c r="R162" i="1"/>
  <c r="V166" i="1"/>
  <c r="F115" i="1"/>
  <c r="R274" i="1"/>
  <c r="S255" i="1"/>
  <c r="R36" i="1"/>
  <c r="E164" i="1"/>
  <c r="I175" i="1"/>
  <c r="Q11" i="1"/>
  <c r="V303" i="1"/>
  <c r="V147" i="1"/>
  <c r="G875" i="1"/>
  <c r="R538" i="1"/>
  <c r="T640" i="1"/>
  <c r="Q242" i="1"/>
  <c r="K660" i="1"/>
  <c r="H445" i="1"/>
  <c r="F388" i="1"/>
  <c r="F455" i="1"/>
  <c r="P398" i="1"/>
  <c r="P276" i="1"/>
  <c r="L37" i="1"/>
  <c r="A749" i="1"/>
  <c r="Q399" i="1"/>
  <c r="I204" i="1"/>
  <c r="U74" i="1"/>
  <c r="K124" i="1"/>
  <c r="P248" i="1"/>
  <c r="D747" i="1"/>
  <c r="E522" i="1"/>
  <c r="L8" i="1"/>
  <c r="M423" i="1"/>
  <c r="G428" i="1"/>
  <c r="Q324" i="1"/>
  <c r="C24" i="1"/>
  <c r="M62" i="1"/>
  <c r="F71" i="1"/>
  <c r="F192" i="1"/>
  <c r="C495" i="1"/>
  <c r="R134" i="1"/>
  <c r="D195" i="1"/>
  <c r="U88" i="1"/>
  <c r="F54" i="1"/>
  <c r="L66" i="1"/>
  <c r="L7" i="1"/>
  <c r="V109" i="1"/>
  <c r="Q316" i="1"/>
  <c r="A139" i="1"/>
  <c r="H30" i="1"/>
  <c r="V508" i="1"/>
  <c r="N101" i="1"/>
  <c r="G182" i="1"/>
  <c r="D396" i="1"/>
  <c r="B147" i="1"/>
  <c r="N182" i="1"/>
  <c r="O38" i="1"/>
  <c r="K328" i="1"/>
  <c r="R340" i="1"/>
  <c r="T492" i="1"/>
  <c r="F274" i="1"/>
  <c r="P168" i="1"/>
  <c r="C158" i="1"/>
  <c r="C54" i="1"/>
  <c r="A7" i="1"/>
  <c r="J138" i="1"/>
  <c r="S228" i="1"/>
  <c r="K171" i="1"/>
  <c r="F162" i="1"/>
  <c r="D136" i="1"/>
  <c r="V489" i="1"/>
  <c r="A237" i="1"/>
  <c r="L301" i="1"/>
  <c r="E289" i="1"/>
  <c r="I274" i="1"/>
  <c r="M710" i="1"/>
  <c r="S494" i="1"/>
  <c r="H556" i="1"/>
  <c r="G509" i="1"/>
  <c r="J434" i="1"/>
  <c r="B478" i="1"/>
  <c r="R272" i="1"/>
  <c r="S478" i="1"/>
  <c r="O659" i="1"/>
  <c r="J5" i="1"/>
  <c r="P348" i="1"/>
  <c r="G420" i="1"/>
  <c r="L368" i="1"/>
  <c r="C138" i="1"/>
  <c r="P564" i="1"/>
  <c r="O473" i="1"/>
  <c r="E115" i="1"/>
  <c r="H317" i="1"/>
  <c r="A89" i="1"/>
  <c r="R103" i="1"/>
  <c r="F79" i="1"/>
  <c r="G394" i="1"/>
  <c r="C472" i="1"/>
  <c r="O154" i="1"/>
  <c r="S112" i="1"/>
  <c r="D456" i="1"/>
  <c r="C52" i="1"/>
  <c r="Q70" i="1"/>
  <c r="F297" i="1"/>
  <c r="F268" i="1"/>
  <c r="V31" i="1"/>
  <c r="H158" i="1"/>
  <c r="V139" i="1"/>
  <c r="L26" i="1"/>
  <c r="M28" i="1"/>
  <c r="K224" i="1"/>
  <c r="P453" i="1"/>
  <c r="A381" i="1"/>
  <c r="E265" i="1"/>
  <c r="A296" i="1"/>
  <c r="M252" i="1"/>
  <c r="C148" i="1"/>
  <c r="Q84" i="1"/>
  <c r="J179" i="1"/>
  <c r="I184" i="1"/>
  <c r="U206" i="1"/>
  <c r="K177" i="1"/>
  <c r="S237" i="1"/>
  <c r="O106" i="1"/>
  <c r="J193" i="1"/>
  <c r="M356" i="1"/>
  <c r="C71" i="1"/>
  <c r="U135" i="1"/>
  <c r="P307" i="1"/>
  <c r="K119" i="1"/>
  <c r="Q141" i="1"/>
  <c r="V52" i="1"/>
  <c r="A365" i="1"/>
  <c r="N129" i="1"/>
  <c r="J416" i="1"/>
  <c r="N226" i="1"/>
  <c r="D181" i="1"/>
  <c r="S218" i="1"/>
  <c r="K46" i="1"/>
  <c r="C756" i="1"/>
  <c r="H310" i="1"/>
  <c r="H402" i="1"/>
  <c r="I704" i="1"/>
  <c r="N483" i="1"/>
  <c r="T498" i="1"/>
  <c r="A542" i="1"/>
  <c r="V461" i="1"/>
  <c r="P509" i="1"/>
  <c r="L304" i="1"/>
  <c r="K334" i="1"/>
  <c r="E425" i="1"/>
  <c r="M724" i="1"/>
  <c r="C461" i="1"/>
  <c r="S865" i="1"/>
  <c r="A244" i="1"/>
  <c r="C305" i="1"/>
  <c r="O371" i="1"/>
  <c r="L478" i="1"/>
  <c r="M669" i="1"/>
  <c r="T403" i="1"/>
  <c r="B496" i="1"/>
  <c r="O374" i="1"/>
  <c r="H113" i="1"/>
  <c r="B157" i="1"/>
  <c r="Q412" i="1"/>
  <c r="H405" i="1"/>
  <c r="B300" i="1"/>
  <c r="B174" i="1"/>
  <c r="D231" i="1"/>
  <c r="H73" i="1"/>
  <c r="O719" i="1"/>
  <c r="D4" i="1"/>
  <c r="D148" i="1"/>
  <c r="V92" i="1"/>
  <c r="M208" i="1"/>
  <c r="T208" i="1"/>
  <c r="O563" i="1"/>
  <c r="C416" i="1"/>
  <c r="A206" i="1"/>
  <c r="V528" i="1"/>
  <c r="E532" i="1"/>
  <c r="J760" i="1"/>
  <c r="B597" i="1"/>
  <c r="L604" i="1"/>
  <c r="S541" i="1"/>
  <c r="J205" i="1"/>
  <c r="B312" i="1"/>
  <c r="U897" i="1"/>
  <c r="V604" i="1"/>
  <c r="R488" i="1"/>
  <c r="K435" i="1"/>
  <c r="C405" i="1"/>
  <c r="G224" i="1"/>
  <c r="F572" i="1"/>
  <c r="O427" i="1"/>
  <c r="K36" i="1"/>
  <c r="D723" i="1"/>
  <c r="P126" i="1"/>
  <c r="U264" i="1"/>
  <c r="Q140" i="1"/>
  <c r="S89" i="1"/>
  <c r="N40" i="1"/>
  <c r="D403" i="1"/>
  <c r="K702" i="1"/>
  <c r="B446" i="1"/>
  <c r="S371" i="1"/>
  <c r="Q655" i="1"/>
  <c r="N315" i="1"/>
  <c r="M207" i="1"/>
  <c r="T611" i="1"/>
  <c r="N550" i="1"/>
  <c r="E214" i="1"/>
  <c r="U176" i="1"/>
  <c r="Q565" i="1"/>
  <c r="U172" i="1"/>
  <c r="G147" i="1"/>
  <c r="A112" i="1"/>
  <c r="S79" i="1"/>
  <c r="H70" i="1"/>
  <c r="G581" i="1"/>
  <c r="C649" i="1"/>
  <c r="N587" i="1"/>
  <c r="V138" i="1"/>
  <c r="H495" i="1"/>
  <c r="F468" i="1"/>
  <c r="I442" i="1"/>
  <c r="K577" i="1"/>
  <c r="E514" i="1"/>
  <c r="Q483" i="1"/>
  <c r="H399" i="1"/>
  <c r="L469" i="1"/>
  <c r="H539" i="1"/>
  <c r="Q327" i="1"/>
  <c r="O392" i="1"/>
  <c r="G154" i="1"/>
  <c r="Q546" i="1"/>
  <c r="P415" i="1"/>
  <c r="B414" i="1"/>
  <c r="C404" i="1"/>
  <c r="L556" i="1"/>
  <c r="A369" i="1"/>
  <c r="M185" i="1"/>
  <c r="L65" i="1"/>
  <c r="M472" i="1"/>
  <c r="G467" i="1"/>
  <c r="I173" i="1"/>
  <c r="J58" i="1"/>
  <c r="N314" i="1"/>
  <c r="P117" i="1"/>
  <c r="U93" i="1"/>
  <c r="L317" i="1"/>
  <c r="C191" i="1"/>
  <c r="P321" i="1"/>
  <c r="G113" i="1"/>
  <c r="O196" i="1"/>
  <c r="J350" i="1"/>
  <c r="N479" i="1"/>
  <c r="N305" i="1"/>
  <c r="O151" i="1"/>
  <c r="U111" i="1"/>
  <c r="G593" i="1"/>
  <c r="D483" i="1"/>
  <c r="R114" i="1"/>
  <c r="G398" i="1"/>
  <c r="L840" i="1"/>
  <c r="A457" i="1"/>
  <c r="I752" i="1"/>
  <c r="K668" i="1"/>
  <c r="H424" i="1"/>
  <c r="F541" i="1"/>
  <c r="R654" i="1"/>
  <c r="H97" i="1"/>
  <c r="U249" i="1"/>
  <c r="L544" i="1"/>
  <c r="G213" i="1"/>
  <c r="T348" i="1"/>
  <c r="C370" i="1"/>
  <c r="K304" i="1"/>
  <c r="S256" i="1"/>
  <c r="M482" i="1"/>
  <c r="D84" i="1"/>
  <c r="D563" i="1"/>
  <c r="B240" i="1"/>
  <c r="O226" i="1"/>
  <c r="O158" i="1"/>
  <c r="C436" i="1"/>
  <c r="O137" i="1"/>
  <c r="K517" i="1"/>
  <c r="D281" i="1"/>
  <c r="T48" i="1"/>
  <c r="F83" i="1"/>
  <c r="C46" i="1"/>
  <c r="A362" i="1"/>
  <c r="R436" i="1"/>
  <c r="S508" i="1"/>
  <c r="R346" i="1"/>
  <c r="J166" i="1"/>
  <c r="N156" i="1"/>
  <c r="H78" i="1"/>
  <c r="G68" i="1"/>
  <c r="J474" i="1"/>
  <c r="C339" i="1"/>
  <c r="U583" i="1"/>
  <c r="O217" i="1"/>
  <c r="H83" i="1"/>
  <c r="B284" i="1"/>
  <c r="V372" i="1"/>
  <c r="M247" i="1"/>
  <c r="Q167" i="1"/>
  <c r="T10" i="1"/>
  <c r="V502" i="1"/>
  <c r="B183" i="1"/>
  <c r="Q209" i="1"/>
  <c r="S96" i="1"/>
  <c r="J458" i="1"/>
  <c r="A63" i="1"/>
  <c r="H624" i="1"/>
  <c r="C40" i="1"/>
  <c r="F263" i="1"/>
  <c r="F205" i="1"/>
  <c r="S259" i="1"/>
  <c r="U114" i="1"/>
  <c r="S245" i="1"/>
  <c r="R140" i="1"/>
  <c r="T249" i="1"/>
  <c r="S655" i="1"/>
  <c r="O407" i="1"/>
  <c r="A185" i="1"/>
  <c r="H462" i="1"/>
  <c r="D661" i="1"/>
  <c r="U769" i="1"/>
  <c r="T177" i="1"/>
  <c r="U545" i="1"/>
  <c r="U386" i="1"/>
  <c r="S518" i="1"/>
  <c r="T488" i="1"/>
  <c r="F28" i="1"/>
  <c r="P213" i="1"/>
  <c r="M579" i="1"/>
  <c r="N413" i="1"/>
  <c r="L343" i="1"/>
  <c r="I510" i="1"/>
  <c r="K529" i="1"/>
  <c r="V404" i="1"/>
  <c r="I63" i="1"/>
  <c r="M63" i="1"/>
  <c r="B137" i="1"/>
  <c r="K770" i="1"/>
  <c r="I355" i="1"/>
  <c r="E383" i="1"/>
  <c r="L323" i="1"/>
  <c r="K112" i="1"/>
  <c r="R231" i="1"/>
  <c r="S843" i="1"/>
  <c r="V467" i="1"/>
  <c r="E201" i="1"/>
  <c r="L275" i="1"/>
  <c r="P171" i="1"/>
  <c r="Q214" i="1"/>
  <c r="A178" i="1"/>
  <c r="B283" i="1"/>
  <c r="O155" i="1"/>
  <c r="F63" i="1"/>
  <c r="C113" i="1"/>
  <c r="T123" i="1"/>
  <c r="P270" i="1"/>
  <c r="S446" i="1"/>
  <c r="B494" i="1"/>
  <c r="D539" i="1"/>
  <c r="A239" i="1"/>
  <c r="E154" i="1"/>
  <c r="Q467" i="1"/>
  <c r="E143" i="1"/>
  <c r="A444" i="1"/>
  <c r="D352" i="1"/>
  <c r="G63" i="1"/>
  <c r="L373" i="1"/>
  <c r="K358" i="1"/>
  <c r="E54" i="1"/>
  <c r="N317" i="1"/>
  <c r="O111" i="1"/>
  <c r="O401" i="1"/>
  <c r="G20" i="1"/>
  <c r="G53" i="1"/>
  <c r="Q4" i="1"/>
  <c r="R386" i="1"/>
  <c r="Q155" i="1"/>
  <c r="T32" i="1"/>
  <c r="F778" i="1"/>
  <c r="A618" i="1"/>
  <c r="S18" i="1"/>
  <c r="M522" i="1"/>
  <c r="T697" i="1"/>
  <c r="P772" i="1"/>
  <c r="E711" i="1"/>
  <c r="S403" i="1"/>
  <c r="C565" i="1"/>
  <c r="V423" i="1"/>
  <c r="M488" i="1"/>
  <c r="V473" i="1"/>
  <c r="A461" i="1"/>
  <c r="T314" i="1"/>
  <c r="T18" i="1"/>
  <c r="K467" i="1"/>
  <c r="M143" i="1"/>
  <c r="T122" i="1"/>
  <c r="E310" i="1"/>
  <c r="C465" i="1"/>
  <c r="N121" i="1"/>
  <c r="O573" i="1"/>
  <c r="N411" i="1"/>
  <c r="K325" i="1"/>
  <c r="R497" i="1"/>
  <c r="O366" i="1"/>
  <c r="K471" i="1"/>
  <c r="P222" i="1"/>
  <c r="L105" i="1"/>
  <c r="Q102" i="1"/>
  <c r="L788" i="1"/>
  <c r="G552" i="1"/>
  <c r="P385" i="1"/>
  <c r="K180" i="1"/>
  <c r="D14" i="1"/>
  <c r="U417" i="1"/>
  <c r="A233" i="1"/>
  <c r="E188" i="1"/>
  <c r="L202" i="1"/>
  <c r="S182" i="1"/>
  <c r="D209" i="1"/>
  <c r="T310" i="1"/>
  <c r="H185" i="1"/>
  <c r="V594" i="1"/>
  <c r="P750" i="1"/>
  <c r="U361" i="1"/>
  <c r="H219" i="1"/>
  <c r="Q490" i="1"/>
  <c r="I470" i="1"/>
  <c r="D400" i="1"/>
  <c r="F60" i="1"/>
  <c r="M408" i="1"/>
  <c r="P550" i="1"/>
  <c r="D142" i="1"/>
  <c r="V485" i="1"/>
  <c r="E536" i="1"/>
  <c r="F389" i="1"/>
  <c r="J477" i="1"/>
  <c r="R408" i="1"/>
  <c r="D345" i="1"/>
  <c r="U608" i="1"/>
  <c r="E135" i="1"/>
  <c r="S308" i="1"/>
  <c r="U573" i="1"/>
  <c r="O503" i="1"/>
  <c r="N387" i="1"/>
  <c r="C448" i="1"/>
  <c r="R216" i="1"/>
  <c r="T252" i="1"/>
  <c r="J4" i="1"/>
  <c r="O340" i="1"/>
  <c r="P683" i="1"/>
  <c r="K480" i="1"/>
  <c r="G560" i="1"/>
  <c r="C133" i="1"/>
  <c r="P624" i="1"/>
  <c r="R318" i="1"/>
  <c r="J385" i="1"/>
  <c r="I16" i="1"/>
  <c r="C435" i="1"/>
  <c r="R289" i="1"/>
  <c r="N496" i="1"/>
  <c r="O126" i="1"/>
  <c r="K412" i="1"/>
  <c r="J111" i="1"/>
  <c r="H473" i="1"/>
  <c r="I209" i="1"/>
  <c r="L541" i="1"/>
  <c r="I164" i="1"/>
  <c r="K33" i="1"/>
  <c r="A810" i="1"/>
  <c r="P699" i="1"/>
  <c r="P572" i="1"/>
  <c r="Q200" i="1"/>
  <c r="O323" i="1"/>
  <c r="F189" i="1"/>
  <c r="C389" i="1"/>
  <c r="F430" i="1"/>
  <c r="J155" i="1"/>
  <c r="M197" i="1"/>
  <c r="O224" i="1"/>
  <c r="O353" i="1"/>
  <c r="B331" i="1"/>
  <c r="S412" i="1"/>
  <c r="I109" i="1"/>
  <c r="P367" i="1"/>
  <c r="U257" i="1"/>
  <c r="D477" i="1"/>
  <c r="U146" i="1"/>
  <c r="M183" i="1"/>
  <c r="B262" i="1"/>
  <c r="V302" i="1"/>
  <c r="O67" i="1"/>
  <c r="N183" i="1"/>
  <c r="D40" i="1"/>
  <c r="J263" i="1"/>
  <c r="H354" i="1"/>
  <c r="J223" i="1"/>
  <c r="G148" i="1"/>
  <c r="K366" i="1"/>
  <c r="A543" i="1"/>
  <c r="H153" i="1"/>
  <c r="O319" i="1"/>
  <c r="E681" i="1"/>
  <c r="L297" i="1"/>
  <c r="V340" i="1"/>
  <c r="G164" i="1"/>
  <c r="C322" i="1"/>
  <c r="G598" i="1"/>
  <c r="R266" i="1"/>
  <c r="J346" i="1"/>
  <c r="I311" i="1"/>
  <c r="O681" i="1"/>
  <c r="N697" i="1"/>
  <c r="R644" i="1"/>
  <c r="L312" i="1"/>
  <c r="U456" i="1"/>
  <c r="V583" i="1"/>
  <c r="C457" i="1"/>
  <c r="O610" i="1"/>
  <c r="H754" i="1"/>
  <c r="F279" i="1"/>
  <c r="M700" i="1"/>
  <c r="M132" i="1"/>
  <c r="N354" i="1"/>
  <c r="P328" i="1"/>
  <c r="T280" i="1"/>
  <c r="K329" i="1"/>
  <c r="O508" i="1"/>
  <c r="O449" i="1"/>
  <c r="G468" i="1"/>
  <c r="B608" i="1"/>
  <c r="L216" i="1"/>
  <c r="G23" i="1"/>
  <c r="Q328" i="1"/>
  <c r="C276" i="1"/>
  <c r="D76" i="1"/>
  <c r="L210" i="1"/>
  <c r="T66" i="1"/>
  <c r="N89" i="1"/>
  <c r="V521" i="1"/>
  <c r="V77" i="1"/>
  <c r="Q175" i="1"/>
  <c r="R555" i="1"/>
  <c r="E573" i="1"/>
  <c r="Q616" i="1"/>
  <c r="B499" i="1"/>
  <c r="O373" i="1"/>
  <c r="H469" i="1"/>
  <c r="G429" i="1"/>
  <c r="U75" i="1"/>
  <c r="F489" i="1"/>
  <c r="V180" i="1"/>
  <c r="L51" i="1"/>
  <c r="V311" i="1"/>
  <c r="Q569" i="1"/>
  <c r="E10" i="1"/>
  <c r="S248" i="1"/>
  <c r="R187" i="1"/>
  <c r="D208" i="1"/>
  <c r="B293" i="1"/>
  <c r="U63" i="1"/>
  <c r="B19" i="1"/>
  <c r="M310" i="1"/>
  <c r="Q95" i="1"/>
  <c r="J319" i="1"/>
  <c r="A556" i="1"/>
  <c r="N229" i="1"/>
  <c r="S282" i="1"/>
  <c r="R299" i="1"/>
  <c r="S31" i="1"/>
  <c r="P614" i="1"/>
  <c r="T67" i="1"/>
  <c r="H361" i="1"/>
  <c r="V280" i="1"/>
  <c r="B347" i="1"/>
  <c r="D821" i="1"/>
  <c r="T467" i="1"/>
  <c r="L475" i="1"/>
  <c r="F518" i="1"/>
  <c r="C476" i="1"/>
  <c r="M218" i="1"/>
  <c r="O780" i="1"/>
  <c r="F531" i="1"/>
  <c r="C444" i="1"/>
  <c r="T586" i="1"/>
  <c r="B349" i="1"/>
  <c r="O545" i="1"/>
  <c r="H771" i="1"/>
  <c r="C687" i="1"/>
  <c r="I252" i="1"/>
  <c r="J304" i="1"/>
  <c r="E77" i="1"/>
  <c r="U542" i="1"/>
  <c r="U487" i="1"/>
  <c r="J700" i="1"/>
  <c r="L238" i="1"/>
  <c r="C592" i="1"/>
  <c r="H353" i="1"/>
  <c r="C516" i="1"/>
  <c r="J469" i="1"/>
  <c r="Q238" i="1"/>
  <c r="F220" i="1"/>
  <c r="H88" i="1"/>
  <c r="F490" i="1"/>
  <c r="V706" i="1"/>
  <c r="Q207" i="1"/>
  <c r="L616" i="1"/>
  <c r="P38" i="1"/>
  <c r="E166" i="1"/>
  <c r="D16" i="1"/>
  <c r="O183" i="1"/>
  <c r="V243" i="1"/>
  <c r="V438" i="1"/>
  <c r="B539" i="1"/>
  <c r="A772" i="1"/>
  <c r="U425" i="1"/>
  <c r="S136" i="1"/>
  <c r="J388" i="1"/>
  <c r="A145" i="1"/>
  <c r="D290" i="1"/>
  <c r="I722" i="1"/>
  <c r="B487" i="1"/>
  <c r="T365" i="1"/>
  <c r="O540" i="1"/>
  <c r="Q351" i="1"/>
  <c r="C376" i="1"/>
  <c r="K484" i="1"/>
  <c r="Q231" i="1"/>
  <c r="M404" i="1"/>
  <c r="M214" i="1"/>
  <c r="I270" i="1"/>
  <c r="V826" i="1"/>
  <c r="H739" i="1"/>
  <c r="A475" i="1"/>
  <c r="D383" i="1"/>
  <c r="K865" i="1"/>
  <c r="J340" i="1"/>
  <c r="N581" i="1"/>
  <c r="Q752" i="1"/>
  <c r="M181" i="1"/>
  <c r="N284" i="1"/>
  <c r="F491" i="1"/>
  <c r="N29" i="1"/>
  <c r="O164" i="1"/>
  <c r="T397" i="1"/>
  <c r="N21" i="1"/>
  <c r="O256" i="1"/>
  <c r="U315" i="1"/>
  <c r="E550" i="1"/>
  <c r="L411" i="1"/>
  <c r="H621" i="1"/>
  <c r="I428" i="1"/>
  <c r="V529" i="1"/>
  <c r="Q385" i="1"/>
  <c r="Q133" i="1"/>
  <c r="S498" i="1"/>
  <c r="T282" i="1"/>
  <c r="E334" i="1"/>
  <c r="E509" i="1"/>
  <c r="O436" i="1"/>
  <c r="E121" i="1"/>
  <c r="I415" i="1"/>
  <c r="C167" i="1"/>
  <c r="P89" i="1"/>
  <c r="B39" i="1"/>
  <c r="L123" i="1"/>
  <c r="E35" i="1"/>
  <c r="H5" i="1"/>
  <c r="B32" i="1"/>
  <c r="R498" i="1"/>
  <c r="R257" i="1"/>
  <c r="T281" i="1"/>
  <c r="F301" i="1"/>
  <c r="J746" i="1"/>
  <c r="L648" i="1"/>
  <c r="R556" i="1"/>
  <c r="B694" i="1"/>
  <c r="J725" i="1"/>
  <c r="N775" i="1"/>
  <c r="H320" i="1"/>
  <c r="I200" i="1"/>
  <c r="B641" i="1"/>
  <c r="B134" i="1"/>
  <c r="B522" i="1"/>
  <c r="P181" i="1"/>
  <c r="U559" i="1"/>
  <c r="M555" i="1"/>
  <c r="G314" i="1"/>
  <c r="H207" i="1"/>
  <c r="I298" i="1"/>
  <c r="S315" i="1"/>
  <c r="V106" i="1"/>
  <c r="M391" i="1"/>
  <c r="P193" i="1"/>
  <c r="D31" i="1"/>
  <c r="I49" i="1"/>
  <c r="S596" i="1"/>
  <c r="H324" i="1"/>
  <c r="Q419" i="1"/>
  <c r="I396" i="1"/>
  <c r="M50" i="1"/>
  <c r="V332" i="1"/>
  <c r="U83" i="1"/>
  <c r="M263" i="1"/>
  <c r="C599" i="1"/>
  <c r="P195" i="1"/>
  <c r="K150" i="1"/>
  <c r="A133" i="1"/>
  <c r="V383" i="1"/>
  <c r="H340" i="1"/>
  <c r="J555" i="1"/>
  <c r="D234" i="1"/>
  <c r="M298" i="1"/>
  <c r="O312" i="1"/>
  <c r="E323" i="1"/>
  <c r="O195" i="1"/>
  <c r="B202" i="1"/>
  <c r="V433" i="1"/>
  <c r="C341" i="1"/>
  <c r="L280" i="1"/>
  <c r="B411" i="1"/>
  <c r="H442" i="1"/>
  <c r="G217" i="1"/>
  <c r="S220" i="1"/>
  <c r="U224" i="1"/>
  <c r="V220" i="1"/>
  <c r="G374" i="1"/>
  <c r="J222" i="1"/>
  <c r="G9" i="1"/>
  <c r="R133" i="1"/>
  <c r="K319" i="1"/>
  <c r="E3" i="1"/>
  <c r="U431" i="1"/>
  <c r="Q99" i="1"/>
  <c r="C204" i="1"/>
  <c r="N306" i="1"/>
  <c r="F64" i="1"/>
  <c r="A677" i="1"/>
  <c r="E447" i="1"/>
  <c r="U437" i="1"/>
  <c r="V277" i="1"/>
  <c r="A431" i="1"/>
  <c r="J764" i="1"/>
  <c r="F624" i="1"/>
  <c r="I497" i="1"/>
  <c r="K573" i="1"/>
  <c r="B348" i="1"/>
  <c r="K407" i="1"/>
  <c r="L341" i="1"/>
  <c r="U613" i="1"/>
  <c r="H251" i="1"/>
  <c r="J527" i="1"/>
  <c r="S549" i="1"/>
  <c r="T329" i="1"/>
  <c r="U383" i="1"/>
  <c r="C639" i="1"/>
  <c r="E102" i="1"/>
  <c r="M157" i="1"/>
  <c r="S423" i="1"/>
  <c r="F352" i="1"/>
  <c r="F397" i="1"/>
  <c r="M124" i="1"/>
  <c r="P79" i="1"/>
  <c r="U667" i="1"/>
  <c r="K222" i="1"/>
  <c r="U119" i="1"/>
  <c r="P83" i="1"/>
  <c r="C653" i="1"/>
  <c r="D371" i="1"/>
  <c r="M68" i="1"/>
  <c r="A171" i="1"/>
  <c r="D17" i="1"/>
  <c r="D274" i="1"/>
  <c r="L330" i="1"/>
  <c r="V247" i="1"/>
  <c r="O150" i="1"/>
  <c r="A349" i="1"/>
  <c r="H50" i="1"/>
  <c r="O308" i="1"/>
  <c r="C58" i="1"/>
  <c r="B17" i="1"/>
  <c r="A74" i="1"/>
  <c r="J410" i="1"/>
  <c r="L155" i="1"/>
  <c r="J135" i="1"/>
  <c r="C174" i="1"/>
  <c r="M176" i="1"/>
  <c r="V151" i="1"/>
  <c r="L417" i="1"/>
  <c r="A243" i="1"/>
  <c r="Q221" i="1"/>
  <c r="A99" i="1"/>
  <c r="B120" i="1"/>
  <c r="C149" i="1"/>
  <c r="T97" i="1"/>
  <c r="Q228" i="1"/>
  <c r="M763" i="1"/>
  <c r="Q335" i="1"/>
  <c r="S266" i="1"/>
  <c r="J159" i="1"/>
  <c r="Q732" i="1"/>
  <c r="I664" i="1"/>
  <c r="T554" i="1"/>
  <c r="J587" i="1"/>
  <c r="N503" i="1"/>
  <c r="N486" i="1"/>
  <c r="A639" i="1"/>
  <c r="L479" i="1"/>
  <c r="H58" i="1"/>
  <c r="H322" i="1"/>
  <c r="G669" i="1"/>
  <c r="M485" i="1"/>
  <c r="O670" i="1"/>
  <c r="F22" i="1"/>
  <c r="K499" i="1"/>
  <c r="O630" i="1"/>
  <c r="A398" i="1"/>
  <c r="V597" i="1"/>
  <c r="M393" i="1"/>
  <c r="C351" i="1"/>
  <c r="M533" i="1"/>
  <c r="D239" i="1"/>
  <c r="O304" i="1"/>
  <c r="M274" i="1"/>
  <c r="A198" i="1"/>
  <c r="M502" i="1"/>
  <c r="J270" i="1"/>
  <c r="G479" i="1"/>
  <c r="J574" i="1"/>
  <c r="Q149" i="1"/>
  <c r="J377" i="1"/>
  <c r="E259" i="1"/>
  <c r="L76" i="1"/>
  <c r="P261" i="1"/>
  <c r="I136" i="1"/>
  <c r="T166" i="1"/>
  <c r="N118" i="1"/>
  <c r="O71" i="1"/>
  <c r="O301" i="1"/>
  <c r="C47" i="1"/>
  <c r="K320" i="1"/>
  <c r="C573" i="1"/>
  <c r="T361" i="1"/>
  <c r="N313" i="1"/>
  <c r="J599" i="1"/>
  <c r="D412" i="1"/>
  <c r="O55" i="1"/>
  <c r="S309" i="1"/>
  <c r="A170" i="1"/>
  <c r="Q325" i="1"/>
  <c r="P599" i="1"/>
  <c r="P507" i="1"/>
  <c r="R688" i="1"/>
  <c r="G288" i="1"/>
  <c r="R540" i="1"/>
  <c r="O654" i="1"/>
  <c r="H172" i="1"/>
  <c r="K596" i="1"/>
  <c r="H498" i="1"/>
  <c r="K39" i="1"/>
  <c r="S224" i="1"/>
  <c r="M568" i="1"/>
  <c r="U509" i="1"/>
  <c r="G227" i="1"/>
  <c r="O124" i="1"/>
  <c r="I407" i="1"/>
  <c r="K315" i="1"/>
  <c r="T409" i="1"/>
  <c r="N606" i="1"/>
  <c r="S608" i="1"/>
  <c r="D476" i="1"/>
  <c r="P359" i="1"/>
  <c r="G423" i="1"/>
  <c r="V490" i="1"/>
  <c r="C163" i="1"/>
  <c r="O378" i="1"/>
  <c r="S560" i="1"/>
  <c r="P34" i="1"/>
  <c r="H238" i="1"/>
  <c r="S656" i="1"/>
  <c r="E362" i="1"/>
  <c r="U71" i="1"/>
  <c r="O187" i="1"/>
  <c r="A523" i="1"/>
  <c r="L24" i="1"/>
  <c r="F222" i="1"/>
  <c r="I403" i="1"/>
  <c r="C847" i="1"/>
  <c r="B686" i="1"/>
  <c r="G544" i="1"/>
  <c r="G459" i="1"/>
  <c r="M432" i="1"/>
  <c r="K246" i="1"/>
  <c r="H312" i="1"/>
  <c r="C533" i="1"/>
  <c r="P427" i="1"/>
  <c r="M292" i="1"/>
  <c r="O326" i="1"/>
  <c r="N138" i="1"/>
  <c r="G98" i="1"/>
  <c r="P623" i="1"/>
  <c r="V413" i="1"/>
  <c r="V345" i="1"/>
  <c r="C142" i="1"/>
  <c r="J237" i="1"/>
  <c r="U230" i="1"/>
  <c r="S131" i="1"/>
  <c r="A382" i="1"/>
  <c r="D299" i="1"/>
  <c r="D66" i="1"/>
  <c r="A174" i="1"/>
  <c r="C6" i="1"/>
  <c r="S149" i="1"/>
  <c r="J327" i="1"/>
  <c r="Q9" i="1"/>
  <c r="P136" i="1"/>
  <c r="D480" i="1"/>
  <c r="L173" i="1"/>
  <c r="I176" i="1"/>
  <c r="P528" i="1"/>
  <c r="J432" i="1"/>
  <c r="E624" i="1"/>
  <c r="F153" i="1"/>
  <c r="M158" i="1"/>
  <c r="V270" i="1"/>
  <c r="K678" i="1"/>
  <c r="E213" i="1"/>
  <c r="U514" i="1"/>
  <c r="V417" i="1"/>
  <c r="A641" i="1"/>
  <c r="H393" i="1"/>
  <c r="B669" i="1"/>
  <c r="Q901" i="1"/>
  <c r="F598" i="1"/>
  <c r="Q485" i="1"/>
  <c r="P578" i="1"/>
  <c r="A516" i="1"/>
  <c r="D176" i="1"/>
  <c r="R273" i="1"/>
  <c r="V301" i="1"/>
  <c r="V395" i="1"/>
  <c r="A311" i="1"/>
  <c r="F615" i="1"/>
  <c r="Q664" i="1"/>
  <c r="E601" i="1"/>
  <c r="G434" i="1"/>
  <c r="D468" i="1"/>
  <c r="M116" i="1"/>
  <c r="D316" i="1"/>
  <c r="B84" i="1"/>
  <c r="C426" i="1"/>
  <c r="H334" i="1"/>
  <c r="D449" i="1"/>
  <c r="I219" i="1"/>
  <c r="I276" i="1"/>
  <c r="U332" i="1"/>
  <c r="J235" i="1"/>
  <c r="M492" i="1"/>
  <c r="E484" i="1"/>
  <c r="H375" i="1"/>
  <c r="S203" i="1"/>
  <c r="A343" i="1"/>
  <c r="V616" i="1"/>
  <c r="M297" i="1"/>
  <c r="B245" i="1"/>
  <c r="G205" i="1"/>
  <c r="M444" i="1"/>
  <c r="P392" i="1"/>
  <c r="C178" i="1"/>
  <c r="L229" i="1"/>
  <c r="I71" i="1"/>
  <c r="G78" i="1"/>
  <c r="F239" i="1"/>
  <c r="T181" i="1"/>
  <c r="G457" i="1"/>
  <c r="Q777" i="1"/>
  <c r="F207" i="1"/>
  <c r="Q190" i="1"/>
  <c r="D158" i="1"/>
  <c r="M480" i="1"/>
  <c r="G228" i="1"/>
  <c r="S23" i="1"/>
  <c r="F441" i="1"/>
  <c r="J115" i="1"/>
  <c r="E228" i="1"/>
  <c r="B164" i="1"/>
  <c r="N122" i="1"/>
  <c r="I619" i="1"/>
  <c r="F341" i="1"/>
  <c r="S488" i="1"/>
  <c r="I77" i="1"/>
  <c r="Q45" i="1"/>
  <c r="M655" i="1"/>
  <c r="A606" i="1"/>
  <c r="V532" i="1"/>
  <c r="K736" i="1"/>
  <c r="O552" i="1"/>
  <c r="J348" i="1"/>
  <c r="F640" i="1"/>
  <c r="H806" i="1"/>
  <c r="M378" i="1"/>
  <c r="O741" i="1"/>
  <c r="V222" i="1"/>
  <c r="H275" i="1"/>
  <c r="V236" i="1"/>
  <c r="P407" i="1"/>
  <c r="J777" i="1"/>
  <c r="G611" i="1"/>
  <c r="O114" i="1"/>
  <c r="R602" i="1"/>
  <c r="E373" i="1"/>
  <c r="H747" i="1"/>
  <c r="B189" i="1"/>
  <c r="M322" i="1"/>
  <c r="U323" i="1"/>
  <c r="L221" i="1"/>
  <c r="P118" i="1"/>
  <c r="V431" i="1"/>
  <c r="P570" i="1"/>
  <c r="D537" i="1"/>
  <c r="M194" i="1"/>
  <c r="D218" i="1"/>
  <c r="R84" i="1"/>
  <c r="F417" i="1"/>
  <c r="P63" i="1"/>
  <c r="N232" i="1"/>
  <c r="V273" i="1"/>
  <c r="H206" i="1"/>
  <c r="S213" i="1"/>
  <c r="R146" i="1"/>
  <c r="F432" i="1"/>
  <c r="A38" i="1"/>
  <c r="H161" i="1"/>
  <c r="U9" i="1"/>
  <c r="O175" i="1"/>
  <c r="A54" i="1"/>
  <c r="H263" i="1"/>
  <c r="I157" i="1"/>
  <c r="P468" i="1"/>
  <c r="I158" i="1"/>
  <c r="G141" i="1"/>
  <c r="R209" i="1"/>
  <c r="E84" i="1"/>
  <c r="E192" i="1"/>
  <c r="F235" i="1"/>
  <c r="T54" i="1"/>
  <c r="N278" i="1"/>
  <c r="D41" i="1"/>
  <c r="T142" i="1"/>
  <c r="E264" i="1"/>
  <c r="F137" i="1"/>
  <c r="L80" i="1"/>
  <c r="A464" i="1"/>
  <c r="E266" i="1"/>
  <c r="J114" i="1"/>
  <c r="O171" i="1"/>
  <c r="A796" i="1"/>
  <c r="L495" i="1"/>
  <c r="F762" i="1"/>
  <c r="P394" i="1"/>
  <c r="I539" i="1"/>
  <c r="L511" i="1"/>
  <c r="A323" i="1"/>
  <c r="P619" i="1"/>
  <c r="R592" i="1"/>
  <c r="M437" i="1"/>
  <c r="L300" i="1"/>
  <c r="S152" i="1"/>
  <c r="A440" i="1"/>
  <c r="F517" i="1"/>
  <c r="C147" i="1"/>
  <c r="G543" i="1"/>
  <c r="S365" i="1"/>
  <c r="U388" i="1"/>
  <c r="V267" i="1"/>
  <c r="B489" i="1"/>
  <c r="V725" i="1"/>
  <c r="N655" i="1"/>
  <c r="G301" i="1"/>
  <c r="S100" i="1"/>
  <c r="B500" i="1"/>
  <c r="S186" i="1"/>
  <c r="S73" i="1"/>
  <c r="K80" i="1"/>
  <c r="A294" i="1"/>
  <c r="V87" i="1"/>
  <c r="O383" i="1"/>
  <c r="F439" i="1"/>
  <c r="H140" i="1"/>
  <c r="U493" i="1"/>
  <c r="D258" i="1"/>
  <c r="U207" i="1"/>
  <c r="V271" i="1"/>
  <c r="E365" i="1"/>
  <c r="L582" i="1"/>
  <c r="S6" i="1"/>
  <c r="V558" i="1"/>
  <c r="S491" i="1"/>
  <c r="T815" i="1"/>
  <c r="O543" i="1"/>
  <c r="O596" i="1"/>
  <c r="V849" i="1"/>
  <c r="E470" i="1"/>
  <c r="H435" i="1"/>
  <c r="J516" i="1"/>
  <c r="F224" i="1"/>
  <c r="E813" i="1"/>
  <c r="Q567" i="1"/>
  <c r="I485" i="1"/>
  <c r="N551" i="1"/>
  <c r="N557" i="1"/>
  <c r="V807" i="1"/>
  <c r="S134" i="1"/>
  <c r="I527" i="1"/>
  <c r="O592" i="1"/>
  <c r="R738" i="1"/>
  <c r="L311" i="1"/>
  <c r="I277" i="1"/>
  <c r="P57" i="1"/>
  <c r="R326" i="1"/>
  <c r="C588" i="1"/>
  <c r="D630" i="1"/>
  <c r="R682" i="1"/>
  <c r="V381" i="1"/>
  <c r="A835" i="1"/>
  <c r="N446" i="1"/>
  <c r="M540" i="1"/>
  <c r="K179" i="1"/>
  <c r="A504" i="1"/>
  <c r="S570" i="1"/>
  <c r="O48" i="1"/>
  <c r="K831" i="1"/>
  <c r="E723" i="1"/>
  <c r="C414" i="1"/>
  <c r="O570" i="1"/>
  <c r="H763" i="1"/>
  <c r="A605" i="1"/>
  <c r="H174" i="1"/>
  <c r="A292" i="1"/>
  <c r="B199" i="1"/>
  <c r="V105" i="1"/>
  <c r="O204" i="1"/>
  <c r="F177" i="1"/>
  <c r="P95" i="1"/>
  <c r="R311" i="1"/>
  <c r="N235" i="1"/>
  <c r="V194" i="1"/>
  <c r="C640" i="1"/>
  <c r="S527" i="1"/>
  <c r="V449" i="1"/>
  <c r="F93" i="1"/>
  <c r="C773" i="1"/>
  <c r="P567" i="1"/>
  <c r="T362" i="1"/>
  <c r="A291" i="1"/>
  <c r="R467" i="1"/>
  <c r="B286" i="1"/>
  <c r="R19" i="1"/>
  <c r="A278" i="1"/>
  <c r="R171" i="1"/>
  <c r="Q689" i="1"/>
  <c r="Q570" i="1"/>
  <c r="A153" i="1"/>
  <c r="A459" i="1"/>
  <c r="P108" i="1"/>
  <c r="I160" i="1"/>
  <c r="R423" i="1"/>
  <c r="L857" i="1"/>
  <c r="B746" i="1"/>
  <c r="O519" i="1"/>
  <c r="C648" i="1"/>
  <c r="M681" i="1"/>
  <c r="B531" i="1"/>
  <c r="C214" i="1"/>
  <c r="N488" i="1"/>
  <c r="T458" i="1"/>
  <c r="M643" i="1"/>
  <c r="L526" i="1"/>
  <c r="L480" i="1"/>
  <c r="F249" i="1"/>
  <c r="J31" i="1"/>
  <c r="E46" i="1"/>
  <c r="M340" i="1"/>
  <c r="T440" i="1"/>
  <c r="H197" i="1"/>
  <c r="N327" i="1"/>
  <c r="G280" i="1"/>
  <c r="P165" i="1"/>
  <c r="F73" i="1"/>
  <c r="H52" i="1"/>
  <c r="D58" i="1"/>
  <c r="Q131" i="1"/>
  <c r="V519" i="1"/>
  <c r="N401" i="1"/>
  <c r="L49" i="1"/>
  <c r="K135" i="1"/>
  <c r="R118" i="1"/>
  <c r="J41" i="1"/>
  <c r="R11" i="1"/>
  <c r="D168" i="1"/>
  <c r="U240" i="1"/>
  <c r="V265" i="1"/>
  <c r="T59" i="1"/>
  <c r="I150" i="1"/>
  <c r="N7" i="1"/>
  <c r="Q359" i="1"/>
  <c r="F149" i="1"/>
  <c r="U556" i="1"/>
  <c r="J102" i="1"/>
  <c r="Q705" i="1"/>
  <c r="P672" i="1"/>
  <c r="O531" i="1"/>
  <c r="V575" i="1"/>
  <c r="V447" i="1"/>
  <c r="E291" i="1"/>
  <c r="E616" i="1"/>
  <c r="G469" i="1"/>
  <c r="D489" i="1"/>
  <c r="N658" i="1"/>
  <c r="M238" i="1"/>
  <c r="A474" i="1"/>
  <c r="B735" i="1"/>
  <c r="M443" i="1"/>
  <c r="U11" i="1"/>
  <c r="Q389" i="1"/>
  <c r="H27" i="1"/>
  <c r="C257" i="1"/>
  <c r="F573" i="1"/>
  <c r="V179" i="1"/>
  <c r="J11" i="1"/>
  <c r="I14" i="1"/>
  <c r="T55" i="1"/>
  <c r="N282" i="1"/>
  <c r="O544" i="1"/>
  <c r="V313" i="1"/>
  <c r="A92" i="1"/>
  <c r="P413" i="1"/>
  <c r="L174" i="1"/>
  <c r="C144" i="1"/>
  <c r="Q55" i="1"/>
  <c r="F536" i="1"/>
  <c r="H477" i="1"/>
  <c r="I360" i="1"/>
  <c r="E109" i="1"/>
  <c r="H339" i="1"/>
  <c r="B321" i="1"/>
  <c r="D202" i="1"/>
  <c r="L239" i="1"/>
  <c r="S150" i="1"/>
  <c r="A235" i="1"/>
  <c r="H46" i="1"/>
  <c r="C460" i="1"/>
  <c r="S199" i="1"/>
  <c r="L273" i="1"/>
  <c r="V374" i="1"/>
  <c r="F108" i="1"/>
  <c r="H429" i="1"/>
  <c r="J792" i="1"/>
  <c r="S208" i="1"/>
  <c r="S50" i="1"/>
  <c r="J62" i="1"/>
  <c r="A44" i="1"/>
  <c r="R95" i="1"/>
  <c r="C87" i="1"/>
  <c r="A52" i="1"/>
  <c r="B129" i="1"/>
  <c r="B200" i="1"/>
  <c r="T23" i="1"/>
  <c r="N533" i="1"/>
  <c r="N162" i="1"/>
  <c r="P266" i="1"/>
  <c r="R302" i="1"/>
  <c r="P744" i="1"/>
  <c r="P588" i="1"/>
  <c r="U527" i="1"/>
  <c r="M777" i="1"/>
  <c r="F861" i="1"/>
  <c r="E752" i="1"/>
  <c r="K397" i="1"/>
  <c r="H81" i="1"/>
  <c r="M409" i="1"/>
  <c r="J284" i="1"/>
  <c r="A588" i="1"/>
  <c r="K29" i="1"/>
  <c r="F260" i="1"/>
  <c r="U50" i="1"/>
  <c r="N277" i="1"/>
  <c r="P502" i="1"/>
  <c r="Q423" i="1"/>
  <c r="T58" i="1"/>
  <c r="I359" i="1"/>
  <c r="U65" i="1"/>
  <c r="I290" i="1"/>
  <c r="U623" i="1"/>
  <c r="U369" i="1"/>
  <c r="E333" i="1"/>
  <c r="V389" i="1"/>
  <c r="B273" i="1"/>
  <c r="A115" i="1"/>
  <c r="J281" i="1"/>
  <c r="I436" i="1"/>
  <c r="L64" i="1"/>
  <c r="Q73" i="1"/>
  <c r="I205" i="1"/>
  <c r="V88" i="1"/>
  <c r="M155" i="1"/>
  <c r="F560" i="1"/>
  <c r="Q244" i="1"/>
  <c r="H179" i="1"/>
  <c r="D102" i="1"/>
  <c r="O79" i="1"/>
  <c r="L16" i="1"/>
  <c r="H20" i="1"/>
  <c r="I447" i="1"/>
  <c r="A259" i="1"/>
  <c r="M570" i="1"/>
  <c r="N276" i="1"/>
  <c r="R605" i="1"/>
  <c r="B351" i="1"/>
  <c r="D341" i="1"/>
  <c r="M223" i="1"/>
  <c r="N125" i="1"/>
  <c r="L237" i="1"/>
  <c r="T269" i="1"/>
  <c r="G261" i="1"/>
  <c r="K4" i="1"/>
  <c r="S302" i="1"/>
  <c r="B108" i="1"/>
  <c r="Q507" i="1"/>
  <c r="E393" i="1"/>
  <c r="D292" i="1"/>
  <c r="G601" i="1"/>
  <c r="I224" i="1"/>
  <c r="R609" i="1"/>
  <c r="N161" i="1"/>
  <c r="A64" i="1"/>
  <c r="F609" i="1"/>
  <c r="S559" i="1"/>
  <c r="Q545" i="1"/>
  <c r="A508" i="1"/>
  <c r="N490" i="1"/>
  <c r="B430" i="1"/>
  <c r="D592" i="1"/>
  <c r="T264" i="1"/>
  <c r="L420" i="1"/>
  <c r="F375" i="1"/>
  <c r="F581" i="1"/>
  <c r="O355" i="1"/>
  <c r="V287" i="1"/>
  <c r="U382" i="1"/>
  <c r="A413" i="1"/>
  <c r="B99" i="1"/>
  <c r="M258" i="1"/>
  <c r="E699" i="1"/>
  <c r="P284" i="1"/>
  <c r="L778" i="1"/>
  <c r="D192" i="1"/>
  <c r="O605" i="1"/>
  <c r="S163" i="1"/>
  <c r="A509" i="1"/>
  <c r="E563" i="1"/>
  <c r="A221" i="1"/>
  <c r="I95" i="1"/>
  <c r="A267" i="1"/>
  <c r="C300" i="1"/>
  <c r="I81" i="1"/>
  <c r="O213" i="1"/>
  <c r="Q641" i="1"/>
  <c r="O415" i="1"/>
  <c r="U236" i="1"/>
  <c r="R156" i="1"/>
  <c r="S474" i="1"/>
  <c r="U102" i="1"/>
  <c r="F444" i="1"/>
  <c r="F521" i="1"/>
  <c r="V359" i="1"/>
  <c r="C172" i="1"/>
  <c r="L313" i="1"/>
  <c r="L132" i="1"/>
  <c r="I339" i="1"/>
  <c r="D438" i="1"/>
  <c r="A227" i="1"/>
  <c r="V202" i="1"/>
  <c r="L450" i="1"/>
  <c r="F732" i="1"/>
  <c r="U712" i="1"/>
  <c r="O566" i="1"/>
  <c r="M402" i="1"/>
  <c r="A526" i="1"/>
  <c r="V182" i="1"/>
  <c r="P133" i="1"/>
  <c r="Q27" i="1"/>
  <c r="T344" i="1"/>
  <c r="P434" i="1"/>
  <c r="B131" i="1"/>
  <c r="R694" i="1"/>
  <c r="O465" i="1"/>
  <c r="H710" i="1"/>
  <c r="P658" i="1"/>
  <c r="B606" i="1"/>
  <c r="U28" i="1"/>
  <c r="V148" i="1"/>
  <c r="L283" i="1"/>
  <c r="A181" i="1"/>
  <c r="J90" i="1"/>
  <c r="G518" i="1"/>
  <c r="L357" i="1"/>
  <c r="A251" i="1"/>
  <c r="E176" i="1"/>
  <c r="L245" i="1"/>
  <c r="L697" i="1"/>
  <c r="T524" i="1"/>
  <c r="I688" i="1"/>
  <c r="U453" i="1"/>
  <c r="V455" i="1"/>
  <c r="V363" i="1"/>
  <c r="U94" i="1"/>
  <c r="N323" i="1"/>
  <c r="F504" i="1"/>
  <c r="H177" i="1"/>
  <c r="M84" i="1"/>
  <c r="V158" i="1"/>
  <c r="M387" i="1"/>
  <c r="B112" i="1"/>
  <c r="G330" i="1"/>
  <c r="Q408" i="1"/>
  <c r="F367" i="1"/>
  <c r="T376" i="1"/>
  <c r="G895" i="1"/>
  <c r="P644" i="1"/>
  <c r="N107" i="1"/>
  <c r="A837" i="1"/>
  <c r="R217" i="1"/>
  <c r="P637" i="1"/>
  <c r="D513" i="1"/>
  <c r="P562" i="1"/>
  <c r="E64" i="1"/>
  <c r="F264" i="1"/>
  <c r="P474" i="1"/>
  <c r="U498" i="1"/>
  <c r="C280" i="1"/>
  <c r="U303" i="1"/>
  <c r="N81" i="1"/>
  <c r="O115" i="1"/>
  <c r="E351" i="1"/>
  <c r="N208" i="1"/>
  <c r="R306" i="1"/>
  <c r="B35" i="1"/>
  <c r="J514" i="1"/>
  <c r="K309" i="1"/>
  <c r="V159" i="1"/>
  <c r="G638" i="1"/>
  <c r="J175" i="1"/>
  <c r="G178" i="1"/>
  <c r="U582" i="1"/>
  <c r="J264" i="1"/>
  <c r="H557" i="1"/>
  <c r="R229" i="1"/>
  <c r="H394" i="1"/>
  <c r="K237" i="1"/>
  <c r="V759" i="1"/>
  <c r="P144" i="1"/>
  <c r="T683" i="1"/>
  <c r="D112" i="1"/>
  <c r="S265" i="1"/>
  <c r="C186" i="1"/>
  <c r="P155" i="1"/>
  <c r="G27" i="1"/>
  <c r="V81" i="1"/>
  <c r="H33" i="1"/>
  <c r="F266" i="1"/>
  <c r="J188" i="1"/>
  <c r="C302" i="1"/>
  <c r="O704" i="1"/>
  <c r="I768" i="1"/>
  <c r="J672" i="1"/>
  <c r="R604" i="1"/>
  <c r="N369" i="1"/>
  <c r="K614" i="1"/>
  <c r="K544" i="1"/>
  <c r="G551" i="1"/>
  <c r="L360" i="1"/>
  <c r="L477" i="1"/>
  <c r="R325" i="1"/>
  <c r="A753" i="1"/>
  <c r="A359" i="1"/>
  <c r="V535" i="1"/>
  <c r="H307" i="1"/>
  <c r="C268" i="1"/>
  <c r="A119" i="1"/>
  <c r="B172" i="1"/>
  <c r="G304" i="1"/>
  <c r="P440" i="1"/>
  <c r="S312" i="1"/>
  <c r="M294" i="1"/>
  <c r="P526" i="1"/>
  <c r="E410" i="1"/>
  <c r="C331" i="1"/>
  <c r="C366" i="1"/>
  <c r="S489" i="1"/>
  <c r="M324" i="1"/>
  <c r="P640" i="1"/>
  <c r="D457" i="1"/>
  <c r="M470" i="1"/>
  <c r="I378" i="1"/>
  <c r="C347" i="1"/>
  <c r="H409" i="1"/>
  <c r="D611" i="1"/>
  <c r="V465" i="1"/>
  <c r="A131" i="1"/>
  <c r="K561" i="1"/>
  <c r="R629" i="1"/>
  <c r="E168" i="1"/>
  <c r="A418" i="1"/>
  <c r="M209" i="1"/>
  <c r="T12" i="1"/>
  <c r="J84" i="1"/>
  <c r="K42" i="1"/>
  <c r="T100" i="1"/>
  <c r="L654" i="1"/>
  <c r="O335" i="1"/>
  <c r="K340" i="1"/>
  <c r="J309" i="1"/>
  <c r="I607" i="1"/>
  <c r="F258" i="1"/>
  <c r="H259" i="1"/>
  <c r="V440" i="1"/>
  <c r="V215" i="1"/>
  <c r="L58" i="1"/>
  <c r="R54" i="1"/>
  <c r="I100" i="1"/>
  <c r="P482" i="1"/>
  <c r="K75" i="1"/>
  <c r="A22" i="1"/>
  <c r="H593" i="1"/>
  <c r="O57" i="1"/>
  <c r="K93" i="1"/>
  <c r="A351" i="1"/>
  <c r="O587" i="1"/>
  <c r="V600" i="1"/>
  <c r="A480" i="1"/>
  <c r="C264" i="1"/>
  <c r="S875" i="1"/>
  <c r="Q575" i="1"/>
  <c r="P237" i="1"/>
  <c r="G206" i="1"/>
  <c r="U558" i="1"/>
  <c r="T381" i="1"/>
  <c r="D224" i="1"/>
  <c r="M78" i="1"/>
  <c r="S7" i="1"/>
  <c r="P391" i="1"/>
  <c r="V14" i="1"/>
  <c r="L236" i="1"/>
  <c r="J202" i="1"/>
  <c r="T614" i="1"/>
  <c r="E441" i="1"/>
  <c r="J287" i="1"/>
  <c r="J554" i="1"/>
  <c r="T283" i="1"/>
  <c r="E191" i="1"/>
  <c r="G666" i="1"/>
  <c r="N80" i="1"/>
  <c r="Q433" i="1"/>
  <c r="K208" i="1"/>
  <c r="R32" i="1"/>
  <c r="V292" i="1"/>
  <c r="I382" i="1"/>
  <c r="J452" i="1"/>
  <c r="T415" i="1"/>
  <c r="N77" i="1"/>
  <c r="R207" i="1"/>
  <c r="M184" i="1"/>
  <c r="K95" i="1"/>
  <c r="U401" i="1"/>
  <c r="E38" i="1"/>
  <c r="G329" i="1"/>
  <c r="H102" i="1"/>
  <c r="E80" i="1"/>
  <c r="S56" i="1"/>
  <c r="Q398" i="1"/>
  <c r="E274" i="1"/>
  <c r="S513" i="1"/>
  <c r="R348" i="1"/>
  <c r="L158" i="1"/>
  <c r="D48" i="1"/>
  <c r="C203" i="1"/>
  <c r="A41" i="1"/>
  <c r="V191" i="1"/>
  <c r="T311" i="1"/>
  <c r="A82" i="1"/>
  <c r="U18" i="1"/>
  <c r="H56" i="1"/>
  <c r="A17" i="1"/>
  <c r="V55" i="1"/>
  <c r="P198" i="1"/>
  <c r="R30" i="1"/>
  <c r="A226" i="1"/>
  <c r="M5" i="1"/>
  <c r="M824" i="1"/>
  <c r="S569" i="1"/>
  <c r="D481" i="1"/>
  <c r="I377" i="1"/>
  <c r="G266" i="1"/>
  <c r="E360" i="1"/>
  <c r="K537" i="1"/>
  <c r="A734" i="1"/>
  <c r="B657" i="1"/>
  <c r="Q572" i="1"/>
  <c r="D593" i="1"/>
  <c r="H268" i="1"/>
  <c r="S29" i="1"/>
  <c r="K291" i="1"/>
  <c r="K250" i="1"/>
  <c r="S242" i="1"/>
  <c r="N410" i="1"/>
  <c r="N167" i="1"/>
  <c r="M299" i="1"/>
  <c r="B221" i="1"/>
  <c r="V501" i="1"/>
  <c r="E119" i="1"/>
  <c r="D278" i="1"/>
  <c r="P105" i="1"/>
  <c r="U184" i="1"/>
  <c r="N45" i="1"/>
  <c r="U430" i="1"/>
  <c r="K408" i="1"/>
  <c r="V213" i="1"/>
  <c r="Q239" i="1"/>
  <c r="R57" i="1"/>
  <c r="J519" i="1"/>
  <c r="V186" i="1"/>
  <c r="Q301" i="1"/>
  <c r="F78" i="1"/>
  <c r="S108" i="1"/>
  <c r="P134" i="1"/>
  <c r="L63" i="1"/>
  <c r="H241" i="1"/>
  <c r="E533" i="1"/>
  <c r="S111" i="1"/>
  <c r="R63" i="1"/>
  <c r="L83" i="1"/>
  <c r="S28" i="1"/>
  <c r="C309" i="1"/>
  <c r="G297" i="1"/>
  <c r="K197" i="1"/>
  <c r="G111" i="1"/>
  <c r="D29" i="1"/>
  <c r="S246" i="1"/>
  <c r="N82" i="1"/>
  <c r="A612" i="1"/>
  <c r="T406" i="1"/>
  <c r="S219" i="1"/>
  <c r="U419" i="1"/>
  <c r="V190" i="1"/>
  <c r="S166" i="1"/>
  <c r="A86" i="1"/>
  <c r="I133" i="1"/>
  <c r="F82" i="1"/>
  <c r="R390" i="1"/>
  <c r="N117" i="1"/>
  <c r="F852" i="1"/>
  <c r="A482" i="1"/>
  <c r="I391" i="1"/>
  <c r="G500" i="1"/>
  <c r="T411" i="1"/>
  <c r="L89" i="1"/>
  <c r="S613" i="1"/>
  <c r="U398" i="1"/>
  <c r="R394" i="1"/>
  <c r="C382" i="1"/>
  <c r="M428" i="1"/>
  <c r="U392" i="1"/>
  <c r="M366" i="1"/>
  <c r="E13" i="1"/>
  <c r="U261" i="1"/>
  <c r="U165" i="1"/>
  <c r="E172" i="1"/>
  <c r="U610" i="1"/>
  <c r="R426" i="1"/>
  <c r="H89" i="1"/>
  <c r="A79" i="1"/>
  <c r="M217" i="1"/>
  <c r="K159" i="1"/>
  <c r="L370" i="1"/>
  <c r="H60" i="1"/>
  <c r="C359" i="1"/>
  <c r="O483" i="1"/>
  <c r="R329" i="1"/>
  <c r="B209" i="1"/>
  <c r="A327" i="1"/>
  <c r="V330" i="1"/>
  <c r="H103" i="1"/>
  <c r="S387" i="1"/>
  <c r="O748" i="1"/>
  <c r="O116" i="1"/>
  <c r="A478" i="1"/>
  <c r="A422" i="1"/>
  <c r="S521" i="1"/>
  <c r="U639" i="1"/>
  <c r="I304" i="1"/>
  <c r="B419" i="1"/>
  <c r="H908" i="1"/>
  <c r="M278" i="1"/>
  <c r="G526" i="1"/>
  <c r="J739" i="1"/>
  <c r="J404" i="1"/>
  <c r="O606" i="1"/>
  <c r="F165" i="1"/>
  <c r="G521" i="1"/>
  <c r="F221" i="1"/>
  <c r="T922" i="1"/>
  <c r="V394" i="1"/>
  <c r="E449" i="1"/>
  <c r="I32" i="1"/>
  <c r="F643" i="1"/>
  <c r="B322" i="1"/>
  <c r="U22" i="1"/>
  <c r="N362" i="1"/>
  <c r="C403" i="1"/>
  <c r="R97" i="1"/>
  <c r="G606" i="1"/>
  <c r="A26" i="1"/>
  <c r="T160" i="1"/>
  <c r="A356" i="1"/>
  <c r="I171" i="1"/>
  <c r="P201" i="1"/>
  <c r="N771" i="1"/>
  <c r="H490" i="1"/>
  <c r="V201" i="1"/>
  <c r="F729" i="1"/>
  <c r="B618" i="1"/>
  <c r="J19" i="1"/>
  <c r="H766" i="1"/>
  <c r="H98" i="1"/>
  <c r="E578" i="1"/>
  <c r="D107" i="1"/>
  <c r="F245" i="1"/>
  <c r="D283" i="1"/>
  <c r="E355" i="1"/>
  <c r="M99" i="1"/>
  <c r="U396" i="1"/>
  <c r="G241" i="1"/>
  <c r="V388" i="1"/>
  <c r="S22" i="1"/>
  <c r="K311" i="1"/>
  <c r="B350" i="1"/>
  <c r="A88" i="1"/>
  <c r="H489" i="1"/>
  <c r="P601" i="1"/>
  <c r="D792" i="1"/>
  <c r="K839" i="1"/>
  <c r="E247" i="1"/>
  <c r="C467" i="1"/>
  <c r="M576" i="1"/>
  <c r="S293" i="1"/>
  <c r="N670" i="1"/>
  <c r="H406" i="1"/>
  <c r="B140" i="1"/>
  <c r="A610" i="1"/>
  <c r="H581" i="1"/>
  <c r="G450" i="1"/>
  <c r="R404" i="1"/>
  <c r="B247" i="1"/>
  <c r="J643" i="1"/>
  <c r="J402" i="1"/>
  <c r="B428" i="1"/>
  <c r="N244" i="1"/>
  <c r="F500" i="1"/>
  <c r="B144" i="1"/>
  <c r="V73" i="1"/>
  <c r="D461" i="1"/>
  <c r="A438" i="1"/>
  <c r="P88" i="1"/>
  <c r="R151" i="1"/>
  <c r="N250" i="1"/>
  <c r="E52" i="1"/>
  <c r="U483" i="1"/>
  <c r="V103" i="1"/>
  <c r="B466" i="1"/>
  <c r="O444" i="1"/>
  <c r="K236" i="1"/>
  <c r="H35" i="1"/>
  <c r="M115" i="1"/>
  <c r="I248" i="1"/>
  <c r="H14" i="1"/>
  <c r="M193" i="1"/>
  <c r="P382" i="1"/>
  <c r="S452" i="1"/>
  <c r="L241" i="1"/>
  <c r="N563" i="1"/>
  <c r="A263" i="1"/>
  <c r="F561" i="1"/>
  <c r="M861" i="1"/>
  <c r="S414" i="1"/>
  <c r="E178" i="1"/>
  <c r="U314" i="1"/>
  <c r="N462" i="1"/>
  <c r="G302" i="1"/>
  <c r="A333" i="1"/>
  <c r="K532" i="1"/>
  <c r="B342" i="1"/>
  <c r="S473" i="1"/>
  <c r="N134" i="1"/>
  <c r="H508" i="1"/>
  <c r="E250" i="1"/>
  <c r="D313" i="1"/>
  <c r="K308" i="1"/>
  <c r="R591" i="1"/>
  <c r="C330" i="1"/>
  <c r="S470" i="1"/>
  <c r="M477" i="1"/>
  <c r="K570" i="1"/>
  <c r="G222" i="1"/>
  <c r="B346" i="1"/>
  <c r="D10" i="1"/>
  <c r="K396" i="1"/>
  <c r="A284" i="1"/>
  <c r="A397" i="1"/>
  <c r="H223" i="1"/>
  <c r="E349" i="1"/>
  <c r="B263" i="1"/>
  <c r="K554" i="1"/>
  <c r="M578" i="1"/>
  <c r="F322" i="1"/>
  <c r="B66" i="1"/>
  <c r="J153" i="1"/>
  <c r="A407" i="1"/>
  <c r="Q260" i="1"/>
  <c r="A624" i="1"/>
  <c r="S429" i="1"/>
  <c r="O420" i="1"/>
  <c r="L344" i="1"/>
  <c r="I424" i="1"/>
  <c r="J76" i="1"/>
  <c r="K14" i="1"/>
  <c r="G354" i="1"/>
  <c r="M82" i="1"/>
  <c r="R88" i="1"/>
  <c r="H249" i="1"/>
  <c r="J15" i="1"/>
  <c r="L198" i="1"/>
  <c r="Q310" i="1"/>
  <c r="C101" i="1"/>
  <c r="T487" i="1"/>
  <c r="G252" i="1"/>
  <c r="O33" i="1"/>
  <c r="N11" i="1"/>
  <c r="B274" i="1"/>
  <c r="T145" i="1"/>
  <c r="M159" i="1"/>
  <c r="U418" i="1"/>
  <c r="F34" i="1"/>
  <c r="M113" i="1"/>
  <c r="V551" i="1"/>
  <c r="G342" i="1"/>
  <c r="A497" i="1"/>
  <c r="E662" i="1"/>
  <c r="H580" i="1"/>
  <c r="G203" i="1"/>
  <c r="C205" i="1"/>
  <c r="Q53" i="1"/>
  <c r="D73" i="1"/>
  <c r="N55" i="1"/>
  <c r="L252" i="1"/>
  <c r="A389" i="1"/>
  <c r="G107" i="1"/>
  <c r="L248" i="1"/>
  <c r="B56" i="1"/>
  <c r="V553" i="1"/>
  <c r="T84" i="1"/>
  <c r="R219" i="1"/>
  <c r="A84" i="1"/>
  <c r="H367" i="1"/>
  <c r="L315" i="1"/>
  <c r="M67" i="1"/>
  <c r="Q258" i="1"/>
  <c r="F39" i="1"/>
  <c r="A6" i="1"/>
  <c r="J147" i="1"/>
  <c r="T65" i="1"/>
  <c r="A11" i="1"/>
  <c r="D34" i="1"/>
  <c r="K138" i="1"/>
  <c r="P218" i="1"/>
  <c r="D72" i="1"/>
  <c r="O231" i="1"/>
  <c r="P129" i="1"/>
  <c r="O23" i="1"/>
  <c r="F173" i="1"/>
  <c r="O273" i="1"/>
  <c r="J511" i="1"/>
  <c r="N275" i="1"/>
  <c r="Q205" i="1"/>
  <c r="L27" i="1"/>
  <c r="V69" i="1"/>
  <c r="U41" i="1"/>
  <c r="F90" i="1"/>
  <c r="L350" i="1"/>
  <c r="C284" i="1"/>
  <c r="L114" i="1"/>
  <c r="M29" i="1"/>
  <c r="B31" i="1"/>
  <c r="V185" i="1"/>
  <c r="E318" i="1"/>
  <c r="H225" i="1"/>
  <c r="O87" i="1"/>
  <c r="S250" i="1"/>
  <c r="T103" i="1"/>
  <c r="D51" i="1"/>
  <c r="V6" i="1"/>
  <c r="C397" i="1"/>
  <c r="P125" i="1"/>
  <c r="F277" i="1"/>
  <c r="V24" i="1"/>
  <c r="H385" i="1"/>
  <c r="D636" i="1"/>
  <c r="V633" i="1"/>
  <c r="G719" i="1"/>
  <c r="I433" i="1"/>
  <c r="T539" i="1"/>
  <c r="C240" i="1"/>
  <c r="I47" i="1"/>
  <c r="Q332" i="1"/>
  <c r="D298" i="1"/>
  <c r="L342" i="1"/>
  <c r="M188" i="1"/>
  <c r="J428" i="1"/>
  <c r="E560" i="1"/>
  <c r="C125" i="1"/>
  <c r="J52" i="1"/>
  <c r="A260" i="1"/>
  <c r="A694" i="1"/>
  <c r="K348" i="1"/>
  <c r="C159" i="1"/>
  <c r="A223" i="1"/>
  <c r="T445" i="1"/>
  <c r="O425" i="1"/>
  <c r="B152" i="1"/>
  <c r="U242" i="1"/>
  <c r="H233" i="1"/>
  <c r="I476" i="1"/>
  <c r="I478" i="1"/>
  <c r="I491" i="1"/>
  <c r="A596" i="1"/>
  <c r="M587" i="1"/>
  <c r="M392" i="1"/>
  <c r="A72" i="1"/>
  <c r="K263" i="1"/>
  <c r="R13" i="1"/>
  <c r="B121" i="1"/>
  <c r="O688" i="1"/>
  <c r="K116" i="1"/>
  <c r="C437" i="1"/>
  <c r="F326" i="1"/>
  <c r="I472" i="1"/>
  <c r="J559" i="1"/>
  <c r="F333" i="1"/>
  <c r="V244" i="1"/>
  <c r="A157" i="1"/>
  <c r="M213" i="1"/>
  <c r="E200" i="1"/>
  <c r="J22" i="1"/>
  <c r="A30" i="1"/>
  <c r="R255" i="1"/>
  <c r="K30" i="1"/>
  <c r="G120" i="1"/>
  <c r="N408" i="1"/>
  <c r="M489" i="1"/>
  <c r="T49" i="1"/>
  <c r="K61" i="1"/>
  <c r="H239" i="1"/>
  <c r="E78" i="1"/>
  <c r="F298" i="1"/>
  <c r="R284" i="1"/>
  <c r="K281" i="1"/>
  <c r="D126" i="1"/>
  <c r="U8" i="1"/>
  <c r="D416" i="1"/>
  <c r="G520" i="1"/>
  <c r="D665" i="1"/>
  <c r="Q702" i="1"/>
  <c r="Q37" i="1"/>
  <c r="M107" i="1"/>
  <c r="L165" i="1"/>
  <c r="G471" i="1"/>
  <c r="E16" i="1"/>
  <c r="M237" i="1"/>
  <c r="E488" i="1"/>
  <c r="A277" i="1"/>
  <c r="J200" i="1"/>
  <c r="S364" i="1"/>
  <c r="V39" i="1"/>
  <c r="A309" i="1"/>
  <c r="K192" i="1"/>
  <c r="R239" i="1"/>
  <c r="P115" i="1"/>
  <c r="N202" i="1"/>
  <c r="M97" i="1"/>
  <c r="F272" i="1"/>
  <c r="E491" i="1"/>
  <c r="L288" i="1"/>
  <c r="T149" i="1"/>
  <c r="P484" i="1"/>
  <c r="M49" i="1"/>
  <c r="O327" i="1"/>
  <c r="E553" i="1"/>
  <c r="K37" i="1"/>
  <c r="T404" i="1"/>
  <c r="I531" i="1"/>
  <c r="M318" i="1"/>
  <c r="B306" i="1"/>
  <c r="J215" i="1"/>
  <c r="A172" i="1"/>
  <c r="G772" i="1"/>
  <c r="S351" i="1"/>
  <c r="R100" i="1"/>
  <c r="L166" i="1"/>
  <c r="G75" i="1"/>
  <c r="R562" i="1"/>
  <c r="C328" i="1"/>
  <c r="T396" i="1"/>
  <c r="S65" i="1"/>
  <c r="J29" i="1"/>
  <c r="M269" i="1"/>
  <c r="P533" i="1"/>
  <c r="B161" i="1"/>
  <c r="I145" i="1"/>
  <c r="C324" i="1"/>
  <c r="R683" i="1"/>
  <c r="U563" i="1"/>
  <c r="A373" i="1"/>
  <c r="E452" i="1"/>
  <c r="O523" i="1"/>
  <c r="F390" i="1"/>
  <c r="F120" i="1"/>
  <c r="I57" i="1"/>
  <c r="C225" i="1"/>
  <c r="I99" i="1"/>
  <c r="O269" i="1"/>
  <c r="J103" i="1"/>
  <c r="R72" i="1"/>
  <c r="M316" i="1"/>
  <c r="I188" i="1"/>
  <c r="H99" i="1"/>
  <c r="E591" i="1"/>
  <c r="G461" i="1"/>
  <c r="E403" i="1"/>
  <c r="Q395" i="1"/>
  <c r="B586" i="1"/>
  <c r="O528" i="1"/>
  <c r="V401" i="1"/>
  <c r="Q274" i="1"/>
  <c r="A126" i="1"/>
  <c r="U535" i="1"/>
  <c r="O330" i="1"/>
  <c r="L205" i="1"/>
  <c r="C140" i="1"/>
  <c r="S193" i="1"/>
  <c r="T99" i="1"/>
  <c r="E301" i="1"/>
  <c r="B512" i="1"/>
  <c r="V647" i="1"/>
  <c r="T245" i="1"/>
  <c r="U168" i="1"/>
  <c r="C8" i="1"/>
  <c r="R176" i="1"/>
  <c r="S321" i="1"/>
  <c r="I434" i="1"/>
  <c r="N686" i="1"/>
  <c r="E542" i="1"/>
  <c r="U438" i="1"/>
  <c r="C496" i="1"/>
  <c r="B301" i="1"/>
  <c r="H443" i="1"/>
  <c r="R551" i="1"/>
  <c r="I269" i="1"/>
  <c r="K143" i="1"/>
  <c r="F449" i="1"/>
  <c r="Q431" i="1"/>
  <c r="R8" i="1"/>
  <c r="E146" i="1"/>
  <c r="C227" i="1"/>
  <c r="K201" i="1"/>
  <c r="P32" i="1"/>
  <c r="B154" i="1"/>
  <c r="Q109" i="1"/>
  <c r="E395" i="1"/>
  <c r="S232" i="1"/>
  <c r="F319" i="1"/>
  <c r="V552" i="1"/>
  <c r="K416" i="1"/>
  <c r="V459" i="1"/>
  <c r="Q217" i="1"/>
  <c r="V402" i="1"/>
  <c r="V468" i="1"/>
  <c r="V163" i="1"/>
  <c r="K453" i="1"/>
  <c r="Q436" i="1"/>
  <c r="K721" i="1"/>
  <c r="M471" i="1"/>
  <c r="L33" i="1"/>
  <c r="M396" i="1"/>
  <c r="N489" i="1"/>
  <c r="L55" i="1"/>
  <c r="O291" i="1"/>
  <c r="C368" i="1"/>
  <c r="B98" i="1"/>
  <c r="K679" i="1"/>
  <c r="C660" i="1"/>
  <c r="V748" i="1"/>
  <c r="E297" i="1"/>
  <c r="D704" i="1"/>
  <c r="J272" i="1"/>
  <c r="C684" i="1"/>
  <c r="S316" i="1"/>
  <c r="L666" i="1"/>
  <c r="K588" i="1"/>
  <c r="L3" i="1"/>
  <c r="A465" i="1"/>
  <c r="P486" i="1"/>
  <c r="R425" i="1"/>
  <c r="A326" i="1"/>
  <c r="M48" i="1"/>
  <c r="J512" i="1"/>
  <c r="G10" i="1"/>
  <c r="P605" i="1"/>
  <c r="O408" i="1"/>
  <c r="C206" i="1"/>
  <c r="N368" i="1"/>
  <c r="Q298" i="1"/>
  <c r="U601" i="1"/>
  <c r="I227" i="1"/>
  <c r="M10" i="1"/>
  <c r="L179" i="1"/>
  <c r="M202" i="1"/>
  <c r="K146" i="1"/>
  <c r="U32" i="1"/>
  <c r="U77" i="1"/>
  <c r="Q171" i="1"/>
  <c r="J142" i="1"/>
  <c r="I5" i="1"/>
  <c r="J611" i="1"/>
  <c r="G29" i="1"/>
  <c r="S69" i="1"/>
  <c r="L281" i="1"/>
  <c r="V556" i="1"/>
  <c r="Q583" i="1"/>
  <c r="I660" i="1"/>
  <c r="O493" i="1"/>
  <c r="A61" i="1"/>
  <c r="D145" i="1"/>
  <c r="E414" i="1"/>
  <c r="F168" i="1"/>
  <c r="Q610" i="1"/>
  <c r="E387" i="1"/>
  <c r="P275" i="1"/>
  <c r="B311" i="1"/>
  <c r="J584" i="1"/>
  <c r="J194" i="1"/>
  <c r="B13" i="1"/>
  <c r="C503" i="1"/>
  <c r="V124" i="1"/>
  <c r="O689" i="1"/>
  <c r="N458" i="1"/>
  <c r="E427" i="1"/>
  <c r="C192" i="1"/>
  <c r="D109" i="1"/>
  <c r="V321" i="1"/>
  <c r="M96" i="1"/>
  <c r="H514" i="1"/>
  <c r="G697" i="1"/>
  <c r="P727" i="1"/>
  <c r="K456" i="1"/>
  <c r="N454" i="1"/>
  <c r="G72" i="1"/>
  <c r="T694" i="1"/>
  <c r="V319" i="1"/>
  <c r="O507" i="1"/>
  <c r="E9" i="1"/>
  <c r="O132" i="1"/>
  <c r="V612" i="1"/>
  <c r="H493" i="1"/>
  <c r="G218" i="1"/>
  <c r="O641" i="1"/>
  <c r="B50" i="1"/>
  <c r="L498" i="1"/>
  <c r="O833" i="1"/>
  <c r="G269" i="1"/>
  <c r="L650" i="1"/>
  <c r="D571" i="1"/>
  <c r="C141" i="1"/>
  <c r="R583" i="1"/>
  <c r="V512" i="1"/>
  <c r="Q75" i="1"/>
  <c r="H164" i="1"/>
  <c r="D310" i="1"/>
  <c r="C176" i="1"/>
  <c r="M307" i="1"/>
  <c r="F551" i="1"/>
  <c r="K260" i="1"/>
  <c r="O192" i="1"/>
  <c r="M129" i="1"/>
  <c r="H222" i="1"/>
  <c r="L279" i="1"/>
  <c r="L199" i="1"/>
  <c r="H105" i="1"/>
  <c r="K394" i="1"/>
  <c r="B180" i="1"/>
  <c r="S667" i="1"/>
  <c r="N259" i="1"/>
  <c r="T220" i="1"/>
  <c r="G140" i="1"/>
  <c r="N91" i="1"/>
  <c r="K520" i="1"/>
  <c r="S210" i="1"/>
  <c r="T372" i="1"/>
  <c r="P299" i="1"/>
  <c r="C26" i="1"/>
  <c r="I25" i="1"/>
  <c r="T188" i="1"/>
  <c r="F145" i="1"/>
  <c r="T195" i="1"/>
  <c r="E325" i="1"/>
  <c r="R240" i="1"/>
  <c r="D328" i="1"/>
  <c r="C373" i="1"/>
  <c r="F344" i="1"/>
  <c r="O281" i="1"/>
  <c r="J409" i="1"/>
  <c r="M117" i="1"/>
  <c r="L365" i="1"/>
  <c r="O360" i="1"/>
  <c r="L391" i="1"/>
  <c r="C531" i="1"/>
  <c r="A719" i="1"/>
  <c r="R522" i="1"/>
  <c r="F269" i="1"/>
  <c r="P323" i="1"/>
  <c r="U615" i="1"/>
  <c r="M607" i="1"/>
  <c r="L374" i="1"/>
  <c r="R439" i="1"/>
  <c r="B309" i="1"/>
  <c r="D257" i="1"/>
  <c r="D255" i="1"/>
  <c r="L126" i="1"/>
  <c r="F568" i="1"/>
  <c r="U496" i="1"/>
  <c r="K439" i="1"/>
  <c r="V113" i="1"/>
  <c r="E405" i="1"/>
  <c r="O594" i="1"/>
  <c r="J63" i="1"/>
  <c r="R330" i="1"/>
  <c r="T736" i="1"/>
  <c r="J21" i="1"/>
  <c r="R65" i="1"/>
  <c r="I597" i="1"/>
  <c r="A538" i="1"/>
  <c r="H515" i="1"/>
  <c r="U190" i="1"/>
  <c r="N484" i="1"/>
  <c r="I323" i="1"/>
  <c r="V466" i="1"/>
  <c r="H145" i="1"/>
  <c r="R663" i="1"/>
  <c r="D454" i="1"/>
  <c r="C596" i="1"/>
  <c r="I172" i="1"/>
  <c r="P109" i="1"/>
  <c r="G185" i="1"/>
  <c r="E67" i="1"/>
  <c r="R246" i="1"/>
  <c r="N543" i="1"/>
  <c r="N595" i="1"/>
  <c r="D549" i="1"/>
  <c r="P78" i="1"/>
  <c r="A528" i="1"/>
  <c r="L11" i="1"/>
  <c r="E186" i="1"/>
  <c r="H137" i="1"/>
  <c r="G300" i="1"/>
  <c r="I19" i="1"/>
  <c r="J670" i="1"/>
  <c r="K247" i="1"/>
  <c r="P210" i="1"/>
  <c r="A151" i="1"/>
  <c r="H592" i="1"/>
  <c r="R332" i="1"/>
  <c r="Q397" i="1"/>
  <c r="K339" i="1"/>
  <c r="V445" i="1"/>
  <c r="M289" i="1"/>
  <c r="F462" i="1"/>
  <c r="T313" i="1"/>
  <c r="B303" i="1"/>
  <c r="N544" i="1"/>
  <c r="P143" i="1"/>
  <c r="S438" i="1"/>
  <c r="O348" i="1"/>
  <c r="H292" i="1"/>
  <c r="E106" i="1"/>
  <c r="V140" i="1"/>
  <c r="J28" i="1"/>
  <c r="K137" i="1"/>
  <c r="T39" i="1"/>
  <c r="E53" i="1"/>
  <c r="F52" i="1"/>
  <c r="F473" i="1"/>
  <c r="I69" i="1"/>
  <c r="C166" i="1"/>
  <c r="U167" i="1"/>
  <c r="C557" i="1"/>
  <c r="U676" i="1"/>
  <c r="N620" i="1"/>
  <c r="M236" i="1"/>
  <c r="T394" i="1"/>
  <c r="G605" i="1"/>
  <c r="H333" i="1"/>
  <c r="U511" i="1"/>
  <c r="I636" i="1"/>
  <c r="T111" i="1"/>
  <c r="S205" i="1"/>
  <c r="G71" i="1"/>
  <c r="I198" i="1"/>
  <c r="G454" i="1"/>
  <c r="T368" i="1"/>
  <c r="N448" i="1"/>
  <c r="O450" i="1"/>
  <c r="I97" i="1"/>
  <c r="P219" i="1"/>
  <c r="V165" i="1"/>
  <c r="I61" i="1"/>
  <c r="V350" i="1"/>
  <c r="L322" i="1"/>
  <c r="V408" i="1"/>
  <c r="S348" i="1"/>
  <c r="U574" i="1"/>
  <c r="U193" i="1"/>
  <c r="J7" i="1"/>
  <c r="I286" i="1"/>
  <c r="A125" i="1"/>
  <c r="E331" i="1"/>
  <c r="B46" i="1"/>
  <c r="G138" i="1"/>
  <c r="D152" i="1"/>
  <c r="N552" i="1"/>
  <c r="B252" i="1"/>
  <c r="I166" i="1"/>
  <c r="T474" i="1"/>
  <c r="E400" i="1"/>
  <c r="P102" i="1"/>
  <c r="Q734" i="1"/>
  <c r="B724" i="1"/>
  <c r="V782" i="1"/>
  <c r="S619" i="1"/>
  <c r="J423" i="1"/>
  <c r="D365" i="1"/>
  <c r="B407" i="1"/>
  <c r="E433" i="1"/>
  <c r="Q293" i="1"/>
  <c r="Q317" i="1"/>
  <c r="Q166" i="1"/>
  <c r="L527" i="1"/>
  <c r="H486" i="1"/>
  <c r="G114" i="1"/>
  <c r="G311" i="1"/>
  <c r="M336" i="1"/>
  <c r="R356" i="1"/>
  <c r="C544" i="1"/>
  <c r="A257" i="1"/>
  <c r="D203" i="1"/>
  <c r="H110" i="1"/>
  <c r="S391" i="1"/>
  <c r="A91" i="1"/>
  <c r="D567" i="1"/>
  <c r="D28" i="1"/>
  <c r="B141" i="1"/>
  <c r="R477" i="1"/>
  <c r="J395" i="1"/>
  <c r="I34" i="1"/>
  <c r="L187" i="1"/>
  <c r="U19" i="1"/>
  <c r="U145" i="1"/>
  <c r="V104" i="1"/>
  <c r="M25" i="1"/>
  <c r="R59" i="1"/>
  <c r="N60" i="1"/>
  <c r="C275" i="1"/>
  <c r="V245" i="1"/>
  <c r="V375" i="1"/>
  <c r="K62" i="1"/>
  <c r="B298" i="1"/>
  <c r="F94" i="1"/>
  <c r="S36" i="1"/>
  <c r="K141" i="1"/>
  <c r="B171" i="1"/>
  <c r="N30" i="1"/>
  <c r="I349" i="1"/>
  <c r="Q544" i="1"/>
  <c r="B691" i="1"/>
  <c r="N536" i="1"/>
  <c r="D193" i="1"/>
  <c r="G49" i="1"/>
  <c r="A378" i="1"/>
  <c r="O258" i="1"/>
  <c r="L266" i="1"/>
  <c r="L389" i="1"/>
  <c r="C349" i="1"/>
  <c r="R435" i="1"/>
  <c r="H134" i="1"/>
  <c r="K183" i="1"/>
  <c r="H544" i="1"/>
  <c r="Q181" i="1"/>
  <c r="H523" i="1"/>
  <c r="F779" i="1"/>
  <c r="K543" i="1"/>
  <c r="I740" i="1"/>
  <c r="K772" i="1"/>
  <c r="A412" i="1"/>
  <c r="T495" i="1"/>
  <c r="P131" i="1"/>
  <c r="A687" i="1"/>
  <c r="U29" i="1"/>
  <c r="L148" i="1"/>
  <c r="T228" i="1"/>
  <c r="G492" i="1"/>
  <c r="P149" i="1"/>
  <c r="E276" i="1"/>
  <c r="T323" i="1"/>
  <c r="P82" i="1"/>
  <c r="S358" i="1"/>
  <c r="E614" i="1"/>
  <c r="F332" i="1"/>
  <c r="U191" i="1"/>
  <c r="H47" i="1"/>
  <c r="B225" i="1"/>
  <c r="J232" i="1"/>
  <c r="J48" i="1"/>
  <c r="R625" i="1"/>
  <c r="R245" i="1"/>
  <c r="I138" i="1"/>
  <c r="H401" i="1"/>
  <c r="M553" i="1"/>
  <c r="V251" i="1"/>
  <c r="N472" i="1"/>
  <c r="T808" i="1"/>
  <c r="T424" i="1"/>
  <c r="D187" i="1"/>
  <c r="V28" i="1"/>
  <c r="A532" i="1"/>
  <c r="Q331" i="1"/>
  <c r="P414" i="1"/>
  <c r="O268" i="1"/>
  <c r="T343" i="1"/>
  <c r="R370" i="1"/>
  <c r="V407" i="1"/>
  <c r="F477" i="1"/>
  <c r="T229" i="1"/>
  <c r="O279" i="1"/>
  <c r="A70" i="1"/>
  <c r="N175" i="1"/>
  <c r="U266" i="1"/>
  <c r="K63" i="1"/>
  <c r="V94" i="1"/>
  <c r="Q198" i="1"/>
  <c r="C39" i="1"/>
  <c r="C53" i="1"/>
  <c r="V427" i="1"/>
  <c r="E453" i="1"/>
  <c r="A111" i="1"/>
  <c r="B36" i="1"/>
  <c r="P246" i="1"/>
  <c r="E462" i="1"/>
  <c r="U153" i="1"/>
  <c r="V47" i="1"/>
  <c r="D220" i="1"/>
  <c r="O293" i="1"/>
  <c r="U489" i="1"/>
  <c r="O451" i="1"/>
  <c r="O438" i="1"/>
  <c r="G780" i="1"/>
  <c r="C738" i="1"/>
  <c r="A196" i="1"/>
  <c r="V453" i="1"/>
  <c r="E284" i="1"/>
  <c r="J229" i="1"/>
  <c r="K426" i="1"/>
  <c r="N592" i="1"/>
  <c r="T320" i="1"/>
  <c r="U101" i="1"/>
  <c r="S141" i="1"/>
  <c r="P349" i="1"/>
  <c r="J522" i="1"/>
  <c r="D174" i="1"/>
  <c r="S132" i="1"/>
  <c r="F13" i="1"/>
  <c r="B367" i="1"/>
  <c r="B58" i="1"/>
  <c r="L260" i="1"/>
  <c r="B244" i="1"/>
  <c r="J30" i="1"/>
  <c r="L81" i="1"/>
  <c r="J68" i="1"/>
  <c r="N218" i="1"/>
  <c r="R96" i="1"/>
  <c r="R39" i="1"/>
  <c r="I362" i="1"/>
  <c r="R108" i="1"/>
  <c r="J139" i="1"/>
  <c r="S286" i="1"/>
  <c r="T327" i="1"/>
  <c r="P636" i="1"/>
  <c r="E175" i="1"/>
  <c r="C77" i="1"/>
  <c r="G410" i="1"/>
  <c r="K251" i="1"/>
  <c r="K269" i="1"/>
  <c r="J323" i="1"/>
  <c r="T116" i="1"/>
  <c r="R333" i="1"/>
  <c r="I122" i="1"/>
  <c r="B429" i="1"/>
  <c r="N393" i="1"/>
  <c r="E233" i="1"/>
  <c r="K144" i="1"/>
  <c r="D264" i="1"/>
  <c r="H160" i="1"/>
  <c r="J97" i="1"/>
  <c r="D599" i="1"/>
  <c r="N497" i="1"/>
  <c r="Q176" i="1"/>
  <c r="C185" i="1"/>
  <c r="N65" i="1"/>
  <c r="V336" i="1"/>
  <c r="G569" i="1"/>
  <c r="H133" i="1"/>
  <c r="L38" i="1"/>
  <c r="T218" i="1"/>
  <c r="B251" i="1"/>
  <c r="A855" i="1"/>
  <c r="H289" i="1"/>
  <c r="U614" i="1"/>
  <c r="K356" i="1"/>
  <c r="M476" i="1"/>
  <c r="D410" i="1"/>
  <c r="C72" i="1"/>
  <c r="I460" i="1"/>
  <c r="G470" i="1"/>
  <c r="P411" i="1"/>
  <c r="J79" i="1"/>
  <c r="F191" i="1"/>
  <c r="N147" i="1"/>
  <c r="A559" i="1"/>
  <c r="J306" i="1"/>
  <c r="L331" i="1"/>
  <c r="O244" i="1"/>
  <c r="J122" i="1"/>
  <c r="I627" i="1"/>
  <c r="A98" i="1"/>
  <c r="Q213" i="1"/>
  <c r="N35" i="1"/>
  <c r="H96" i="1"/>
  <c r="I199" i="1"/>
  <c r="G180" i="1"/>
  <c r="K303" i="1"/>
  <c r="S360" i="1"/>
  <c r="T191" i="1"/>
  <c r="O107" i="1"/>
  <c r="H188" i="1"/>
  <c r="I246" i="1"/>
  <c r="L657" i="1"/>
  <c r="G740" i="1"/>
  <c r="T270" i="1"/>
  <c r="C36" i="1"/>
  <c r="L468" i="1"/>
  <c r="L393" i="1"/>
  <c r="E36" i="1"/>
  <c r="O197" i="1"/>
  <c r="B554" i="1"/>
  <c r="C466" i="1"/>
  <c r="F745" i="1"/>
  <c r="F721" i="1"/>
  <c r="N638" i="1"/>
  <c r="U277" i="1"/>
  <c r="D38" i="1"/>
  <c r="S354" i="1"/>
  <c r="J251" i="1"/>
  <c r="L183" i="1"/>
  <c r="K288" i="1"/>
  <c r="U653" i="1"/>
  <c r="U341" i="1"/>
  <c r="M509" i="1"/>
  <c r="G275" i="1"/>
  <c r="E326" i="1"/>
  <c r="D370" i="1"/>
  <c r="S431" i="1"/>
  <c r="E181" i="1"/>
  <c r="M9" i="1"/>
  <c r="N210" i="1"/>
  <c r="A720" i="1"/>
  <c r="A184" i="1"/>
  <c r="T444" i="1"/>
  <c r="T147" i="1"/>
  <c r="F241" i="1"/>
  <c r="S347" i="1"/>
  <c r="A520" i="1"/>
  <c r="P686" i="1"/>
  <c r="P577" i="1"/>
  <c r="L598" i="1"/>
  <c r="T764" i="1"/>
  <c r="T377" i="1"/>
  <c r="Q511" i="1"/>
  <c r="C411" i="1"/>
  <c r="P187" i="1"/>
  <c r="M119" i="1"/>
  <c r="G87" i="1"/>
  <c r="P179" i="1"/>
  <c r="D377" i="1"/>
  <c r="D493" i="1"/>
  <c r="H144" i="1"/>
  <c r="V143" i="1"/>
  <c r="P96" i="1"/>
  <c r="H415" i="1"/>
  <c r="U107" i="1"/>
  <c r="A279" i="1"/>
  <c r="R190" i="1"/>
  <c r="R317" i="1"/>
  <c r="S164" i="1"/>
  <c r="R454" i="1"/>
  <c r="B827" i="1"/>
  <c r="E508" i="1"/>
  <c r="B403" i="1"/>
  <c r="J165" i="1"/>
  <c r="O533" i="1"/>
  <c r="N266" i="1"/>
  <c r="S399" i="1"/>
  <c r="E641" i="1"/>
  <c r="T81" i="1"/>
  <c r="O7" i="1"/>
  <c r="Q130" i="1"/>
  <c r="N385" i="1"/>
  <c r="S273" i="1"/>
  <c r="L397" i="1"/>
  <c r="R104" i="1"/>
  <c r="E134" i="1"/>
  <c r="F159" i="1"/>
  <c r="B159" i="1"/>
  <c r="D75" i="1"/>
  <c r="O336" i="1"/>
  <c r="K297" i="1"/>
  <c r="L408" i="1"/>
  <c r="N291" i="1"/>
  <c r="F188" i="1"/>
  <c r="N192" i="1"/>
  <c r="M328" i="1"/>
  <c r="A572" i="1"/>
  <c r="Q477" i="1"/>
  <c r="K318" i="1"/>
  <c r="F256" i="1"/>
  <c r="C27" i="1"/>
  <c r="V234" i="1"/>
  <c r="F87" i="1"/>
  <c r="G519" i="1"/>
  <c r="J145" i="1"/>
  <c r="S722" i="1"/>
  <c r="H229" i="1"/>
  <c r="T243" i="1"/>
  <c r="A775" i="1"/>
  <c r="M798" i="1"/>
  <c r="U720" i="1"/>
  <c r="L328" i="1"/>
  <c r="K536" i="1"/>
  <c r="B344" i="1"/>
  <c r="K665" i="1"/>
  <c r="K108" i="1"/>
  <c r="S390" i="1"/>
  <c r="Q459" i="1"/>
  <c r="F605" i="1"/>
  <c r="V172" i="1"/>
  <c r="B469" i="1"/>
  <c r="D362" i="1"/>
  <c r="B393" i="1"/>
  <c r="N474" i="1"/>
  <c r="V429" i="1"/>
  <c r="B704" i="1"/>
  <c r="P503" i="1"/>
  <c r="I372" i="1"/>
  <c r="J575" i="1"/>
  <c r="K541" i="1"/>
  <c r="T300" i="1"/>
  <c r="N556" i="1"/>
  <c r="I615" i="1"/>
  <c r="J344" i="1"/>
  <c r="A305" i="1"/>
  <c r="D564" i="1"/>
  <c r="H419" i="1"/>
  <c r="T334" i="1"/>
  <c r="T114" i="1"/>
  <c r="R25" i="1"/>
  <c r="H236" i="1"/>
  <c r="E234" i="1"/>
  <c r="G56" i="1"/>
  <c r="I374" i="1"/>
  <c r="U492" i="1"/>
  <c r="N429" i="1"/>
  <c r="D419" i="1"/>
  <c r="V452" i="1"/>
  <c r="P293" i="1"/>
  <c r="V391" i="1"/>
  <c r="I500" i="1"/>
  <c r="H152" i="1"/>
  <c r="O311" i="1"/>
  <c r="Q378" i="1"/>
  <c r="H201" i="1"/>
  <c r="U602" i="1"/>
  <c r="I458" i="1"/>
  <c r="M315" i="1"/>
  <c r="N675" i="1"/>
  <c r="P325" i="1"/>
  <c r="Q634" i="1"/>
  <c r="C32" i="1"/>
  <c r="M216" i="1"/>
  <c r="R99" i="1"/>
  <c r="L191" i="1"/>
  <c r="A156" i="1"/>
  <c r="J282" i="1"/>
  <c r="G690" i="1"/>
  <c r="A255" i="1"/>
  <c r="E424" i="1"/>
  <c r="H619" i="1"/>
  <c r="U343" i="1"/>
  <c r="Q615" i="1"/>
  <c r="U518" i="1"/>
  <c r="O580" i="1"/>
  <c r="T664" i="1"/>
  <c r="M516" i="1"/>
  <c r="S227" i="1"/>
  <c r="A491" i="1"/>
  <c r="U245" i="1"/>
  <c r="Q90" i="1"/>
  <c r="J457" i="1"/>
  <c r="J261" i="1"/>
  <c r="I532" i="1"/>
  <c r="B280" i="1"/>
  <c r="V195" i="1"/>
  <c r="O145" i="1"/>
  <c r="Q74" i="1"/>
  <c r="G216" i="1"/>
  <c r="A23" i="1"/>
  <c r="U49" i="1"/>
  <c r="Q285" i="1"/>
  <c r="S11" i="1"/>
  <c r="C407" i="1"/>
  <c r="E130" i="1"/>
  <c r="K540" i="1"/>
  <c r="K74" i="1"/>
  <c r="B243" i="1"/>
  <c r="N332" i="1"/>
  <c r="V231" i="1"/>
  <c r="U125" i="1"/>
  <c r="G143" i="1"/>
  <c r="I96" i="1"/>
  <c r="E272" i="1"/>
  <c r="L385" i="1"/>
  <c r="Q391" i="1"/>
  <c r="A339" i="1"/>
  <c r="S650" i="1"/>
  <c r="M126" i="1"/>
  <c r="S344" i="1"/>
  <c r="O223" i="1"/>
  <c r="Q132" i="1"/>
  <c r="I264" i="1"/>
  <c r="P60" i="1"/>
  <c r="A199" i="1"/>
  <c r="L724" i="1"/>
  <c r="V150" i="1"/>
  <c r="R442" i="1"/>
  <c r="N177" i="1"/>
  <c r="E195" i="1"/>
  <c r="V116" i="1"/>
  <c r="P294" i="1"/>
  <c r="N102" i="1"/>
  <c r="V543" i="1"/>
  <c r="J225" i="1"/>
  <c r="E515" i="1"/>
  <c r="U205" i="1"/>
  <c r="B175" i="1"/>
  <c r="V361" i="1"/>
  <c r="R235" i="1"/>
  <c r="G83" i="1"/>
  <c r="O261" i="1"/>
  <c r="H68" i="1"/>
  <c r="S233" i="1"/>
  <c r="E107" i="1"/>
  <c r="F812" i="1"/>
  <c r="O442" i="1"/>
  <c r="M718" i="1"/>
  <c r="R458" i="1"/>
  <c r="Q465" i="1"/>
  <c r="V176" i="1"/>
  <c r="G248" i="1"/>
  <c r="R180" i="1"/>
  <c r="L543" i="1"/>
  <c r="K77" i="1"/>
  <c r="O738" i="1"/>
  <c r="U287" i="1"/>
  <c r="A36" i="1"/>
  <c r="S130" i="1"/>
  <c r="S12" i="1"/>
  <c r="O292" i="1"/>
  <c r="C440" i="1"/>
  <c r="S292" i="1"/>
  <c r="Q531" i="1"/>
  <c r="D488" i="1"/>
  <c r="B364" i="1"/>
  <c r="I448" i="1"/>
  <c r="D89" i="1"/>
  <c r="J60" i="1"/>
  <c r="S74" i="1"/>
  <c r="V262" i="1"/>
  <c r="P30" i="1"/>
  <c r="C532" i="1"/>
  <c r="C308" i="1"/>
  <c r="C605" i="1"/>
  <c r="A261" i="1"/>
  <c r="O601" i="1"/>
  <c r="P356" i="1"/>
  <c r="B130" i="1"/>
  <c r="L182" i="1"/>
  <c r="F178" i="1"/>
  <c r="F485" i="1"/>
  <c r="N272" i="1"/>
  <c r="P52" i="1"/>
  <c r="P596" i="1"/>
  <c r="U304" i="1"/>
  <c r="O143" i="1"/>
  <c r="O344" i="1"/>
  <c r="L164" i="1"/>
  <c r="F26" i="1"/>
  <c r="B435" i="1"/>
  <c r="E342" i="1"/>
  <c r="V228" i="1"/>
  <c r="O37" i="1"/>
  <c r="T210" i="1"/>
  <c r="A105" i="1"/>
  <c r="D385" i="1"/>
  <c r="S257" i="1"/>
  <c r="P389" i="1"/>
  <c r="C193" i="1"/>
  <c r="E133" i="1"/>
  <c r="F181" i="1"/>
  <c r="F324" i="1"/>
  <c r="O206" i="1"/>
  <c r="E218" i="1"/>
  <c r="E316" i="1"/>
  <c r="J609" i="1"/>
  <c r="S604" i="1"/>
  <c r="I165" i="1"/>
  <c r="M453" i="1"/>
  <c r="H546" i="1"/>
  <c r="V293" i="1"/>
  <c r="Q164" i="1"/>
  <c r="P215" i="1"/>
  <c r="I423" i="1"/>
  <c r="N494" i="1"/>
  <c r="A568" i="1"/>
  <c r="P436" i="1"/>
  <c r="B135" i="1"/>
  <c r="K534" i="1"/>
  <c r="C25" i="1"/>
  <c r="H166" i="1"/>
  <c r="P251" i="1"/>
  <c r="V255" i="1"/>
  <c r="T629" i="1"/>
  <c r="F303" i="1"/>
  <c r="F412" i="1"/>
  <c r="L59" i="1"/>
  <c r="N302" i="1"/>
  <c r="P229" i="1"/>
  <c r="N164" i="1"/>
  <c r="K657" i="1"/>
  <c r="R136" i="1"/>
  <c r="A312" i="1"/>
  <c r="B307" i="1"/>
  <c r="E500" i="1"/>
  <c r="M167" i="1"/>
  <c r="H34" i="1"/>
  <c r="V58" i="1"/>
  <c r="Q103" i="1"/>
  <c r="K359" i="1"/>
  <c r="U325" i="1"/>
  <c r="O657" i="1"/>
  <c r="B533" i="1"/>
  <c r="K305" i="1"/>
  <c r="U163" i="1"/>
  <c r="M239" i="1"/>
  <c r="V596" i="1"/>
  <c r="B426" i="1"/>
  <c r="F231" i="1"/>
  <c r="G82" i="1"/>
  <c r="D25" i="1"/>
  <c r="N373" i="1"/>
  <c r="Q729" i="1"/>
  <c r="D248" i="1"/>
  <c r="H266" i="1"/>
  <c r="Q271" i="1"/>
  <c r="L494" i="1"/>
  <c r="V695" i="1"/>
  <c r="C571" i="1"/>
  <c r="O498" i="1"/>
  <c r="S611" i="1"/>
  <c r="L355" i="1"/>
  <c r="K32" i="1"/>
  <c r="A352" i="1"/>
  <c r="D161" i="1"/>
  <c r="Q264" i="1"/>
  <c r="V205" i="1"/>
  <c r="J214" i="1"/>
  <c r="Q14" i="1"/>
  <c r="H135" i="1"/>
  <c r="K277" i="1"/>
  <c r="H202" i="1"/>
  <c r="R181" i="1"/>
  <c r="F313" i="1"/>
  <c r="U486" i="1"/>
  <c r="M325" i="1"/>
  <c r="L460" i="1"/>
  <c r="T143" i="1"/>
  <c r="K873" i="1"/>
  <c r="N348" i="1"/>
  <c r="E516" i="1"/>
  <c r="K67" i="1"/>
  <c r="L515" i="1"/>
  <c r="N50" i="1"/>
  <c r="U445" i="1"/>
  <c r="P216" i="1"/>
  <c r="V62" i="1"/>
  <c r="B238" i="1"/>
  <c r="I546" i="1"/>
  <c r="M42" i="1"/>
  <c r="S77" i="1"/>
  <c r="J394" i="1"/>
  <c r="M304" i="1"/>
  <c r="C63" i="1"/>
  <c r="T306" i="1"/>
  <c r="V700" i="1"/>
  <c r="R851" i="1"/>
  <c r="I412" i="1"/>
  <c r="B485" i="1"/>
  <c r="I217" i="1"/>
  <c r="J81" i="1"/>
  <c r="F676" i="1"/>
  <c r="V370" i="1"/>
  <c r="M311" i="1"/>
  <c r="I400" i="1"/>
  <c r="H434" i="1"/>
  <c r="A46" i="1"/>
  <c r="K243" i="1"/>
  <c r="Q23" i="1"/>
  <c r="N428" i="1"/>
  <c r="B516" i="1"/>
  <c r="H119" i="1"/>
  <c r="D835" i="1"/>
  <c r="V580" i="1"/>
  <c r="H330" i="1"/>
  <c r="R251" i="1"/>
  <c r="E368" i="1"/>
  <c r="M530" i="1"/>
  <c r="L612" i="1"/>
  <c r="J392" i="1"/>
  <c r="E477" i="1"/>
  <c r="E242" i="1"/>
  <c r="I226" i="1"/>
  <c r="L247" i="1"/>
  <c r="R334" i="1"/>
  <c r="J269" i="1"/>
  <c r="S151" i="1"/>
  <c r="D651" i="1"/>
  <c r="H71" i="1"/>
  <c r="K69" i="1"/>
  <c r="C474" i="1"/>
  <c r="G158" i="1"/>
  <c r="S184" i="1"/>
  <c r="V341" i="1"/>
  <c r="J73" i="1"/>
  <c r="A479" i="1"/>
  <c r="L474" i="1"/>
  <c r="B570" i="1"/>
  <c r="N763" i="1"/>
  <c r="L586" i="1"/>
  <c r="N456" i="1"/>
  <c r="F580" i="1"/>
  <c r="Q482" i="1"/>
  <c r="Q624" i="1"/>
  <c r="Q502" i="1"/>
  <c r="H453" i="1"/>
  <c r="M567" i="1"/>
  <c r="K92" i="1"/>
  <c r="Q287" i="1"/>
  <c r="K874" i="1"/>
  <c r="P265" i="1"/>
  <c r="F171" i="1"/>
  <c r="B181" i="1"/>
  <c r="V112" i="1"/>
  <c r="I234" i="1"/>
  <c r="H358" i="1"/>
  <c r="Q289" i="1"/>
  <c r="G514" i="1"/>
  <c r="C244" i="1"/>
  <c r="P233" i="1"/>
  <c r="R122" i="1"/>
  <c r="M187" i="1"/>
  <c r="L407" i="1"/>
  <c r="F252" i="1"/>
  <c r="A168" i="1"/>
  <c r="R237" i="1"/>
  <c r="I582" i="1"/>
  <c r="E122" i="1"/>
  <c r="H66" i="1"/>
  <c r="A448" i="1"/>
  <c r="I113" i="1"/>
  <c r="R77" i="1"/>
  <c r="I466" i="1"/>
  <c r="C181" i="1"/>
  <c r="S530" i="1"/>
  <c r="T679" i="1"/>
  <c r="F691" i="1"/>
  <c r="M273" i="1"/>
  <c r="V145" i="1"/>
  <c r="F289" i="1"/>
  <c r="K374" i="1"/>
  <c r="H91" i="1"/>
  <c r="J475" i="1"/>
  <c r="D466" i="1"/>
  <c r="Q235" i="1"/>
  <c r="S49" i="1"/>
  <c r="Q160" i="1"/>
  <c r="P242" i="1"/>
  <c r="J105" i="1"/>
  <c r="C512" i="1"/>
  <c r="R553" i="1"/>
  <c r="J633" i="1"/>
  <c r="C433" i="1"/>
  <c r="N621" i="1"/>
  <c r="J144" i="1"/>
  <c r="E332" i="1"/>
  <c r="J8" i="1"/>
  <c r="N143" i="1"/>
  <c r="E558" i="1"/>
  <c r="G812" i="1"/>
  <c r="G344" i="1"/>
  <c r="P426" i="1"/>
  <c r="Q224" i="1"/>
  <c r="J342" i="1"/>
  <c r="A306" i="1"/>
  <c r="V384" i="1"/>
  <c r="H598" i="1"/>
  <c r="I603" i="1"/>
  <c r="P424" i="1"/>
  <c r="V351" i="1"/>
  <c r="O288" i="1"/>
  <c r="M26" i="1"/>
  <c r="J228" i="1"/>
  <c r="N103" i="1"/>
  <c r="M419" i="1"/>
  <c r="N112" i="1"/>
  <c r="A4" i="1"/>
  <c r="R509" i="1"/>
  <c r="D162" i="1"/>
  <c r="M353" i="1"/>
  <c r="E261" i="1"/>
  <c r="B483" i="1"/>
  <c r="D56" i="1"/>
  <c r="K10" i="1"/>
  <c r="S528" i="1"/>
  <c r="L163" i="1"/>
  <c r="T262" i="1"/>
  <c r="H28" i="1"/>
  <c r="R199" i="1"/>
  <c r="S384" i="1"/>
  <c r="L523" i="1"/>
  <c r="S114" i="1"/>
  <c r="I524" i="1"/>
  <c r="J17" i="1"/>
  <c r="E206" i="1"/>
  <c r="E45" i="1"/>
  <c r="N209" i="1"/>
  <c r="U42" i="1"/>
  <c r="O63" i="1"/>
  <c r="U166" i="1"/>
  <c r="H104" i="1"/>
  <c r="G17" i="1"/>
  <c r="B418" i="1"/>
  <c r="J210" i="1"/>
  <c r="S458" i="1"/>
  <c r="M149" i="1"/>
  <c r="D131" i="1"/>
  <c r="H224" i="1"/>
  <c r="H93" i="1"/>
  <c r="E469" i="1"/>
  <c r="T496" i="1"/>
  <c r="C81" i="1"/>
  <c r="A240" i="1"/>
  <c r="M95" i="1"/>
  <c r="D188" i="1"/>
  <c r="L71" i="1"/>
  <c r="A283" i="1"/>
  <c r="S159" i="1"/>
  <c r="J33" i="1"/>
  <c r="F479" i="1"/>
  <c r="B146" i="1"/>
  <c r="O314" i="1"/>
  <c r="C447" i="1"/>
  <c r="T216" i="1"/>
  <c r="S668" i="1"/>
  <c r="R752" i="1"/>
  <c r="I502" i="1"/>
  <c r="B575" i="1"/>
  <c r="T261" i="1"/>
  <c r="T389" i="1"/>
  <c r="L591" i="1"/>
  <c r="H226" i="1"/>
  <c r="O461" i="1"/>
  <c r="G260" i="1"/>
  <c r="K6" i="1"/>
  <c r="M450" i="1"/>
  <c r="P418" i="1"/>
  <c r="T124" i="1"/>
  <c r="G208" i="1"/>
  <c r="I214" i="1"/>
  <c r="Q313" i="1"/>
  <c r="R305" i="1"/>
  <c r="U100" i="1"/>
  <c r="K174" i="1"/>
  <c r="P99" i="1"/>
  <c r="O518" i="1"/>
  <c r="A375" i="1"/>
  <c r="U189" i="1"/>
  <c r="M529" i="1"/>
  <c r="C15" i="1"/>
  <c r="R50" i="1"/>
  <c r="I191" i="1"/>
  <c r="L242" i="1"/>
  <c r="M528" i="1"/>
  <c r="D354" i="1"/>
  <c r="Q250" i="1"/>
  <c r="N493" i="1"/>
  <c r="S161" i="1"/>
  <c r="M361" i="1"/>
  <c r="L97" i="1"/>
  <c r="U342" i="1"/>
  <c r="G522" i="1"/>
  <c r="Q493" i="1"/>
  <c r="B207" i="1"/>
  <c r="J3" i="1"/>
  <c r="R285" i="1"/>
  <c r="D622" i="1"/>
  <c r="E142" i="1"/>
  <c r="A114" i="1"/>
  <c r="K149" i="1"/>
  <c r="U348" i="1"/>
  <c r="P10" i="1"/>
  <c r="E490" i="1"/>
  <c r="T239" i="1"/>
  <c r="O102" i="1"/>
  <c r="D644" i="1"/>
  <c r="N399" i="1"/>
  <c r="T357" i="1"/>
  <c r="D465" i="1"/>
  <c r="P53" i="1"/>
  <c r="U420" i="1"/>
  <c r="K446" i="1"/>
  <c r="L614" i="1"/>
  <c r="H76" i="1"/>
  <c r="T8" i="1"/>
  <c r="N297" i="1"/>
  <c r="E116" i="1"/>
  <c r="Q742" i="1"/>
  <c r="Q611" i="1"/>
  <c r="G545" i="1"/>
  <c r="L456" i="1"/>
  <c r="F179" i="1"/>
  <c r="H342" i="1"/>
  <c r="D627" i="1"/>
  <c r="P308" i="1"/>
  <c r="E408" i="1"/>
  <c r="E98" i="1"/>
  <c r="D501" i="1"/>
  <c r="K261" i="1"/>
  <c r="R260" i="1"/>
  <c r="G67" i="1"/>
  <c r="M6" i="1"/>
  <c r="C50" i="1"/>
  <c r="D172" i="1"/>
  <c r="M744" i="1"/>
  <c r="R17" i="1"/>
  <c r="J268" i="1"/>
  <c r="F195" i="1"/>
  <c r="Q282" i="1"/>
  <c r="U267" i="1"/>
  <c r="Q574" i="1"/>
  <c r="L437" i="1"/>
  <c r="D482" i="1"/>
  <c r="T273" i="1"/>
  <c r="R28" i="1"/>
  <c r="D77" i="1"/>
  <c r="G603" i="1"/>
  <c r="R165" i="1"/>
  <c r="B744" i="1"/>
  <c r="K703" i="1"/>
  <c r="K40" i="1"/>
  <c r="R160" i="1"/>
  <c r="I117" i="1"/>
  <c r="C513" i="1"/>
  <c r="B315" i="1"/>
  <c r="N264" i="1"/>
  <c r="A336" i="1"/>
  <c r="O303" i="1"/>
  <c r="A187" i="1"/>
  <c r="B518" i="1"/>
  <c r="P14" i="1"/>
  <c r="V20" i="1"/>
  <c r="N294" i="1"/>
  <c r="N160" i="1"/>
  <c r="Q618" i="1"/>
  <c r="U239" i="1"/>
  <c r="R256" i="1"/>
  <c r="R248" i="1"/>
  <c r="U25" i="1"/>
  <c r="H392" i="1"/>
  <c r="A629" i="1"/>
  <c r="H122" i="1"/>
  <c r="A449" i="1"/>
  <c r="T618" i="1"/>
  <c r="Q153" i="1"/>
  <c r="V235" i="1"/>
  <c r="F47" i="1"/>
  <c r="E315" i="1"/>
  <c r="S398" i="1"/>
  <c r="R689" i="1"/>
  <c r="G572" i="1"/>
  <c r="G322" i="1"/>
  <c r="T290" i="1"/>
  <c r="E564" i="1"/>
  <c r="B415" i="1"/>
  <c r="U246" i="1"/>
  <c r="E619" i="1"/>
  <c r="C566" i="1"/>
  <c r="R297" i="1"/>
  <c r="T483" i="1"/>
  <c r="Q598" i="1"/>
  <c r="U682" i="1"/>
  <c r="B197" i="1"/>
  <c r="K52" i="1"/>
  <c r="A128" i="1"/>
  <c r="O248" i="1"/>
  <c r="P518" i="1"/>
  <c r="D92" i="1"/>
  <c r="C470" i="1"/>
  <c r="D475" i="1"/>
  <c r="I297" i="1"/>
  <c r="J217" i="1"/>
  <c r="U33" i="1"/>
  <c r="T297" i="1"/>
  <c r="K618" i="1"/>
  <c r="C120" i="1"/>
  <c r="A65" i="1"/>
  <c r="O4" i="1"/>
  <c r="O568" i="1"/>
  <c r="E97" i="1"/>
  <c r="M495" i="1"/>
  <c r="C383" i="1"/>
  <c r="V620" i="1"/>
  <c r="H183" i="1"/>
  <c r="V107" i="1"/>
  <c r="C443" i="1"/>
  <c r="H157" i="1"/>
  <c r="F29" i="1"/>
  <c r="S206" i="1"/>
  <c r="D478" i="1"/>
  <c r="B477" i="1"/>
  <c r="A372" i="1"/>
  <c r="P372" i="1"/>
  <c r="H475" i="1"/>
  <c r="S439" i="1"/>
  <c r="I325" i="1"/>
  <c r="S103" i="1"/>
  <c r="P417" i="1"/>
  <c r="B552" i="1"/>
  <c r="D325" i="1"/>
  <c r="U51" i="1"/>
  <c r="U333" i="1"/>
  <c r="P289" i="1"/>
  <c r="M133" i="1"/>
  <c r="A249" i="1"/>
  <c r="R410" i="1"/>
  <c r="M515" i="1"/>
  <c r="A215" i="1"/>
  <c r="F293" i="1"/>
  <c r="V144" i="1"/>
  <c r="A21" i="1"/>
  <c r="R678" i="1"/>
  <c r="Q543" i="1"/>
  <c r="G664" i="1"/>
  <c r="L314" i="1"/>
  <c r="C274" i="1"/>
  <c r="L204" i="1"/>
  <c r="F158" i="1"/>
  <c r="E236" i="1"/>
  <c r="D304" i="1"/>
  <c r="T70" i="1"/>
  <c r="B784" i="1"/>
  <c r="B785" i="1"/>
  <c r="D540" i="1"/>
  <c r="V76" i="1"/>
  <c r="M275" i="1"/>
  <c r="G768" i="1"/>
  <c r="G268" i="1"/>
  <c r="H478" i="1"/>
  <c r="F240" i="1"/>
  <c r="J398" i="1"/>
  <c r="D374" i="1"/>
  <c r="M231" i="1"/>
  <c r="D766" i="1"/>
  <c r="V275" i="1"/>
  <c r="O272" i="1"/>
  <c r="M355" i="1"/>
  <c r="H301" i="1"/>
  <c r="V278" i="1"/>
  <c r="N108" i="1"/>
  <c r="H182" i="1"/>
  <c r="R62" i="1"/>
  <c r="R70" i="1"/>
  <c r="T308" i="1"/>
  <c r="K217" i="1"/>
  <c r="Q199" i="1"/>
  <c r="T75" i="1"/>
  <c r="D130" i="1"/>
  <c r="H527" i="1"/>
  <c r="C352" i="1"/>
  <c r="V539" i="1"/>
  <c r="T786" i="1"/>
  <c r="K327" i="1"/>
  <c r="E270" i="1"/>
  <c r="S167" i="1"/>
  <c r="C321" i="1"/>
  <c r="O188" i="1"/>
  <c r="N176" i="1"/>
  <c r="O398" i="1"/>
  <c r="D446" i="1"/>
  <c r="K690" i="1"/>
  <c r="C584" i="1"/>
  <c r="L486" i="1"/>
  <c r="D612" i="1"/>
  <c r="J201" i="1"/>
  <c r="N350" i="1"/>
  <c r="J271" i="1"/>
  <c r="H355" i="1"/>
  <c r="S411" i="1"/>
  <c r="V333" i="1"/>
  <c r="C129" i="1"/>
  <c r="R233" i="1"/>
  <c r="P177" i="1"/>
  <c r="H285" i="1"/>
  <c r="S17" i="1"/>
  <c r="M657" i="1"/>
  <c r="E71" i="1"/>
  <c r="K98" i="1"/>
  <c r="O285" i="1"/>
  <c r="T140" i="1"/>
  <c r="L110" i="1"/>
  <c r="R511" i="1"/>
  <c r="V238" i="1"/>
  <c r="M123" i="1"/>
  <c r="O600" i="1"/>
  <c r="L447" i="1"/>
  <c r="N268" i="1"/>
  <c r="O352" i="1"/>
  <c r="P358" i="1"/>
  <c r="L167" i="1"/>
  <c r="N334" i="1"/>
  <c r="S333" i="1"/>
  <c r="D495" i="1"/>
  <c r="S21" i="1"/>
  <c r="I163" i="1"/>
  <c r="J74" i="1"/>
  <c r="N281" i="1"/>
  <c r="M345" i="1"/>
  <c r="K354" i="1"/>
  <c r="C137" i="1"/>
  <c r="I104" i="1"/>
  <c r="L68" i="1"/>
  <c r="R608" i="1"/>
  <c r="O110" i="1"/>
  <c r="P135" i="1"/>
  <c r="Q35" i="1"/>
  <c r="V263" i="1"/>
  <c r="V573" i="1"/>
  <c r="B652" i="1"/>
  <c r="F783" i="1"/>
  <c r="T676" i="1"/>
  <c r="Q541" i="1"/>
  <c r="P611" i="1"/>
  <c r="J414" i="1"/>
  <c r="T695" i="1"/>
  <c r="M633" i="1"/>
  <c r="B425" i="1"/>
  <c r="V149" i="1"/>
  <c r="N303" i="1"/>
  <c r="A87" i="1"/>
  <c r="G497" i="1"/>
  <c r="Q523" i="1"/>
  <c r="V30" i="1"/>
  <c r="D411" i="1"/>
  <c r="S301" i="1"/>
  <c r="N255" i="1"/>
  <c r="T279" i="1"/>
  <c r="O302" i="1"/>
  <c r="S160" i="1"/>
  <c r="O112" i="1"/>
  <c r="E161" i="1"/>
  <c r="O433" i="1"/>
  <c r="N466" i="1"/>
  <c r="N97" i="1"/>
  <c r="Q62" i="1"/>
  <c r="H620" i="1"/>
  <c r="C269" i="1"/>
  <c r="V96" i="1"/>
  <c r="L448" i="1"/>
  <c r="N525" i="1"/>
  <c r="T7" i="1"/>
  <c r="G173" i="1"/>
  <c r="T355" i="1"/>
  <c r="C108" i="1"/>
  <c r="B3" i="1"/>
  <c r="Q402" i="1"/>
  <c r="A201" i="1"/>
  <c r="U270" i="1"/>
  <c r="H347" i="1"/>
  <c r="Q33" i="1"/>
  <c r="P94" i="1"/>
  <c r="M326" i="1"/>
  <c r="H244" i="1"/>
  <c r="F123" i="1"/>
  <c r="Q292" i="1"/>
  <c r="J196" i="1"/>
  <c r="M452" i="1"/>
  <c r="P236" i="1"/>
  <c r="S383" i="1"/>
  <c r="V537" i="1"/>
  <c r="N180" i="1"/>
  <c r="M101" i="1"/>
  <c r="A744" i="1"/>
  <c r="O120" i="1"/>
  <c r="D90" i="1"/>
  <c r="M55" i="1"/>
  <c r="D235" i="1"/>
  <c r="E267" i="1"/>
  <c r="C553" i="1"/>
  <c r="R148" i="1"/>
  <c r="A120" i="1"/>
  <c r="S748" i="1"/>
  <c r="C410" i="1"/>
  <c r="P217" i="1"/>
  <c r="F67" i="1"/>
  <c r="J335" i="1"/>
  <c r="P37" i="1"/>
  <c r="B40" i="1"/>
  <c r="L501" i="1"/>
  <c r="L576" i="1"/>
  <c r="R188" i="1"/>
  <c r="P310" i="1"/>
  <c r="C510" i="1"/>
  <c r="K519" i="1"/>
  <c r="V223" i="1"/>
  <c r="P5" i="1"/>
  <c r="L433" i="1"/>
  <c r="I106" i="1"/>
  <c r="U21" i="1"/>
  <c r="Q290" i="1"/>
  <c r="G608" i="1"/>
  <c r="A451" i="1"/>
  <c r="V101" i="1"/>
  <c r="J280" i="1"/>
  <c r="V72" i="1"/>
  <c r="S504" i="1"/>
  <c r="C223" i="1"/>
  <c r="A512" i="1"/>
  <c r="L47" i="1"/>
  <c r="D351" i="1"/>
  <c r="R196" i="1"/>
  <c r="E257" i="1"/>
  <c r="G431" i="1"/>
  <c r="I457" i="1"/>
  <c r="Q8" i="1"/>
  <c r="D110" i="1"/>
  <c r="T30" i="1"/>
  <c r="R278" i="1"/>
  <c r="R298" i="1"/>
  <c r="E131" i="1"/>
  <c r="M147" i="1"/>
  <c r="A270" i="1"/>
  <c r="Q499" i="1"/>
  <c r="V745" i="1"/>
  <c r="K752" i="1"/>
  <c r="I232" i="1"/>
  <c r="J109" i="1"/>
  <c r="Q20" i="1"/>
  <c r="F244" i="1"/>
  <c r="U201" i="1"/>
  <c r="G678" i="1"/>
  <c r="N221" i="1"/>
  <c r="H261" i="1"/>
  <c r="E193" i="1"/>
  <c r="C213" i="1"/>
  <c r="R856" i="1"/>
  <c r="A456" i="1"/>
  <c r="K441" i="1"/>
  <c r="D375" i="1"/>
  <c r="E416" i="1"/>
  <c r="G30" i="1"/>
  <c r="O411" i="1"/>
  <c r="H240" i="1"/>
  <c r="B81" i="1"/>
  <c r="G242" i="1"/>
  <c r="O622" i="1"/>
  <c r="M731" i="1"/>
  <c r="P191" i="1"/>
  <c r="O357" i="1"/>
  <c r="H221" i="1"/>
  <c r="N412" i="1"/>
  <c r="Q278" i="1"/>
  <c r="G272" i="1"/>
  <c r="L45" i="1"/>
  <c r="E156" i="1"/>
  <c r="E140" i="1"/>
  <c r="L157" i="1"/>
  <c r="F99" i="1"/>
  <c r="R135" i="1"/>
  <c r="O274" i="1"/>
  <c r="P668" i="1"/>
  <c r="B275" i="1"/>
  <c r="C453" i="1"/>
  <c r="F460" i="1"/>
  <c r="B190" i="1"/>
  <c r="Q65" i="1"/>
  <c r="A399" i="1"/>
  <c r="F281" i="1"/>
  <c r="T533" i="1"/>
  <c r="S516" i="1"/>
  <c r="L274" i="1"/>
  <c r="M266" i="1"/>
  <c r="T15" i="1"/>
  <c r="D88" i="1"/>
  <c r="Q232" i="1"/>
  <c r="N320" i="1"/>
  <c r="U335" i="1"/>
  <c r="I125" i="1"/>
  <c r="S20" i="1"/>
  <c r="A76" i="1"/>
  <c r="B595" i="1"/>
  <c r="H246" i="1"/>
  <c r="F32" i="1"/>
  <c r="D390" i="1"/>
  <c r="Q5" i="1"/>
  <c r="E459" i="1"/>
  <c r="H372" i="1"/>
  <c r="H670" i="1"/>
  <c r="O521" i="1"/>
  <c r="Q139" i="1"/>
  <c r="N512" i="1"/>
  <c r="V451" i="1"/>
  <c r="D7" i="1"/>
  <c r="J619" i="1"/>
  <c r="L224" i="1"/>
  <c r="V264" i="1"/>
  <c r="G430" i="1"/>
  <c r="M377" i="1"/>
  <c r="K89" i="1"/>
  <c r="P232" i="1"/>
  <c r="F403" i="1"/>
  <c r="K125" i="1"/>
  <c r="M168" i="1"/>
  <c r="K178" i="1"/>
  <c r="V193" i="1"/>
  <c r="S304" i="1"/>
  <c r="J98" i="1"/>
  <c r="U78" i="1"/>
  <c r="R193" i="1"/>
  <c r="A152" i="1"/>
  <c r="M291" i="1"/>
  <c r="N455" i="1"/>
  <c r="B433" i="1"/>
  <c r="R483" i="1"/>
  <c r="D23" i="1"/>
  <c r="B18" i="1"/>
  <c r="O82" i="1"/>
  <c r="I187" i="1"/>
  <c r="E458" i="1"/>
  <c r="Q470" i="1"/>
  <c r="G45" i="1"/>
  <c r="I386" i="1"/>
  <c r="S331" i="1"/>
  <c r="K293" i="1"/>
  <c r="J120" i="1"/>
  <c r="H617" i="1"/>
  <c r="G273" i="1"/>
  <c r="I250" i="1"/>
  <c r="G41" i="1"/>
  <c r="J69" i="1"/>
  <c r="J289" i="1"/>
  <c r="S173" i="1"/>
  <c r="O298" i="1"/>
  <c r="S682" i="1"/>
  <c r="J767" i="1"/>
  <c r="L610" i="1"/>
  <c r="C298" i="1"/>
  <c r="U517" i="1"/>
  <c r="D658" i="1"/>
  <c r="P163" i="1"/>
  <c r="K417" i="1"/>
  <c r="I238" i="1"/>
  <c r="I518" i="1"/>
  <c r="Q368" i="1"/>
  <c r="L244" i="1"/>
  <c r="O189" i="1"/>
  <c r="I278" i="1"/>
  <c r="G350" i="1"/>
  <c r="J117" i="1"/>
  <c r="V33" i="1"/>
  <c r="E411" i="1"/>
  <c r="P775" i="1"/>
  <c r="A492" i="1"/>
  <c r="H302" i="1"/>
  <c r="D69" i="1"/>
  <c r="Q72" i="1"/>
  <c r="Q696" i="1"/>
  <c r="K72" i="1"/>
  <c r="U263" i="1"/>
  <c r="N322" i="1"/>
  <c r="V27" i="1"/>
  <c r="G287" i="1"/>
  <c r="K134" i="1"/>
  <c r="M493" i="1"/>
  <c r="Q363" i="1"/>
  <c r="V615" i="1"/>
  <c r="A525" i="1"/>
  <c r="K215" i="1"/>
  <c r="V183" i="1"/>
  <c r="Q159" i="1"/>
  <c r="A562" i="1"/>
  <c r="M323" i="1"/>
  <c r="G115" i="1"/>
  <c r="S355" i="1"/>
  <c r="M145" i="1"/>
  <c r="A190" i="1"/>
  <c r="L111" i="1"/>
  <c r="J324" i="1"/>
  <c r="P39" i="1"/>
  <c r="B72" i="1"/>
  <c r="P29" i="1"/>
  <c r="B236" i="1"/>
  <c r="R3" i="1"/>
  <c r="T131" i="1"/>
  <c r="B231" i="1"/>
  <c r="M81" i="1"/>
  <c r="K164" i="1"/>
  <c r="K38" i="1"/>
  <c r="I116" i="1"/>
  <c r="D122" i="1"/>
  <c r="T367" i="1"/>
  <c r="D266" i="1"/>
  <c r="N200" i="1"/>
  <c r="C30" i="1"/>
  <c r="U220" i="1"/>
  <c r="A143" i="1"/>
  <c r="L396" i="1"/>
  <c r="I328" i="1"/>
  <c r="B74" i="1"/>
  <c r="U541" i="1"/>
  <c r="L272" i="1"/>
  <c r="F286" i="1"/>
  <c r="N92" i="1"/>
  <c r="D331" i="1"/>
  <c r="J209" i="1"/>
  <c r="M383" i="1"/>
  <c r="N78" i="1"/>
  <c r="T4" i="1"/>
  <c r="U15" i="1"/>
  <c r="L473" i="1"/>
  <c r="D59" i="1"/>
  <c r="I213" i="1"/>
  <c r="A40" i="1"/>
  <c r="B290" i="1"/>
  <c r="B228" i="1"/>
  <c r="V57" i="1"/>
  <c r="L195" i="1"/>
  <c r="M180" i="1"/>
  <c r="J70" i="1"/>
  <c r="B87" i="1"/>
  <c r="R201" i="1"/>
  <c r="C99" i="1"/>
  <c r="N415" i="1"/>
  <c r="K244" i="1"/>
  <c r="T144" i="1"/>
  <c r="N239" i="1"/>
  <c r="C111" i="1"/>
  <c r="D182" i="1"/>
  <c r="M487" i="1"/>
  <c r="F132" i="1"/>
  <c r="O20" i="1"/>
  <c r="N274" i="1"/>
  <c r="T174" i="1"/>
  <c r="U175" i="1"/>
  <c r="I455" i="1"/>
  <c r="Q185" i="1"/>
  <c r="M31" i="1"/>
  <c r="K401" i="1"/>
  <c r="O146" i="1"/>
  <c r="L92" i="1"/>
  <c r="J89" i="1"/>
  <c r="L196" i="1"/>
  <c r="F458" i="1"/>
  <c r="H107" i="1"/>
  <c r="C232" i="1"/>
  <c r="S234" i="1"/>
  <c r="V56" i="1"/>
  <c r="D275" i="1"/>
  <c r="N663" i="1"/>
  <c r="C218" i="1"/>
  <c r="V142" i="1"/>
  <c r="D207" i="1"/>
  <c r="I282" i="1"/>
  <c r="M257" i="1"/>
  <c r="B155" i="1"/>
  <c r="C355" i="1"/>
  <c r="V34" i="1"/>
  <c r="V701" i="1"/>
  <c r="S207" i="1"/>
  <c r="D230" i="1"/>
  <c r="D64" i="1"/>
  <c r="N452" i="1"/>
  <c r="V378" i="1"/>
  <c r="S40" i="1"/>
  <c r="K156" i="1"/>
  <c r="E4" i="1"/>
  <c r="J529" i="1"/>
  <c r="K829" i="1"/>
  <c r="H503" i="1"/>
  <c r="R22" i="1"/>
  <c r="L162" i="1"/>
  <c r="H7" i="1"/>
  <c r="D155" i="1"/>
  <c r="T163" i="1"/>
  <c r="Q417" i="1"/>
  <c r="R270" i="1"/>
  <c r="C542" i="1"/>
  <c r="O626" i="1"/>
  <c r="V19" i="1"/>
  <c r="R111" i="1"/>
  <c r="C419" i="1"/>
  <c r="D581" i="1"/>
  <c r="Q230" i="1"/>
  <c r="V377" i="1"/>
  <c r="J420" i="1"/>
  <c r="I302" i="1"/>
  <c r="F95" i="1"/>
  <c r="N568" i="1"/>
  <c r="E435" i="1"/>
  <c r="T40" i="1"/>
  <c r="H554" i="1"/>
  <c r="K259" i="1"/>
  <c r="P684" i="1"/>
  <c r="P839" i="1"/>
  <c r="F665" i="1"/>
  <c r="R307" i="1"/>
  <c r="B6" i="1"/>
  <c r="G474" i="1"/>
  <c r="I489" i="1"/>
  <c r="F452" i="1"/>
  <c r="C91" i="1"/>
  <c r="H441" i="1"/>
  <c r="P104" i="1"/>
  <c r="K155" i="1"/>
  <c r="M415" i="1"/>
  <c r="C199" i="1"/>
  <c r="D358" i="1"/>
  <c r="L386" i="1"/>
  <c r="U644" i="1"/>
  <c r="G201" i="1"/>
  <c r="Q81" i="1"/>
  <c r="F336" i="1"/>
  <c r="V692" i="1"/>
  <c r="M262" i="1"/>
  <c r="V382" i="1"/>
  <c r="I62" i="1"/>
  <c r="C545" i="1"/>
  <c r="M684" i="1"/>
  <c r="H496" i="1"/>
  <c r="L78" i="1"/>
  <c r="T481" i="1"/>
  <c r="F393" i="1"/>
  <c r="U64" i="1"/>
  <c r="A31" i="1"/>
  <c r="M172" i="1"/>
  <c r="M539" i="1"/>
  <c r="C106" i="1"/>
  <c r="M229" i="1"/>
  <c r="R249" i="1"/>
  <c r="P81" i="1"/>
  <c r="T272" i="1"/>
  <c r="I21" i="1"/>
  <c r="I258" i="1"/>
  <c r="G458" i="1"/>
  <c r="M53" i="1"/>
  <c r="K285" i="1"/>
  <c r="T71" i="1"/>
  <c r="T215" i="1"/>
  <c r="P157" i="1"/>
  <c r="S774" i="1"/>
  <c r="U68" i="1"/>
  <c r="S451" i="1"/>
  <c r="F4" i="1"/>
  <c r="J34" i="1"/>
  <c r="V258" i="1"/>
  <c r="U181" i="1"/>
  <c r="Q480" i="1"/>
  <c r="R75" i="1"/>
  <c r="O51" i="1"/>
  <c r="J197" i="1"/>
  <c r="C221" i="1"/>
  <c r="N357" i="1"/>
  <c r="N289" i="1"/>
  <c r="N98" i="1"/>
  <c r="R489" i="1"/>
  <c r="E239" i="1"/>
  <c r="N324" i="1"/>
  <c r="H377" i="1"/>
  <c r="V297" i="1"/>
  <c r="P172" i="1"/>
  <c r="E328" i="1"/>
  <c r="D267" i="1"/>
  <c r="G145" i="1"/>
  <c r="G200" i="1"/>
  <c r="M621" i="1"/>
  <c r="L292" i="1"/>
  <c r="O771" i="1"/>
  <c r="C560" i="1"/>
  <c r="U290" i="1"/>
  <c r="V326" i="1"/>
  <c r="I233" i="1"/>
  <c r="V412" i="1"/>
  <c r="M550" i="1"/>
  <c r="O61" i="1"/>
  <c r="O369" i="1"/>
  <c r="H572" i="1"/>
  <c r="U268" i="1"/>
  <c r="O477" i="1"/>
  <c r="V64" i="1"/>
  <c r="O241" i="1"/>
  <c r="F88" i="1"/>
  <c r="C82" i="1"/>
  <c r="P25" i="1"/>
  <c r="G37" i="1"/>
  <c r="O100" i="1"/>
  <c r="V21" i="1"/>
  <c r="H45" i="1"/>
  <c r="F68" i="1"/>
  <c r="S121" i="1"/>
  <c r="A179" i="1"/>
  <c r="C31" i="1"/>
  <c r="Q291" i="1"/>
  <c r="C198" i="1"/>
  <c r="O142" i="1"/>
  <c r="H198" i="1"/>
  <c r="B191" i="1"/>
  <c r="U557" i="1"/>
  <c r="B327" i="1"/>
  <c r="F257" i="1"/>
  <c r="H167" i="1"/>
  <c r="O439" i="1"/>
  <c r="J198" i="1"/>
  <c r="H608" i="1"/>
  <c r="V549" i="1"/>
  <c r="D123" i="1"/>
  <c r="L42" i="1"/>
  <c r="N528" i="1"/>
  <c r="O31" i="1"/>
  <c r="T328" i="1"/>
  <c r="J407" i="1"/>
  <c r="C402" i="1"/>
  <c r="G360" i="1"/>
  <c r="A68" i="1"/>
  <c r="G425" i="1"/>
  <c r="J12" i="1"/>
  <c r="B481" i="1"/>
  <c r="K120" i="1"/>
  <c r="E473" i="1"/>
  <c r="P263" i="1"/>
  <c r="L321" i="1"/>
  <c r="I79" i="1"/>
  <c r="T161" i="1"/>
  <c r="F124" i="1"/>
  <c r="O613" i="1"/>
  <c r="G136" i="1"/>
  <c r="K252" i="1"/>
  <c r="B69" i="1"/>
  <c r="B627" i="1"/>
  <c r="S493" i="1"/>
  <c r="J462" i="1"/>
  <c r="U409" i="1"/>
  <c r="F109" i="1"/>
  <c r="C154" i="1"/>
  <c r="B242" i="1"/>
  <c r="H51" i="1"/>
  <c r="F401" i="1"/>
  <c r="T234" i="1"/>
  <c r="I129" i="1"/>
  <c r="T534" i="1"/>
  <c r="J374" i="1"/>
  <c r="A281" i="1"/>
  <c r="U81" i="1"/>
  <c r="O260" i="1"/>
  <c r="M12" i="1"/>
  <c r="Q203" i="1"/>
  <c r="B294" i="1"/>
  <c r="I237" i="1"/>
  <c r="E103" i="1"/>
  <c r="I17" i="1"/>
  <c r="T63" i="1"/>
  <c r="M333" i="1"/>
  <c r="K122" i="1"/>
  <c r="G55" i="1"/>
  <c r="V65" i="1"/>
  <c r="K350" i="1"/>
  <c r="B168" i="1"/>
  <c r="R558" i="1"/>
  <c r="F196" i="1"/>
  <c r="B581" i="1"/>
  <c r="C255" i="1"/>
  <c r="K661" i="1"/>
  <c r="E252" i="1"/>
  <c r="J248" i="1"/>
  <c r="P316" i="1"/>
  <c r="L298" i="1"/>
  <c r="C210" i="1"/>
  <c r="H255" i="1"/>
  <c r="B523" i="1"/>
  <c r="E68" i="1"/>
  <c r="B572" i="1"/>
  <c r="J403" i="1"/>
  <c r="F91" i="1"/>
  <c r="F448" i="1"/>
  <c r="Q725" i="1"/>
  <c r="F114" i="1"/>
  <c r="Q197" i="1"/>
  <c r="N178" i="1"/>
  <c r="R471" i="1"/>
  <c r="H260" i="1"/>
  <c r="D271" i="1"/>
  <c r="L217" i="1"/>
  <c r="O649" i="1"/>
  <c r="Q194" i="1"/>
  <c r="Q255" i="1"/>
  <c r="O181" i="1"/>
  <c r="Q607" i="1"/>
  <c r="V18" i="1"/>
  <c r="N521" i="1"/>
  <c r="G79" i="1"/>
  <c r="U686" i="1"/>
  <c r="H370" i="1"/>
  <c r="V266" i="1"/>
  <c r="O364" i="1"/>
  <c r="O325" i="1"/>
  <c r="B196" i="1"/>
  <c r="M23" i="1"/>
  <c r="B23" i="1"/>
  <c r="T423" i="1"/>
  <c r="N4" i="1"/>
  <c r="C408" i="1"/>
  <c r="O12" i="1"/>
  <c r="N602" i="1"/>
  <c r="N584" i="1"/>
  <c r="T392" i="1"/>
  <c r="M152" i="1"/>
  <c r="K220" i="1"/>
  <c r="T184" i="1"/>
  <c r="A521" i="1"/>
  <c r="P666" i="1"/>
  <c r="L74" i="1"/>
  <c r="C107" i="1"/>
  <c r="L137" i="1"/>
  <c r="O94" i="1"/>
  <c r="D503" i="1"/>
  <c r="P362" i="1"/>
  <c r="I7" i="1"/>
  <c r="H109" i="1"/>
  <c r="V523" i="1"/>
  <c r="G604" i="1"/>
  <c r="R73" i="1"/>
  <c r="L568" i="1"/>
  <c r="C37" i="1"/>
  <c r="S413" i="1"/>
  <c r="B100" i="1"/>
  <c r="E329" i="1"/>
  <c r="C66" i="1"/>
  <c r="J192" i="1"/>
  <c r="Q225" i="1"/>
  <c r="N359" i="1"/>
  <c r="L121" i="1"/>
  <c r="F216" i="1"/>
  <c r="V500" i="1"/>
  <c r="E222" i="1"/>
  <c r="U628" i="1"/>
  <c r="K238" i="1"/>
  <c r="C478" i="1"/>
  <c r="D243" i="1"/>
  <c r="R115" i="1"/>
  <c r="J333" i="1"/>
  <c r="R226" i="1"/>
  <c r="K460" i="1"/>
  <c r="Q104" i="1"/>
  <c r="V48" i="1"/>
  <c r="K82" i="1"/>
  <c r="K114" i="1"/>
  <c r="R189" i="1"/>
  <c r="A460" i="1"/>
  <c r="C283" i="1"/>
  <c r="N79" i="1"/>
  <c r="B148" i="1"/>
  <c r="T26" i="1"/>
  <c r="S115" i="1"/>
  <c r="R320" i="1"/>
  <c r="G39" i="1"/>
  <c r="S82" i="1"/>
  <c r="Q322" i="1"/>
  <c r="G19" i="1"/>
  <c r="E621" i="1"/>
  <c r="N372" i="1"/>
  <c r="O634" i="1"/>
  <c r="B366" i="1"/>
  <c r="C220" i="1"/>
  <c r="B649" i="1"/>
  <c r="T345" i="1"/>
  <c r="S341" i="1"/>
  <c r="A307" i="1"/>
  <c r="N48" i="1"/>
  <c r="D555" i="1"/>
  <c r="C362" i="1"/>
  <c r="C73" i="1"/>
  <c r="I481" i="1"/>
  <c r="P18" i="1"/>
  <c r="J621" i="1"/>
  <c r="I576" i="1"/>
  <c r="J488" i="1"/>
  <c r="F545" i="1"/>
  <c r="O184" i="1"/>
  <c r="C263" i="1"/>
  <c r="N339" i="1"/>
  <c r="S303" i="1"/>
  <c r="P11" i="1"/>
  <c r="Q318" i="1"/>
  <c r="B156" i="1"/>
  <c r="D228" i="1"/>
  <c r="O73" i="1"/>
  <c r="D318" i="1"/>
  <c r="H664" i="1"/>
  <c r="T45" i="1"/>
  <c r="K121" i="1"/>
  <c r="V192" i="1"/>
  <c r="K102" i="1"/>
  <c r="N388" i="1"/>
  <c r="I303" i="1"/>
  <c r="N263" i="1"/>
  <c r="T470" i="1"/>
  <c r="V22" i="1"/>
  <c r="G139" i="1"/>
  <c r="F218" i="1"/>
  <c r="G221" i="1"/>
  <c r="N187" i="1"/>
  <c r="S278" i="1"/>
  <c r="D247" i="1"/>
  <c r="U149" i="1"/>
  <c r="V137" i="1"/>
  <c r="E683" i="1"/>
  <c r="K557" i="1"/>
  <c r="Q377" i="1"/>
  <c r="O690" i="1"/>
  <c r="G528" i="1"/>
  <c r="F563" i="1"/>
  <c r="B563" i="1"/>
  <c r="C378" i="1"/>
  <c r="T292" i="1"/>
  <c r="J238" i="1"/>
  <c r="C344" i="1"/>
  <c r="R614" i="1"/>
  <c r="A409" i="1"/>
  <c r="E468" i="1"/>
  <c r="K168" i="1"/>
  <c r="N343" i="1"/>
  <c r="U500" i="1"/>
  <c r="C578" i="1"/>
  <c r="J96" i="1"/>
  <c r="P106" i="1"/>
  <c r="E48" i="1"/>
  <c r="R67" i="1"/>
  <c r="S57" i="1"/>
  <c r="Q34" i="1"/>
  <c r="G57" i="1"/>
  <c r="C3" i="1"/>
  <c r="K302" i="1"/>
  <c r="O328" i="1"/>
  <c r="U219" i="1"/>
  <c r="A429" i="1"/>
  <c r="F84" i="1"/>
  <c r="C468" i="1"/>
  <c r="V651" i="1"/>
  <c r="I78" i="1"/>
  <c r="B91" i="1"/>
  <c r="H314" i="1"/>
  <c r="F66" i="1"/>
  <c r="P504" i="1"/>
  <c r="S366" i="1"/>
  <c r="T105" i="1"/>
  <c r="A320" i="1"/>
  <c r="G121" i="1"/>
  <c r="T51" i="1"/>
  <c r="N66" i="1"/>
  <c r="I202" i="1"/>
  <c r="O144" i="1"/>
  <c r="G462" i="1"/>
  <c r="N524" i="1"/>
  <c r="I397" i="1"/>
  <c r="K622" i="1"/>
  <c r="N227" i="1"/>
  <c r="G50" i="1"/>
  <c r="E70" i="1"/>
  <c r="B165" i="1"/>
  <c r="G432" i="1"/>
  <c r="S116" i="1"/>
  <c r="R276" i="1"/>
  <c r="M137" i="1"/>
  <c r="K59" i="1"/>
  <c r="S332" i="1"/>
  <c r="R331" i="1"/>
  <c r="A12" i="1"/>
  <c r="S58" i="1"/>
  <c r="T168" i="1"/>
  <c r="H553" i="1"/>
  <c r="G504" i="1"/>
  <c r="P393" i="1"/>
  <c r="F174" i="1"/>
  <c r="U406" i="1"/>
  <c r="O289" i="1"/>
  <c r="O22" i="1"/>
  <c r="E300" i="1"/>
  <c r="F62" i="1"/>
  <c r="S485" i="1"/>
  <c r="V203" i="1"/>
  <c r="T167" i="1"/>
  <c r="E436" i="1"/>
  <c r="V268" i="1"/>
  <c r="P292" i="1"/>
  <c r="E287" i="1"/>
  <c r="H290" i="1"/>
  <c r="U308" i="1"/>
  <c r="S53" i="1"/>
  <c r="A430" i="1"/>
  <c r="K346" i="1"/>
  <c r="D45" i="1"/>
  <c r="S94" i="1"/>
  <c r="C287" i="1"/>
  <c r="Q492" i="1"/>
  <c r="B497" i="1"/>
  <c r="B289" i="1"/>
  <c r="A220" i="1"/>
  <c r="Q527" i="1"/>
  <c r="M668" i="1"/>
  <c r="I41" i="1"/>
  <c r="K266" i="1"/>
  <c r="G267" i="1"/>
  <c r="N366" i="1"/>
  <c r="T205" i="1"/>
  <c r="L149" i="1"/>
  <c r="B139" i="1"/>
  <c r="P302" i="1"/>
  <c r="U235" i="1"/>
  <c r="J186" i="1"/>
  <c r="D47" i="1"/>
  <c r="K342" i="1"/>
  <c r="P300" i="1"/>
  <c r="H327" i="1"/>
  <c r="S165" i="1"/>
  <c r="D101" i="1"/>
  <c r="L873" i="1"/>
  <c r="M665" i="1"/>
  <c r="E23" i="1"/>
  <c r="S5" i="1"/>
  <c r="U48" i="1"/>
  <c r="Q25" i="1"/>
  <c r="H274" i="1"/>
  <c r="L75" i="1"/>
  <c r="N346" i="1"/>
  <c r="K153" i="1"/>
  <c r="P228" i="1"/>
  <c r="F104" i="1"/>
  <c r="A493" i="1"/>
  <c r="M500" i="1"/>
  <c r="U73" i="1"/>
  <c r="U139" i="1"/>
  <c r="G573" i="1"/>
  <c r="E650" i="1"/>
  <c r="F696" i="1"/>
  <c r="V98" i="1"/>
  <c r="K608" i="1"/>
  <c r="B261" i="1"/>
  <c r="D395" i="1"/>
  <c r="J257" i="1"/>
  <c r="P364" i="1"/>
  <c r="G376" i="1"/>
  <c r="A81" i="1"/>
  <c r="M331" i="1"/>
  <c r="R191" i="1"/>
  <c r="L40" i="1"/>
  <c r="G88" i="1"/>
  <c r="F300" i="1"/>
  <c r="Q157" i="1"/>
  <c r="E132" i="1"/>
  <c r="V187" i="1"/>
  <c r="K691" i="1"/>
  <c r="R119" i="1"/>
  <c r="A144" i="1"/>
  <c r="R288" i="1"/>
  <c r="N194" i="1"/>
  <c r="L209" i="1"/>
  <c r="E224" i="1"/>
  <c r="P376" i="1"/>
  <c r="T416" i="1"/>
  <c r="R205" i="1"/>
  <c r="S177" i="1"/>
  <c r="P510" i="1"/>
  <c r="T472" i="1"/>
  <c r="F19" i="1"/>
  <c r="T354" i="1"/>
  <c r="L151" i="1"/>
  <c r="J550" i="1"/>
  <c r="B223" i="1"/>
  <c r="F604" i="1"/>
  <c r="M459" i="1"/>
  <c r="A204" i="1"/>
  <c r="C249" i="1"/>
  <c r="H269" i="1"/>
  <c r="O287" i="1"/>
  <c r="D387" i="1"/>
  <c r="N653" i="1"/>
  <c r="F307" i="1"/>
  <c r="I443" i="1"/>
  <c r="B264" i="1"/>
  <c r="K388" i="1"/>
  <c r="F600" i="1"/>
  <c r="I215" i="1"/>
  <c r="V230" i="1"/>
  <c r="S550" i="1"/>
  <c r="T574" i="1"/>
  <c r="A432" i="1"/>
  <c r="L109" i="1"/>
  <c r="N93" i="1"/>
  <c r="D511" i="1"/>
  <c r="F410" i="1"/>
  <c r="O119" i="1"/>
  <c r="Q156" i="1"/>
  <c r="K21" i="1"/>
  <c r="S185" i="1"/>
  <c r="J93" i="1"/>
  <c r="Q161" i="1"/>
  <c r="E104" i="1"/>
  <c r="R627" i="1"/>
  <c r="M66" i="1"/>
  <c r="S119" i="1"/>
  <c r="D285" i="1"/>
  <c r="T451" i="1"/>
  <c r="I287" i="1"/>
  <c r="L392" i="1"/>
  <c r="H190" i="1"/>
  <c r="Q373" i="1"/>
  <c r="R76" i="1"/>
  <c r="L225" i="1"/>
  <c r="L190" i="1"/>
  <c r="I366" i="1"/>
  <c r="D33" i="1"/>
  <c r="D177" i="1"/>
  <c r="L528" i="1"/>
  <c r="C121" i="1"/>
  <c r="R242" i="1"/>
  <c r="H13" i="1"/>
  <c r="N18" i="1"/>
  <c r="P65" i="1"/>
  <c r="G455" i="1"/>
  <c r="U138" i="1"/>
  <c r="N389" i="1"/>
  <c r="E607" i="1"/>
  <c r="P363" i="1"/>
  <c r="C507" i="1"/>
  <c r="C790" i="1"/>
  <c r="A801" i="1"/>
  <c r="O459" i="1"/>
  <c r="I316" i="1"/>
  <c r="O382" i="1"/>
  <c r="K478" i="1"/>
  <c r="T238" i="1"/>
  <c r="Q496" i="1"/>
  <c r="C525" i="1"/>
  <c r="N392" i="1"/>
  <c r="P185" i="1"/>
  <c r="U244" i="1"/>
  <c r="F680" i="1"/>
  <c r="G179" i="1"/>
  <c r="J387" i="1"/>
  <c r="N242" i="1"/>
  <c r="A118" i="1"/>
  <c r="I331" i="1"/>
  <c r="B266" i="1"/>
  <c r="F15" i="1"/>
  <c r="C94" i="1"/>
  <c r="F288" i="1"/>
  <c r="P912" i="1"/>
  <c r="G549" i="1"/>
  <c r="R79" i="1"/>
  <c r="M321" i="1"/>
  <c r="O367" i="1"/>
  <c r="L287" i="1"/>
  <c r="Q476" i="1"/>
  <c r="P297" i="1"/>
  <c r="S25" i="1"/>
  <c r="S180" i="1"/>
  <c r="S878" i="1"/>
  <c r="V168" i="1"/>
  <c r="R481" i="1"/>
  <c r="A49" i="1"/>
  <c r="H395" i="1"/>
  <c r="V434" i="1"/>
  <c r="D114" i="1"/>
  <c r="R294" i="1"/>
  <c r="F20" i="1"/>
  <c r="G448" i="1"/>
  <c r="V9" i="1"/>
  <c r="V227" i="1"/>
  <c r="P423" i="1"/>
  <c r="R20" i="1"/>
  <c r="L61" i="1"/>
  <c r="V681" i="1"/>
  <c r="R646" i="1"/>
  <c r="P438" i="1"/>
  <c r="O92" i="1"/>
  <c r="L91" i="1"/>
  <c r="L310" i="1"/>
  <c r="K129" i="1"/>
  <c r="J288" i="1"/>
  <c r="N165" i="1"/>
  <c r="T646" i="1"/>
  <c r="A58" i="1"/>
  <c r="K186" i="1"/>
  <c r="B340" i="1"/>
  <c r="D407" i="1"/>
  <c r="E345" i="1"/>
  <c r="O255" i="1"/>
  <c r="Q124" i="1"/>
  <c r="J54" i="1"/>
  <c r="L219" i="1"/>
  <c r="C78" i="1"/>
  <c r="K312" i="1"/>
  <c r="J195" i="1"/>
  <c r="U157" i="1"/>
  <c r="U142" i="1"/>
  <c r="K31" i="1"/>
  <c r="R321" i="1"/>
  <c r="L449" i="1"/>
  <c r="M541" i="1"/>
  <c r="O131" i="1"/>
  <c r="E677" i="1"/>
  <c r="T502" i="1"/>
  <c r="I267" i="1"/>
  <c r="S436" i="1"/>
  <c r="B269" i="1"/>
  <c r="C299" i="1"/>
  <c r="L200" i="1"/>
  <c r="C396" i="1"/>
  <c r="A470" i="1"/>
  <c r="K301" i="1"/>
  <c r="P186" i="1"/>
  <c r="V286" i="1"/>
  <c r="E455" i="1"/>
  <c r="I249" i="1"/>
  <c r="T186" i="1"/>
  <c r="B441" i="1"/>
  <c r="O351" i="1"/>
  <c r="C252" i="1"/>
  <c r="H150" i="1"/>
  <c r="Q114" i="1"/>
  <c r="C683" i="1"/>
  <c r="P558" i="1"/>
  <c r="D424" i="1"/>
  <c r="L234" i="1"/>
  <c r="E442" i="1"/>
  <c r="O89" i="1"/>
  <c r="J283" i="1"/>
  <c r="R500" i="1"/>
  <c r="T570" i="1"/>
  <c r="J275" i="1"/>
  <c r="J442" i="1"/>
  <c r="P209" i="1"/>
  <c r="U364" i="1"/>
  <c r="B508" i="1"/>
  <c r="K389" i="1"/>
  <c r="F562" i="1"/>
  <c r="N290" i="1"/>
  <c r="I456" i="1"/>
  <c r="K567" i="1"/>
  <c r="B330" i="1"/>
  <c r="Q564" i="1"/>
  <c r="M27" i="1"/>
  <c r="D6" i="1"/>
  <c r="D748" i="1"/>
  <c r="J360" i="1"/>
  <c r="I389" i="1"/>
  <c r="M339" i="1"/>
  <c r="B387" i="1"/>
  <c r="U113" i="1"/>
  <c r="U833" i="1"/>
  <c r="O662" i="1"/>
  <c r="R657" i="1"/>
  <c r="H455" i="1"/>
  <c r="N545" i="1"/>
  <c r="V299" i="1"/>
  <c r="M281" i="1"/>
  <c r="J131" i="1"/>
  <c r="J71" i="1"/>
  <c r="K357" i="1"/>
  <c r="A496" i="1"/>
  <c r="N381" i="1"/>
  <c r="G534" i="1"/>
  <c r="I405" i="1"/>
  <c r="D227" i="1"/>
  <c r="M510" i="1"/>
  <c r="O220" i="1"/>
  <c r="R155" i="1"/>
  <c r="U362" i="1"/>
  <c r="M287" i="1"/>
  <c r="F425" i="1"/>
  <c r="G831" i="1"/>
  <c r="R222" i="1"/>
  <c r="G202" i="1"/>
  <c r="M227" i="1"/>
  <c r="A285" i="1"/>
  <c r="T141" i="1"/>
  <c r="E241" i="1"/>
  <c r="H65" i="1"/>
  <c r="R163" i="1"/>
  <c r="B24" i="1"/>
  <c r="S512" i="1"/>
  <c r="S466" i="1"/>
  <c r="U159" i="1"/>
  <c r="E209" i="1"/>
  <c r="L30" i="1"/>
  <c r="G16" i="1"/>
  <c r="V135" i="1"/>
  <c r="C293" i="1"/>
  <c r="I638" i="1"/>
  <c r="Q138" i="1"/>
  <c r="A134" i="1"/>
  <c r="T500" i="1"/>
  <c r="B232" i="1"/>
  <c r="C97" i="1"/>
  <c r="I153" i="1"/>
  <c r="E5" i="1"/>
  <c r="P64" i="1"/>
  <c r="R10" i="1"/>
  <c r="M368" i="1"/>
  <c r="K233" i="1"/>
  <c r="T699" i="1"/>
  <c r="T248" i="1"/>
  <c r="O6" i="1"/>
  <c r="O490" i="1"/>
  <c r="G81" i="1"/>
  <c r="C279" i="1"/>
  <c r="H661" i="1"/>
  <c r="C622" i="1"/>
  <c r="R525" i="1"/>
  <c r="T435" i="1"/>
  <c r="U17" i="1"/>
  <c r="P69" i="1"/>
  <c r="A195" i="1"/>
  <c r="F358" i="1"/>
  <c r="B208" i="1"/>
  <c r="O512" i="1"/>
  <c r="C387" i="1"/>
  <c r="U61" i="1"/>
  <c r="Q340" i="1"/>
  <c r="B333" i="1"/>
  <c r="D99" i="1"/>
  <c r="I20" i="1"/>
  <c r="V411" i="1"/>
  <c r="G481" i="1"/>
  <c r="M205" i="1"/>
  <c r="Q478" i="1"/>
  <c r="R26" i="1"/>
  <c r="F294" i="1"/>
  <c r="S378" i="1"/>
  <c r="T64" i="1"/>
  <c r="A640" i="1"/>
  <c r="N153" i="1"/>
  <c r="K162" i="1"/>
  <c r="P183" i="1"/>
  <c r="E63" i="1"/>
  <c r="S46" i="1"/>
  <c r="R35" i="1"/>
  <c r="M192" i="1"/>
  <c r="O147" i="1"/>
  <c r="L838" i="1"/>
  <c r="E56" i="1"/>
  <c r="L172" i="1"/>
  <c r="A313" i="1"/>
  <c r="P361" i="1"/>
  <c r="F161" i="1"/>
  <c r="R283" i="1"/>
  <c r="B71" i="1"/>
  <c r="T399" i="1"/>
  <c r="I273" i="1"/>
  <c r="C475" i="1"/>
  <c r="E226" i="1"/>
  <c r="O246" i="1"/>
  <c r="B29" i="1"/>
  <c r="O428" i="1"/>
  <c r="K440" i="1"/>
  <c r="K351" i="1"/>
  <c r="I239" i="1"/>
  <c r="D104" i="1"/>
  <c r="L136" i="1"/>
  <c r="N144" i="1"/>
  <c r="D201" i="1"/>
  <c r="B77" i="1"/>
  <c r="O216" i="1"/>
  <c r="D232" i="1"/>
  <c r="C102" i="1"/>
  <c r="L436" i="1"/>
  <c r="R102" i="1"/>
  <c r="A265" i="1"/>
  <c r="N174" i="1"/>
  <c r="U306" i="1"/>
  <c r="C619" i="1"/>
  <c r="T298" i="1"/>
  <c r="B565" i="1"/>
  <c r="F321" i="1"/>
  <c r="E294" i="1"/>
  <c r="R236" i="1"/>
  <c r="G142" i="1"/>
  <c r="P267" i="1"/>
  <c r="O205" i="1"/>
  <c r="J564" i="1"/>
  <c r="T448" i="1"/>
  <c r="Q519" i="1"/>
  <c r="G392" i="1"/>
  <c r="D199" i="1"/>
  <c r="S129" i="1"/>
  <c r="U217" i="1"/>
  <c r="U69" i="1"/>
  <c r="O230" i="1"/>
  <c r="D233" i="1"/>
  <c r="V494" i="1"/>
  <c r="K488" i="1"/>
  <c r="T133" i="1"/>
  <c r="T375" i="1"/>
  <c r="H82" i="1"/>
  <c r="J456" i="1"/>
  <c r="N407" i="1"/>
  <c r="E204" i="1"/>
  <c r="G232" i="1"/>
  <c r="M175" i="1"/>
  <c r="A325" i="1"/>
  <c r="D39" i="1"/>
  <c r="R430" i="1"/>
  <c r="E100" i="1"/>
  <c r="P175" i="1"/>
  <c r="H283" i="1"/>
  <c r="V599" i="1"/>
  <c r="I341" i="1"/>
  <c r="R275" i="1"/>
  <c r="U447" i="1"/>
  <c r="P141" i="1"/>
  <c r="F273" i="1"/>
  <c r="E51" i="1"/>
  <c r="S370" i="1"/>
  <c r="V11" i="1"/>
  <c r="M233" i="1"/>
  <c r="F214" i="1"/>
  <c r="T603" i="1"/>
  <c r="A404" i="1"/>
  <c r="O14" i="1"/>
  <c r="M204" i="1"/>
  <c r="J137" i="1"/>
  <c r="H487" i="1"/>
  <c r="L461" i="1"/>
  <c r="D308" i="1"/>
  <c r="I111" i="1"/>
  <c r="A256" i="1"/>
  <c r="J552" i="1"/>
  <c r="B119" i="1"/>
  <c r="C259" i="1"/>
  <c r="U194" i="1"/>
  <c r="P420" i="1"/>
  <c r="P103" i="1"/>
  <c r="P50" i="1"/>
  <c r="B222" i="1"/>
  <c r="M474" i="1"/>
  <c r="P273" i="1"/>
  <c r="H381" i="1"/>
  <c r="J336" i="1"/>
  <c r="D144" i="1"/>
  <c r="B206" i="1"/>
  <c r="E139" i="1"/>
  <c r="Q135" i="1"/>
  <c r="J507" i="1"/>
  <c r="C314" i="1"/>
  <c r="F315" i="1"/>
  <c r="C450" i="1"/>
  <c r="C570" i="1"/>
  <c r="E476" i="1"/>
  <c r="K163" i="1"/>
  <c r="D189" i="1"/>
  <c r="S145" i="1"/>
  <c r="U79" i="1"/>
  <c r="F167" i="1"/>
  <c r="A213" i="1"/>
  <c r="U305" i="1"/>
  <c r="E126" i="1"/>
  <c r="I203" i="1"/>
  <c r="G112" i="1"/>
  <c r="I530" i="1"/>
  <c r="J439" i="1"/>
  <c r="C250" i="1"/>
  <c r="I385" i="1"/>
  <c r="T73" i="1"/>
  <c r="I235" i="1"/>
  <c r="N24" i="1"/>
  <c r="N432" i="1"/>
  <c r="V240" i="1"/>
  <c r="C230" i="1"/>
  <c r="M140" i="1"/>
  <c r="K161" i="1"/>
  <c r="G263" i="1"/>
  <c r="H835" i="1"/>
  <c r="D529" i="1"/>
  <c r="E216" i="1"/>
  <c r="S154" i="1"/>
  <c r="I327" i="1"/>
  <c r="B65" i="1"/>
  <c r="B491" i="1"/>
  <c r="U121" i="1"/>
  <c r="N224" i="1"/>
  <c r="V281" i="1"/>
  <c r="E199" i="1"/>
  <c r="G418" i="1"/>
  <c r="G5" i="1"/>
  <c r="K133" i="1"/>
  <c r="S147" i="1"/>
  <c r="K20" i="1"/>
  <c r="L627" i="1"/>
  <c r="V129" i="1"/>
  <c r="D12" i="1"/>
  <c r="L770" i="1"/>
  <c r="J417" i="1"/>
  <c r="J51" i="1"/>
  <c r="V132" i="1"/>
  <c r="K109" i="1"/>
  <c r="O74" i="1"/>
  <c r="G356" i="1"/>
  <c r="S143" i="1"/>
  <c r="J25" i="1"/>
  <c r="E483" i="1"/>
  <c r="G31" i="1"/>
  <c r="Q667" i="1"/>
  <c r="A729" i="1"/>
  <c r="L261" i="1"/>
  <c r="H17" i="1"/>
  <c r="L70" i="1"/>
  <c r="L462" i="1"/>
  <c r="K41" i="1"/>
  <c r="G97" i="1"/>
  <c r="P46" i="1"/>
  <c r="K117" i="1"/>
  <c r="O46" i="1"/>
  <c r="H148" i="1"/>
  <c r="M51" i="1"/>
  <c r="J118" i="1"/>
  <c r="O202" i="1"/>
  <c r="T155" i="1"/>
  <c r="R45" i="1"/>
  <c r="H187" i="1"/>
  <c r="E237" i="1"/>
  <c r="N113" i="1"/>
  <c r="P357" i="1"/>
  <c r="U329" i="1"/>
  <c r="S276" i="1"/>
  <c r="S433" i="1"/>
  <c r="K551" i="1"/>
  <c r="N688" i="1"/>
  <c r="V276" i="1"/>
  <c r="H72" i="1"/>
  <c r="T294" i="1"/>
  <c r="B198" i="1"/>
  <c r="I221" i="1"/>
  <c r="A408" i="1"/>
  <c r="I33" i="1"/>
  <c r="L551" i="1"/>
  <c r="V229" i="1"/>
  <c r="A328" i="1"/>
  <c r="T57" i="1"/>
  <c r="T342" i="1"/>
  <c r="H279" i="1"/>
  <c r="B562" i="1"/>
  <c r="U95" i="1"/>
  <c r="G21" i="1"/>
  <c r="F347" i="1"/>
  <c r="S428" i="1"/>
  <c r="P225" i="1"/>
  <c r="J277" i="1"/>
  <c r="C579" i="1"/>
  <c r="P71" i="1"/>
  <c r="F339" i="1"/>
  <c r="I139" i="1"/>
  <c r="H417" i="1"/>
  <c r="S575" i="1"/>
  <c r="M360" i="1"/>
  <c r="A146" i="1"/>
  <c r="A218" i="1"/>
  <c r="E189" i="1"/>
  <c r="U183" i="1"/>
  <c r="P80" i="1"/>
  <c r="K272" i="1"/>
  <c r="S605" i="1"/>
  <c r="N57" i="1"/>
  <c r="T528" i="1"/>
  <c r="G271" i="1"/>
  <c r="R194" i="1"/>
  <c r="H359" i="1"/>
  <c r="O329" i="1"/>
  <c r="P194" i="1"/>
  <c r="L5" i="1"/>
  <c r="N434" i="1"/>
  <c r="R12" i="1"/>
  <c r="V446" i="1"/>
  <c r="J143" i="1"/>
  <c r="D52" i="1"/>
  <c r="F140" i="1"/>
  <c r="I108" i="1"/>
  <c r="D458" i="1"/>
  <c r="A232" i="1"/>
  <c r="H155" i="1"/>
  <c r="A51" i="1"/>
  <c r="B468" i="1"/>
  <c r="F437" i="1"/>
  <c r="H95" i="1"/>
  <c r="K279" i="1"/>
  <c r="E275" i="1"/>
  <c r="R324" i="1"/>
  <c r="L57" i="1"/>
  <c r="B95" i="1"/>
  <c r="A833" i="1"/>
  <c r="A615" i="1"/>
  <c r="C369" i="1"/>
  <c r="T386" i="1"/>
  <c r="G414" i="1"/>
  <c r="K512" i="1"/>
  <c r="E221" i="1"/>
  <c r="R478" i="1"/>
  <c r="M320" i="1"/>
  <c r="B132" i="1"/>
  <c r="L367" i="1"/>
  <c r="E184" i="1"/>
  <c r="O104" i="1"/>
  <c r="I75" i="1"/>
  <c r="D238" i="1"/>
  <c r="M283" i="1"/>
  <c r="R431" i="1"/>
  <c r="M371" i="1"/>
  <c r="H59" i="1"/>
  <c r="Q330" i="1"/>
  <c r="G95" i="1"/>
  <c r="C209" i="1"/>
  <c r="H74" i="1"/>
  <c r="A250" i="1"/>
  <c r="C23" i="1"/>
  <c r="D32" i="1"/>
  <c r="T293" i="1"/>
  <c r="R51" i="1"/>
  <c r="C131" i="1"/>
  <c r="H566" i="1"/>
  <c r="O466" i="1"/>
  <c r="P9" i="1"/>
  <c r="C233" i="1"/>
  <c r="O286" i="1"/>
  <c r="B11" i="1"/>
  <c r="T108" i="1"/>
  <c r="T14" i="1"/>
  <c r="C51" i="1"/>
  <c r="T761" i="1"/>
  <c r="S64" i="1"/>
  <c r="P56" i="1"/>
  <c r="V25" i="1"/>
  <c r="K335" i="1"/>
  <c r="H23" i="1"/>
  <c r="P365" i="1"/>
  <c r="C188" i="1"/>
  <c r="E60" i="1"/>
  <c r="V503" i="1"/>
  <c r="J321" i="1"/>
  <c r="D71" i="1"/>
  <c r="V67" i="1"/>
  <c r="O413" i="1"/>
  <c r="L133" i="1"/>
  <c r="K26" i="1"/>
  <c r="O234" i="1"/>
  <c r="T42" i="1"/>
  <c r="L72" i="1"/>
  <c r="L122" i="1"/>
  <c r="S35" i="1"/>
  <c r="B239" i="1"/>
  <c r="V435" i="1"/>
  <c r="O129" i="1"/>
  <c r="U91" i="1"/>
  <c r="S172" i="1"/>
  <c r="J121" i="1"/>
  <c r="F424" i="1"/>
  <c r="J461" i="1"/>
  <c r="J532" i="1"/>
  <c r="L581" i="1"/>
  <c r="D82" i="1"/>
  <c r="E340" i="1"/>
  <c r="Q7" i="1"/>
  <c r="S231" i="1"/>
  <c r="C224" i="1"/>
  <c r="G320" i="1"/>
  <c r="R159" i="1"/>
  <c r="T193" i="1"/>
  <c r="L95" i="1"/>
  <c r="I50" i="1"/>
  <c r="C48" i="1"/>
  <c r="I375" i="1"/>
  <c r="D241" i="1"/>
  <c r="D5" i="1"/>
  <c r="D215" i="1"/>
  <c r="F354" i="1"/>
  <c r="A400" i="1"/>
  <c r="H502" i="1"/>
  <c r="T221" i="1"/>
  <c r="C384" i="1"/>
  <c r="D526" i="1"/>
  <c r="J208" i="1"/>
  <c r="L334" i="1"/>
  <c r="R98" i="1"/>
  <c r="E105" i="1"/>
  <c r="L255" i="1"/>
  <c r="R503" i="1"/>
  <c r="I281" i="1"/>
  <c r="L180" i="1"/>
  <c r="M91" i="1"/>
  <c r="E74" i="1"/>
  <c r="S325" i="1"/>
  <c r="F287" i="1"/>
  <c r="Q222" i="1"/>
  <c r="P569" i="1"/>
  <c r="D269" i="1"/>
  <c r="A108" i="1"/>
  <c r="C315" i="1"/>
  <c r="R427" i="1"/>
  <c r="P214" i="1"/>
  <c r="T201" i="1"/>
  <c r="E110" i="1"/>
  <c r="S51" i="1"/>
  <c r="V177" i="1"/>
  <c r="F110" i="1"/>
  <c r="T520" i="1"/>
  <c r="O39" i="1"/>
  <c r="K53" i="1"/>
  <c r="K64" i="1"/>
  <c r="A222" i="1"/>
  <c r="F209" i="1"/>
  <c r="Q193" i="1"/>
  <c r="J20" i="1"/>
  <c r="U604" i="1"/>
  <c r="T153" i="1"/>
  <c r="Q364" i="1"/>
  <c r="C593" i="1"/>
  <c r="N20" i="1"/>
  <c r="A162" i="1"/>
  <c r="R161" i="1"/>
  <c r="Q302" i="1"/>
  <c r="K455" i="1"/>
  <c r="S404" i="1"/>
  <c r="S457" i="1"/>
  <c r="J494" i="1"/>
  <c r="P249" i="1"/>
  <c r="K78" i="1"/>
  <c r="E256" i="1"/>
  <c r="L327" i="1"/>
  <c r="A140" i="1"/>
  <c r="L278" i="1"/>
  <c r="M267" i="1"/>
  <c r="M30" i="1"/>
  <c r="P305" i="1"/>
  <c r="M144" i="1"/>
  <c r="J310" i="1"/>
  <c r="K756" i="1"/>
  <c r="J363" i="1"/>
  <c r="A298" i="1"/>
  <c r="H234" i="1"/>
  <c r="S299" i="1"/>
  <c r="B163" i="1"/>
  <c r="N367" i="1"/>
  <c r="C20" i="1"/>
  <c r="U158" i="1"/>
  <c r="D413" i="1"/>
  <c r="M150" i="1"/>
  <c r="N445" i="1"/>
  <c r="Q358" i="1"/>
  <c r="J437" i="1"/>
  <c r="F225" i="1"/>
  <c r="O470" i="1"/>
  <c r="U87" i="1"/>
  <c r="N308" i="1"/>
  <c r="M232" i="1"/>
  <c r="J466" i="1"/>
  <c r="J24" i="1"/>
  <c r="G159" i="1"/>
  <c r="U526" i="1"/>
  <c r="I105" i="1"/>
  <c r="C105" i="1"/>
  <c r="G705" i="1"/>
  <c r="D638" i="1"/>
  <c r="B560" i="1"/>
  <c r="K172" i="1"/>
  <c r="R110" i="1"/>
  <c r="C196" i="1"/>
  <c r="I66" i="1"/>
  <c r="T209" i="1"/>
  <c r="P204" i="1"/>
  <c r="E630" i="1"/>
  <c r="H15" i="1"/>
  <c r="V405" i="1"/>
  <c r="I26" i="1"/>
  <c r="B442" i="1"/>
  <c r="B57" i="1"/>
  <c r="T46" i="1"/>
  <c r="M308" i="1"/>
  <c r="F348" i="1"/>
  <c r="E304" i="1"/>
  <c r="H203" i="1"/>
  <c r="M410" i="1"/>
  <c r="O236" i="1"/>
  <c r="N271" i="1"/>
  <c r="P443" i="1"/>
  <c r="A462" i="1"/>
  <c r="L208" i="1"/>
  <c r="R202" i="1"/>
  <c r="P31" i="1"/>
  <c r="E27" i="1"/>
  <c r="B122" i="1"/>
  <c r="E151" i="1"/>
  <c r="U203" i="1"/>
  <c r="J174" i="1"/>
  <c r="A302" i="1"/>
  <c r="S192" i="1"/>
  <c r="N193" i="1"/>
  <c r="C234" i="1"/>
  <c r="T214" i="1"/>
  <c r="Q112" i="1"/>
  <c r="H366" i="1"/>
  <c r="J667" i="1"/>
  <c r="T78" i="1"/>
  <c r="K209" i="1"/>
  <c r="Q40" i="1"/>
  <c r="A317" i="1"/>
  <c r="F148" i="1"/>
  <c r="N99" i="1"/>
  <c r="M526" i="1"/>
  <c r="D30" i="1"/>
  <c r="D159" i="1"/>
  <c r="O178" i="1"/>
  <c r="D645" i="1"/>
  <c r="G18" i="1"/>
  <c r="S277" i="1"/>
  <c r="R559" i="1"/>
  <c r="A862" i="1"/>
  <c r="K344" i="1"/>
  <c r="K390" i="1"/>
  <c r="U294" i="1"/>
  <c r="N424" i="1"/>
  <c r="H319" i="1"/>
  <c r="O370" i="1"/>
  <c r="G151" i="1"/>
  <c r="V358" i="1"/>
  <c r="Q105" i="1"/>
  <c r="V362" i="1"/>
  <c r="F11" i="1"/>
  <c r="B110" i="1"/>
  <c r="V42" i="1"/>
  <c r="S91" i="1"/>
  <c r="Q116" i="1"/>
  <c r="I110" i="1"/>
  <c r="B285" i="1"/>
  <c r="Q233" i="1"/>
  <c r="Q111" i="1"/>
  <c r="P112" i="1"/>
  <c r="A32" i="1"/>
  <c r="U288" i="1"/>
  <c r="O123" i="1"/>
  <c r="C59" i="1"/>
  <c r="T250" i="1"/>
  <c r="U200" i="1"/>
  <c r="E551" i="1"/>
  <c r="O166" i="1"/>
  <c r="V79" i="1"/>
  <c r="L106" i="1"/>
  <c r="D510" i="1"/>
  <c r="K376" i="1"/>
  <c r="H470" i="1"/>
  <c r="M70" i="1"/>
  <c r="F276" i="1"/>
  <c r="M420" i="1"/>
  <c r="D108" i="1"/>
  <c r="H131" i="1"/>
  <c r="G312" i="1"/>
  <c r="S693" i="1"/>
  <c r="N234" i="1"/>
  <c r="A384" i="1"/>
  <c r="O393" i="1"/>
  <c r="S133" i="1"/>
  <c r="J161" i="1"/>
  <c r="T319" i="1"/>
  <c r="T442" i="1"/>
  <c r="T241" i="1"/>
  <c r="C241" i="1"/>
  <c r="N467" i="1"/>
  <c r="E88" i="1"/>
  <c r="S104" i="1"/>
  <c r="G168" i="1"/>
  <c r="A209" i="1"/>
  <c r="S280" i="1"/>
  <c r="E114" i="1"/>
  <c r="M332" i="1"/>
  <c r="H237" i="1"/>
  <c r="B194" i="1"/>
  <c r="E358" i="1"/>
  <c r="S200" i="1"/>
  <c r="U228" i="1"/>
  <c r="B30" i="1"/>
  <c r="R174" i="1"/>
  <c r="I508" i="1"/>
  <c r="G110" i="1"/>
  <c r="U400" i="1"/>
  <c r="U90" i="1"/>
  <c r="A90" i="1"/>
  <c r="V133" i="1"/>
  <c r="U537" i="1"/>
  <c r="R335" i="1"/>
  <c r="E260" i="1"/>
  <c r="C502" i="1"/>
  <c r="G516" i="1"/>
  <c r="S323" i="1"/>
  <c r="Q220" i="1"/>
  <c r="J308" i="1"/>
  <c r="B317" i="1"/>
  <c r="K336" i="1"/>
  <c r="O497" i="1"/>
  <c r="S106" i="1"/>
  <c r="I4" i="1"/>
  <c r="F129" i="1"/>
  <c r="C281" i="1"/>
  <c r="L382" i="1"/>
  <c r="L445" i="1"/>
  <c r="R271" i="1"/>
  <c r="S142" i="1"/>
  <c r="C285" i="1"/>
  <c r="H181" i="1"/>
  <c r="H360" i="1"/>
  <c r="T162" i="1"/>
  <c r="N33" i="1"/>
  <c r="F502" i="1"/>
  <c r="U251" i="1"/>
  <c r="O65" i="1"/>
  <c r="J206" i="1"/>
  <c r="O207" i="1"/>
  <c r="H18" i="1"/>
  <c r="R210" i="1"/>
  <c r="Q97" i="1"/>
  <c r="V538" i="1"/>
  <c r="U921" i="1"/>
  <c r="R15" i="1"/>
  <c r="K413" i="1"/>
  <c r="G333" i="1"/>
  <c r="R145" i="1"/>
  <c r="O208" i="1"/>
  <c r="D441" i="1"/>
  <c r="A224" i="1"/>
  <c r="A18" i="1"/>
  <c r="Q192" i="1"/>
  <c r="H10" i="1"/>
  <c r="L140" i="1"/>
  <c r="C600" i="1"/>
  <c r="L587" i="1"/>
  <c r="R117" i="1"/>
  <c r="Q518" i="1"/>
  <c r="K391" i="1"/>
  <c r="A242" i="1"/>
  <c r="I334" i="1"/>
  <c r="Q67" i="1"/>
  <c r="E388" i="1"/>
  <c r="U202" i="1"/>
  <c r="L21" i="1"/>
  <c r="A688" i="1"/>
  <c r="C423" i="1"/>
  <c r="I53" i="1"/>
  <c r="L159" i="1"/>
  <c r="C310" i="1"/>
  <c r="M427" i="1"/>
  <c r="S101" i="1"/>
  <c r="J167" i="1"/>
  <c r="F215" i="1"/>
  <c r="Q247" i="1"/>
  <c r="H156" i="1"/>
  <c r="P92" i="1"/>
  <c r="K343" i="1"/>
  <c r="I140" i="1"/>
  <c r="I190" i="1"/>
  <c r="L364" i="1"/>
  <c r="B260" i="1"/>
  <c r="C118" i="1"/>
  <c r="F474" i="1"/>
  <c r="N256" i="1"/>
  <c r="L4" i="1"/>
  <c r="H168" i="1"/>
  <c r="N109" i="1"/>
  <c r="R94" i="1"/>
  <c r="J129" i="1"/>
  <c r="T276" i="1"/>
  <c r="V724" i="1"/>
  <c r="I574" i="1"/>
  <c r="G646" i="1"/>
  <c r="U117" i="1"/>
  <c r="K206" i="1"/>
  <c r="T35" i="1"/>
  <c r="J199" i="1"/>
  <c r="P314" i="1"/>
  <c r="J381" i="1"/>
  <c r="S388" i="1"/>
  <c r="E419" i="1"/>
  <c r="R567" i="1"/>
  <c r="G382" i="1"/>
  <c r="J364" i="1"/>
  <c r="S288" i="1"/>
  <c r="Q257" i="1"/>
  <c r="L101" i="1"/>
  <c r="G174" i="1"/>
  <c r="H325" i="1"/>
  <c r="A217" i="1"/>
  <c r="H512" i="1"/>
  <c r="S71" i="1"/>
  <c r="G579" i="1"/>
  <c r="I279" i="1"/>
  <c r="C625" i="1"/>
  <c r="Q31" i="1"/>
  <c r="L116" i="1"/>
  <c r="K270" i="1"/>
  <c r="D196" i="1"/>
  <c r="S178" i="1"/>
  <c r="D276" i="1"/>
  <c r="B136" i="1"/>
  <c r="S441" i="1"/>
  <c r="J140" i="1"/>
  <c r="K207" i="1"/>
  <c r="I141" i="1"/>
  <c r="L62" i="1"/>
  <c r="C550" i="1"/>
  <c r="C103" i="1"/>
  <c r="L284" i="1"/>
  <c r="S617" i="1"/>
  <c r="T564" i="1"/>
  <c r="S95" i="1"/>
  <c r="D65" i="1"/>
  <c r="F185" i="1"/>
  <c r="M154" i="1"/>
  <c r="V167" i="1"/>
  <c r="D120" i="1"/>
  <c r="M109" i="1"/>
  <c r="D206" i="1"/>
  <c r="S126" i="1"/>
  <c r="L388" i="1"/>
  <c r="M4" i="1"/>
  <c r="B150" i="1"/>
  <c r="A814" i="1"/>
  <c r="P689" i="1"/>
  <c r="J303" i="1"/>
  <c r="B358" i="1"/>
  <c r="K482" i="1"/>
  <c r="U229" i="1"/>
  <c r="J94" i="1"/>
  <c r="M210" i="1"/>
  <c r="I483" i="1"/>
  <c r="M445" i="1"/>
  <c r="L428" i="1"/>
  <c r="Q22" i="1"/>
  <c r="L319" i="1"/>
  <c r="M235" i="1"/>
  <c r="Q28" i="1"/>
  <c r="J213" i="1"/>
  <c r="E22" i="1"/>
  <c r="N56" i="1"/>
  <c r="F365" i="1"/>
  <c r="B319" i="1"/>
  <c r="F74" i="1"/>
  <c r="A155" i="1"/>
  <c r="H215" i="1"/>
  <c r="T341" i="1"/>
  <c r="D515" i="1"/>
  <c r="M61" i="1"/>
  <c r="V269" i="1"/>
  <c r="E136" i="1"/>
  <c r="G292" i="1"/>
  <c r="T135" i="1"/>
  <c r="S156" i="1"/>
  <c r="T257" i="1"/>
  <c r="G52" i="1"/>
  <c r="H175" i="1"/>
  <c r="G62" i="1"/>
  <c r="J524" i="1"/>
  <c r="G133" i="1"/>
  <c r="L271" i="1"/>
  <c r="R198" i="1"/>
  <c r="D604" i="1"/>
  <c r="S353" i="1"/>
  <c r="N105" i="1"/>
  <c r="S275" i="1"/>
  <c r="K101" i="1"/>
  <c r="J14" i="1"/>
  <c r="R200" i="1"/>
  <c r="K284" i="1"/>
  <c r="O588" i="1"/>
  <c r="S102" i="1"/>
  <c r="I305" i="1"/>
  <c r="K330" i="1"/>
  <c r="M401" i="1"/>
  <c r="T462" i="1"/>
  <c r="P178" i="1"/>
  <c r="K58" i="1"/>
  <c r="K24" i="1"/>
  <c r="E557" i="1"/>
  <c r="S187" i="1"/>
  <c r="G602" i="1"/>
  <c r="M111" i="1"/>
  <c r="A147" i="1"/>
  <c r="Q63" i="1"/>
  <c r="G191" i="1"/>
  <c r="G561" i="1"/>
  <c r="J602" i="1"/>
  <c r="M582" i="1"/>
  <c r="F369" i="1"/>
  <c r="U234" i="1"/>
  <c r="B653" i="1"/>
  <c r="V78" i="1"/>
  <c r="O414" i="1"/>
  <c r="Q448" i="1"/>
  <c r="O310" i="1"/>
  <c r="B313" i="1"/>
  <c r="U155" i="1"/>
  <c r="S264" i="1"/>
  <c r="G223" i="1"/>
  <c r="M556" i="1"/>
  <c r="S4" i="1"/>
  <c r="F48" i="1"/>
  <c r="F42" i="1"/>
  <c r="F501" i="1"/>
  <c r="N518" i="1"/>
  <c r="H12" i="1"/>
  <c r="A83" i="1"/>
  <c r="U503" i="1"/>
  <c r="Q311" i="1"/>
  <c r="R47" i="1"/>
  <c r="G22" i="1"/>
  <c r="I142" i="1"/>
  <c r="K273" i="1"/>
  <c r="M542" i="1"/>
  <c r="Q82" i="1"/>
  <c r="A33" i="1"/>
  <c r="G299" i="1"/>
  <c r="N42" i="1"/>
  <c r="H176" i="1"/>
  <c r="C568" i="1"/>
  <c r="N106" i="1"/>
  <c r="E112" i="1"/>
  <c r="P593" i="1"/>
  <c r="R300" i="1"/>
  <c r="D156" i="1"/>
  <c r="P6" i="1"/>
  <c r="M358" i="1"/>
  <c r="D153" i="1"/>
  <c r="E83" i="1"/>
  <c r="L120" i="1"/>
  <c r="C297" i="1"/>
  <c r="M38" i="1"/>
  <c r="U161" i="1"/>
  <c r="M125" i="1"/>
  <c r="T466" i="1"/>
  <c r="V420" i="1"/>
  <c r="E454" i="1"/>
  <c r="T410" i="1"/>
  <c r="U210" i="1"/>
  <c r="J239" i="1"/>
  <c r="C122" i="1"/>
  <c r="C195" i="1"/>
  <c r="A71" i="1"/>
  <c r="D78" i="1"/>
  <c r="N115" i="1"/>
  <c r="B625" i="1"/>
  <c r="T83" i="1"/>
  <c r="B97" i="1"/>
  <c r="Q12" i="1"/>
  <c r="U355" i="1"/>
  <c r="I82" i="1"/>
  <c r="G730" i="1"/>
  <c r="Q286" i="1"/>
  <c r="D83" i="1"/>
  <c r="A468" i="1"/>
  <c r="F53" i="1"/>
  <c r="L268" i="1"/>
  <c r="C222" i="1"/>
  <c r="S138" i="1"/>
  <c r="A286" i="1"/>
  <c r="R138" i="1"/>
  <c r="O387" i="1"/>
  <c r="V66" i="1"/>
  <c r="G91" i="1"/>
  <c r="V232" i="1"/>
  <c r="L56" i="1"/>
  <c r="O42" i="1"/>
  <c r="I194" i="1"/>
  <c r="U187" i="1"/>
  <c r="J240" i="1"/>
  <c r="A97" i="1"/>
  <c r="C95" i="1"/>
  <c r="S271" i="1"/>
  <c r="P329" i="1"/>
  <c r="U322" i="1"/>
  <c r="K51" i="1"/>
  <c r="E152" i="1"/>
  <c r="I516" i="1"/>
  <c r="V249" i="1"/>
  <c r="T82" i="1"/>
  <c r="H120" i="1"/>
  <c r="H276" i="1"/>
  <c r="L160" i="1"/>
  <c r="A230" i="1"/>
  <c r="H16" i="1"/>
  <c r="H123" i="1"/>
  <c r="F475" i="1"/>
  <c r="J384" i="1"/>
  <c r="R6" i="1"/>
  <c r="I137" i="1"/>
  <c r="O117" i="1"/>
  <c r="P437" i="1"/>
  <c r="N217" i="1"/>
  <c r="R262" i="1"/>
  <c r="K218" i="1"/>
  <c r="Q236" i="1"/>
  <c r="S37" i="1"/>
  <c r="U37" i="1"/>
  <c r="H9" i="1"/>
  <c r="R582" i="1"/>
  <c r="L910" i="1"/>
  <c r="F613" i="1"/>
  <c r="N16" i="1"/>
  <c r="K91" i="1"/>
  <c r="S285" i="1"/>
  <c r="H560" i="1"/>
  <c r="Q79" i="1"/>
  <c r="V189" i="1"/>
  <c r="N62" i="1"/>
  <c r="A109" i="1"/>
  <c r="M348" i="1"/>
  <c r="U55" i="1"/>
  <c r="A207" i="1"/>
  <c r="R48" i="1"/>
  <c r="J190" i="1"/>
  <c r="I152" i="1"/>
  <c r="I40" i="1"/>
  <c r="J176" i="1"/>
  <c r="A163" i="1"/>
  <c r="D119" i="1"/>
  <c r="R80" i="1"/>
  <c r="P459" i="1"/>
  <c r="K256" i="1"/>
  <c r="R286" i="1"/>
  <c r="S188" i="1"/>
  <c r="A318" i="1"/>
  <c r="B220" i="1"/>
  <c r="O209" i="1"/>
  <c r="S195" i="1"/>
  <c r="T34" i="1"/>
  <c r="V776" i="1"/>
  <c r="F291" i="1"/>
  <c r="R310" i="1"/>
  <c r="B417" i="1"/>
  <c r="T484" i="1"/>
  <c r="I178" i="1"/>
  <c r="F233" i="1"/>
  <c r="E227" i="1"/>
  <c r="S471" i="1"/>
  <c r="S267" i="1"/>
  <c r="B9" i="1"/>
  <c r="C271" i="1"/>
  <c r="B90" i="1"/>
  <c r="F55" i="1"/>
  <c r="T80" i="1"/>
  <c r="T350" i="1"/>
  <c r="M285" i="1"/>
  <c r="E55" i="1"/>
  <c r="H390" i="1"/>
  <c r="M305" i="1"/>
  <c r="D265" i="1"/>
  <c r="H364" i="1"/>
  <c r="A321" i="1"/>
  <c r="U98" i="1"/>
  <c r="H8" i="1"/>
  <c r="D415" i="1"/>
  <c r="G61" i="1"/>
  <c r="R686" i="1"/>
  <c r="U466" i="1"/>
  <c r="P317" i="1"/>
  <c r="H545" i="1"/>
  <c r="E207" i="1"/>
  <c r="P522" i="1"/>
  <c r="H194" i="1"/>
  <c r="D3" i="1"/>
  <c r="U324" i="1"/>
  <c r="J483" i="1"/>
  <c r="F14" i="1"/>
  <c r="V8" i="1"/>
  <c r="K487" i="1"/>
  <c r="Q145" i="1"/>
  <c r="C16" i="1"/>
  <c r="N87" i="1"/>
  <c r="J613" i="1"/>
  <c r="M330" i="1"/>
  <c r="J173" i="1"/>
  <c r="U27" i="1"/>
  <c r="K8" i="1"/>
  <c r="B48" i="1"/>
  <c r="Q50" i="1"/>
  <c r="K195" i="1"/>
  <c r="U252" i="1"/>
  <c r="I67" i="1"/>
  <c r="O266" i="1"/>
  <c r="J180" i="1"/>
  <c r="H180" i="1"/>
  <c r="F400" i="1"/>
  <c r="N220" i="1"/>
  <c r="L99" i="1"/>
  <c r="V371" i="1"/>
  <c r="E568" i="1"/>
  <c r="L679" i="1"/>
  <c r="J369" i="1"/>
  <c r="U208" i="1"/>
  <c r="V131" i="1"/>
  <c r="V476" i="1"/>
  <c r="T189" i="1"/>
  <c r="H24" i="1"/>
  <c r="D444" i="1"/>
  <c r="A380" i="1"/>
  <c r="S32" i="1"/>
  <c r="S24" i="1"/>
  <c r="D315" i="1"/>
  <c r="H726" i="1"/>
  <c r="U450" i="1"/>
  <c r="O59" i="1"/>
  <c r="E634" i="1"/>
  <c r="K287" i="1"/>
  <c r="J221" i="1"/>
  <c r="D394" i="1"/>
  <c r="K227" i="1"/>
  <c r="K111" i="1"/>
  <c r="M64" i="1"/>
  <c r="I435" i="1"/>
  <c r="G84" i="1"/>
  <c r="K282" i="1"/>
  <c r="P489" i="1"/>
  <c r="D350" i="1"/>
  <c r="M174" i="1"/>
  <c r="O222" i="1"/>
  <c r="J345" i="1"/>
  <c r="V294" i="1"/>
  <c r="N25" i="1"/>
  <c r="K245" i="1"/>
  <c r="K190" i="1"/>
  <c r="R400" i="1"/>
  <c r="S90" i="1"/>
  <c r="L50" i="1"/>
  <c r="D756" i="1"/>
  <c r="T374" i="1"/>
  <c r="G106" i="1"/>
  <c r="J246" i="1"/>
  <c r="V481" i="1"/>
  <c r="P45" i="1"/>
  <c r="V75" i="1"/>
  <c r="A100" i="1"/>
  <c r="K406" i="1"/>
  <c r="E829" i="1"/>
  <c r="L493" i="1"/>
  <c r="N443" i="1"/>
  <c r="K198" i="1"/>
  <c r="L510" i="1"/>
  <c r="A427" i="1"/>
  <c r="O404" i="1"/>
  <c r="G155" i="1"/>
  <c r="B292" i="1"/>
  <c r="A280" i="1"/>
  <c r="M425" i="1"/>
  <c r="S486" i="1"/>
  <c r="P15" i="1"/>
  <c r="C393" i="1"/>
  <c r="T788" i="1"/>
  <c r="N26" i="1"/>
  <c r="N163" i="1"/>
  <c r="P190" i="1"/>
  <c r="Q259" i="1"/>
  <c r="E162" i="1"/>
  <c r="U123" i="1"/>
  <c r="U174" i="1"/>
  <c r="N58" i="1"/>
  <c r="O237" i="1"/>
  <c r="L19" i="1"/>
  <c r="L144" i="1"/>
  <c r="N395" i="1"/>
  <c r="N140" i="1"/>
  <c r="S268" i="1"/>
  <c r="F97" i="1"/>
  <c r="E570" i="1"/>
  <c r="M21" i="1"/>
  <c r="I322" i="1"/>
  <c r="C109" i="1"/>
  <c r="I251" i="1"/>
  <c r="P648" i="1"/>
  <c r="D111" i="1"/>
  <c r="F413" i="1"/>
  <c r="A319" i="1"/>
  <c r="J39" i="1"/>
  <c r="V83" i="1"/>
  <c r="K610" i="1"/>
  <c r="F76" i="1"/>
  <c r="B10" i="1"/>
  <c r="I114" i="1"/>
  <c r="A20" i="1"/>
  <c r="G163" i="1"/>
  <c r="U30" i="1"/>
  <c r="G34" i="1"/>
  <c r="J689" i="1"/>
  <c r="S300" i="1"/>
  <c r="G28" i="1"/>
  <c r="P401" i="1"/>
  <c r="D703" i="1"/>
  <c r="Q495" i="1"/>
  <c r="C313" i="1"/>
  <c r="F606" i="1"/>
  <c r="D240" i="1"/>
  <c r="O331" i="1"/>
  <c r="J316" i="1"/>
  <c r="T353" i="1"/>
  <c r="Q512" i="1"/>
  <c r="F166" i="1"/>
  <c r="V310" i="1"/>
  <c r="K283" i="1"/>
  <c r="P140" i="1"/>
  <c r="Q432" i="1"/>
  <c r="V318" i="1"/>
  <c r="R250" i="1"/>
  <c r="Q488" i="1"/>
  <c r="T132" i="1"/>
  <c r="T17" i="1"/>
  <c r="H272" i="1"/>
  <c r="O423" i="1"/>
  <c r="I148" i="1"/>
  <c r="O403" i="1"/>
  <c r="C256" i="1"/>
  <c r="I432" i="1"/>
  <c r="J151" i="1"/>
  <c r="N52" i="1"/>
  <c r="G65" i="1"/>
  <c r="I444" i="1"/>
  <c r="S109" i="1"/>
  <c r="F270" i="1"/>
  <c r="P120" i="1"/>
  <c r="F138" i="1"/>
  <c r="Q305" i="1"/>
  <c r="V207" i="1"/>
  <c r="F350" i="1"/>
  <c r="D68" i="1"/>
  <c r="C116" i="1"/>
  <c r="P58" i="1"/>
  <c r="D129" i="1"/>
  <c r="K94" i="1"/>
  <c r="G321" i="1"/>
  <c r="P381" i="1"/>
  <c r="A276" i="1"/>
  <c r="F564" i="1"/>
  <c r="D291" i="1"/>
  <c r="O84" i="1"/>
  <c r="T244" i="1"/>
  <c r="D105" i="1"/>
  <c r="J160" i="1"/>
  <c r="N142" i="1"/>
  <c r="R175" i="1"/>
  <c r="J119" i="1"/>
  <c r="H667" i="1"/>
  <c r="J591" i="1"/>
  <c r="P137" i="1"/>
  <c r="J45" i="1"/>
  <c r="I52" i="1"/>
  <c r="T120" i="1"/>
  <c r="L39" i="1"/>
  <c r="U336" i="1"/>
  <c r="K73" i="1"/>
  <c r="I58" i="1"/>
  <c r="I230" i="1"/>
  <c r="G293" i="1"/>
  <c r="L192" i="1"/>
  <c r="O787" i="1"/>
  <c r="R586" i="1"/>
  <c r="T256" i="1"/>
  <c r="E381" i="1"/>
  <c r="S13" i="1"/>
  <c r="S110" i="1"/>
  <c r="P142" i="1"/>
  <c r="U89" i="1"/>
  <c r="V214" i="1"/>
  <c r="B341" i="1"/>
  <c r="T109" i="1"/>
  <c r="Q386" i="1"/>
  <c r="U331" i="1"/>
  <c r="N59" i="1"/>
  <c r="S26" i="1"/>
  <c r="B94" i="1"/>
  <c r="U4" i="1"/>
  <c r="I168" i="1"/>
  <c r="G76" i="1"/>
  <c r="F17" i="1"/>
  <c r="T25" i="1"/>
  <c r="F8" i="1"/>
  <c r="E348" i="1"/>
  <c r="L303" i="1"/>
  <c r="P160" i="1"/>
  <c r="V161" i="1"/>
  <c r="E66" i="1"/>
  <c r="A288" i="1"/>
  <c r="M221" i="1"/>
  <c r="R14" i="1"/>
  <c r="T324" i="1"/>
  <c r="N197" i="1"/>
  <c r="M69" i="1"/>
  <c r="I156" i="1"/>
  <c r="R203" i="1"/>
  <c r="G189" i="1"/>
  <c r="I23" i="1"/>
  <c r="E34" i="1"/>
  <c r="K76" i="1"/>
  <c r="G101" i="1"/>
  <c r="V306" i="1"/>
  <c r="K240" i="1"/>
  <c r="B328" i="1"/>
  <c r="B258" i="1"/>
  <c r="C434" i="1"/>
  <c r="D303" i="1"/>
  <c r="J191" i="1"/>
  <c r="S352" i="1"/>
  <c r="U59" i="1"/>
  <c r="K316" i="1"/>
  <c r="Q144" i="1"/>
  <c r="I167" i="1"/>
  <c r="C375" i="1"/>
  <c r="G192" i="1"/>
  <c r="H250" i="1"/>
  <c r="I414" i="1"/>
  <c r="L513" i="1"/>
  <c r="J755" i="1"/>
  <c r="H173" i="1"/>
  <c r="P280" i="1"/>
  <c r="T183" i="1"/>
  <c r="K550" i="1"/>
  <c r="F187" i="1"/>
  <c r="M46" i="1"/>
  <c r="H439" i="1"/>
  <c r="F134" i="1"/>
  <c r="I352" i="1"/>
  <c r="R89" i="1"/>
  <c r="Q180" i="1"/>
  <c r="F284" i="1"/>
  <c r="E108" i="1"/>
  <c r="P250" i="1"/>
  <c r="A420" i="1"/>
  <c r="I185" i="1"/>
  <c r="N471" i="1"/>
  <c r="R144" i="1"/>
  <c r="M179" i="1"/>
  <c r="T20" i="1"/>
  <c r="S328" i="1"/>
  <c r="P154" i="1"/>
  <c r="J110" i="1"/>
  <c r="G294" i="1"/>
  <c r="Q68" i="1"/>
  <c r="M558" i="1"/>
  <c r="G12" i="1"/>
  <c r="K185" i="1"/>
  <c r="B282" i="1"/>
  <c r="H349" i="1"/>
  <c r="G445" i="1"/>
  <c r="A371" i="1"/>
  <c r="B447" i="1"/>
  <c r="I344" i="1"/>
  <c r="T390" i="1"/>
  <c r="P269" i="1"/>
  <c r="F496" i="1"/>
  <c r="J367" i="1"/>
  <c r="A121" i="1"/>
  <c r="N205" i="1"/>
  <c r="N95" i="1"/>
  <c r="Q18" i="1"/>
  <c r="U275" i="1"/>
  <c r="F198" i="1"/>
  <c r="F102" i="1"/>
  <c r="A338" i="1"/>
  <c r="U248" i="1"/>
  <c r="M240" i="1"/>
  <c r="D404" i="1"/>
  <c r="G220" i="1"/>
  <c r="T19" i="1"/>
  <c r="L431" i="1"/>
  <c r="D210" i="1"/>
  <c r="M57" i="1"/>
  <c r="T807" i="1"/>
  <c r="A608" i="1"/>
  <c r="F450" i="1"/>
  <c r="M230" i="1"/>
  <c r="F206" i="1"/>
  <c r="V470" i="1"/>
  <c r="G183" i="1"/>
  <c r="K142" i="1"/>
  <c r="E356" i="1"/>
  <c r="D568" i="1"/>
  <c r="J125" i="1"/>
  <c r="U6" i="1"/>
  <c r="G47" i="1"/>
  <c r="F61" i="1"/>
  <c r="Q434" i="1"/>
  <c r="U115" i="1"/>
  <c r="K210" i="1"/>
  <c r="O386" i="1"/>
  <c r="C187" i="1"/>
  <c r="D364" i="1"/>
  <c r="P41" i="1"/>
  <c r="N110" i="1"/>
  <c r="S514" i="1"/>
  <c r="H287" i="1"/>
  <c r="Q78" i="1"/>
  <c r="U274" i="1"/>
  <c r="J695" i="1"/>
  <c r="B564" i="1"/>
  <c r="P221" i="1"/>
  <c r="F248" i="1"/>
  <c r="N270" i="1"/>
  <c r="V3" i="1"/>
  <c r="M306" i="1"/>
  <c r="N262" i="1"/>
  <c r="C114" i="1"/>
  <c r="L25" i="1"/>
  <c r="H126" i="1"/>
  <c r="G160" i="1"/>
  <c r="M228" i="1"/>
  <c r="A271" i="1"/>
  <c r="F121" i="1"/>
  <c r="L82" i="1"/>
  <c r="C682" i="1"/>
  <c r="U23" i="1"/>
  <c r="F234" i="1"/>
  <c r="H413" i="1"/>
  <c r="L285" i="1"/>
  <c r="A73" i="1"/>
  <c r="U350" i="1"/>
  <c r="L390" i="1"/>
  <c r="B47" i="1"/>
  <c r="Q299" i="1"/>
  <c r="S534" i="1"/>
  <c r="A247" i="1"/>
  <c r="S59" i="1"/>
  <c r="E727" i="1"/>
  <c r="R153" i="1"/>
  <c r="J65" i="1"/>
  <c r="Q6" i="1"/>
  <c r="H291" i="1"/>
  <c r="D146" i="1"/>
  <c r="I193" i="1"/>
  <c r="O98" i="1"/>
  <c r="A428" i="1"/>
  <c r="C135" i="1"/>
  <c r="H186" i="1"/>
  <c r="I247" i="1"/>
  <c r="O91" i="1"/>
  <c r="O390" i="1"/>
  <c r="A103" i="1"/>
  <c r="J265" i="1"/>
  <c r="H509" i="1"/>
  <c r="T61" i="1"/>
  <c r="H540" i="1"/>
  <c r="D15" i="1"/>
  <c r="G527" i="1"/>
  <c r="T37" i="1"/>
  <c r="E129" i="1"/>
  <c r="N5" i="1"/>
  <c r="P448" i="1"/>
  <c r="V847" i="1"/>
  <c r="G265" i="1"/>
  <c r="T56" i="1"/>
  <c r="B501" i="1"/>
  <c r="J77" i="1"/>
  <c r="S778" i="1"/>
  <c r="V312" i="1"/>
  <c r="D369" i="1"/>
  <c r="P207" i="1"/>
  <c r="L251" i="1"/>
  <c r="N519" i="1"/>
  <c r="S322" i="1"/>
  <c r="O636" i="1"/>
  <c r="H267" i="1"/>
  <c r="N15" i="1"/>
  <c r="P36" i="1"/>
  <c r="C182" i="1"/>
  <c r="D50" i="1"/>
  <c r="V570" i="1"/>
  <c r="O179" i="1"/>
  <c r="Q92" i="1"/>
  <c r="P54" i="1"/>
  <c r="I357" i="1"/>
  <c r="E196" i="1"/>
  <c r="C67" i="1"/>
  <c r="G447" i="1"/>
  <c r="Q51" i="1"/>
  <c r="Q13" i="1"/>
  <c r="C189" i="1"/>
  <c r="V59" i="1"/>
  <c r="R157" i="1"/>
  <c r="R60" i="1"/>
  <c r="M447" i="1"/>
  <c r="E145" i="1"/>
  <c r="G274" i="1"/>
  <c r="C231" i="1"/>
  <c r="E65" i="1"/>
  <c r="E179" i="1"/>
  <c r="L228" i="1"/>
  <c r="U160" i="1"/>
  <c r="J449" i="1"/>
  <c r="K71" i="1"/>
  <c r="G48" i="1"/>
  <c r="Q561" i="1"/>
  <c r="D286" i="1"/>
  <c r="R447" i="1"/>
  <c r="Q191" i="1"/>
  <c r="C288" i="1"/>
  <c r="T28" i="1"/>
  <c r="G25" i="1"/>
  <c r="N245" i="1"/>
  <c r="H488" i="1"/>
  <c r="M630" i="1"/>
  <c r="P445" i="1"/>
  <c r="T318" i="1"/>
  <c r="M94" i="1"/>
  <c r="S563" i="1"/>
  <c r="D363" i="1"/>
  <c r="H644" i="1"/>
  <c r="O78" i="1"/>
  <c r="O138" i="1"/>
  <c r="I345" i="1"/>
  <c r="O764" i="1"/>
  <c r="S712" i="1"/>
  <c r="P433" i="1"/>
  <c r="L707" i="1"/>
  <c r="G485" i="1"/>
  <c r="O185" i="1"/>
  <c r="H252" i="1"/>
  <c r="U223" i="1"/>
  <c r="T550" i="1"/>
  <c r="B486" i="1"/>
  <c r="K45" i="1"/>
  <c r="C291" i="1"/>
  <c r="V175" i="1"/>
  <c r="S326" i="1"/>
  <c r="K11" i="1"/>
  <c r="O165" i="1"/>
  <c r="C160" i="1"/>
  <c r="M14" i="1"/>
  <c r="G15" i="1"/>
  <c r="Q600" i="1"/>
  <c r="A95" i="1"/>
  <c r="P247" i="1"/>
  <c r="I499" i="1"/>
  <c r="I70" i="1"/>
  <c r="I684" i="1"/>
  <c r="L427" i="1"/>
  <c r="A214" i="1"/>
  <c r="S204" i="1"/>
  <c r="S80" i="1"/>
  <c r="Q251" i="1"/>
  <c r="I552" i="1"/>
  <c r="A116" i="1"/>
  <c r="R105" i="1"/>
  <c r="P400" i="1"/>
  <c r="P87" i="1"/>
  <c r="J189" i="1"/>
  <c r="P235" i="1"/>
  <c r="M200" i="1"/>
  <c r="Q381" i="1"/>
  <c r="N61" i="1"/>
  <c r="K9" i="1"/>
  <c r="G186" i="1"/>
  <c r="O354" i="1"/>
  <c r="N511" i="1"/>
  <c r="U192" i="1"/>
  <c r="M319" i="1"/>
  <c r="U233" i="1"/>
  <c r="C14" i="1"/>
  <c r="I218" i="1"/>
  <c r="E6" i="1"/>
  <c r="A130" i="1"/>
  <c r="P26" i="1"/>
  <c r="N236" i="1"/>
  <c r="L592" i="1"/>
  <c r="N104" i="1"/>
  <c r="E42" i="1"/>
  <c r="N207" i="1"/>
  <c r="P7" i="1"/>
  <c r="G239" i="1"/>
  <c r="A192" i="1"/>
  <c r="U216" i="1"/>
  <c r="K147" i="1"/>
  <c r="N23" i="1"/>
  <c r="B248" i="1"/>
  <c r="E180" i="1"/>
  <c r="C307" i="1"/>
  <c r="D728" i="1"/>
  <c r="U593" i="1"/>
  <c r="N309" i="1"/>
  <c r="J644" i="1"/>
  <c r="M120" i="1"/>
  <c r="E117" i="1"/>
  <c r="O70" i="1"/>
  <c r="I240" i="1"/>
  <c r="J262" i="1"/>
  <c r="K241" i="1"/>
  <c r="B462" i="1"/>
  <c r="T612" i="1"/>
  <c r="C201" i="1"/>
  <c r="V84" i="1"/>
  <c r="T382" i="1"/>
  <c r="T275" i="1"/>
  <c r="P226" i="1"/>
  <c r="O583" i="1"/>
  <c r="L377" i="1"/>
  <c r="Q307" i="1"/>
  <c r="G181" i="1"/>
  <c r="S123" i="1"/>
  <c r="U407" i="1"/>
  <c r="A197" i="1"/>
  <c r="L309" i="1"/>
  <c r="E357" i="1"/>
  <c r="U299" i="1"/>
  <c r="S60" i="1"/>
  <c r="P47" i="1"/>
  <c r="F147" i="1"/>
  <c r="M165" i="1"/>
  <c r="A104" i="1"/>
  <c r="O343" i="1"/>
  <c r="T92" i="1"/>
  <c r="T223" i="1"/>
  <c r="U141" i="1"/>
  <c r="O140" i="1"/>
  <c r="N564" i="1"/>
  <c r="A262" i="1"/>
  <c r="O358" i="1"/>
  <c r="E525" i="1"/>
  <c r="J226" i="1"/>
  <c r="P625" i="1"/>
  <c r="B576" i="1"/>
  <c r="S98" i="1"/>
  <c r="R520" i="1"/>
  <c r="I584" i="1"/>
  <c r="F12" i="1"/>
  <c r="I468" i="1"/>
  <c r="J750" i="1"/>
  <c r="N186" i="1"/>
  <c r="O172" i="1"/>
  <c r="T708" i="1"/>
  <c r="O141" i="1"/>
  <c r="V368" i="1"/>
  <c r="K386" i="1"/>
  <c r="U179" i="1"/>
  <c r="H504" i="1"/>
  <c r="C146" i="1"/>
  <c r="A241" i="1"/>
  <c r="P274" i="1"/>
  <c r="B8" i="1"/>
  <c r="J249" i="1"/>
  <c r="B291" i="1"/>
  <c r="M394" i="1"/>
  <c r="E874" i="1"/>
  <c r="C668" i="1"/>
  <c r="U40" i="1"/>
  <c r="B601" i="1"/>
  <c r="D121" i="1"/>
  <c r="O139" i="1"/>
  <c r="K299" i="1"/>
  <c r="O395" i="1"/>
  <c r="C180" i="1"/>
  <c r="L353" i="1"/>
  <c r="L291" i="1"/>
  <c r="R125" i="1"/>
  <c r="E177" i="1"/>
  <c r="C19" i="1"/>
  <c r="J354" i="1"/>
  <c r="G194" i="1"/>
  <c r="U35" i="1"/>
  <c r="M206" i="1"/>
  <c r="L142" i="1"/>
  <c r="B176" i="1"/>
  <c r="K166" i="1"/>
  <c r="E249" i="1"/>
  <c r="K314" i="1"/>
  <c r="J185" i="1"/>
  <c r="L156" i="1"/>
  <c r="D53" i="1"/>
  <c r="O812" i="1"/>
  <c r="Q469" i="1"/>
  <c r="D772" i="1"/>
  <c r="J230" i="1"/>
  <c r="K496" i="1"/>
  <c r="T490" i="1"/>
  <c r="V256" i="1"/>
  <c r="F194" i="1"/>
  <c r="F163" i="1"/>
  <c r="P360" i="1"/>
  <c r="Q96" i="1"/>
  <c r="G289" i="1"/>
  <c r="E137" i="1"/>
  <c r="H63" i="1"/>
  <c r="G362" i="1"/>
  <c r="P174" i="1"/>
  <c r="H570" i="1"/>
  <c r="U279" i="1"/>
  <c r="T146" i="1"/>
  <c r="D198" i="1"/>
  <c r="G538" i="1"/>
  <c r="P98" i="1"/>
  <c r="L432" i="1"/>
  <c r="I183" i="1"/>
  <c r="M142" i="1"/>
  <c r="O475" i="1"/>
  <c r="C262" i="1"/>
  <c r="F415" i="1"/>
  <c r="B15" i="1"/>
  <c r="N195" i="1"/>
  <c r="U262" i="1"/>
  <c r="P403" i="1"/>
  <c r="D409" i="1"/>
  <c r="R398" i="1"/>
  <c r="T179" i="1"/>
  <c r="B82" i="1"/>
  <c r="J305" i="1"/>
  <c r="J418" i="1"/>
  <c r="E157" i="1"/>
  <c r="N83" i="1"/>
  <c r="P354" i="1"/>
  <c r="V300" i="1"/>
  <c r="M148" i="1"/>
  <c r="R264" i="1"/>
  <c r="U395" i="1"/>
  <c r="T303" i="1"/>
  <c r="K165" i="1"/>
  <c r="N136" i="1"/>
  <c r="U195" i="1"/>
  <c r="U99" i="1"/>
  <c r="H118" i="1"/>
  <c r="A316" i="1"/>
  <c r="O36" i="1"/>
  <c r="E94" i="1"/>
  <c r="R564" i="1"/>
  <c r="S614" i="1"/>
  <c r="U812" i="1"/>
  <c r="R699" i="1"/>
  <c r="A165" i="1"/>
  <c r="K234" i="1"/>
  <c r="P200" i="1"/>
  <c r="N72" i="1"/>
  <c r="U599" i="1"/>
  <c r="B64" i="1"/>
  <c r="D171" i="1"/>
  <c r="M106" i="1"/>
  <c r="P405" i="1"/>
  <c r="R29" i="1"/>
  <c r="N148" i="1"/>
  <c r="J353" i="1"/>
  <c r="R382" i="1"/>
  <c r="U592" i="1"/>
  <c r="J92" i="1"/>
  <c r="A472" i="1"/>
  <c r="T460" i="1"/>
  <c r="O193" i="1"/>
  <c r="U250" i="1"/>
  <c r="N639" i="1"/>
  <c r="Q98" i="1"/>
  <c r="P371" i="1"/>
  <c r="G310" i="1"/>
  <c r="F35" i="1"/>
  <c r="N214" i="1"/>
  <c r="S307" i="1"/>
  <c r="S9" i="1"/>
  <c r="H132" i="1"/>
  <c r="M100" i="1"/>
  <c r="L107" i="1"/>
  <c r="L113" i="1"/>
  <c r="J486" i="1"/>
  <c r="T304" i="1"/>
  <c r="Q309" i="1"/>
  <c r="Q456" i="1"/>
  <c r="O56" i="1"/>
  <c r="R424" i="1"/>
  <c r="Q183" i="1"/>
  <c r="O424" i="1"/>
  <c r="M346" i="1"/>
  <c r="U374" i="1"/>
  <c r="N215" i="1"/>
  <c r="T425" i="1"/>
  <c r="K184" i="1"/>
  <c r="F152" i="1"/>
  <c r="H42" i="1"/>
  <c r="N364" i="1"/>
  <c r="I335" i="1"/>
  <c r="U118" i="1"/>
  <c r="J227" i="1"/>
  <c r="D74" i="1"/>
  <c r="L119" i="1"/>
  <c r="C415" i="1"/>
  <c r="O96" i="1"/>
  <c r="C612" i="1"/>
  <c r="B37" i="1"/>
  <c r="T401" i="1"/>
  <c r="M22" i="1"/>
  <c r="U57" i="1"/>
  <c r="I523" i="1"/>
  <c r="S620" i="1"/>
  <c r="K564" i="1"/>
  <c r="V588" i="1"/>
  <c r="K23" i="1"/>
  <c r="J389" i="1"/>
  <c r="G105" i="1"/>
  <c r="F405" i="1"/>
  <c r="P467" i="1"/>
  <c r="I429" i="1"/>
  <c r="B237" i="1"/>
  <c r="U272" i="1"/>
  <c r="J80" i="1"/>
  <c r="E87" i="1"/>
  <c r="T339" i="1"/>
  <c r="L32" i="1"/>
  <c r="O41" i="1"/>
  <c r="N6" i="1"/>
  <c r="O267" i="1"/>
  <c r="U47" i="1"/>
  <c r="P130" i="1"/>
  <c r="P492" i="1"/>
  <c r="R90" i="1"/>
  <c r="K140" i="1"/>
  <c r="P122" i="1"/>
  <c r="H270" i="1"/>
  <c r="Q553" i="1"/>
  <c r="V474" i="1"/>
  <c r="A314" i="1"/>
  <c r="F471" i="1"/>
  <c r="P3" i="1"/>
  <c r="C110" i="1"/>
  <c r="J49" i="1"/>
  <c r="N73" i="1"/>
  <c r="V82" i="1"/>
  <c r="S3" i="1"/>
  <c r="N400" i="1"/>
  <c r="A13" i="1"/>
  <c r="G438" i="1"/>
  <c r="S442" i="1"/>
  <c r="F343" i="1"/>
  <c r="O149" i="1"/>
  <c r="D103" i="1"/>
  <c r="E420" i="1"/>
  <c r="D54" i="1"/>
  <c r="N468" i="1"/>
  <c r="O8" i="1"/>
  <c r="T232" i="1"/>
  <c r="S377" i="1"/>
  <c r="F3" i="1"/>
  <c r="G134" i="1"/>
  <c r="K452" i="1"/>
  <c r="E203" i="1"/>
  <c r="A78" i="1"/>
  <c r="S27" i="1"/>
  <c r="J178" i="1"/>
  <c r="B611" i="1"/>
  <c r="T150" i="1"/>
  <c r="T185" i="1"/>
  <c r="M8" i="1"/>
  <c r="H256" i="1"/>
  <c r="U116" i="1"/>
  <c r="F663" i="1"/>
  <c r="N185" i="1"/>
  <c r="T369" i="1"/>
  <c r="R702" i="1"/>
  <c r="A324" i="1"/>
  <c r="K232" i="1"/>
  <c r="L809" i="1"/>
  <c r="R460" i="1"/>
  <c r="F98" i="1"/>
  <c r="R116" i="1"/>
  <c r="L193" i="1"/>
  <c r="V526" i="1"/>
  <c r="K104" i="1"/>
  <c r="C471" i="1"/>
  <c r="O103" i="1"/>
  <c r="O130" i="1"/>
  <c r="E197" i="1"/>
  <c r="D147" i="1"/>
  <c r="J16" i="1"/>
  <c r="U60" i="1"/>
  <c r="O417" i="1"/>
  <c r="P244" i="1"/>
  <c r="P42" i="1"/>
  <c r="G587" i="1"/>
  <c r="T315" i="1"/>
  <c r="L108" i="1"/>
  <c r="H701" i="1"/>
  <c r="D428" i="1"/>
  <c r="F667" i="1"/>
  <c r="O454" i="1"/>
  <c r="O542" i="1"/>
  <c r="K7" i="1"/>
  <c r="U129" i="1"/>
  <c r="K107" i="1"/>
  <c r="O496" i="1"/>
  <c r="L103" i="1"/>
  <c r="S162" i="1"/>
  <c r="B182" i="1"/>
  <c r="D8" i="1"/>
  <c r="R139" i="1"/>
  <c r="T76" i="1"/>
  <c r="J91" i="1"/>
  <c r="J47" i="1"/>
  <c r="A56" i="1"/>
  <c r="C424" i="1"/>
  <c r="E144" i="1"/>
  <c r="C386" i="1"/>
  <c r="Q367" i="1"/>
  <c r="D149" i="1"/>
  <c r="G6" i="1"/>
  <c r="N154" i="1"/>
  <c r="O278" i="1"/>
  <c r="V100" i="1"/>
  <c r="Q39" i="1"/>
  <c r="D591" i="1"/>
  <c r="R192" i="1"/>
  <c r="M458" i="1"/>
  <c r="D256" i="1"/>
  <c r="U34" i="1"/>
  <c r="A274" i="1"/>
  <c r="M131" i="1"/>
  <c r="A193" i="1"/>
  <c r="Q113" i="1"/>
  <c r="K136" i="1"/>
  <c r="B270" i="1"/>
  <c r="P271" i="1"/>
  <c r="E173" i="1"/>
  <c r="M261" i="1"/>
  <c r="U151" i="1"/>
  <c r="M411" i="1"/>
  <c r="D24" i="1"/>
  <c r="R71" i="1"/>
  <c r="P132" i="1"/>
  <c r="A102" i="1"/>
  <c r="B102" i="1"/>
  <c r="R183" i="1"/>
  <c r="B33" i="1"/>
  <c r="P312" i="1"/>
  <c r="V91" i="1"/>
  <c r="O647" i="1"/>
  <c r="H209" i="1"/>
  <c r="M3" i="1"/>
  <c r="G137" i="1"/>
  <c r="R147" i="1"/>
  <c r="D430" i="1"/>
  <c r="O30" i="1"/>
  <c r="T222" i="1"/>
  <c r="T176" i="1"/>
  <c r="V121" i="1"/>
  <c r="L536" i="1"/>
  <c r="J27" i="1"/>
  <c r="V328" i="1"/>
  <c r="G250" i="1"/>
  <c r="V70" i="1"/>
  <c r="S317" i="1"/>
  <c r="R9" i="1"/>
  <c r="U454" i="1"/>
  <c r="K113" i="1"/>
  <c r="K199" i="1"/>
  <c r="C395" i="1"/>
  <c r="G117" i="1"/>
  <c r="G433" i="1"/>
  <c r="D532" i="1"/>
  <c r="C134" i="1"/>
  <c r="H217" i="1"/>
  <c r="G70" i="1"/>
  <c r="D317" i="1"/>
  <c r="H151" i="1"/>
  <c r="M349" i="1"/>
  <c r="B235" i="1"/>
  <c r="G132" i="1"/>
  <c r="M563" i="1"/>
  <c r="U405" i="1"/>
  <c r="C235" i="1"/>
  <c r="E330" i="1"/>
  <c r="Q484" i="1"/>
  <c r="E163" i="1"/>
  <c r="C456" i="1"/>
  <c r="E343" i="1"/>
  <c r="C130" i="1"/>
  <c r="L17" i="1"/>
  <c r="P20" i="1"/>
  <c r="A182" i="1"/>
  <c r="V493" i="1"/>
  <c r="T418" i="1"/>
  <c r="E26" i="1"/>
  <c r="M58" i="1"/>
  <c r="Q444" i="1"/>
  <c r="E160" i="1"/>
  <c r="H41" i="1"/>
  <c r="P27" i="1"/>
  <c r="I324" i="1"/>
  <c r="K704" i="1"/>
  <c r="E81" i="1"/>
  <c r="N213" i="1"/>
  <c r="H29" i="1"/>
  <c r="L807" i="1"/>
  <c r="V63" i="1"/>
  <c r="C318" i="1"/>
  <c r="S70" i="1"/>
  <c r="A611" i="1"/>
  <c r="M605" i="1"/>
  <c r="T373" i="1"/>
  <c r="C428" i="1"/>
  <c r="Q184" i="1"/>
  <c r="R252" i="1"/>
  <c r="S469" i="1"/>
  <c r="O536" i="1"/>
  <c r="I27" i="1"/>
  <c r="N279" i="1"/>
  <c r="C150" i="1"/>
  <c r="H130" i="1"/>
  <c r="P153" i="1"/>
  <c r="G129" i="1"/>
  <c r="I544" i="1"/>
  <c r="Q106" i="1"/>
  <c r="A14" i="1"/>
  <c r="C248" i="1"/>
  <c r="G316" i="1"/>
  <c r="Q694" i="1"/>
  <c r="C12" i="1"/>
  <c r="C7" i="1"/>
  <c r="Q542" i="1"/>
  <c r="P565" i="1"/>
  <c r="Q450" i="1"/>
  <c r="R508" i="1"/>
  <c r="G546" i="1"/>
  <c r="C445" i="1"/>
  <c r="D306" i="1"/>
  <c r="O200" i="1"/>
  <c r="M592" i="1"/>
  <c r="M475" i="1"/>
  <c r="I103" i="1"/>
  <c r="Q206" i="1"/>
  <c r="G149" i="1"/>
  <c r="U280" i="1"/>
  <c r="H136" i="1"/>
  <c r="I159" i="1"/>
  <c r="E73" i="1"/>
  <c r="R4" i="1"/>
  <c r="V272" i="1"/>
  <c r="H352" i="1"/>
  <c r="B12" i="1"/>
  <c r="C96" i="1"/>
  <c r="R527" i="1"/>
  <c r="A164" i="1"/>
  <c r="N749" i="1"/>
  <c r="G234" i="1"/>
  <c r="J622" i="1"/>
  <c r="O402" i="1"/>
  <c r="T246" i="1"/>
  <c r="F329" i="1"/>
  <c r="S176" i="1"/>
  <c r="F122" i="1"/>
  <c r="A395" i="1"/>
  <c r="G358" i="1"/>
  <c r="L487" i="1"/>
  <c r="L31" i="1"/>
  <c r="H101" i="1"/>
  <c r="A94" i="1"/>
  <c r="E577" i="1"/>
  <c r="C100" i="1"/>
  <c r="F554" i="1"/>
  <c r="D13" i="1"/>
  <c r="D18" i="1"/>
  <c r="N485" i="1"/>
  <c r="N561" i="1"/>
  <c r="V348" i="1"/>
  <c r="I92" i="1"/>
  <c r="M449" i="1"/>
  <c r="F80" i="1"/>
  <c r="D439" i="1"/>
  <c r="B465" i="1"/>
  <c r="V760" i="1"/>
  <c r="Q60" i="1"/>
  <c r="A149" i="1"/>
  <c r="M33" i="1"/>
  <c r="L185" i="1"/>
  <c r="G122" i="1"/>
  <c r="N397" i="1"/>
  <c r="O389" i="1"/>
  <c r="H199" i="1"/>
  <c r="G124" i="1"/>
  <c r="C398" i="1"/>
  <c r="J493" i="1"/>
  <c r="L188" i="1"/>
  <c r="S75" i="1"/>
  <c r="I368" i="1"/>
  <c r="D595" i="1"/>
  <c r="I22" i="1"/>
  <c r="G4" i="1"/>
  <c r="K81" i="1"/>
  <c r="N32" i="1"/>
  <c r="D213" i="1"/>
  <c r="J267" i="1"/>
  <c r="O320" i="1"/>
  <c r="C327" i="1"/>
  <c r="C342" i="1"/>
  <c r="Q400" i="1"/>
  <c r="B304" i="1"/>
  <c r="J156" i="1"/>
  <c r="N616" i="1"/>
  <c r="D94" i="1"/>
  <c r="D261" i="1"/>
  <c r="P164" i="1"/>
  <c r="L243" i="1"/>
  <c r="L282" i="1"/>
  <c r="D556" i="1"/>
  <c r="A93" i="1"/>
  <c r="I24" i="1"/>
  <c r="B204" i="1"/>
  <c r="P49" i="1"/>
  <c r="U14" i="1"/>
  <c r="L15" i="1"/>
  <c r="E194" i="1"/>
  <c r="F50" i="1"/>
  <c r="C165" i="1"/>
  <c r="K131" i="1"/>
  <c r="L168" i="1"/>
  <c r="H143" i="1"/>
  <c r="H231" i="1"/>
  <c r="V314" i="1"/>
  <c r="A443" i="1"/>
  <c r="I37" i="1"/>
  <c r="Q110" i="1"/>
  <c r="E205" i="1"/>
  <c r="F617" i="1"/>
  <c r="O384" i="1"/>
  <c r="V774" i="1"/>
  <c r="Q280" i="1"/>
  <c r="M382" i="1"/>
  <c r="I231" i="1"/>
  <c r="N347" i="1"/>
  <c r="G64" i="1"/>
  <c r="I207" i="1"/>
  <c r="J553" i="1"/>
  <c r="O535" i="1"/>
  <c r="D554" i="1"/>
  <c r="T226" i="1"/>
  <c r="U259" i="1"/>
  <c r="E24" i="1"/>
  <c r="D67" i="1"/>
  <c r="P347" i="1"/>
  <c r="S146" i="1"/>
  <c r="I266" i="1"/>
  <c r="U82" i="1"/>
  <c r="N38" i="1"/>
  <c r="S179" i="1"/>
  <c r="O283" i="1"/>
  <c r="O529" i="1"/>
  <c r="E82" i="1"/>
  <c r="S552" i="1"/>
  <c r="G175" i="1"/>
  <c r="H124" i="1"/>
  <c r="E305" i="1"/>
  <c r="Q77" i="1"/>
  <c r="V37" i="1"/>
  <c r="Q66" i="1"/>
  <c r="C124" i="1"/>
  <c r="M268" i="1"/>
  <c r="J487" i="1"/>
  <c r="T613" i="1"/>
  <c r="O485" i="1"/>
  <c r="B302" i="1"/>
  <c r="D262" i="1"/>
  <c r="C363" i="1"/>
  <c r="N166" i="1"/>
  <c r="K167" i="1"/>
  <c r="A390" i="1"/>
  <c r="T251" i="1"/>
  <c r="E185" i="1"/>
  <c r="E537" i="1"/>
  <c r="M15" i="1"/>
  <c r="R350" i="1"/>
  <c r="A287" i="1"/>
  <c r="C661" i="1"/>
  <c r="T173" i="1"/>
  <c r="L489" i="1"/>
  <c r="F255" i="1"/>
  <c r="N355" i="1"/>
  <c r="F16" i="1"/>
  <c r="U140" i="1"/>
  <c r="I18" i="1"/>
  <c r="T225" i="1"/>
  <c r="F436" i="1"/>
  <c r="I536" i="1"/>
  <c r="Q218" i="1"/>
  <c r="F25" i="1"/>
  <c r="V486" i="1"/>
  <c r="F771" i="1"/>
  <c r="Q619" i="1"/>
  <c r="B373" i="1"/>
  <c r="P72" i="1"/>
  <c r="A175" i="1"/>
  <c r="U459" i="1"/>
  <c r="V484" i="1"/>
  <c r="F157" i="1"/>
  <c r="O661" i="1"/>
  <c r="U297" i="1"/>
  <c r="O60" i="1"/>
  <c r="G42" i="1"/>
  <c r="G366" i="1"/>
  <c r="Q270" i="1"/>
  <c r="V99" i="1"/>
  <c r="J207" i="1"/>
  <c r="A414" i="1"/>
  <c r="A62" i="1"/>
  <c r="J219" i="1"/>
  <c r="K189" i="1"/>
  <c r="O157" i="1"/>
  <c r="C156" i="1"/>
  <c r="C438" i="1"/>
  <c r="Q19" i="1"/>
  <c r="O526" i="1"/>
  <c r="C112" i="1"/>
  <c r="M442" i="1"/>
  <c r="D221" i="1"/>
  <c r="B28" i="1"/>
  <c r="S117" i="1"/>
  <c r="H304" i="1"/>
  <c r="G167" i="1"/>
  <c r="T266" i="1"/>
  <c r="A48" i="1"/>
  <c r="U373" i="1"/>
  <c r="U72" i="1"/>
  <c r="C5" i="1"/>
  <c r="N151" i="1"/>
  <c r="R38" i="1"/>
  <c r="I608" i="1"/>
  <c r="V376" i="1"/>
  <c r="A231" i="1"/>
  <c r="G108" i="1"/>
  <c r="A602" i="1"/>
  <c r="T393" i="1"/>
  <c r="B60" i="1"/>
  <c r="R218" i="1"/>
  <c r="F230" i="1"/>
  <c r="J234" i="1"/>
  <c r="H210" i="1"/>
  <c r="B219" i="1"/>
  <c r="C353" i="1"/>
  <c r="L306" i="1"/>
  <c r="A674" i="1"/>
  <c r="J50" i="1"/>
  <c r="C348" i="1"/>
  <c r="B153" i="1"/>
  <c r="N19" i="1"/>
  <c r="K257" i="1"/>
  <c r="N344" i="1"/>
  <c r="M88" i="1"/>
  <c r="I371" i="1"/>
  <c r="E404" i="1"/>
  <c r="G96" i="1"/>
  <c r="D323" i="1"/>
  <c r="Q120" i="1"/>
  <c r="Q700" i="1"/>
  <c r="S386" i="1"/>
  <c r="N423" i="1"/>
  <c r="V36" i="1"/>
  <c r="P277" i="1"/>
  <c r="O159" i="1"/>
  <c r="S244" i="1"/>
  <c r="E171" i="1"/>
  <c r="C207" i="1"/>
  <c r="D361" i="1"/>
  <c r="M77" i="1"/>
  <c r="I243" i="1"/>
  <c r="V284" i="1"/>
  <c r="S87" i="1"/>
  <c r="C258" i="1"/>
  <c r="C35" i="1"/>
  <c r="A246" i="1"/>
  <c r="T88" i="1"/>
  <c r="U413" i="1"/>
  <c r="S595" i="1"/>
  <c r="F308" i="1"/>
  <c r="S88" i="1"/>
  <c r="S183" i="1"/>
  <c r="U103" i="1"/>
  <c r="I541" i="1"/>
  <c r="H315" i="1"/>
  <c r="K48" i="1"/>
  <c r="B88" i="1"/>
  <c r="M13" i="1"/>
  <c r="D324" i="1"/>
  <c r="F36" i="1"/>
  <c r="Q177" i="1"/>
  <c r="D279" i="1"/>
  <c r="V89" i="1"/>
  <c r="I162" i="1"/>
  <c r="O62" i="1"/>
  <c r="B542" i="1"/>
  <c r="A502" i="1"/>
  <c r="R292" i="1"/>
  <c r="I292" i="1"/>
  <c r="D26" i="1"/>
  <c r="K450" i="1"/>
  <c r="U365" i="1"/>
  <c r="V366" i="1"/>
  <c r="G566" i="1"/>
  <c r="J66" i="1"/>
  <c r="J75" i="1"/>
  <c r="M293" i="1"/>
  <c r="V323" i="1"/>
  <c r="R154" i="1"/>
  <c r="K566" i="1"/>
  <c r="N865" i="1"/>
  <c r="E613" i="1"/>
  <c r="I271" i="1"/>
  <c r="E251" i="1"/>
  <c r="G116" i="1"/>
  <c r="E376" i="1"/>
  <c r="A29" i="1"/>
  <c r="M130" i="1"/>
  <c r="D420" i="1"/>
  <c r="D95" i="1"/>
  <c r="K213" i="1"/>
  <c r="F45" i="1"/>
  <c r="B22" i="1"/>
  <c r="N300" i="1"/>
  <c r="B107" i="1"/>
  <c r="M146" i="1"/>
  <c r="P290" i="1"/>
  <c r="V15" i="1"/>
  <c r="Q344" i="1"/>
  <c r="B214" i="1"/>
  <c r="T158" i="1"/>
  <c r="A541" i="1"/>
  <c r="L178" i="1"/>
  <c r="K118" i="1"/>
  <c r="G177" i="1"/>
  <c r="E361" i="1"/>
  <c r="R227" i="1"/>
  <c r="I255" i="1"/>
  <c r="P519" i="1"/>
  <c r="B830" i="1"/>
  <c r="H138" i="1"/>
  <c r="Q83" i="1"/>
  <c r="P203" i="1"/>
  <c r="I132" i="1"/>
  <c r="C69" i="1"/>
  <c r="N10" i="1"/>
  <c r="I30" i="1"/>
  <c r="F312" i="1"/>
  <c r="M446" i="1"/>
  <c r="S54" i="1"/>
  <c r="S240" i="1"/>
  <c r="Q195" i="1"/>
  <c r="O391" i="1"/>
  <c r="P652" i="1"/>
  <c r="E457" i="1"/>
  <c r="L28" i="1"/>
  <c r="H329" i="1"/>
  <c r="F193" i="1"/>
  <c r="S236" i="1"/>
  <c r="Q406" i="1"/>
  <c r="S415" i="1"/>
  <c r="N64" i="1"/>
  <c r="R166" i="1"/>
  <c r="L559" i="1"/>
  <c r="B226" i="1"/>
  <c r="S137" i="1"/>
  <c r="B259" i="1"/>
  <c r="B561" i="1"/>
  <c r="V396" i="1"/>
  <c r="B42" i="1"/>
  <c r="D301" i="1"/>
  <c r="I206" i="1"/>
  <c r="J101" i="1"/>
  <c r="V123" i="1"/>
  <c r="M56" i="1"/>
  <c r="R64" i="1"/>
  <c r="I658" i="1"/>
  <c r="O53" i="1"/>
  <c r="P67" i="1"/>
  <c r="K148" i="1"/>
  <c r="P148" i="1"/>
  <c r="F113" i="1"/>
  <c r="N145" i="1"/>
  <c r="B68" i="1"/>
  <c r="J266" i="1"/>
  <c r="M190" i="1"/>
  <c r="R238" i="1"/>
  <c r="O447" i="1"/>
  <c r="F402" i="1"/>
  <c r="M276" i="1"/>
  <c r="A290" i="1"/>
  <c r="A25" i="1"/>
  <c r="I364" i="1"/>
  <c r="R121" i="1"/>
  <c r="Q91" i="1"/>
  <c r="C183" i="1"/>
  <c r="M199" i="1"/>
  <c r="G642" i="1"/>
  <c r="U171" i="1"/>
  <c r="P13" i="1"/>
  <c r="O80" i="1"/>
  <c r="P173" i="1"/>
  <c r="J293" i="1"/>
  <c r="T89" i="1"/>
  <c r="Q276" i="1"/>
  <c r="R280" i="1"/>
  <c r="A177" i="1"/>
  <c r="D816" i="1"/>
  <c r="P199" i="1"/>
  <c r="F247" i="1"/>
  <c r="F18" i="1"/>
  <c r="J291" i="1"/>
  <c r="R247" i="1"/>
  <c r="L246" i="1"/>
  <c r="V122" i="1"/>
  <c r="G424" i="1"/>
  <c r="F24" i="1"/>
  <c r="J415" i="1"/>
  <c r="T171" i="1"/>
  <c r="C477" i="1"/>
  <c r="V141" i="1"/>
  <c r="A347" i="1"/>
  <c r="U243" i="1"/>
  <c r="H686" i="1"/>
  <c r="D106" i="1"/>
  <c r="Q24" i="1"/>
  <c r="D222" i="1"/>
  <c r="V373" i="1"/>
  <c r="D417" i="1"/>
  <c r="J168" i="1"/>
  <c r="F228" i="1"/>
  <c r="F532" i="1"/>
  <c r="T199" i="1"/>
  <c r="N251" i="1"/>
  <c r="R27" i="1"/>
  <c r="E378" i="1"/>
  <c r="K535" i="1"/>
  <c r="F246" i="1"/>
  <c r="R502" i="1"/>
  <c r="I216" i="1"/>
  <c r="Q393" i="1"/>
  <c r="V95" i="1"/>
  <c r="O446" i="1"/>
  <c r="K275" i="1"/>
  <c r="S435" i="1"/>
  <c r="I446" i="1"/>
  <c r="R129" i="1"/>
  <c r="O252" i="1"/>
  <c r="N374" i="1"/>
  <c r="V16" i="1"/>
  <c r="F251" i="1"/>
  <c r="J429" i="1"/>
  <c r="O426" i="1"/>
  <c r="N51" i="1"/>
  <c r="B375" i="1"/>
  <c r="I578" i="1"/>
  <c r="P121" i="1"/>
  <c r="V54" i="1"/>
  <c r="P287" i="1"/>
  <c r="I426" i="1"/>
  <c r="N47" i="1"/>
  <c r="G99" i="1"/>
  <c r="B217" i="1"/>
  <c r="D139" i="1"/>
  <c r="O221" i="1"/>
  <c r="D586" i="1"/>
  <c r="K139" i="1"/>
  <c r="B323" i="1"/>
  <c r="Q148" i="1"/>
  <c r="C767" i="1"/>
  <c r="Q21" i="1"/>
  <c r="P412" i="1"/>
  <c r="D470" i="1"/>
  <c r="S38" i="1"/>
  <c r="A229" i="1"/>
  <c r="Q179" i="1"/>
  <c r="A544" i="1"/>
  <c r="H271" i="1"/>
  <c r="D260" i="1"/>
  <c r="K19" i="1"/>
  <c r="A697" i="1"/>
  <c r="K221" i="1"/>
  <c r="T68" i="1"/>
  <c r="G513" i="1"/>
  <c r="V117" i="1"/>
  <c r="S196" i="1"/>
  <c r="G32" i="1"/>
  <c r="S197" i="1"/>
  <c r="A658" i="1"/>
  <c r="C479" i="1"/>
  <c r="G60" i="1"/>
  <c r="Q323" i="1"/>
  <c r="F440" i="1"/>
  <c r="S52" i="1"/>
  <c r="A334" i="1"/>
  <c r="A377" i="1"/>
  <c r="B605" i="1"/>
  <c r="F142" i="1"/>
  <c r="K54" i="1"/>
  <c r="J136" i="1"/>
  <c r="L348" i="1"/>
  <c r="J26" i="1"/>
  <c r="K592" i="1"/>
  <c r="K13" i="1"/>
  <c r="D494" i="1"/>
  <c r="A35" i="1"/>
  <c r="V125" i="1"/>
  <c r="S346" i="1"/>
  <c r="Q89" i="1"/>
  <c r="D250" i="1"/>
  <c r="T235" i="1"/>
  <c r="I314" i="1"/>
  <c r="B227" i="1"/>
  <c r="C13" i="1"/>
  <c r="L54" i="1"/>
  <c r="P182" i="1"/>
  <c r="A106" i="1"/>
  <c r="J82" i="1"/>
  <c r="B4" i="1"/>
  <c r="E76" i="1"/>
  <c r="Q660" i="1"/>
  <c r="K516" i="1"/>
  <c r="M601" i="1"/>
  <c r="N53" i="1"/>
  <c r="L181" i="1"/>
  <c r="N135" i="1"/>
  <c r="D163" i="1"/>
  <c r="H55" i="1"/>
  <c r="L276" i="1"/>
  <c r="G156" i="1"/>
  <c r="H309" i="1"/>
  <c r="P576" i="1"/>
  <c r="G306" i="1"/>
  <c r="F117" i="1"/>
  <c r="A69" i="1"/>
  <c r="P587" i="1"/>
  <c r="L561" i="1"/>
  <c r="Q3" i="1"/>
  <c r="J448" i="1"/>
  <c r="L488" i="1"/>
  <c r="O161" i="1"/>
  <c r="K278" i="1"/>
  <c r="H410" i="1"/>
  <c r="E99" i="1"/>
  <c r="P285" i="1"/>
  <c r="T115" i="1"/>
  <c r="O66" i="1"/>
  <c r="J274" i="1"/>
  <c r="E309" i="1"/>
  <c r="L88" i="1"/>
  <c r="K152" i="1"/>
  <c r="D244" i="1"/>
  <c r="I275" i="1"/>
  <c r="I35" i="1"/>
  <c r="I39" i="1"/>
  <c r="M245" i="1"/>
  <c r="S202" i="1"/>
  <c r="I189" i="1"/>
  <c r="T175" i="1"/>
  <c r="O45" i="1"/>
  <c r="R179" i="1"/>
  <c r="G7" i="1"/>
  <c r="I179" i="1"/>
  <c r="E262" i="1"/>
  <c r="J273" i="1"/>
  <c r="Q158" i="1"/>
  <c r="Q146" i="1"/>
  <c r="T107" i="1"/>
  <c r="G290" i="1"/>
  <c r="L262" i="1"/>
  <c r="M203" i="1"/>
  <c r="G592" i="1"/>
  <c r="N247" i="1"/>
  <c r="M65" i="1"/>
  <c r="Q526" i="1"/>
  <c r="P597" i="1"/>
  <c r="R5" i="1"/>
  <c r="B123" i="1"/>
  <c r="I289" i="1"/>
  <c r="J328" i="1"/>
  <c r="P327" i="1"/>
  <c r="N12" i="1"/>
  <c r="I144" i="1"/>
  <c r="U162" i="1"/>
  <c r="C385" i="1"/>
  <c r="K88" i="1"/>
  <c r="B105" i="1"/>
  <c r="T200" i="1"/>
  <c r="V171" i="1"/>
  <c r="J521" i="1"/>
  <c r="T203" i="1"/>
  <c r="A672" i="1"/>
  <c r="D268" i="1"/>
  <c r="E225" i="1"/>
  <c r="C469" i="1"/>
  <c r="T27" i="1"/>
  <c r="G238" i="1"/>
  <c r="I93" i="1"/>
  <c r="T94" i="1"/>
  <c r="V491" i="1"/>
  <c r="T268" i="1"/>
  <c r="A266" i="1"/>
  <c r="H62" i="1"/>
  <c r="K249" i="1"/>
  <c r="P678" i="1"/>
  <c r="T50" i="1"/>
  <c r="C202" i="1"/>
  <c r="S251" i="1"/>
  <c r="E37" i="1"/>
  <c r="T101" i="1"/>
  <c r="I767" i="1"/>
  <c r="A160" i="1"/>
  <c r="E25" i="1"/>
  <c r="K789" i="1"/>
  <c r="I263" i="1"/>
  <c r="O11" i="1"/>
  <c r="R149" i="1"/>
  <c r="D21" i="1"/>
  <c r="H115" i="1"/>
  <c r="E312" i="1"/>
  <c r="U16" i="1"/>
  <c r="D252" i="1"/>
  <c r="S139" i="1"/>
  <c r="C242" i="1"/>
  <c r="R224" i="1"/>
  <c r="L115" i="1"/>
  <c r="A322" i="1"/>
  <c r="G264" i="1"/>
  <c r="L145" i="1"/>
  <c r="J391" i="1"/>
  <c r="Q76" i="1"/>
  <c r="S33" i="1"/>
  <c r="E350" i="1"/>
  <c r="E58" i="1"/>
  <c r="I83" i="1"/>
  <c r="Q683" i="1"/>
  <c r="P224" i="1"/>
  <c r="F299" i="1"/>
  <c r="G378" i="1"/>
  <c r="M251" i="1"/>
  <c r="T285" i="1"/>
  <c r="V605" i="1"/>
  <c r="D607" i="1"/>
  <c r="L483" i="1"/>
  <c r="D864" i="1"/>
  <c r="R429" i="1"/>
  <c r="V199" i="1"/>
  <c r="A57" i="1"/>
  <c r="S813" i="1"/>
  <c r="Q204" i="1"/>
  <c r="Q201" i="1"/>
  <c r="T41" i="1"/>
  <c r="K56" i="1"/>
  <c r="P4" i="1"/>
  <c r="G58" i="1"/>
  <c r="U54" i="1"/>
  <c r="O198" i="1"/>
  <c r="O173" i="1"/>
  <c r="M600" i="1"/>
  <c r="N17" i="1"/>
  <c r="J100" i="1"/>
  <c r="M47" i="1"/>
  <c r="F376" i="1"/>
  <c r="T157" i="1"/>
  <c r="D426" i="1"/>
  <c r="C152" i="1"/>
  <c r="B530" i="1"/>
  <c r="O453" i="1"/>
  <c r="P283" i="1"/>
  <c r="M74" i="1"/>
  <c r="O410" i="1"/>
  <c r="M39" i="1"/>
  <c r="T233" i="1"/>
  <c r="O468" i="1"/>
  <c r="B93" i="1"/>
  <c r="I326" i="1"/>
  <c r="P123" i="1"/>
  <c r="I48" i="1"/>
  <c r="F243" i="1"/>
  <c r="G165" i="1"/>
  <c r="M141" i="1"/>
  <c r="V339" i="1"/>
  <c r="V38" i="1"/>
  <c r="L146" i="1"/>
  <c r="J59" i="1"/>
  <c r="A498" i="1"/>
  <c r="D597" i="1"/>
  <c r="U281" i="1"/>
  <c r="V289" i="1"/>
  <c r="P166" i="1"/>
  <c r="Q174" i="1"/>
  <c r="E346" i="1"/>
  <c r="S249" i="1"/>
  <c r="H117" i="1"/>
  <c r="C292" i="1"/>
  <c r="J236" i="1"/>
  <c r="J113" i="1"/>
  <c r="G171" i="1"/>
  <c r="F552" i="1"/>
  <c r="P159" i="1"/>
  <c r="K333" i="1"/>
  <c r="O125" i="1"/>
  <c r="S221" i="1"/>
  <c r="V471" i="1"/>
  <c r="O136" i="1"/>
  <c r="L201" i="1"/>
  <c r="L232" i="1"/>
  <c r="R358" i="1"/>
  <c r="R241" i="1"/>
  <c r="L22" i="1"/>
  <c r="L404" i="1"/>
  <c r="S701" i="1"/>
  <c r="A663" i="1"/>
  <c r="H702" i="1"/>
  <c r="C42" i="1"/>
  <c r="G89" i="1"/>
  <c r="F459" i="1"/>
  <c r="D154" i="1"/>
  <c r="Q354" i="1"/>
  <c r="J72" i="1"/>
  <c r="E487" i="1"/>
  <c r="F488" i="1"/>
  <c r="B201" i="1"/>
  <c r="C175" i="1"/>
  <c r="K176" i="1"/>
  <c r="F37" i="1"/>
  <c r="G130" i="1"/>
  <c r="A353" i="1"/>
  <c r="G285" i="1"/>
  <c r="J40" i="1"/>
  <c r="C630" i="1"/>
  <c r="R492" i="1"/>
  <c r="T471" i="1"/>
  <c r="R68" i="1"/>
  <c r="N191" i="1"/>
  <c r="P205" i="1"/>
  <c r="U3" i="1"/>
  <c r="T62" i="1"/>
  <c r="A136" i="1"/>
  <c r="N172" i="1"/>
  <c r="G157" i="1"/>
  <c r="L235" i="1"/>
  <c r="I123" i="1"/>
  <c r="P202" i="1"/>
  <c r="Q147" i="1"/>
  <c r="L129" i="1"/>
  <c r="F111" i="1"/>
  <c r="L175" i="1"/>
  <c r="M102" i="1"/>
  <c r="T284" i="1"/>
  <c r="Q88" i="1"/>
  <c r="G247" i="1"/>
  <c r="U238" i="1"/>
  <c r="D467" i="1"/>
  <c r="A228" i="1"/>
  <c r="F96" i="1"/>
  <c r="K409" i="1"/>
  <c r="C481" i="1"/>
  <c r="U546" i="1"/>
  <c r="O13" i="1"/>
  <c r="A308" i="1"/>
  <c r="T456" i="1"/>
  <c r="P301" i="1"/>
  <c r="Q540" i="1"/>
  <c r="J141" i="1"/>
  <c r="N597" i="1"/>
  <c r="M17" i="1"/>
  <c r="M398" i="1"/>
  <c r="L223" i="1"/>
  <c r="K99" i="1"/>
  <c r="R513" i="1"/>
  <c r="C98" i="1"/>
  <c r="T457" i="1"/>
  <c r="K363" i="1"/>
  <c r="O342" i="1"/>
  <c r="R124" i="1"/>
  <c r="M36" i="1"/>
  <c r="P268" i="1"/>
  <c r="V342" i="1"/>
  <c r="L14" i="1"/>
  <c r="P675" i="1"/>
  <c r="H426" i="1"/>
  <c r="H100" i="1"/>
  <c r="U351" i="1"/>
  <c r="U131" i="1"/>
  <c r="U389" i="1"/>
  <c r="G11" i="1"/>
  <c r="O510" i="1"/>
  <c r="H220" i="1"/>
  <c r="Q365" i="1"/>
  <c r="B352" i="1"/>
  <c r="M153" i="1"/>
  <c r="H64" i="1"/>
  <c r="K97" i="1"/>
  <c r="I94" i="1"/>
  <c r="S30" i="1"/>
  <c r="F342" i="1"/>
  <c r="U468" i="1"/>
  <c r="H142" i="1"/>
  <c r="N288" i="1"/>
  <c r="O180" i="1"/>
  <c r="A37" i="1"/>
  <c r="R499" i="1"/>
  <c r="C177" i="1"/>
  <c r="E293" i="1"/>
  <c r="H129" i="1"/>
  <c r="I398" i="1"/>
  <c r="F675" i="1"/>
  <c r="O19" i="1"/>
  <c r="K489" i="1"/>
  <c r="S395" i="1"/>
  <c r="G237" i="1"/>
  <c r="G94" i="1"/>
  <c r="N599" i="1"/>
  <c r="J18" i="1"/>
  <c r="R327" i="1"/>
  <c r="E240" i="1"/>
  <c r="U232" i="1"/>
  <c r="I101" i="1"/>
  <c r="I201" i="1"/>
  <c r="B103" i="1"/>
  <c r="Q666" i="1"/>
  <c r="H26" i="1"/>
  <c r="J317" i="1"/>
  <c r="P119" i="1"/>
  <c r="C89" i="1"/>
  <c r="C431" i="1"/>
  <c r="I223" i="1"/>
  <c r="F23" i="1"/>
  <c r="J182" i="1"/>
  <c r="J134" i="1"/>
  <c r="L403" i="1"/>
  <c r="A303" i="1"/>
  <c r="M196" i="1"/>
  <c r="T180" i="1"/>
  <c r="U38" i="1"/>
  <c r="I56" i="1"/>
  <c r="J107" i="1"/>
  <c r="N292" i="1"/>
  <c r="O47" i="1"/>
  <c r="R366" i="1"/>
  <c r="U480" i="1"/>
  <c r="G368" i="1"/>
  <c r="S209" i="1"/>
  <c r="S144" i="1"/>
  <c r="T330" i="1"/>
  <c r="O194" i="1"/>
  <c r="I98" i="1"/>
  <c r="N123" i="1"/>
  <c r="B53" i="1"/>
  <c r="S16" i="1"/>
  <c r="K468" i="1"/>
  <c r="F408" i="1"/>
  <c r="Q353" i="1"/>
  <c r="O176" i="1"/>
  <c r="T5" i="1"/>
  <c r="A675" i="1"/>
  <c r="J312" i="1"/>
  <c r="N88" i="1"/>
  <c r="L538" i="1"/>
  <c r="C459" i="1"/>
  <c r="H227" i="1"/>
  <c r="U363" i="1"/>
  <c r="C21" i="1"/>
  <c r="J158" i="1"/>
  <c r="O163" i="1"/>
  <c r="H437" i="1"/>
  <c r="K196" i="1"/>
  <c r="C162" i="1"/>
  <c r="P35" i="1"/>
  <c r="H281" i="1"/>
  <c r="A3" i="1"/>
  <c r="A310" i="1"/>
  <c r="H277" i="1"/>
  <c r="I197" i="1"/>
  <c r="R150" i="1"/>
  <c r="G125" i="1"/>
  <c r="T592" i="1"/>
  <c r="P387" i="1"/>
  <c r="F146" i="1"/>
  <c r="R112" i="1"/>
  <c r="L633" i="1"/>
  <c r="F238" i="1"/>
  <c r="C216" i="1"/>
  <c r="R83" i="1"/>
  <c r="G166" i="1"/>
  <c r="F112" i="1"/>
  <c r="R177" i="1"/>
  <c r="P432" i="1"/>
  <c r="T351" i="1"/>
  <c r="M334" i="1"/>
  <c r="O10" i="1"/>
  <c r="H193" i="1"/>
  <c r="Q509" i="1"/>
  <c r="H178" i="1"/>
  <c r="M352" i="1"/>
  <c r="D223" i="1"/>
  <c r="B138" i="1"/>
  <c r="N248" i="1"/>
  <c r="U97" i="1"/>
  <c r="K173" i="1"/>
  <c r="C60" i="1"/>
  <c r="O307" i="1"/>
  <c r="L258" i="1"/>
  <c r="P116" i="1"/>
  <c r="V51" i="1"/>
  <c r="D373" i="1"/>
  <c r="K231" i="1"/>
  <c r="E585" i="1"/>
  <c r="B70" i="1"/>
  <c r="M87" i="1"/>
  <c r="V197" i="1"/>
  <c r="J149" i="1"/>
  <c r="R93" i="1"/>
  <c r="M110" i="1"/>
  <c r="P441" i="1"/>
  <c r="J362" i="1"/>
  <c r="O27" i="1"/>
  <c r="L90" i="1"/>
  <c r="T91" i="1"/>
  <c r="D141" i="1"/>
  <c r="M359" i="1"/>
  <c r="M11" i="1"/>
  <c r="O276" i="1"/>
  <c r="K157" i="1"/>
  <c r="Q603" i="1"/>
  <c r="G283" i="1"/>
  <c r="I560" i="1"/>
  <c r="G69" i="1"/>
  <c r="V252" i="1"/>
  <c r="A411" i="1"/>
  <c r="I118" i="1"/>
  <c r="T479" i="1"/>
  <c r="O24" i="1"/>
  <c r="A425" i="1"/>
  <c r="E148" i="1"/>
  <c r="B21" i="1"/>
  <c r="V472" i="1"/>
  <c r="G198" i="1"/>
  <c r="U196" i="1"/>
  <c r="S252" i="1"/>
  <c r="O614" i="1"/>
  <c r="U581" i="1"/>
  <c r="E347" i="1"/>
  <c r="I146" i="1"/>
  <c r="E245" i="1"/>
  <c r="S382" i="1"/>
  <c r="T117" i="1"/>
  <c r="Q38" i="1"/>
  <c r="O333" i="1"/>
  <c r="V242" i="1"/>
  <c r="E437" i="1"/>
  <c r="C179" i="1"/>
  <c r="A183" i="1"/>
  <c r="P586" i="1"/>
  <c r="B246" i="1"/>
  <c r="F507" i="1"/>
  <c r="H196" i="1"/>
  <c r="A5" i="1"/>
  <c r="B41" i="1"/>
  <c r="V613" i="1"/>
  <c r="D287" i="1"/>
  <c r="K151" i="1"/>
  <c r="I545" i="1"/>
  <c r="N150" i="1"/>
  <c r="M178" i="1"/>
  <c r="A376" i="1"/>
  <c r="P138" i="1"/>
  <c r="J538" i="1"/>
  <c r="Q173" i="1"/>
  <c r="C217" i="1"/>
  <c r="O113" i="1"/>
  <c r="R167" i="1"/>
  <c r="V579" i="1"/>
  <c r="P257" i="1"/>
  <c r="A258" i="1"/>
  <c r="Q303" i="1"/>
  <c r="J375" i="1"/>
  <c r="C38" i="1"/>
  <c r="R69" i="1"/>
  <c r="S217" i="1"/>
  <c r="S279" i="1"/>
  <c r="S225" i="1"/>
  <c r="C346" i="1"/>
  <c r="E95" i="1"/>
  <c r="U24" i="1"/>
  <c r="Q273" i="1"/>
  <c r="K204" i="1"/>
  <c r="V477" i="1"/>
  <c r="M620" i="1"/>
  <c r="O228" i="1"/>
  <c r="K264" i="1"/>
  <c r="N159" i="1"/>
  <c r="O81" i="1"/>
  <c r="A96" i="1"/>
  <c r="P497" i="1"/>
  <c r="Q262" i="1"/>
  <c r="Q321" i="1"/>
  <c r="O153" i="1"/>
  <c r="R269" i="1"/>
  <c r="P76" i="1"/>
  <c r="G480" i="1"/>
  <c r="H189" i="1"/>
  <c r="Q312" i="1"/>
  <c r="B571" i="1"/>
  <c r="B277" i="1"/>
  <c r="E430" i="1"/>
  <c r="R42" i="1"/>
  <c r="E28" i="1"/>
  <c r="L522" i="1"/>
  <c r="R126" i="1"/>
  <c r="N39" i="1"/>
  <c r="E113" i="1"/>
  <c r="V134" i="1"/>
  <c r="C55" i="1"/>
  <c r="R74" i="1"/>
  <c r="H21" i="1"/>
  <c r="O16" i="1"/>
  <c r="M59" i="1"/>
  <c r="I394" i="1"/>
  <c r="C357" i="1"/>
  <c r="E208" i="1"/>
  <c r="A138" i="1"/>
  <c r="C304" i="1"/>
  <c r="J617" i="1"/>
  <c r="S238" i="1"/>
  <c r="U154" i="1"/>
  <c r="L98" i="1"/>
  <c r="A345" i="1"/>
  <c r="R61" i="1"/>
  <c r="S270" i="1"/>
  <c r="H25" i="1"/>
  <c r="E158" i="1"/>
  <c r="C200" i="1"/>
  <c r="F484" i="1"/>
  <c r="L84" i="1"/>
  <c r="Q71" i="1"/>
  <c r="U112" i="1"/>
  <c r="D832" i="1"/>
  <c r="R182" i="1"/>
  <c r="B113" i="1"/>
  <c r="H57" i="1"/>
  <c r="P21" i="1"/>
  <c r="F30" i="1"/>
  <c r="A455" i="1"/>
  <c r="K126" i="1"/>
  <c r="P90" i="1"/>
  <c r="G327" i="1"/>
  <c r="A495" i="1"/>
  <c r="R158" i="1"/>
  <c r="H80" i="1"/>
  <c r="R364" i="1"/>
  <c r="V217" i="1"/>
  <c r="V218" i="1"/>
  <c r="M60" i="1"/>
  <c r="D214" i="1"/>
  <c r="H321" i="1"/>
  <c r="A166" i="1"/>
  <c r="A203" i="1"/>
  <c r="L73" i="1"/>
  <c r="D536" i="1"/>
  <c r="A486" i="1"/>
  <c r="U736" i="1"/>
  <c r="U534" i="1"/>
  <c r="E285" i="1"/>
  <c r="Q345" i="1"/>
  <c r="I229" i="1"/>
  <c r="B117" i="1"/>
  <c r="A275" i="1"/>
  <c r="L267" i="1"/>
  <c r="T152" i="1"/>
  <c r="U13" i="1"/>
  <c r="K229" i="1"/>
  <c r="N201" i="1"/>
  <c r="R597" i="1"/>
  <c r="R574" i="1"/>
  <c r="D386" i="1"/>
  <c r="J523" i="1"/>
  <c r="D57" i="1"/>
  <c r="A188" i="1"/>
  <c r="J330" i="1"/>
  <c r="R23" i="1"/>
  <c r="T388" i="1"/>
  <c r="O174" i="1"/>
  <c r="C245" i="1"/>
  <c r="F331" i="1"/>
  <c r="R328" i="1"/>
  <c r="S113" i="1"/>
  <c r="M628" i="1"/>
  <c r="K70" i="1"/>
  <c r="E637" i="1"/>
  <c r="M242" i="1"/>
  <c r="J13" i="1"/>
  <c r="N13" i="1"/>
  <c r="A651" i="1"/>
  <c r="C312" i="1"/>
  <c r="O264" i="1"/>
  <c r="P17" i="1"/>
  <c r="M118" i="1"/>
  <c r="A186" i="1"/>
  <c r="T172" i="1"/>
  <c r="B326" i="1"/>
  <c r="G176" i="1"/>
  <c r="U108" i="1"/>
  <c r="K84" i="1"/>
  <c r="E281" i="1"/>
  <c r="P75" i="1"/>
  <c r="J301" i="1"/>
  <c r="L117" i="1"/>
  <c r="B185" i="1"/>
  <c r="U56" i="1"/>
  <c r="V601" i="1"/>
  <c r="G496" i="1"/>
  <c r="I65" i="1"/>
  <c r="V35" i="1"/>
  <c r="O294" i="1"/>
  <c r="U525" i="1"/>
  <c r="Q413" i="1"/>
  <c r="K15" i="1"/>
  <c r="D157" i="1"/>
  <c r="F203" i="1"/>
  <c r="O177" i="1"/>
  <c r="P386" i="1"/>
  <c r="G26" i="1"/>
  <c r="H49" i="1"/>
  <c r="M98" i="1"/>
  <c r="A124" i="1"/>
  <c r="F139" i="1"/>
  <c r="A679" i="1"/>
  <c r="G103" i="1"/>
  <c r="C208" i="1"/>
  <c r="C336" i="1"/>
  <c r="P111" i="1"/>
  <c r="E141" i="1"/>
  <c r="B126" i="1"/>
  <c r="D259" i="1"/>
  <c r="V415" i="1"/>
  <c r="M519" i="1"/>
  <c r="I155" i="1"/>
  <c r="P59" i="1"/>
  <c r="G187" i="1"/>
  <c r="E39" i="1"/>
  <c r="E125" i="1"/>
  <c r="Q32" i="1"/>
  <c r="C22" i="1"/>
  <c r="N436" i="1"/>
  <c r="I306" i="1"/>
  <c r="A173" i="1"/>
  <c r="J690" i="1"/>
  <c r="A60" i="1"/>
  <c r="S226" i="1"/>
  <c r="L265" i="1"/>
  <c r="M104" i="1"/>
  <c r="S330" i="1"/>
  <c r="V164" i="1"/>
  <c r="U198" i="1"/>
  <c r="V210" i="1"/>
  <c r="N37" i="1"/>
  <c r="P33" i="1"/>
  <c r="F75" i="1"/>
  <c r="I265" i="1"/>
  <c r="D246" i="1"/>
  <c r="I84" i="1"/>
  <c r="K194" i="1"/>
  <c r="M226" i="1"/>
  <c r="J562" i="1"/>
  <c r="V120" i="1"/>
  <c r="Q46" i="1"/>
  <c r="G466" i="1"/>
  <c r="P152" i="1"/>
  <c r="V155" i="1"/>
  <c r="N196" i="1"/>
  <c r="K504" i="1"/>
  <c r="P606" i="1"/>
  <c r="K60" i="1"/>
  <c r="T197" i="1"/>
  <c r="S171" i="1"/>
  <c r="I461" i="1"/>
  <c r="N318" i="1"/>
  <c r="G233" i="1"/>
  <c r="U375" i="1"/>
  <c r="U312" i="1"/>
  <c r="K12" i="1"/>
  <c r="I89" i="1"/>
  <c r="F542" i="1"/>
  <c r="B92" i="1"/>
  <c r="O105" i="1"/>
  <c r="E283" i="1"/>
  <c r="T69" i="1"/>
  <c r="H11" i="1"/>
  <c r="K521" i="1"/>
  <c r="T207" i="1"/>
  <c r="F155" i="1"/>
  <c r="B424" i="1"/>
  <c r="J164" i="1"/>
  <c r="C343" i="1"/>
  <c r="J187" i="1"/>
  <c r="H497" i="1"/>
  <c r="M234" i="1"/>
  <c r="D226" i="1"/>
  <c r="S194" i="1"/>
  <c r="U46" i="1"/>
  <c r="J112" i="1"/>
  <c r="V347" i="1"/>
  <c r="Q150" i="1"/>
  <c r="O300" i="1"/>
  <c r="V308" i="1"/>
  <c r="F290" i="1"/>
  <c r="O334" i="1"/>
  <c r="T431" i="1"/>
  <c r="M426" i="1"/>
  <c r="P333" i="1"/>
  <c r="V367" i="1"/>
  <c r="P74" i="1"/>
  <c r="J6" i="1"/>
  <c r="M466" i="1"/>
  <c r="N685" i="1"/>
  <c r="T110" i="1"/>
  <c r="D327" i="1"/>
  <c r="K323" i="1"/>
  <c r="N335" i="1"/>
  <c r="S34" i="1"/>
  <c r="U273" i="1"/>
  <c r="U84" i="1"/>
  <c r="I46" i="1"/>
  <c r="E138" i="1"/>
  <c r="H242" i="1"/>
  <c r="K181" i="1"/>
  <c r="K322" i="1"/>
  <c r="A410" i="1"/>
  <c r="R441" i="1"/>
  <c r="N431" i="1"/>
  <c r="D143" i="1"/>
  <c r="E75" i="1"/>
  <c r="B272" i="1"/>
  <c r="V200" i="1"/>
  <c r="J38" i="1"/>
  <c r="T31" i="1"/>
  <c r="Q596" i="1"/>
  <c r="I262" i="1"/>
  <c r="K398" i="1"/>
  <c r="F407" i="1"/>
  <c r="L34" i="1"/>
  <c r="M16" i="1"/>
  <c r="O29" i="1"/>
  <c r="S408" i="1"/>
  <c r="B187" i="1"/>
  <c r="H718" i="1"/>
  <c r="I8" i="1"/>
  <c r="B111" i="1"/>
  <c r="M469" i="1"/>
  <c r="D185" i="1"/>
  <c r="V111" i="1"/>
  <c r="M362" i="1"/>
  <c r="D166" i="1"/>
  <c r="P73" i="1"/>
  <c r="B104" i="1"/>
  <c r="L184" i="1"/>
  <c r="S475" i="1"/>
  <c r="M83" i="1"/>
  <c r="Q240" i="1"/>
  <c r="O190" i="1"/>
  <c r="E32" i="1"/>
  <c r="B101" i="1"/>
  <c r="D135" i="1"/>
  <c r="Q101" i="1"/>
  <c r="Q119" i="1"/>
  <c r="I440" i="1"/>
  <c r="T138" i="1"/>
  <c r="Q629" i="1"/>
  <c r="K182" i="1"/>
  <c r="Q223" i="1"/>
  <c r="V285" i="1"/>
  <c r="I177" i="1"/>
  <c r="Q528" i="1"/>
  <c r="B224" i="1"/>
  <c r="M34" i="1"/>
  <c r="H67" i="1"/>
  <c r="J397" i="1"/>
  <c r="E638" i="1"/>
  <c r="V400" i="1"/>
  <c r="S537" i="1"/>
  <c r="G251" i="1"/>
  <c r="F282" i="1"/>
  <c r="U439" i="1"/>
  <c r="P223" i="1"/>
  <c r="F302" i="1"/>
  <c r="U204" i="1"/>
  <c r="T74" i="1"/>
  <c r="M317" i="1"/>
  <c r="F210" i="1"/>
  <c r="E783" i="1"/>
  <c r="L299" i="1"/>
  <c r="G209" i="1"/>
  <c r="D42" i="1"/>
  <c r="H447" i="1"/>
  <c r="N22" i="1"/>
  <c r="O238" i="1"/>
  <c r="D80" i="1"/>
  <c r="J88" i="1"/>
  <c r="F72" i="1"/>
  <c r="V437" i="1"/>
  <c r="P55" i="1"/>
  <c r="L13" i="1"/>
  <c r="N189" i="1"/>
  <c r="G54" i="1"/>
  <c r="K25" i="1"/>
  <c r="P113" i="1"/>
  <c r="F718" i="1"/>
  <c r="O530" i="1"/>
  <c r="A335" i="1"/>
  <c r="R186" i="1"/>
  <c r="K707" i="1"/>
  <c r="E339" i="1"/>
  <c r="K230" i="1"/>
  <c r="J311" i="1"/>
  <c r="Q187" i="1"/>
  <c r="R342" i="1"/>
  <c r="E288" i="1"/>
  <c r="B318" i="1"/>
  <c r="P490" i="1"/>
  <c r="V119" i="1"/>
  <c r="V41" i="1"/>
  <c r="H230" i="1"/>
  <c r="S67" i="1"/>
  <c r="V153" i="1"/>
  <c r="Q152" i="1"/>
  <c r="D140" i="1"/>
  <c r="U105" i="1"/>
  <c r="H286" i="1"/>
  <c r="E382" i="1"/>
  <c r="H232" i="1"/>
  <c r="T164" i="1"/>
  <c r="G614" i="1"/>
  <c r="S61" i="1"/>
  <c r="Q304" i="1"/>
  <c r="N396" i="1"/>
  <c r="M90" i="1"/>
  <c r="B192" i="1"/>
  <c r="T419" i="1"/>
  <c r="U330" i="1"/>
  <c r="Q388" i="1"/>
  <c r="F314" i="1"/>
  <c r="K87" i="1"/>
  <c r="R475" i="1"/>
  <c r="E150" i="1"/>
  <c r="J408" i="1"/>
  <c r="F38" i="1"/>
  <c r="E620" i="1"/>
  <c r="V305" i="1"/>
  <c r="L413" i="1"/>
  <c r="V130" i="1"/>
  <c r="B16" i="1"/>
  <c r="A342" i="1"/>
  <c r="P161" i="1"/>
  <c r="C345" i="1"/>
  <c r="V196" i="1"/>
  <c r="V309" i="1"/>
  <c r="K276" i="1"/>
  <c r="N328" i="1"/>
  <c r="E8" i="1"/>
  <c r="F571" i="1"/>
  <c r="F200" i="1"/>
  <c r="U701" i="1"/>
  <c r="N363" i="1"/>
  <c r="P408" i="1"/>
  <c r="H200" i="1"/>
  <c r="V5" i="1"/>
  <c r="V343" i="1"/>
  <c r="L230" i="1"/>
  <c r="P397" i="1"/>
  <c r="T9" i="1"/>
  <c r="M134" i="1"/>
  <c r="F119" i="1"/>
  <c r="B434" i="1"/>
  <c r="O435" i="1"/>
  <c r="A510" i="1"/>
  <c r="R91" i="1"/>
  <c r="T79" i="1"/>
  <c r="I36" i="1"/>
  <c r="R185" i="1"/>
  <c r="C11" i="1"/>
  <c r="B173" i="1"/>
  <c r="P220" i="1"/>
  <c r="G199" i="1"/>
  <c r="T452" i="1"/>
  <c r="U370" i="1"/>
  <c r="T33" i="1"/>
  <c r="P145" i="1"/>
  <c r="S410" i="1"/>
  <c r="G104" i="1"/>
  <c r="Q420" i="1"/>
  <c r="N230" i="1"/>
  <c r="C319" i="1"/>
  <c r="Q108" i="1"/>
  <c r="L48" i="1"/>
  <c r="M280" i="1"/>
  <c r="M71" i="1"/>
  <c r="V344" i="1"/>
  <c r="F418" i="1"/>
  <c r="M198" i="1"/>
  <c r="A132" i="1"/>
  <c r="F416" i="1"/>
  <c r="L471" i="1"/>
  <c r="T130" i="1"/>
  <c r="N223" i="1"/>
  <c r="A16" i="1"/>
  <c r="B26" i="1"/>
  <c r="C501" i="1"/>
  <c r="T102" i="1"/>
  <c r="P40" i="1"/>
  <c r="U177" i="1"/>
  <c r="C75" i="1"/>
  <c r="P568" i="1"/>
  <c r="Q346" i="1"/>
  <c r="T349" i="1"/>
  <c r="S340" i="1"/>
  <c r="M135" i="1"/>
  <c r="P642" i="1"/>
  <c r="V204" i="1"/>
  <c r="G90" i="1"/>
  <c r="E183" i="1"/>
  <c r="S8" i="1"/>
  <c r="E147" i="1"/>
  <c r="H114" i="1"/>
  <c r="T711" i="1"/>
  <c r="R214" i="1"/>
  <c r="C267" i="1"/>
  <c r="Q443" i="1"/>
  <c r="R53" i="1"/>
  <c r="C126" i="1"/>
  <c r="R109" i="1"/>
  <c r="M108" i="1"/>
  <c r="L302" i="1"/>
  <c r="E123" i="1"/>
  <c r="E510" i="1"/>
  <c r="J396" i="1"/>
  <c r="Q256" i="1"/>
  <c r="L366" i="1"/>
  <c r="S222" i="1"/>
  <c r="T366" i="1"/>
  <c r="I228" i="1"/>
  <c r="I6" i="1"/>
  <c r="V288" i="1"/>
  <c r="L161" i="1"/>
  <c r="F482" i="1"/>
  <c r="G14" i="1"/>
  <c r="F125" i="1"/>
  <c r="L640" i="1"/>
  <c r="M164" i="1"/>
  <c r="I68" i="1"/>
  <c r="N126" i="1"/>
  <c r="P97" i="1"/>
  <c r="Q414" i="1"/>
  <c r="Q16" i="1"/>
  <c r="T121" i="1"/>
  <c r="V406" i="1"/>
  <c r="C45" i="1"/>
  <c r="U291" i="1"/>
  <c r="K65" i="1"/>
  <c r="G245" i="1"/>
  <c r="H678" i="1"/>
  <c r="M80" i="1"/>
  <c r="P439" i="1"/>
  <c r="I363" i="1"/>
  <c r="M407" i="1"/>
  <c r="G249" i="1"/>
  <c r="C88" i="1"/>
  <c r="O349" i="1"/>
  <c r="C523" i="1"/>
  <c r="Q117" i="1"/>
  <c r="C247" i="1"/>
  <c r="F516" i="1"/>
  <c r="C33" i="1"/>
  <c r="H345" i="1"/>
  <c r="Q439" i="1"/>
  <c r="I126" i="1"/>
  <c r="Q216" i="1"/>
  <c r="H116" i="1"/>
  <c r="G74" i="1"/>
  <c r="B305" i="1"/>
  <c r="P184" i="1"/>
  <c r="U148" i="1"/>
  <c r="O5" i="1"/>
  <c r="D280" i="1"/>
  <c r="K326" i="1"/>
  <c r="G214" i="1"/>
  <c r="N114" i="1"/>
  <c r="U282" i="1"/>
  <c r="N100" i="1"/>
  <c r="N240" i="1"/>
  <c r="D445" i="1"/>
  <c r="M92" i="1"/>
  <c r="F735" i="1"/>
  <c r="G477" i="1"/>
  <c r="M462" i="1"/>
  <c r="O162" i="1"/>
  <c r="I384" i="1"/>
  <c r="N329" i="1"/>
  <c r="J399" i="1"/>
  <c r="V221" i="1"/>
  <c r="U349" i="1"/>
  <c r="U120" i="1"/>
  <c r="E33" i="1"/>
  <c r="T267" i="1"/>
  <c r="U309" i="1"/>
  <c r="C286" i="1"/>
  <c r="G279" i="1"/>
  <c r="B216" i="1"/>
  <c r="T450" i="1"/>
  <c r="S15" i="1"/>
  <c r="D348" i="1"/>
  <c r="C455" i="1"/>
  <c r="G225" i="1"/>
  <c r="Q59" i="1"/>
  <c r="J23" i="1"/>
  <c r="E370" i="1"/>
  <c r="B45" i="1"/>
  <c r="E485" i="1"/>
  <c r="F526" i="1"/>
  <c r="E182" i="1"/>
  <c r="C173" i="1"/>
  <c r="F363" i="1"/>
  <c r="D79" i="1"/>
  <c r="C80" i="1"/>
  <c r="L519" i="1"/>
  <c r="G226" i="1"/>
  <c r="P62" i="1"/>
  <c r="J163" i="1"/>
  <c r="B287" i="1"/>
  <c r="A779" i="1"/>
  <c r="L143" i="1"/>
  <c r="K90" i="1"/>
  <c r="L176" i="1"/>
  <c r="O227" i="1"/>
  <c r="N241" i="1"/>
  <c r="T52" i="1"/>
  <c r="L259" i="1"/>
  <c r="C617" i="1"/>
  <c r="U428" i="1"/>
  <c r="D414" i="1"/>
  <c r="C451" i="1"/>
  <c r="N8" i="1"/>
  <c r="O347" i="1"/>
  <c r="K228" i="1"/>
  <c r="F201" i="1"/>
  <c r="V118" i="1"/>
  <c r="P456" i="1"/>
  <c r="O339" i="1"/>
  <c r="V50" i="1"/>
  <c r="O21" i="1"/>
  <c r="H404" i="1"/>
  <c r="V45" i="1"/>
  <c r="D340" i="1"/>
  <c r="J329" i="1"/>
  <c r="E308" i="1"/>
  <c r="V334" i="1"/>
  <c r="J307" i="1"/>
  <c r="F172" i="1"/>
  <c r="T258" i="1"/>
  <c r="L444" i="1"/>
  <c r="A219" i="1"/>
  <c r="D63" i="1"/>
  <c r="R41" i="1"/>
  <c r="L154" i="1"/>
  <c r="Q418" i="1"/>
  <c r="G554" i="1"/>
  <c r="V642" i="1"/>
  <c r="N260" i="1"/>
  <c r="P498" i="1"/>
  <c r="G197" i="1"/>
  <c r="A355" i="1"/>
  <c r="J349" i="1"/>
  <c r="B83" i="1"/>
  <c r="A110" i="1"/>
  <c r="O34" i="1"/>
  <c r="A386" i="1"/>
  <c r="R406" i="1"/>
  <c r="K50" i="1"/>
  <c r="T335" i="1"/>
  <c r="S223" i="1"/>
  <c r="N203" i="1"/>
  <c r="A50" i="1"/>
  <c r="C391" i="1"/>
  <c r="F775" i="1"/>
  <c r="K105" i="1"/>
  <c r="R46" i="1"/>
  <c r="K216" i="1"/>
  <c r="L452" i="1"/>
  <c r="M327" i="1"/>
  <c r="H90" i="1"/>
  <c r="E20" i="1"/>
  <c r="I42" i="1"/>
  <c r="I13" i="1"/>
  <c r="E93" i="1"/>
  <c r="L419" i="1"/>
  <c r="M24" i="1"/>
  <c r="L405" i="1"/>
  <c r="H38" i="1"/>
  <c r="K18" i="1"/>
  <c r="O167" i="1"/>
  <c r="N120" i="1"/>
  <c r="R92" i="1"/>
  <c r="A366" i="1"/>
  <c r="N31" i="1"/>
  <c r="N265" i="1"/>
  <c r="Q288" i="1"/>
  <c r="N349" i="1"/>
  <c r="C168" i="1"/>
  <c r="M171" i="1"/>
  <c r="I54" i="1"/>
  <c r="B59" i="1"/>
  <c r="U225" i="1"/>
  <c r="B75" i="1"/>
  <c r="F305" i="1"/>
  <c r="I135" i="1"/>
  <c r="V10" i="1"/>
  <c r="O90" i="1"/>
  <c r="D27" i="1"/>
  <c r="J247" i="1"/>
  <c r="I151" i="1"/>
  <c r="S305" i="1"/>
  <c r="V46" i="1"/>
  <c r="U429" i="1"/>
  <c r="B398" i="1"/>
  <c r="B551" i="1"/>
  <c r="Q10" i="1"/>
  <c r="L171" i="1"/>
  <c r="K286" i="1"/>
  <c r="C119" i="1"/>
  <c r="I31" i="1"/>
  <c r="K110" i="1"/>
  <c r="F250" i="1"/>
  <c r="A34" i="1"/>
  <c r="P245" i="1"/>
  <c r="U96" i="1"/>
  <c r="S283" i="1"/>
  <c r="O52" i="1"/>
  <c r="K193" i="1"/>
  <c r="H75" i="1"/>
  <c r="N119" i="1"/>
  <c r="T112" i="1"/>
  <c r="S105" i="1"/>
  <c r="M302" i="1"/>
  <c r="E314" i="1"/>
  <c r="S533" i="1"/>
  <c r="H278" i="1"/>
  <c r="L622" i="1"/>
  <c r="K57" i="1"/>
  <c r="L383" i="1"/>
  <c r="C637" i="1"/>
  <c r="E153" i="1"/>
  <c r="K606" i="1"/>
  <c r="O575" i="1"/>
  <c r="U433" i="1"/>
  <c r="U5" i="1"/>
  <c r="G372" i="1"/>
  <c r="P563" i="1"/>
  <c r="K423" i="1"/>
  <c r="G93" i="1"/>
  <c r="P286" i="1"/>
  <c r="P282" i="1"/>
  <c r="H147" i="1"/>
  <c r="T194" i="1"/>
  <c r="Q36" i="1"/>
  <c r="U328" i="1"/>
  <c r="H159" i="1"/>
  <c r="G298" i="1"/>
  <c r="T13" i="1"/>
  <c r="G277" i="1"/>
  <c r="I259" i="1"/>
  <c r="D19" i="1"/>
  <c r="Q334" i="1"/>
  <c r="N707" i="1"/>
  <c r="G584" i="1"/>
  <c r="R132" i="1"/>
  <c r="N321" i="1"/>
  <c r="C229" i="1"/>
  <c r="R197" i="1"/>
  <c r="N261" i="1"/>
  <c r="Q252" i="1"/>
  <c r="U241" i="1"/>
  <c r="K429" i="1"/>
  <c r="F226" i="1"/>
  <c r="J171" i="1"/>
  <c r="N141" i="1"/>
  <c r="V178" i="1"/>
  <c r="N246" i="1"/>
  <c r="E299" i="1"/>
  <c r="Q248" i="1"/>
  <c r="B51" i="1"/>
  <c r="A2" i="1"/>
  <c r="B54" i="1"/>
  <c r="U209" i="1"/>
  <c r="S153" i="1"/>
  <c r="A600" i="1"/>
  <c r="U134" i="1"/>
  <c r="P91" i="1"/>
  <c r="J467" i="1"/>
  <c r="I147" i="1"/>
  <c r="E359" i="1"/>
  <c r="P66" i="1"/>
  <c r="I308" i="1"/>
  <c r="N231" i="1"/>
  <c r="B133" i="1"/>
  <c r="U199" i="1"/>
  <c r="E124" i="1"/>
  <c r="H141" i="1"/>
  <c r="M388" i="1"/>
  <c r="D46" i="1"/>
  <c r="G282" i="1"/>
  <c r="S291" i="1"/>
  <c r="E292" i="1"/>
  <c r="L41" i="1"/>
  <c r="U472" i="1"/>
  <c r="N69" i="1"/>
  <c r="J244" i="1"/>
  <c r="M75" i="1"/>
  <c r="H659" i="1"/>
  <c r="A142" i="1"/>
  <c r="J87" i="1"/>
  <c r="A47" i="1"/>
  <c r="J490" i="1"/>
  <c r="E120" i="1"/>
  <c r="A236" i="1"/>
  <c r="E617" i="1"/>
  <c r="T113" i="1"/>
  <c r="M666" i="1"/>
  <c r="O225" i="1"/>
  <c r="J61" i="1"/>
  <c r="R18" i="1"/>
  <c r="V90" i="1"/>
  <c r="B591" i="1"/>
  <c r="G135" i="1"/>
  <c r="H311" i="1"/>
  <c r="M457" i="1"/>
  <c r="L329" i="1"/>
  <c r="B124" i="1"/>
  <c r="E62" i="1"/>
  <c r="L521" i="1"/>
  <c r="B448" i="1"/>
  <c r="N149" i="1"/>
  <c r="G188" i="1"/>
  <c r="K579" i="1"/>
  <c r="G535" i="1"/>
  <c r="Q355" i="1"/>
  <c r="O265" i="1"/>
  <c r="V68" i="1"/>
  <c r="F183" i="1"/>
  <c r="P180" i="1"/>
  <c r="K638" i="1"/>
  <c r="T356" i="1"/>
  <c r="K115" i="1"/>
  <c r="L46" i="1"/>
  <c r="O134" i="1"/>
  <c r="M560" i="1"/>
  <c r="N71" i="1"/>
  <c r="K35" i="1"/>
  <c r="I120" i="1"/>
  <c r="O135" i="1"/>
  <c r="F492" i="1"/>
  <c r="V181" i="1"/>
  <c r="F601" i="1"/>
  <c r="M41" i="1"/>
  <c r="V667" i="1"/>
  <c r="B741" i="1"/>
  <c r="M161" i="1"/>
  <c r="A238" i="1"/>
  <c r="N70" i="1"/>
  <c r="F118" i="1"/>
  <c r="Q243" i="1"/>
  <c r="S327" i="1"/>
  <c r="T77" i="1"/>
  <c r="M357" i="1"/>
  <c r="A282" i="1"/>
  <c r="K191" i="1"/>
  <c r="Q263" i="1"/>
  <c r="C83" i="1"/>
  <c r="T247" i="1"/>
  <c r="A387" i="1"/>
  <c r="K582" i="1"/>
  <c r="L749" i="1"/>
  <c r="E149" i="1"/>
  <c r="P68" i="1"/>
  <c r="L139" i="1"/>
  <c r="I387" i="1"/>
  <c r="C28" i="1"/>
  <c r="A113" i="1"/>
  <c r="N286" i="1"/>
  <c r="C535" i="1"/>
  <c r="S55" i="1"/>
  <c r="S45" i="1"/>
  <c r="Q524" i="1"/>
  <c r="V184" i="1"/>
  <c r="L335" i="1"/>
  <c r="I640" i="1"/>
  <c r="S84" i="1"/>
  <c r="T159" i="1"/>
  <c r="I182" i="1"/>
  <c r="V160" i="1"/>
  <c r="B27" i="1"/>
  <c r="O76" i="1"/>
  <c r="G38" i="1"/>
  <c r="G161" i="1"/>
  <c r="D242" i="1"/>
  <c r="M19" i="1"/>
  <c r="O18" i="1"/>
  <c r="G388" i="1"/>
  <c r="N3" i="1"/>
  <c r="B460" i="1"/>
  <c r="P151" i="1"/>
  <c r="G46" i="1"/>
  <c r="K586" i="1"/>
  <c r="S72" i="1"/>
  <c r="J53" i="1"/>
  <c r="E69" i="1"/>
  <c r="O156" i="1"/>
  <c r="F227" i="1"/>
  <c r="N157" i="1"/>
  <c r="P28" i="1"/>
  <c r="D335" i="1"/>
  <c r="S306" i="1"/>
  <c r="M138" i="1"/>
  <c r="L308" i="1"/>
  <c r="P48" i="1"/>
  <c r="B79" i="1"/>
  <c r="I554" i="1"/>
  <c r="S122" i="1"/>
  <c r="S157" i="1"/>
  <c r="N228" i="1"/>
  <c r="V623" i="1"/>
  <c r="D49" i="1"/>
  <c r="P340" i="1"/>
  <c r="L189" i="1"/>
  <c r="J10" i="1"/>
  <c r="C41" i="1"/>
  <c r="P304" i="1"/>
  <c r="B630" i="1"/>
  <c r="F65" i="1"/>
  <c r="D137" i="1"/>
  <c r="R52" i="1"/>
  <c r="V226" i="1"/>
  <c r="P452" i="1"/>
  <c r="F801" i="1"/>
  <c r="S313" i="1"/>
  <c r="R37" i="1"/>
  <c r="J46" i="1"/>
  <c r="F310" i="1"/>
  <c r="D178" i="1"/>
  <c r="S713" i="1"/>
  <c r="L36" i="1"/>
  <c r="F362" i="1"/>
  <c r="R282" i="1"/>
  <c r="B149" i="1"/>
  <c r="N46" i="1"/>
  <c r="L399" i="1"/>
  <c r="Q58" i="1"/>
  <c r="D249" i="1"/>
  <c r="H69" i="1"/>
  <c r="K355" i="1"/>
  <c r="T271" i="1"/>
  <c r="P537" i="1"/>
  <c r="V80" i="1"/>
  <c r="U186" i="1"/>
  <c r="T29" i="1"/>
  <c r="G40" i="1"/>
  <c r="Q333" i="1"/>
  <c r="P158" i="1"/>
  <c r="J252" i="1"/>
  <c r="U285" i="1"/>
  <c r="H257" i="1"/>
  <c r="A450" i="1"/>
  <c r="L135" i="1"/>
  <c r="A66" i="1"/>
  <c r="L213" i="1"/>
  <c r="L439" i="1"/>
  <c r="O271" i="1"/>
  <c r="L118" i="1"/>
  <c r="D138" i="1"/>
  <c r="I210" i="1"/>
  <c r="H191" i="1"/>
  <c r="E159" i="1"/>
  <c r="B371" i="1"/>
  <c r="D405" i="1"/>
  <c r="U197" i="1"/>
  <c r="A28" i="1"/>
  <c r="I131" i="1"/>
  <c r="P22" i="1"/>
  <c r="I346" i="1"/>
  <c r="O93" i="1"/>
  <c r="M220" i="1"/>
  <c r="C490" i="1"/>
  <c r="M260" i="1"/>
  <c r="D183" i="1"/>
  <c r="H165" i="1"/>
  <c r="V329" i="1"/>
  <c r="T287" i="1"/>
  <c r="Q80" i="1"/>
  <c r="E466" i="1"/>
  <c r="Q151" i="1"/>
  <c r="D96" i="1"/>
  <c r="O186" i="1"/>
  <c r="S621" i="1"/>
  <c r="V478" i="1"/>
  <c r="D93" i="1"/>
  <c r="P419" i="1"/>
  <c r="O40" i="1"/>
  <c r="B279" i="1"/>
  <c r="L552" i="1"/>
  <c r="F426" i="1"/>
  <c r="R173" i="1"/>
  <c r="H37" i="1"/>
  <c r="R301" i="1"/>
  <c r="Q306" i="1"/>
  <c r="N225" i="1"/>
  <c r="L233" i="1"/>
  <c r="T568" i="1"/>
  <c r="V331" i="1"/>
  <c r="E92" i="1"/>
  <c r="I222" i="1"/>
  <c r="H204" i="1"/>
  <c r="H588" i="1"/>
  <c r="C57" i="1"/>
  <c r="L222" i="1"/>
  <c r="N34" i="1"/>
  <c r="A393" i="1"/>
  <c r="A329" i="1"/>
  <c r="Q202" i="1"/>
  <c r="J146" i="1"/>
  <c r="F557" i="1"/>
  <c r="P156" i="1"/>
  <c r="P100" i="1"/>
  <c r="N425" i="1"/>
  <c r="D625" i="1"/>
  <c r="A167" i="1"/>
  <c r="B376" i="1"/>
  <c r="D391" i="1"/>
  <c r="D133" i="1"/>
  <c r="F262" i="1"/>
  <c r="C93" i="1"/>
  <c r="E229" i="1"/>
  <c r="H465" i="1"/>
  <c r="N36" i="1"/>
  <c r="L256" i="1"/>
  <c r="V4" i="1"/>
  <c r="Q369" i="1"/>
  <c r="R164" i="1"/>
  <c r="M344" i="1"/>
  <c r="M272" i="1"/>
  <c r="C34" i="1"/>
  <c r="E246" i="1"/>
  <c r="M350" i="1"/>
  <c r="L94" i="1"/>
  <c r="Q49" i="1"/>
  <c r="D692" i="1"/>
  <c r="C576" i="1"/>
  <c r="D81" i="1"/>
  <c r="R31" i="1"/>
  <c r="A194" i="1"/>
  <c r="P24" i="1"/>
  <c r="V61" i="1"/>
  <c r="R137" i="1"/>
  <c r="V357" i="1"/>
  <c r="O210" i="1"/>
  <c r="A401" i="1"/>
  <c r="H350" i="1"/>
  <c r="E72" i="1"/>
  <c r="H492" i="1"/>
  <c r="B118" i="1"/>
  <c r="U173" i="1"/>
  <c r="M76" i="1"/>
  <c r="F383" i="1"/>
  <c r="N249" i="1"/>
  <c r="P70" i="1"/>
  <c r="E59" i="1"/>
  <c r="L130" i="1"/>
  <c r="N299" i="1"/>
  <c r="K175" i="1"/>
  <c r="T139" i="1"/>
  <c r="T202" i="1"/>
  <c r="N747" i="1"/>
  <c r="B20" i="1"/>
  <c r="T395" i="1"/>
  <c r="N238" i="1"/>
  <c r="I535" i="1"/>
  <c r="A445" i="1"/>
  <c r="O500" i="1"/>
  <c r="H228" i="1"/>
  <c r="T897" i="1"/>
  <c r="O99" i="1"/>
  <c r="G150" i="1"/>
  <c r="U62" i="1"/>
  <c r="F58" i="1"/>
  <c r="Q129" i="1"/>
  <c r="P114" i="1"/>
  <c r="B520" i="1"/>
  <c r="V482" i="1"/>
  <c r="K461" i="1"/>
  <c r="T400" i="1"/>
  <c r="L339" i="1"/>
  <c r="L214" i="1"/>
  <c r="T129" i="1"/>
  <c r="J157" i="1"/>
  <c r="F100" i="1"/>
  <c r="L363" i="1"/>
  <c r="O409" i="1"/>
  <c r="Q387" i="1"/>
  <c r="I367" i="1"/>
  <c r="M112" i="1"/>
  <c r="K83" i="1"/>
  <c r="O280" i="1"/>
  <c r="J35" i="1"/>
  <c r="R7" i="1"/>
  <c r="U368" i="1"/>
  <c r="A467" i="1"/>
  <c r="F648" i="1"/>
  <c r="S78" i="1"/>
  <c r="C228" i="1"/>
  <c r="O277" i="1"/>
  <c r="F204" i="1"/>
  <c r="B116" i="1"/>
  <c r="V26" i="1"/>
  <c r="S385" i="1"/>
  <c r="T87" i="1"/>
  <c r="H184" i="1"/>
  <c r="R55" i="1"/>
  <c r="S191" i="1"/>
  <c r="L18" i="1"/>
  <c r="P352" i="1"/>
  <c r="E352" i="1"/>
  <c r="M45" i="1"/>
  <c r="F528" i="1"/>
  <c r="Q486" i="1"/>
  <c r="B541" i="1"/>
  <c r="H213" i="1"/>
  <c r="K627" i="1"/>
  <c r="I329" i="1"/>
  <c r="D502" i="1"/>
  <c r="B106" i="1"/>
  <c r="P124" i="1"/>
  <c r="Q394" i="1"/>
  <c r="P19" i="1"/>
  <c r="R376" i="1"/>
  <c r="C10" i="1"/>
  <c r="E61" i="1"/>
  <c r="M37" i="1"/>
  <c r="C74" i="1"/>
  <c r="N116" i="1"/>
  <c r="H386" i="1"/>
  <c r="I29" i="1"/>
  <c r="L52" i="1"/>
  <c r="T3" i="1"/>
  <c r="I186" i="1"/>
  <c r="I45" i="1"/>
  <c r="L6" i="1"/>
  <c r="A330" i="1"/>
  <c r="V248" i="1"/>
  <c r="T540" i="1"/>
  <c r="R131" i="1"/>
  <c r="N124" i="1"/>
  <c r="U136" i="1"/>
  <c r="G109" i="1"/>
  <c r="C551" i="1"/>
  <c r="Q516" i="1"/>
  <c r="D307" i="1"/>
  <c r="R78" i="1"/>
  <c r="V108" i="1"/>
  <c r="M35" i="1"/>
  <c r="V531" i="1"/>
  <c r="A8" i="1"/>
  <c r="N316" i="1"/>
  <c r="V102" i="1"/>
  <c r="D236" i="1"/>
  <c r="N133" i="1"/>
  <c r="S359" i="1"/>
  <c r="J224" i="1"/>
  <c r="G231" i="1"/>
  <c r="V694" i="1"/>
  <c r="E230" i="1"/>
  <c r="O737" i="1"/>
  <c r="M156" i="1"/>
  <c r="P515" i="1"/>
  <c r="G404" i="1"/>
  <c r="Q26" i="1"/>
  <c r="M151" i="1"/>
  <c r="J9" i="1"/>
  <c r="Q56" i="1"/>
  <c r="M363" i="1"/>
  <c r="S239" i="1"/>
  <c r="B573" i="1"/>
  <c r="J177" i="1"/>
  <c r="F223" i="1"/>
  <c r="J567" i="1"/>
  <c r="A122" i="1"/>
  <c r="K188" i="1"/>
  <c r="P341" i="1"/>
  <c r="C79" i="1"/>
  <c r="J57" i="1"/>
  <c r="D384" i="1"/>
  <c r="N9" i="1"/>
  <c r="L67" i="1"/>
  <c r="H53" i="1"/>
  <c r="T237" i="1"/>
  <c r="L326" i="1"/>
  <c r="A300" i="1"/>
  <c r="H106" i="1"/>
  <c r="T255" i="1"/>
  <c r="C29" i="1"/>
  <c r="O361" i="1"/>
  <c r="F346" i="1"/>
  <c r="M162" i="1"/>
  <c r="J42" i="1"/>
  <c r="R33" i="1"/>
  <c r="A599" i="1"/>
  <c r="B450" i="1"/>
  <c r="T414" i="1"/>
  <c r="M249" i="1"/>
  <c r="O3" i="1"/>
  <c r="I487" i="1"/>
  <c r="Q54" i="1"/>
  <c r="S189" i="1"/>
  <c r="O620" i="1"/>
  <c r="S125" i="1"/>
  <c r="P12" i="1"/>
  <c r="O275" i="1"/>
  <c r="L96" i="1"/>
  <c r="L293" i="1"/>
  <c r="K501" i="1"/>
  <c r="B594" i="1"/>
  <c r="T461" i="1"/>
  <c r="O346" i="1"/>
  <c r="I402" i="1"/>
  <c r="B145" i="1"/>
  <c r="B142" i="1"/>
  <c r="H635" i="1"/>
  <c r="N730" i="1"/>
  <c r="A154" i="1"/>
  <c r="I285" i="1"/>
  <c r="N404" i="1"/>
  <c r="V156" i="1"/>
  <c r="B205" i="1"/>
  <c r="F265" i="1"/>
  <c r="H216" i="1"/>
  <c r="V115" i="1"/>
  <c r="A191" i="1"/>
  <c r="H87" i="1"/>
  <c r="E14" i="1"/>
  <c r="E714" i="1"/>
  <c r="U144" i="1"/>
  <c r="O83" i="1"/>
  <c r="C282" i="1"/>
  <c r="E603" i="1"/>
  <c r="F151" i="1"/>
  <c r="B14" i="1"/>
  <c r="Q15" i="1"/>
  <c r="B184" i="1"/>
  <c r="D204" i="1"/>
  <c r="B195" i="1"/>
  <c r="P390" i="1"/>
  <c r="E280" i="1"/>
  <c r="E202" i="1"/>
  <c r="T137" i="1"/>
  <c r="B63" i="1"/>
  <c r="P335" i="1"/>
  <c r="M342" i="1"/>
  <c r="D552" i="1"/>
  <c r="U678" i="1"/>
  <c r="B278" i="1"/>
  <c r="N14" i="1"/>
  <c r="O251" i="1"/>
  <c r="E17" i="1"/>
  <c r="S92" i="1"/>
  <c r="B241" i="1"/>
  <c r="A454" i="1"/>
  <c r="E18" i="1"/>
  <c r="I416" i="1"/>
  <c r="F261" i="1"/>
  <c r="G172" i="1"/>
  <c r="L573" i="1"/>
  <c r="J218" i="1"/>
  <c r="Q143" i="1"/>
  <c r="S63" i="1"/>
  <c r="H363" i="1"/>
  <c r="H525" i="1"/>
  <c r="C663" i="1"/>
  <c r="I315" i="1"/>
  <c r="P592" i="1"/>
  <c r="F46" i="1"/>
  <c r="E303" i="1"/>
  <c r="F143" i="1"/>
  <c r="L100" i="1"/>
  <c r="U394" i="1"/>
  <c r="U271" i="1"/>
  <c r="O28" i="1"/>
  <c r="O182" i="1"/>
  <c r="N67" i="1"/>
  <c r="S174" i="1"/>
  <c r="N285" i="1"/>
  <c r="B436" i="1"/>
  <c r="J99" i="1"/>
  <c r="V360" i="1"/>
  <c r="C153" i="1"/>
  <c r="U347" i="1"/>
  <c r="L215" i="1"/>
  <c r="E29" i="1"/>
  <c r="S419" i="1"/>
  <c r="G246" i="1"/>
  <c r="C184" i="1"/>
  <c r="O609" i="1"/>
  <c r="H648" i="1"/>
  <c r="J154" i="1"/>
  <c r="K132" i="1"/>
  <c r="B218" i="1"/>
  <c r="N280" i="1"/>
  <c r="M604" i="1"/>
  <c r="R152" i="1"/>
  <c r="N304" i="1"/>
  <c r="B167" i="1"/>
  <c r="L93" i="1"/>
  <c r="H628" i="1"/>
  <c r="B179" i="1"/>
  <c r="S124" i="1"/>
  <c r="O75" i="1"/>
  <c r="R58" i="1"/>
  <c r="J455" i="1"/>
  <c r="N75" i="1"/>
  <c r="T148" i="1"/>
  <c r="J352" i="1"/>
  <c r="O257" i="1"/>
  <c r="P8" i="1"/>
  <c r="Q126" i="1"/>
  <c r="I60" i="1"/>
  <c r="I353" i="1"/>
  <c r="T426" i="1"/>
  <c r="J438" i="1"/>
  <c r="B361" i="1"/>
  <c r="K205" i="1"/>
  <c r="D37" i="1"/>
  <c r="J465" i="1"/>
  <c r="M290" i="1"/>
  <c r="B25" i="1"/>
  <c r="V157" i="1"/>
  <c r="G196" i="1"/>
  <c r="J148" i="1"/>
  <c r="G255" i="1"/>
  <c r="N405" i="1"/>
  <c r="F330" i="1"/>
  <c r="F5" i="1"/>
  <c r="M40" i="1"/>
  <c r="S846" i="1"/>
  <c r="C669" i="1"/>
  <c r="L457" i="1"/>
  <c r="B193" i="1"/>
  <c r="R107" i="1"/>
  <c r="S566" i="1"/>
  <c r="M413" i="1"/>
  <c r="F21" i="1"/>
  <c r="P162" i="1"/>
  <c r="C236" i="1"/>
  <c r="I241" i="1"/>
  <c r="A592" i="1"/>
  <c r="F69" i="1"/>
  <c r="O377" i="1"/>
  <c r="L10" i="1"/>
  <c r="D184" i="1"/>
  <c r="P657" i="1"/>
  <c r="D113" i="1"/>
  <c r="Q226" i="1"/>
  <c r="A341" i="1"/>
  <c r="Q154" i="1"/>
  <c r="E47" i="1"/>
  <c r="I73" i="1"/>
  <c r="E306" i="1"/>
  <c r="P561" i="1"/>
  <c r="K5" i="1"/>
  <c r="M403" i="1"/>
  <c r="R113" i="1"/>
  <c r="L53" i="1"/>
  <c r="A39" i="1"/>
  <c r="D164" i="1"/>
  <c r="C17" i="1"/>
  <c r="I88" i="1"/>
  <c r="D11" i="1"/>
  <c r="Q52" i="1"/>
  <c r="H94" i="1"/>
  <c r="L150" i="1"/>
  <c r="L87" i="1"/>
  <c r="P425" i="1"/>
  <c r="R223" i="1"/>
  <c r="R487" i="1"/>
  <c r="P196" i="1"/>
  <c r="G331" i="1"/>
  <c r="J608" i="1"/>
  <c r="T485" i="1"/>
  <c r="K533" i="1"/>
  <c r="K268" i="1"/>
  <c r="T47" i="1"/>
  <c r="Q61" i="1"/>
  <c r="U39" i="1"/>
  <c r="O64" i="1"/>
  <c r="V617" i="1"/>
  <c r="T316" i="1"/>
  <c r="U597" i="1"/>
  <c r="T480" i="1"/>
  <c r="G8" i="1"/>
  <c r="D355" i="1"/>
  <c r="F154" i="1"/>
  <c r="V518" i="1"/>
  <c r="F150" i="1"/>
  <c r="U20" i="1"/>
  <c r="I225" i="1"/>
  <c r="C270" i="1"/>
  <c r="S349" i="1"/>
  <c r="Q182" i="1"/>
  <c r="G126" i="1"/>
  <c r="L60" i="1"/>
  <c r="F558" i="1"/>
  <c r="G243" i="1"/>
  <c r="T196" i="1"/>
  <c r="E444" i="1"/>
  <c r="L560" i="1"/>
  <c r="N333" i="1"/>
  <c r="K255" i="1"/>
  <c r="F371" i="1"/>
  <c r="E30" i="1"/>
  <c r="Q343" i="1"/>
  <c r="D346" i="1"/>
  <c r="E398" i="1"/>
  <c r="D20" i="1"/>
  <c r="L269" i="1"/>
  <c r="K747" i="1"/>
  <c r="M300" i="1"/>
  <c r="Q329" i="1"/>
  <c r="J184" i="1"/>
  <c r="G123" i="1"/>
  <c r="T259" i="1"/>
  <c r="A10" i="1"/>
  <c r="L194" i="1"/>
  <c r="J181" i="1"/>
  <c r="N402" i="1"/>
  <c r="P197" i="1"/>
  <c r="O69" i="1"/>
  <c r="U45" i="1"/>
  <c r="Q208" i="1"/>
  <c r="V198" i="1"/>
  <c r="D151" i="1"/>
  <c r="M215" i="1"/>
  <c r="G119" i="1"/>
  <c r="D527" i="1"/>
  <c r="F106" i="1"/>
  <c r="K371" i="1"/>
  <c r="V60" i="1"/>
  <c r="R184" i="1"/>
  <c r="H245" i="1"/>
  <c r="K160" i="1"/>
  <c r="A150" i="1"/>
  <c r="P147" i="1"/>
  <c r="U31" i="1"/>
  <c r="L349" i="1"/>
  <c r="D118" i="1"/>
  <c r="V233" i="1"/>
  <c r="N188" i="1"/>
  <c r="L207" i="1"/>
  <c r="M160" i="1"/>
  <c r="D22" i="1"/>
  <c r="S334" i="1"/>
  <c r="J133" i="1"/>
  <c r="F9" i="1"/>
  <c r="K145" i="1"/>
  <c r="K187" i="1"/>
  <c r="K345" i="1"/>
  <c r="A148" i="1"/>
  <c r="O247" i="1"/>
  <c r="L466" i="1"/>
  <c r="D302" i="1"/>
  <c r="F136" i="1"/>
  <c r="R531" i="1"/>
  <c r="P150" i="1"/>
  <c r="V304" i="1"/>
  <c r="O50" i="1"/>
  <c r="I15" i="1"/>
  <c r="Q428" i="1"/>
  <c r="T53" i="1"/>
  <c r="B359" i="1"/>
  <c r="I361" i="1"/>
  <c r="Q178" i="1"/>
  <c r="U371" i="1"/>
  <c r="C730" i="1"/>
  <c r="V162" i="1"/>
  <c r="N504" i="1"/>
  <c r="L147" i="1"/>
  <c r="E322" i="1"/>
  <c r="D229" i="1"/>
  <c r="U215" i="1"/>
  <c r="C497" i="1"/>
  <c r="T724" i="1"/>
  <c r="O270" i="1"/>
  <c r="R56" i="1"/>
  <c r="S48" i="1"/>
  <c r="E210" i="1"/>
  <c r="H171" i="1"/>
  <c r="P139" i="1"/>
  <c r="Q47" i="1"/>
  <c r="C61" i="1"/>
  <c r="L203" i="1"/>
  <c r="Q30" i="1"/>
  <c r="E818" i="1"/>
  <c r="S281" i="1"/>
  <c r="N168" i="1"/>
  <c r="V428" i="1"/>
  <c r="N63" i="1"/>
  <c r="K258" i="1"/>
  <c r="P477" i="1"/>
  <c r="N49" i="1"/>
  <c r="V154" i="1"/>
  <c r="S495" i="1"/>
  <c r="Q115" i="1"/>
  <c r="T165" i="1"/>
  <c r="E11" i="1"/>
  <c r="N384" i="1"/>
  <c r="T309" i="1"/>
  <c r="J368" i="1"/>
  <c r="C832" i="1"/>
  <c r="M512" i="1"/>
  <c r="K365" i="1"/>
  <c r="O214" i="1"/>
  <c r="U26" i="1"/>
  <c r="O54" i="1"/>
  <c r="T11" i="1"/>
  <c r="J427" i="1"/>
  <c r="U58" i="1"/>
  <c r="P319" i="1"/>
  <c r="C515" i="1"/>
  <c r="D9" i="1"/>
  <c r="R372" i="1"/>
  <c r="F92" i="1"/>
  <c r="K96" i="1"/>
  <c r="J596" i="1"/>
  <c r="P527" i="1"/>
  <c r="V250" i="1"/>
  <c r="G259" i="1"/>
  <c r="J314" i="1"/>
  <c r="U269" i="1"/>
  <c r="E111" i="1"/>
  <c r="O58" i="1"/>
  <c r="N28" i="1"/>
  <c r="D332" i="1"/>
  <c r="R143" i="1"/>
  <c r="F57" i="1"/>
  <c r="C171" i="1"/>
  <c r="K27" i="1"/>
  <c r="T621" i="1"/>
  <c r="G390" i="1"/>
  <c r="F6" i="1"/>
  <c r="T236" i="1"/>
  <c r="B493" i="1"/>
  <c r="V29" i="1"/>
  <c r="B178" i="1"/>
  <c r="S81" i="1"/>
  <c r="Q300" i="1"/>
  <c r="E271" i="1"/>
  <c r="A417" i="1"/>
  <c r="N198" i="1"/>
  <c r="K433" i="1"/>
  <c r="S107" i="1"/>
  <c r="H39" i="1"/>
  <c r="R168" i="1"/>
  <c r="M478" i="1"/>
  <c r="F40" i="1"/>
  <c r="T407" i="1"/>
  <c r="V12" i="1"/>
  <c r="O9" i="1"/>
  <c r="T125" i="1"/>
  <c r="N74" i="1"/>
  <c r="J183" i="1"/>
  <c r="I112" i="1"/>
  <c r="E217" i="1"/>
  <c r="J123" i="1"/>
  <c r="B354" i="1"/>
  <c r="E689" i="1"/>
  <c r="N155" i="1"/>
  <c r="Q314" i="1"/>
  <c r="G35" i="1"/>
  <c r="Q136" i="1"/>
  <c r="U133" i="1"/>
  <c r="A24" i="1"/>
  <c r="E445" i="1"/>
  <c r="R21" i="1"/>
  <c r="G100" i="1"/>
  <c r="V188" i="1"/>
  <c r="O77" i="1"/>
  <c r="P23" i="1"/>
  <c r="B431" i="1"/>
  <c r="P16" i="1"/>
  <c r="F182" i="1"/>
  <c r="T22" i="1"/>
  <c r="R34" i="1"/>
  <c r="A80" i="1"/>
  <c r="O624" i="1"/>
  <c r="E238" i="1"/>
  <c r="N307" i="1"/>
  <c r="F316" i="1"/>
  <c r="J231" i="1"/>
  <c r="T151" i="1"/>
  <c r="H36" i="1"/>
  <c r="V315" i="1"/>
  <c r="B80" i="1"/>
  <c r="G73" i="1"/>
  <c r="K370" i="1"/>
  <c r="L307" i="1"/>
  <c r="D60" i="1"/>
  <c r="B384" i="1"/>
  <c r="A123" i="1"/>
  <c r="E688" i="1"/>
  <c r="I475" i="1"/>
  <c r="P206" i="1"/>
  <c r="A210" i="1"/>
  <c r="J32" i="1"/>
  <c r="T106" i="1"/>
  <c r="Q41" i="1"/>
  <c r="D237" i="1"/>
  <c r="S274" i="1"/>
  <c r="R244" i="1"/>
  <c r="M250" i="1"/>
  <c r="L358" i="1"/>
  <c r="Q452" i="1"/>
  <c r="P189" i="1"/>
  <c r="C151" i="1"/>
  <c r="G488" i="1"/>
  <c r="E456" i="1"/>
  <c r="M828" i="1"/>
  <c r="Q261" i="1"/>
  <c r="F89" i="1"/>
  <c r="O35" i="1"/>
  <c r="B151" i="1"/>
  <c r="T217" i="1"/>
  <c r="N569" i="1"/>
  <c r="L484" i="1"/>
  <c r="T385" i="1"/>
  <c r="Q168" i="1"/>
  <c r="O95" i="1"/>
  <c r="F160" i="1"/>
  <c r="G309" i="1"/>
  <c r="H693" i="1"/>
  <c r="F345" i="1"/>
  <c r="S229" i="1"/>
  <c r="N94" i="1"/>
  <c r="K384" i="1"/>
  <c r="O282" i="1"/>
  <c r="P110" i="1"/>
  <c r="D263" i="1"/>
  <c r="V7" i="1"/>
  <c r="G319" i="1"/>
  <c r="F472" i="1"/>
  <c r="S175" i="1"/>
  <c r="D272" i="1"/>
  <c r="L415" i="1"/>
  <c r="O49" i="1"/>
  <c r="M243" i="1"/>
  <c r="H139" i="1"/>
  <c r="P61" i="1"/>
  <c r="L249" i="1"/>
  <c r="K248" i="1"/>
  <c r="O97" i="1"/>
  <c r="F41" i="1"/>
  <c r="L423" i="1"/>
  <c r="S216" i="1"/>
  <c r="G131" i="1"/>
  <c r="V17" i="1"/>
  <c r="I119" i="1"/>
  <c r="A272" i="1"/>
  <c r="Q576" i="1"/>
  <c r="M20" i="1"/>
  <c r="N588" i="1"/>
  <c r="V114" i="1"/>
  <c r="K55" i="1"/>
  <c r="O405" i="1"/>
  <c r="O218" i="1"/>
  <c r="P256" i="1"/>
  <c r="U80" i="1"/>
  <c r="S762" i="1"/>
  <c r="F116" i="1"/>
  <c r="G871" i="1"/>
  <c r="F56" i="1"/>
  <c r="V126" i="1"/>
  <c r="R290" i="1"/>
  <c r="C62" i="1"/>
  <c r="K123" i="1"/>
  <c r="I181" i="1"/>
  <c r="S400" i="1"/>
  <c r="N378" i="1"/>
  <c r="F10" i="1"/>
  <c r="F186" i="1"/>
  <c r="F49" i="1"/>
  <c r="C585" i="1"/>
  <c r="T438" i="1"/>
  <c r="H214" i="1"/>
  <c r="D561" i="1"/>
  <c r="S66" i="1"/>
  <c r="G475" i="1"/>
  <c r="M18" i="1"/>
  <c r="S215" i="1"/>
  <c r="B114" i="1"/>
  <c r="L430" i="1"/>
  <c r="Q42" i="1"/>
  <c r="L138" i="1"/>
  <c r="F103" i="1"/>
  <c r="J220" i="1"/>
  <c r="R172" i="1"/>
  <c r="M222" i="1"/>
  <c r="L102" i="1"/>
  <c r="E96" i="1"/>
  <c r="U354" i="1"/>
  <c r="L20" i="1"/>
  <c r="Q29" i="1"/>
  <c r="I87" i="1"/>
  <c r="B125" i="1"/>
  <c r="D150" i="1"/>
  <c r="L9" i="1"/>
  <c r="R384" i="1"/>
  <c r="S148" i="1"/>
  <c r="S336" i="1"/>
  <c r="F31" i="1"/>
  <c r="H280" i="1"/>
  <c r="T230" i="1"/>
  <c r="U319" i="1"/>
  <c r="H154" i="1"/>
  <c r="G340" i="1"/>
  <c r="T154" i="1"/>
  <c r="G305" i="1"/>
  <c r="V246" i="1"/>
  <c r="G437" i="1"/>
  <c r="R234" i="1"/>
  <c r="L134" i="1"/>
  <c r="E49" i="1"/>
  <c r="N84" i="1"/>
  <c r="N137" i="1"/>
  <c r="D368" i="1"/>
  <c r="P279" i="1"/>
  <c r="N146" i="1"/>
  <c r="I10" i="1"/>
  <c r="N111" i="1"/>
  <c r="M484" i="1"/>
  <c r="G36" i="1"/>
  <c r="G102" i="1"/>
  <c r="I130" i="1"/>
  <c r="F141" i="1"/>
  <c r="U391" i="1"/>
  <c r="E101" i="1"/>
  <c r="K369" i="1"/>
  <c r="V387" i="1"/>
  <c r="B265" i="1"/>
  <c r="H459" i="1"/>
  <c r="F217" i="1"/>
  <c r="Q163" i="1"/>
  <c r="U52" i="1"/>
  <c r="S298" i="1"/>
  <c r="U178" i="1"/>
  <c r="U92" i="1"/>
  <c r="F175" i="1"/>
  <c r="E57" i="1"/>
  <c r="H481" i="1"/>
  <c r="C70" i="1"/>
  <c r="M534" i="1"/>
  <c r="F391" i="1"/>
  <c r="U70" i="1"/>
  <c r="T119" i="1"/>
  <c r="T136" i="1"/>
  <c r="O239" i="1"/>
  <c r="L23" i="1"/>
  <c r="A501" i="1"/>
  <c r="P416" i="1"/>
  <c r="I38" i="1"/>
  <c r="O235" i="1"/>
  <c r="R482" i="1"/>
  <c r="C115" i="1"/>
  <c r="M189" i="1"/>
  <c r="H22" i="1"/>
  <c r="L218" i="1"/>
  <c r="E41" i="1"/>
  <c r="A340" i="1"/>
  <c r="B410" i="1"/>
  <c r="S140" i="1"/>
  <c r="H92" i="1"/>
  <c r="G184" i="1"/>
  <c r="L476" i="1"/>
  <c r="T36" i="1"/>
  <c r="K28" i="1"/>
  <c r="O15" i="1"/>
  <c r="B229" i="1"/>
  <c r="U180" i="1"/>
  <c r="N206" i="1"/>
  <c r="N184" i="1"/>
  <c r="M136" i="1"/>
  <c r="D132" i="1"/>
  <c r="V335" i="1"/>
  <c r="I390" i="1"/>
  <c r="S14" i="1"/>
  <c r="N131" i="1"/>
  <c r="A344" i="1"/>
  <c r="T486" i="1"/>
  <c r="K242" i="1"/>
  <c r="M312" i="1"/>
  <c r="Q219" i="1"/>
  <c r="G146" i="1"/>
  <c r="J83" i="1"/>
  <c r="D339" i="1"/>
  <c r="U650" i="1"/>
  <c r="S260" i="1"/>
  <c r="P259" i="1"/>
  <c r="T182" i="1"/>
  <c r="T224" i="1"/>
  <c r="J373" i="1"/>
  <c r="C18" i="1"/>
  <c r="V241" i="1"/>
  <c r="P51" i="1"/>
  <c r="J55" i="1"/>
  <c r="T447" i="1"/>
  <c r="B62" i="1"/>
  <c r="K3" i="1"/>
  <c r="H77" i="1"/>
  <c r="Q829" i="1"/>
  <c r="K47" i="1"/>
  <c r="B230" i="1"/>
  <c r="S230" i="1"/>
  <c r="H84" i="1"/>
  <c r="Q57" i="1"/>
  <c r="D314" i="1"/>
  <c r="S294" i="1"/>
  <c r="H125" i="1"/>
  <c r="A135" i="1"/>
  <c r="V392" i="1"/>
  <c r="H344" i="1"/>
  <c r="D125" i="1"/>
  <c r="P291" i="1"/>
  <c r="F77" i="1"/>
  <c r="H671" i="1"/>
  <c r="Q186" i="1"/>
  <c r="T96" i="1"/>
  <c r="V32" i="1"/>
  <c r="J386" i="1"/>
  <c r="T21" i="1"/>
  <c r="S531" i="1"/>
  <c r="K481" i="1"/>
  <c r="F184" i="1"/>
  <c r="Q69" i="1"/>
  <c r="T192" i="1"/>
  <c r="H432" i="1"/>
  <c r="P77" i="1"/>
  <c r="T90" i="1"/>
  <c r="R277" i="1"/>
  <c r="N173" i="1"/>
  <c r="P208" i="1"/>
  <c r="I121" i="1"/>
  <c r="K154" i="1"/>
  <c r="S243" i="1"/>
  <c r="I154" i="1"/>
  <c r="E244" i="1"/>
  <c r="J326" i="1"/>
  <c r="C4" i="1"/>
  <c r="B406" i="1"/>
  <c r="L500" i="1"/>
  <c r="R141" i="1"/>
  <c r="U289" i="1"/>
  <c r="L152" i="1"/>
  <c r="G229" i="1"/>
  <c r="I310" i="1"/>
  <c r="H32" i="1"/>
  <c r="G13" i="1"/>
  <c r="I208" i="1"/>
  <c r="T198" i="1"/>
  <c r="B158" i="1"/>
  <c r="M429" i="1"/>
  <c r="V650" i="1"/>
  <c r="I495" i="1"/>
  <c r="F33" i="1"/>
  <c r="P241" i="1"/>
  <c r="O201" i="1"/>
  <c r="H425" i="1"/>
  <c r="Q441" i="1"/>
  <c r="Q425" i="1"/>
  <c r="R418" i="1"/>
  <c r="O460" i="1"/>
  <c r="S68" i="1"/>
  <c r="M545" i="1"/>
  <c r="A159" i="1"/>
  <c r="B215" i="1"/>
  <c r="A571" i="1"/>
  <c r="F176" i="1"/>
  <c r="N68" i="1"/>
  <c r="J471" i="1"/>
  <c r="T616" i="1"/>
  <c r="E255" i="1"/>
  <c r="F59" i="1"/>
  <c r="P447" i="1"/>
  <c r="T126" i="1"/>
  <c r="D217" i="1"/>
  <c r="S585" i="1"/>
  <c r="G193" i="1"/>
  <c r="S363" i="1"/>
  <c r="R66" i="1"/>
  <c r="D637" i="1"/>
  <c r="H336" i="1"/>
  <c r="I124" i="1"/>
  <c r="E91" i="1"/>
  <c r="P373" i="1"/>
  <c r="A45" i="1"/>
  <c r="M225" i="1"/>
  <c r="I291" i="1"/>
  <c r="G325" i="1"/>
  <c r="F378" i="1"/>
  <c r="I143" i="1"/>
  <c r="Q534" i="1"/>
  <c r="N27" i="1"/>
  <c r="V13" i="1"/>
  <c r="I55" i="1"/>
  <c r="N41" i="1"/>
  <c r="O101" i="1"/>
  <c r="F27" i="1"/>
  <c r="A158" i="1"/>
  <c r="R24" i="1"/>
  <c r="Q279" i="1"/>
  <c r="C157" i="1"/>
  <c r="P258" i="1"/>
  <c r="E7" i="1"/>
  <c r="I317" i="1"/>
  <c r="K419" i="1"/>
  <c r="M372" i="1"/>
  <c r="A67" i="1"/>
  <c r="U317" i="1"/>
  <c r="K200" i="1"/>
  <c r="L340" i="1"/>
  <c r="D388" i="1"/>
  <c r="B109" i="1"/>
  <c r="E21" i="1"/>
  <c r="M54" i="1"/>
  <c r="H162" i="1"/>
  <c r="E231" i="1"/>
  <c r="M288" i="1"/>
  <c r="L29" i="1"/>
  <c r="F51" i="1"/>
  <c r="D200" i="1"/>
  <c r="H357" i="1"/>
  <c r="T441" i="1"/>
  <c r="S612" i="1"/>
  <c r="N132" i="1"/>
  <c r="N514" i="1"/>
  <c r="P188" i="1"/>
  <c r="M7" i="1"/>
  <c r="Q498" i="1"/>
  <c r="S272" i="1"/>
  <c r="D175" i="1"/>
  <c r="H108" i="1"/>
  <c r="U327" i="1"/>
  <c r="N469" i="1"/>
  <c r="L596" i="1"/>
  <c r="E40" i="1"/>
  <c r="V676" i="1"/>
  <c r="R130" i="1"/>
  <c r="C76" i="1"/>
  <c r="V416" i="1"/>
  <c r="S93" i="1"/>
  <c r="S97" i="1"/>
  <c r="M303" i="1"/>
  <c r="A531" i="1"/>
  <c r="L12" i="1"/>
  <c r="U321" i="1"/>
  <c r="H3" i="1"/>
  <c r="I11" i="1"/>
  <c r="V23" i="1"/>
  <c r="E389" i="1"/>
  <c r="J204" i="1"/>
  <c r="G33" i="1"/>
  <c r="U185" i="1"/>
  <c r="E50" i="1"/>
  <c r="R258" i="1"/>
  <c r="R315" i="1"/>
  <c r="C145" i="1"/>
  <c r="P101" i="1"/>
  <c r="T38" i="1"/>
  <c r="H4" i="1"/>
  <c r="G66" i="1"/>
  <c r="T307" i="1"/>
  <c r="A485" i="1"/>
  <c r="R87" i="1"/>
  <c r="D98" i="1"/>
  <c r="D225" i="1"/>
  <c r="G613" i="1"/>
  <c r="T6" i="1"/>
  <c r="B536" i="1"/>
  <c r="B455" i="1"/>
  <c r="B55" i="1"/>
  <c r="N54" i="1"/>
  <c r="A254" i="1"/>
  <c r="B495" i="1"/>
  <c r="E118" i="1"/>
  <c r="P107" i="1"/>
  <c r="T331" i="1"/>
  <c r="V53" i="1"/>
  <c r="F275" i="1"/>
  <c r="H192" i="1"/>
  <c r="I102" i="1"/>
  <c r="P93" i="1"/>
  <c r="Q107" i="1"/>
  <c r="R259" i="1"/>
  <c r="U12" i="1"/>
  <c r="I283" i="1"/>
  <c r="S449" i="1"/>
  <c r="B210" i="1"/>
  <c r="H54" i="1"/>
  <c r="A205" i="1"/>
  <c r="S443" i="1"/>
  <c r="F202" i="1"/>
  <c r="A208" i="1"/>
  <c r="D97" i="1"/>
  <c r="U76" i="1"/>
  <c r="G230" i="1"/>
  <c r="V174" i="1"/>
  <c r="O199" i="1"/>
  <c r="U377" i="1"/>
  <c r="U512" i="1"/>
  <c r="V71" i="1"/>
  <c r="O133" i="1"/>
  <c r="E538" i="1"/>
  <c r="A539" i="1"/>
  <c r="C132" i="1"/>
  <c r="G493" i="1"/>
  <c r="M369" i="1"/>
  <c r="B34" i="1"/>
  <c r="Q458" i="1"/>
  <c r="I28" i="1"/>
  <c r="S120" i="1"/>
  <c r="T213" i="1"/>
  <c r="I192" i="1"/>
  <c r="B365" i="1"/>
  <c r="B177" i="1"/>
  <c r="R322" i="1"/>
  <c r="D62" i="1"/>
  <c r="U156" i="1"/>
  <c r="S181" i="1"/>
  <c r="H163" i="1"/>
  <c r="I438" i="1"/>
  <c r="H343" i="1"/>
  <c r="Q93" i="1"/>
  <c r="T187" i="1"/>
  <c r="M441" i="1"/>
  <c r="O88" i="1"/>
  <c r="L441" i="1"/>
  <c r="D349" i="1"/>
  <c r="I383" i="1"/>
  <c r="A367" i="1"/>
  <c r="A117" i="1"/>
  <c r="N76" i="1"/>
  <c r="A75" i="1"/>
  <c r="D91" i="1"/>
  <c r="D372" i="1"/>
  <c r="D277" i="1"/>
  <c r="D205" i="1"/>
  <c r="B49" i="1"/>
  <c r="T118" i="1"/>
  <c r="A55" i="1"/>
  <c r="T240" i="1"/>
  <c r="T190" i="1"/>
  <c r="S190" i="1"/>
  <c r="A53" i="1"/>
  <c r="B390" i="1"/>
  <c r="G257" i="1"/>
  <c r="G144" i="1"/>
  <c r="T578" i="1"/>
  <c r="N181" i="1"/>
  <c r="T72" i="1"/>
  <c r="P580" i="1"/>
  <c r="I76" i="1"/>
  <c r="D160" i="1"/>
  <c r="P192" i="1"/>
  <c r="S118" i="1"/>
  <c r="C272" i="1"/>
  <c r="B607" i="1"/>
  <c r="N222" i="1"/>
  <c r="B7" i="1"/>
  <c r="K310" i="1"/>
  <c r="J318" i="1"/>
  <c r="I513" i="1"/>
  <c r="R397" i="1"/>
  <c r="G359" i="1"/>
  <c r="U106" i="1"/>
  <c r="T579" i="1"/>
  <c r="I853" i="1"/>
  <c r="R357" i="1"/>
  <c r="G353" i="1"/>
  <c r="I525" i="1"/>
  <c r="I645" i="1"/>
  <c r="T507" i="1"/>
  <c r="T583" i="1"/>
  <c r="I585" i="1"/>
  <c r="U320" i="1"/>
  <c r="T513" i="1"/>
  <c r="R351" i="1"/>
  <c r="T643" i="1"/>
  <c r="G393" i="1"/>
  <c r="T843" i="1"/>
  <c r="G371" i="1"/>
  <c r="J376" i="1"/>
  <c r="I507" i="1"/>
  <c r="I579" i="1"/>
  <c r="I567" i="1"/>
  <c r="I865" i="1"/>
  <c r="J358" i="1"/>
  <c r="U152" i="1"/>
  <c r="T659" i="1"/>
  <c r="T577" i="1"/>
  <c r="I857" i="1"/>
  <c r="T855" i="1"/>
  <c r="J320" i="1"/>
  <c r="U300" i="1"/>
  <c r="T565" i="1"/>
  <c r="G399" i="1"/>
  <c r="U376" i="1"/>
  <c r="T637" i="1"/>
  <c r="I769" i="1"/>
  <c r="G373" i="1"/>
  <c r="T633" i="1"/>
  <c r="G357" i="1"/>
  <c r="T769" i="1"/>
  <c r="J278" i="1"/>
  <c r="G403" i="1"/>
  <c r="I569" i="1"/>
  <c r="I903" i="1"/>
  <c r="R395" i="1"/>
  <c r="I581" i="1"/>
  <c r="I655" i="1"/>
  <c r="J586" i="1"/>
  <c r="R415" i="1"/>
  <c r="T571" i="1"/>
  <c r="G369" i="1"/>
  <c r="G407" i="1"/>
  <c r="U640" i="1"/>
  <c r="I651" i="1"/>
  <c r="I555" i="1"/>
  <c r="J484" i="1"/>
  <c r="I551" i="1"/>
  <c r="R345" i="1"/>
  <c r="U568" i="1"/>
  <c r="T671" i="1"/>
  <c r="R355" i="1"/>
  <c r="T559" i="1"/>
  <c r="R341" i="1"/>
  <c r="I515" i="1"/>
  <c r="R377" i="1"/>
  <c r="G405" i="1"/>
  <c r="J126" i="1"/>
  <c r="G361" i="1"/>
  <c r="R367" i="1"/>
  <c r="R387" i="1"/>
  <c r="I843" i="1"/>
  <c r="I517" i="1"/>
  <c r="T901" i="1"/>
  <c r="J276" i="1"/>
  <c r="T555" i="1"/>
  <c r="T665" i="1"/>
  <c r="I563" i="1"/>
  <c r="I633" i="1"/>
  <c r="R419" i="1"/>
  <c r="I653" i="1"/>
  <c r="I647" i="1"/>
  <c r="G343" i="1"/>
  <c r="R365" i="1"/>
  <c r="J446" i="1"/>
  <c r="I571" i="1"/>
  <c r="I657" i="1"/>
  <c r="R363" i="1"/>
  <c r="I861" i="1"/>
  <c r="U502" i="1"/>
  <c r="U504" i="1"/>
  <c r="T557" i="1"/>
  <c r="T521" i="1"/>
  <c r="J130" i="1"/>
  <c r="R359" i="1"/>
  <c r="I521" i="1"/>
  <c r="I577" i="1"/>
  <c r="G411" i="1"/>
  <c r="U424" i="1"/>
  <c r="U126" i="1"/>
  <c r="I867" i="1"/>
  <c r="R381" i="1"/>
  <c r="U104" i="1"/>
  <c r="J356" i="1"/>
  <c r="G341" i="1"/>
  <c r="J508" i="1"/>
  <c r="G367" i="1"/>
  <c r="T561" i="1"/>
  <c r="U356" i="1"/>
  <c r="T865" i="1"/>
  <c r="T657" i="1"/>
  <c r="R401" i="1"/>
  <c r="U660" i="1"/>
  <c r="J566" i="1"/>
  <c r="T879" i="1"/>
  <c r="I899" i="1"/>
  <c r="I549" i="1"/>
  <c r="I659" i="1"/>
  <c r="J660" i="1"/>
  <c r="G385" i="1"/>
  <c r="I661" i="1"/>
  <c r="G415" i="1"/>
  <c r="R385" i="1"/>
  <c r="T519" i="1"/>
  <c r="R343" i="1"/>
  <c r="T661" i="1"/>
  <c r="U132" i="1"/>
  <c r="G347" i="1"/>
  <c r="R375" i="1"/>
  <c r="G377" i="1"/>
  <c r="U482" i="1"/>
  <c r="T587" i="1"/>
  <c r="T877" i="1"/>
  <c r="G397" i="1"/>
  <c r="J426" i="1"/>
  <c r="T881" i="1"/>
  <c r="J300" i="1"/>
  <c r="T859" i="1"/>
  <c r="T767" i="1"/>
  <c r="T645" i="1"/>
  <c r="T861" i="1"/>
  <c r="I855" i="1"/>
  <c r="I665" i="1"/>
  <c r="T667" i="1"/>
  <c r="I671" i="1"/>
  <c r="U358" i="1"/>
  <c r="U530" i="1"/>
  <c r="G345" i="1"/>
  <c r="U130" i="1"/>
  <c r="J150" i="1"/>
  <c r="T553" i="1"/>
  <c r="J504" i="1"/>
  <c r="J510" i="1"/>
  <c r="G419" i="1"/>
  <c r="J106" i="1"/>
  <c r="U508" i="1"/>
  <c r="I559" i="1"/>
  <c r="R339" i="1"/>
  <c r="J482" i="1"/>
  <c r="G363" i="1"/>
  <c r="I851" i="1"/>
  <c r="T875" i="1"/>
  <c r="I847" i="1"/>
  <c r="I587" i="1"/>
  <c r="J378" i="1"/>
  <c r="J424" i="1"/>
  <c r="G409" i="1"/>
  <c r="R373" i="1"/>
  <c r="J640" i="1"/>
  <c r="I859" i="1"/>
  <c r="I669" i="1"/>
  <c r="T523" i="1"/>
  <c r="I881" i="1"/>
  <c r="T517" i="1"/>
  <c r="T581" i="1"/>
  <c r="U278" i="1"/>
  <c r="U586" i="1"/>
  <c r="R403" i="1"/>
  <c r="I667" i="1"/>
  <c r="U150" i="1"/>
  <c r="I561" i="1"/>
  <c r="T849" i="1"/>
  <c r="J588" i="1"/>
  <c r="I663" i="1"/>
  <c r="J132" i="1"/>
  <c r="T549" i="1"/>
  <c r="J258" i="1"/>
  <c r="I775" i="1"/>
  <c r="T847" i="1"/>
  <c r="T775" i="1"/>
  <c r="R391" i="1"/>
  <c r="R383" i="1"/>
  <c r="R361" i="1"/>
  <c r="U378" i="1"/>
  <c r="R389" i="1"/>
  <c r="R369" i="1"/>
  <c r="J298" i="1"/>
  <c r="J638" i="1"/>
  <c r="I777" i="1"/>
  <c r="U298" i="1"/>
  <c r="R417" i="1"/>
  <c r="J444" i="1"/>
  <c r="U258" i="1"/>
  <c r="U528" i="1"/>
  <c r="R349" i="1"/>
  <c r="T863" i="1"/>
  <c r="G401" i="1"/>
  <c r="T669" i="1"/>
  <c r="I573" i="1"/>
  <c r="I583" i="1"/>
  <c r="T663" i="1"/>
  <c r="R411" i="1"/>
  <c r="R407" i="1"/>
  <c r="G375" i="1"/>
  <c r="T655" i="1"/>
  <c r="T569" i="1"/>
  <c r="G349" i="1"/>
  <c r="T551" i="1"/>
  <c r="U276" i="1"/>
  <c r="U318" i="1"/>
  <c r="T857" i="1"/>
  <c r="J104" i="1"/>
  <c r="T647" i="1"/>
  <c r="I553" i="1"/>
  <c r="T511" i="1"/>
  <c r="I509" i="1"/>
  <c r="I557" i="1"/>
  <c r="T777" i="1"/>
  <c r="T649" i="1"/>
  <c r="U638" i="1"/>
  <c r="T635" i="1"/>
  <c r="I877" i="1"/>
  <c r="T575" i="1"/>
  <c r="R347" i="1"/>
  <c r="G381" i="1"/>
  <c r="G365" i="1"/>
  <c r="J152" i="1"/>
  <c r="T525" i="1"/>
  <c r="T845" i="1"/>
  <c r="T563" i="1"/>
  <c r="I863" i="1"/>
  <c r="G351" i="1"/>
  <c r="R353" i="1"/>
  <c r="U588" i="1"/>
  <c r="T851" i="1"/>
  <c r="U256" i="1"/>
  <c r="I637" i="1"/>
  <c r="I639" i="1"/>
  <c r="T853" i="1"/>
  <c r="G339" i="1"/>
  <c r="U658" i="1"/>
  <c r="U124" i="1"/>
  <c r="J502" i="1"/>
  <c r="I871" i="1"/>
  <c r="T873" i="1"/>
  <c r="T651" i="1"/>
  <c r="T899" i="1"/>
  <c r="U566" i="1"/>
  <c r="U444" i="1"/>
  <c r="I511" i="1"/>
  <c r="I875" i="1"/>
  <c r="T509" i="1"/>
  <c r="T653" i="1"/>
  <c r="T871" i="1"/>
  <c r="J528" i="1"/>
  <c r="T903" i="1"/>
  <c r="R405" i="1"/>
  <c r="R409" i="1"/>
  <c r="I869" i="1"/>
  <c r="T641" i="1"/>
  <c r="G391" i="1"/>
  <c r="U446" i="1"/>
  <c r="T515" i="1"/>
  <c r="U484" i="1"/>
  <c r="G387" i="1"/>
  <c r="U426" i="1"/>
  <c r="T585" i="1"/>
  <c r="R399" i="1"/>
  <c r="G413" i="1"/>
  <c r="I641" i="1"/>
  <c r="I849" i="1"/>
  <c r="I649" i="1"/>
  <c r="G417" i="1"/>
  <c r="I845" i="1"/>
  <c r="J530" i="1"/>
  <c r="R371" i="1"/>
  <c r="I901" i="1"/>
  <c r="T867" i="1"/>
  <c r="U510" i="1"/>
  <c r="R393" i="1"/>
  <c r="G383" i="1"/>
  <c r="R413" i="1"/>
  <c r="I575" i="1"/>
  <c r="J658" i="1"/>
  <c r="I519" i="1"/>
  <c r="I643" i="1"/>
  <c r="J568" i="1"/>
  <c r="J256" i="1"/>
  <c r="G355" i="1"/>
  <c r="J124" i="1"/>
  <c r="I635" i="1"/>
  <c r="I873" i="1"/>
  <c r="I565" i="1"/>
  <c r="G395" i="1"/>
  <c r="T869" i="1"/>
  <c r="T639" i="1"/>
  <c r="T567" i="1"/>
  <c r="G389" i="1"/>
  <c r="I879" i="1"/>
  <c r="T573" i="1"/>
</calcChain>
</file>

<file path=xl/sharedStrings.xml><?xml version="1.0" encoding="utf-8"?>
<sst xmlns="http://schemas.openxmlformats.org/spreadsheetml/2006/main" count="22" uniqueCount="22">
  <si>
    <t>SPY1504172000p540</t>
  </si>
  <si>
    <t>SPY1504242000p540</t>
  </si>
  <si>
    <t>SPY1505012000p540</t>
  </si>
  <si>
    <t>SPY1505082000p540</t>
  </si>
  <si>
    <t>SPY1505152000p540</t>
  </si>
  <si>
    <t>SPY1505222000p540</t>
  </si>
  <si>
    <t>SPY1505292000p540</t>
  </si>
  <si>
    <t>SPY1506192000p540</t>
  </si>
  <si>
    <t>SPY1506302000p540</t>
  </si>
  <si>
    <t>SPY1507172000p540</t>
  </si>
  <si>
    <t>SPY1509182000p540</t>
  </si>
  <si>
    <t>SPY1509302000p540</t>
  </si>
  <si>
    <t>SPY1512192000p540</t>
  </si>
  <si>
    <t>SPY1512312000p540</t>
  </si>
  <si>
    <t>SPY1601152000p540</t>
  </si>
  <si>
    <t>SPY1603182000p540</t>
  </si>
  <si>
    <t>SPY1606172000p540</t>
  </si>
  <si>
    <t>SPY1609162000p540</t>
  </si>
  <si>
    <t>SPY1612162000p540</t>
  </si>
  <si>
    <t>SPY1701202000p540</t>
  </si>
  <si>
    <t>SPY1703172000p540</t>
  </si>
  <si>
    <t>SPY1712152000p540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</si>
</sst>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VEGA</stp>
        <stp>.SPY160318C203.5</stp>
        <tr r="J640" s="1"/>
      </tp>
      <tp t="s">
        <v>N/A</v>
        <stp/>
        <stp>VEGA</stp>
        <stp>.SPY160318C213.5</stp>
        <tr r="J660" s="1"/>
      </tp>
      <tp t="s">
        <v>N/A</v>
        <stp/>
        <stp>VEGA</stp>
        <stp>.SPY150619C201.5</stp>
        <tr r="J300" s="1"/>
      </tp>
      <tp t="s">
        <v>N/A</v>
        <stp/>
        <stp>VEGA</stp>
        <stp>.SPY150619C211.5</stp>
        <tr r="J320" s="1"/>
      </tp>
      <tp t="s">
        <v>N/A</v>
        <stp/>
        <stp>VEGA</stp>
        <stp>.SPY150630C208.5</stp>
        <tr r="J356" s="1"/>
      </tp>
      <tp t="s">
        <v>N/A</v>
        <stp/>
        <stp>VEGA</stp>
        <stp>.SPY150630C218.5</stp>
        <tr r="J376" s="1"/>
      </tp>
      <tp t="s">
        <v>N/A</v>
        <stp/>
        <stp>VEGA</stp>
        <stp>.SPY150501C219.5</stp>
        <tr r="J126" s="1"/>
      </tp>
      <tp>
        <v>9.3130000000000004E-2</v>
        <stp/>
        <stp>VEGA</stp>
        <stp>.SPY150508C210.5</stp>
        <tr r="J150" s="1"/>
      </tp>
      <tp t="s">
        <v>N/A</v>
        <stp/>
        <stp>VEGA</stp>
        <stp>.SPY150501C209.5</stp>
        <tr r="J106" s="1"/>
      </tp>
      <tp>
        <v>2.1530000000000001E-2</v>
        <stp/>
        <stp>VEGA</stp>
        <stp>.SPY150508C200.5</stp>
        <tr r="J130" s="1"/>
      </tp>
      <tp>
        <v>0.22463</v>
        <stp/>
        <stp>VEGA</stp>
        <stp>.SPY150529C211.5</stp>
        <tr r="J278" s="1"/>
      </tp>
      <tp>
        <v>0.11792</v>
        <stp/>
        <stp>VEGA</stp>
        <stp>.SPY150529C201.5</stp>
        <tr r="J258" s="1"/>
      </tp>
      <tp t="s">
        <v>N/A</v>
        <stp/>
        <stp>VEGA</stp>
        <stp>.SPY150918C200.5</stp>
        <tr r="J424" s="1"/>
      </tp>
      <tp t="s">
        <v>N/A</v>
        <stp/>
        <stp>VEGA</stp>
        <stp>.SPY150918C210.5</stp>
        <tr r="J444" s="1"/>
      </tp>
      <tp t="s">
        <v>N/A</v>
        <stp/>
        <stp>VEGA</stp>
        <stp>.SPY150930C208.5</stp>
        <tr r="J482" s="1"/>
      </tp>
      <tp t="s">
        <v>N/A</v>
        <stp/>
        <stp>VEGA</stp>
        <stp>.SPY150930C218.5</stp>
        <tr r="J502" s="1"/>
      </tp>
      <tp t="s">
        <v>N/A</v>
        <stp/>
        <stp>VEGA</stp>
        <stp>.SPY151219C201.5</stp>
        <tr r="J510" s="1"/>
      </tp>
      <tp t="s">
        <v>N/A</v>
        <stp/>
        <stp>VEGA</stp>
        <stp>.SPY151219C211.5</stp>
        <tr r="J530" s="1"/>
      </tp>
      <tp t="s">
        <v>N/A</v>
        <stp/>
        <stp>VEGA</stp>
        <stp>.SPY151231C209.5</stp>
        <tr r="J568" s="1"/>
      </tp>
      <tp t="s">
        <v>N/A</v>
        <stp/>
        <stp>VEGA</stp>
        <stp>.SPY151231C219.5</stp>
        <tr r="J588" s="1"/>
      </tp>
      <tp t="s">
        <v>N/A</v>
        <stp/>
        <stp>VEGA</stp>
        <stp>.SPY151219P201.5</stp>
        <tr r="U510" s="1"/>
      </tp>
      <tp t="s">
        <v>N/A</v>
        <stp/>
        <stp>VEGA</stp>
        <stp>.SPY151219P211.5</stp>
        <tr r="U530" s="1"/>
      </tp>
      <tp t="s">
        <v>N/A</v>
        <stp/>
        <stp>VEGA</stp>
        <stp>.SPY151231P209.5</stp>
        <tr r="U568" s="1"/>
      </tp>
      <tp t="s">
        <v>N/A</v>
        <stp/>
        <stp>VEGA</stp>
        <stp>.SPY151231P219.5</stp>
        <tr r="U588" s="1"/>
      </tp>
      <tp t="s">
        <v>N/A</v>
        <stp/>
        <stp>VEGA</stp>
        <stp>.SPY160318P203.5</stp>
        <tr r="U640" s="1"/>
      </tp>
      <tp t="s">
        <v>N/A</v>
        <stp/>
        <stp>VEGA</stp>
        <stp>.SPY160318P213.5</stp>
        <tr r="U660" s="1"/>
      </tp>
      <tp t="s">
        <v>N/A</v>
        <stp/>
        <stp>VEGA</stp>
        <stp>.SPY150619P201.5</stp>
        <tr r="U300" s="1"/>
      </tp>
      <tp t="s">
        <v>N/A</v>
        <stp/>
        <stp>VEGA</stp>
        <stp>.SPY150619P211.5</stp>
        <tr r="U320" s="1"/>
      </tp>
      <tp t="s">
        <v>N/A</v>
        <stp/>
        <stp>VEGA</stp>
        <stp>.SPY150630P208.5</stp>
        <tr r="U356" s="1"/>
      </tp>
      <tp t="s">
        <v>N/A</v>
        <stp/>
        <stp>VEGA</stp>
        <stp>.SPY150630P218.5</stp>
        <tr r="U376" s="1"/>
      </tp>
      <tp t="s">
        <v>N/A</v>
        <stp/>
        <stp>VEGA</stp>
        <stp>.SPY150501P219.5</stp>
        <tr r="U126" s="1"/>
      </tp>
      <tp>
        <v>9.2789999999999997E-2</v>
        <stp/>
        <stp>VEGA</stp>
        <stp>.SPY150508P210.5</stp>
        <tr r="U150" s="1"/>
      </tp>
      <tp t="s">
        <v>N/A</v>
        <stp/>
        <stp>VEGA</stp>
        <stp>.SPY150501P209.5</stp>
        <tr r="U106" s="1"/>
      </tp>
      <tp>
        <v>8.7200000000000003E-3</v>
        <stp/>
        <stp>VEGA</stp>
        <stp>.SPY150508P200.5</stp>
        <tr r="U130" s="1"/>
      </tp>
      <tp>
        <v>0.22467000000000001</v>
        <stp/>
        <stp>VEGA</stp>
        <stp>.SPY150529P211.5</stp>
        <tr r="U278" s="1"/>
      </tp>
      <tp>
        <v>0.1069</v>
        <stp/>
        <stp>VEGA</stp>
        <stp>.SPY150529P201.5</stp>
        <tr r="U258" s="1"/>
      </tp>
      <tp t="s">
        <v>N/A</v>
        <stp/>
        <stp>VEGA</stp>
        <stp>.SPY150918P200.5</stp>
        <tr r="U424" s="1"/>
      </tp>
      <tp t="s">
        <v>N/A</v>
        <stp/>
        <stp>VEGA</stp>
        <stp>.SPY150918P210.5</stp>
        <tr r="U444" s="1"/>
      </tp>
      <tp t="s">
        <v>N/A</v>
        <stp/>
        <stp>VEGA</stp>
        <stp>.SPY150930P208.5</stp>
        <tr r="U482" s="1"/>
      </tp>
      <tp t="s">
        <v>N/A</v>
        <stp/>
        <stp>VEGA</stp>
        <stp>.SPY150930P218.5</stp>
        <tr r="U502" s="1"/>
      </tp>
      <tp t="s">
        <v>N/A</v>
        <stp/>
        <stp>GAMMA</stp>
        <stp>.SPY160318P203</stp>
        <tr r="T639" s="1"/>
      </tp>
      <tp t="s">
        <v>N/A</v>
        <stp/>
        <stp>GAMMA</stp>
        <stp>.SPY160318C203</stp>
        <tr r="I639" s="1"/>
      </tp>
      <tp t="s">
        <v>N/A</v>
        <stp/>
        <stp>GAMMA</stp>
        <stp>.SPY160318P202</stp>
        <tr r="T637" s="1"/>
      </tp>
      <tp t="s">
        <v>N/A</v>
        <stp/>
        <stp>GAMMA</stp>
        <stp>.SPY160318C202</stp>
        <tr r="I637" s="1"/>
      </tp>
      <tp t="s">
        <v>N/A</v>
        <stp/>
        <stp>GAMMA</stp>
        <stp>.SPY160318P201</stp>
        <tr r="T635" s="1"/>
      </tp>
      <tp t="s">
        <v>N/A</v>
        <stp/>
        <stp>GAMMA</stp>
        <stp>.SPY160318C201</stp>
        <tr r="I635" s="1"/>
      </tp>
      <tp>
        <v>1.059E-2</v>
        <stp/>
        <stp>GAMMA</stp>
        <stp>.SPY160318P200</stp>
        <tr r="T633" s="1"/>
      </tp>
      <tp>
        <v>1.137E-2</v>
        <stp/>
        <stp>GAMMA</stp>
        <stp>.SPY160318C200</stp>
        <tr r="I633" s="1"/>
      </tp>
      <tp t="s">
        <v>N/A</v>
        <stp/>
        <stp>GAMMA</stp>
        <stp>.SPY160318P207</stp>
        <tr r="T647" s="1"/>
      </tp>
      <tp t="s">
        <v>N/A</v>
        <stp/>
        <stp>GAMMA</stp>
        <stp>.SPY170317P209</stp>
        <tr r="T861" s="1"/>
      </tp>
      <tp t="s">
        <v>N/A</v>
        <stp/>
        <stp>GAMMA</stp>
        <stp>.SPY160318C207</stp>
        <tr r="I647" s="1"/>
      </tp>
      <tp t="s">
        <v>N/A</v>
        <stp/>
        <stp>GAMMA</stp>
        <stp>.SPY170317C209</stp>
        <tr r="I861" s="1"/>
      </tp>
      <tp t="s">
        <v>N/A</v>
        <stp/>
        <stp>GAMMA</stp>
        <stp>.SPY160318P206</stp>
        <tr r="T645" s="1"/>
      </tp>
      <tp t="s">
        <v>N/A</v>
        <stp/>
        <stp>GAMMA</stp>
        <stp>.SPY170317P208</stp>
        <tr r="T859" s="1"/>
      </tp>
      <tp t="s">
        <v>N/A</v>
        <stp/>
        <stp>GAMMA</stp>
        <stp>.SPY160318C206</stp>
        <tr r="I645" s="1"/>
      </tp>
      <tp t="s">
        <v>N/A</v>
        <stp/>
        <stp>GAMMA</stp>
        <stp>.SPY170317C208</stp>
        <tr r="I859" s="1"/>
      </tp>
      <tp>
        <v>1.1599999999999999E-2</v>
        <stp/>
        <stp>GAMMA</stp>
        <stp>.SPY160318P205</stp>
        <tr r="T643" s="1"/>
      </tp>
      <tp>
        <v>1.2319999999999999E-2</v>
        <stp/>
        <stp>GAMMA</stp>
        <stp>.SPY160318C205</stp>
        <tr r="I643" s="1"/>
      </tp>
      <tp t="s">
        <v>N/A</v>
        <stp/>
        <stp>GAMMA</stp>
        <stp>.SPY160318P204</stp>
        <tr r="T641" s="1"/>
      </tp>
      <tp t="s">
        <v>N/A</v>
        <stp/>
        <stp>GAMMA</stp>
        <stp>.SPY160318C204</stp>
        <tr r="I641" s="1"/>
      </tp>
      <tp>
        <v>7.4400000000000004E-3</v>
        <stp/>
        <stp>GAMMA</stp>
        <stp>.SPY170317P205</stp>
        <tr r="T853" s="1"/>
      </tp>
      <tp>
        <v>7.62E-3</v>
        <stp/>
        <stp>GAMMA</stp>
        <stp>.SPY170317C205</stp>
        <tr r="I853" s="1"/>
      </tp>
      <tp t="s">
        <v>N/A</v>
        <stp/>
        <stp>GAMMA</stp>
        <stp>.SPY170317P204</stp>
        <tr r="T851" s="1"/>
      </tp>
      <tp t="s">
        <v>N/A</v>
        <stp/>
        <stp>GAMMA</stp>
        <stp>.SPY170317C204</stp>
        <tr r="I851" s="1"/>
      </tp>
      <tp t="s">
        <v>N/A</v>
        <stp/>
        <stp>GAMMA</stp>
        <stp>.SPY160318P209</stp>
        <tr r="T651" s="1"/>
      </tp>
      <tp t="s">
        <v>N/A</v>
        <stp/>
        <stp>GAMMA</stp>
        <stp>.SPY170317P207</stp>
        <tr r="T857" s="1"/>
      </tp>
      <tp t="s">
        <v>N/A</v>
        <stp/>
        <stp>GAMMA</stp>
        <stp>.SPY160318C209</stp>
        <tr r="I651" s="1"/>
      </tp>
      <tp t="s">
        <v>N/A</v>
        <stp/>
        <stp>GAMMA</stp>
        <stp>.SPY170317C207</stp>
        <tr r="I857" s="1"/>
      </tp>
      <tp t="s">
        <v>N/A</v>
        <stp/>
        <stp>GAMMA</stp>
        <stp>.SPY160318P208</stp>
        <tr r="T649" s="1"/>
      </tp>
      <tp t="s">
        <v>N/A</v>
        <stp/>
        <stp>GAMMA</stp>
        <stp>.SPY170317P206</stp>
        <tr r="T855" s="1"/>
      </tp>
      <tp t="s">
        <v>N/A</v>
        <stp/>
        <stp>GAMMA</stp>
        <stp>.SPY160318C208</stp>
        <tr r="I649" s="1"/>
      </tp>
      <tp t="s">
        <v>N/A</v>
        <stp/>
        <stp>GAMMA</stp>
        <stp>.SPY170317C206</stp>
        <tr r="I855" s="1"/>
      </tp>
      <tp t="s">
        <v>N/A</v>
        <stp/>
        <stp>GAMMA</stp>
        <stp>.SPY170317P201</stp>
        <tr r="T845" s="1"/>
      </tp>
      <tp t="s">
        <v>N/A</v>
        <stp/>
        <stp>GAMMA</stp>
        <stp>.SPY170317C201</stp>
        <tr r="I845" s="1"/>
      </tp>
      <tp>
        <v>7.0499999999999998E-3</v>
        <stp/>
        <stp>GAMMA</stp>
        <stp>.SPY170317P200</stp>
        <tr r="T843" s="1"/>
      </tp>
      <tp>
        <v>7.3299999999999997E-3</v>
        <stp/>
        <stp>GAMMA</stp>
        <stp>.SPY170317C200</stp>
        <tr r="I843" s="1"/>
      </tp>
      <tp t="s">
        <v>N/A</v>
        <stp/>
        <stp>GAMMA</stp>
        <stp>.SPY170317P203</stp>
        <tr r="T849" s="1"/>
      </tp>
      <tp t="s">
        <v>N/A</v>
        <stp/>
        <stp>GAMMA</stp>
        <stp>.SPY170317C203</stp>
        <tr r="I849" s="1"/>
      </tp>
      <tp t="s">
        <v>N/A</v>
        <stp/>
        <stp>GAMMA</stp>
        <stp>.SPY170317P202</stp>
        <tr r="T847" s="1"/>
      </tp>
      <tp t="s">
        <v>N/A</v>
        <stp/>
        <stp>GAMMA</stp>
        <stp>.SPY170317C202</stp>
        <tr r="I847" s="1"/>
      </tp>
      <tp>
        <v>-0.67010999999999998</v>
        <stp/>
        <stp>DELTA</stp>
        <stp>.SPY150717P216</stp>
        <tr r="R413" s="1"/>
      </tp>
      <tp>
        <v>0.31756000000000001</v>
        <stp/>
        <stp>DELTA</stp>
        <stp>.SPY150717C216</stp>
        <tr r="G413" s="1"/>
      </tp>
      <tp>
        <v>-0.70652999999999999</v>
        <stp/>
        <stp>DELTA</stp>
        <stp>.SPY150717P217</stp>
        <tr r="R415" s="1"/>
      </tp>
      <tp>
        <v>0.27743000000000001</v>
        <stp/>
        <stp>DELTA</stp>
        <stp>.SPY150717C217</stp>
        <tr r="G415" s="1"/>
      </tp>
      <tp>
        <v>-0.59687999999999997</v>
        <stp/>
        <stp>DELTA</stp>
        <stp>.SPY150717P214</stp>
        <tr r="R409" s="1"/>
      </tp>
      <tp>
        <v>0.39700999999999997</v>
        <stp/>
        <stp>DELTA</stp>
        <stp>.SPY150717C214</stp>
        <tr r="G409" s="1"/>
      </tp>
      <tp>
        <v>-0.63312000000000002</v>
        <stp/>
        <stp>DELTA</stp>
        <stp>.SPY150717P215</stp>
        <tr r="R411" s="1"/>
      </tp>
      <tp>
        <v>0.35753000000000001</v>
        <stp/>
        <stp>DELTA</stp>
        <stp>.SPY150717C215</stp>
        <tr r="G411" s="1"/>
      </tp>
      <tp>
        <v>-0.52605000000000002</v>
        <stp/>
        <stp>DELTA</stp>
        <stp>.SPY150717P212</stp>
        <tr r="R405" s="1"/>
      </tp>
      <tp>
        <v>0.47223999999999999</v>
        <stp/>
        <stp>DELTA</stp>
        <stp>.SPY150717C212</stp>
        <tr r="G405" s="1"/>
      </tp>
      <tp>
        <v>-0.56044000000000005</v>
        <stp/>
        <stp>DELTA</stp>
        <stp>.SPY150717P213</stp>
        <tr r="R407" s="1"/>
      </tp>
      <tp>
        <v>0.43525999999999998</v>
        <stp/>
        <stp>DELTA</stp>
        <stp>.SPY150717C213</stp>
        <tr r="G407" s="1"/>
      </tp>
      <tp>
        <v>-0.46079999999999999</v>
        <stp/>
        <stp>DELTA</stp>
        <stp>.SPY150717P210</stp>
        <tr r="R401" s="1"/>
      </tp>
      <tp>
        <v>0.54090000000000005</v>
        <stp/>
        <stp>DELTA</stp>
        <stp>.SPY150717C210</stp>
        <tr r="G401" s="1"/>
      </tp>
      <tp>
        <v>-0.49274000000000001</v>
        <stp/>
        <stp>DELTA</stp>
        <stp>.SPY150717P211</stp>
        <tr r="R403" s="1"/>
      </tp>
      <tp>
        <v>0.50744</v>
        <stp/>
        <stp>DELTA</stp>
        <stp>.SPY150717C211</stp>
        <tr r="G403" s="1"/>
      </tp>
      <tp>
        <v>-0.74099000000000004</v>
        <stp/>
        <stp>DELTA</stp>
        <stp>.SPY150717P218</stp>
        <tr r="R417" s="1"/>
      </tp>
      <tp>
        <v>0.23763000000000001</v>
        <stp/>
        <stp>DELTA</stp>
        <stp>.SPY150717C218</stp>
        <tr r="G417" s="1"/>
      </tp>
      <tp>
        <v>-0.77354999999999996</v>
        <stp/>
        <stp>DELTA</stp>
        <stp>.SPY150717P219</stp>
        <tr r="R419" s="1"/>
      </tp>
      <tp>
        <v>0.2011</v>
        <stp/>
        <stp>DELTA</stp>
        <stp>.SPY150717C219</stp>
        <tr r="G419" s="1"/>
      </tp>
      <tp t="s">
        <v>N/A</v>
        <stp/>
        <stp>GAMMA</stp>
        <stp>.SPY160318P213</stp>
        <tr r="T659" s="1"/>
      </tp>
      <tp t="s">
        <v>N/A</v>
        <stp/>
        <stp>GAMMA</stp>
        <stp>.SPY160318C213</stp>
        <tr r="I659" s="1"/>
      </tp>
      <tp t="s">
        <v>N/A</v>
        <stp/>
        <stp>GAMMA</stp>
        <stp>.SPY160318P212</stp>
        <tr r="T657" s="1"/>
      </tp>
      <tp t="s">
        <v>N/A</v>
        <stp/>
        <stp>GAMMA</stp>
        <stp>.SPY160318C212</stp>
        <tr r="I657" s="1"/>
      </tp>
      <tp t="s">
        <v>N/A</v>
        <stp/>
        <stp>GAMMA</stp>
        <stp>.SPY160318P211</stp>
        <tr r="T655" s="1"/>
      </tp>
      <tp t="s">
        <v>N/A</v>
        <stp/>
        <stp>GAMMA</stp>
        <stp>.SPY160318C211</stp>
        <tr r="I655" s="1"/>
      </tp>
      <tp>
        <v>1.2449999999999999E-2</v>
        <stp/>
        <stp>GAMMA</stp>
        <stp>.SPY160318P210</stp>
        <tr r="T653" s="1"/>
      </tp>
      <tp>
        <v>1.3129999999999999E-2</v>
        <stp/>
        <stp>GAMMA</stp>
        <stp>.SPY160318C210</stp>
        <tr r="I653" s="1"/>
      </tp>
      <tp t="s">
        <v>N/A</v>
        <stp/>
        <stp>GAMMA</stp>
        <stp>.SPY160318P217</stp>
        <tr r="T667" s="1"/>
      </tp>
      <tp t="s">
        <v>N/A</v>
        <stp/>
        <stp>GAMMA</stp>
        <stp>.SPY170317P219</stp>
        <tr r="T881" s="1"/>
      </tp>
      <tp t="s">
        <v>N/A</v>
        <stp/>
        <stp>GAMMA</stp>
        <stp>.SPY160318C217</stp>
        <tr r="I667" s="1"/>
      </tp>
      <tp t="s">
        <v>N/A</v>
        <stp/>
        <stp>GAMMA</stp>
        <stp>.SPY170317C219</stp>
        <tr r="I881" s="1"/>
      </tp>
      <tp t="s">
        <v>N/A</v>
        <stp/>
        <stp>GAMMA</stp>
        <stp>.SPY160318P216</stp>
        <tr r="T665" s="1"/>
      </tp>
      <tp t="s">
        <v>N/A</v>
        <stp/>
        <stp>GAMMA</stp>
        <stp>.SPY170317P218</stp>
        <tr r="T879" s="1"/>
      </tp>
      <tp t="s">
        <v>N/A</v>
        <stp/>
        <stp>GAMMA</stp>
        <stp>.SPY160318C216</stp>
        <tr r="I665" s="1"/>
      </tp>
      <tp t="s">
        <v>N/A</v>
        <stp/>
        <stp>GAMMA</stp>
        <stp>.SPY170317C218</stp>
        <tr r="I879" s="1"/>
      </tp>
      <tp>
        <v>1.3010000000000001E-2</v>
        <stp/>
        <stp>GAMMA</stp>
        <stp>.SPY160318P215</stp>
        <tr r="T663" s="1"/>
      </tp>
      <tp>
        <v>1.3610000000000001E-2</v>
        <stp/>
        <stp>GAMMA</stp>
        <stp>.SPY160318C215</stp>
        <tr r="I663" s="1"/>
      </tp>
      <tp t="s">
        <v>N/A</v>
        <stp/>
        <stp>GAMMA</stp>
        <stp>.SPY160318P214</stp>
        <tr r="T661" s="1"/>
      </tp>
      <tp t="s">
        <v>N/A</v>
        <stp/>
        <stp>GAMMA</stp>
        <stp>.SPY160318C214</stp>
        <tr r="I661" s="1"/>
      </tp>
      <tp>
        <v>8.0700000000000008E-3</v>
        <stp/>
        <stp>GAMMA</stp>
        <stp>.SPY170317P215</stp>
        <tr r="T873" s="1"/>
      </tp>
      <tp>
        <v>8.0400000000000003E-3</v>
        <stp/>
        <stp>GAMMA</stp>
        <stp>.SPY170317C215</stp>
        <tr r="I873" s="1"/>
      </tp>
      <tp t="s">
        <v>N/A</v>
        <stp/>
        <stp>GAMMA</stp>
        <stp>.SPY170317P214</stp>
        <tr r="T871" s="1"/>
      </tp>
      <tp t="s">
        <v>N/A</v>
        <stp/>
        <stp>GAMMA</stp>
        <stp>.SPY170317C214</stp>
        <tr r="I871" s="1"/>
      </tp>
      <tp t="s">
        <v>N/A</v>
        <stp/>
        <stp>GAMMA</stp>
        <stp>.SPY160318P219</stp>
        <tr r="T671" s="1"/>
      </tp>
      <tp t="s">
        <v>N/A</v>
        <stp/>
        <stp>GAMMA</stp>
        <stp>.SPY170317P217</stp>
        <tr r="T877" s="1"/>
      </tp>
      <tp t="s">
        <v>N/A</v>
        <stp/>
        <stp>GAMMA</stp>
        <stp>.SPY160318C219</stp>
        <tr r="I671" s="1"/>
      </tp>
      <tp t="s">
        <v>N/A</v>
        <stp/>
        <stp>GAMMA</stp>
        <stp>.SPY170317C217</stp>
        <tr r="I877" s="1"/>
      </tp>
      <tp t="s">
        <v>N/A</v>
        <stp/>
        <stp>GAMMA</stp>
        <stp>.SPY160318P218</stp>
        <tr r="T669" s="1"/>
      </tp>
      <tp t="s">
        <v>N/A</v>
        <stp/>
        <stp>GAMMA</stp>
        <stp>.SPY170317P216</stp>
        <tr r="T875" s="1"/>
      </tp>
      <tp t="s">
        <v>N/A</v>
        <stp/>
        <stp>GAMMA</stp>
        <stp>.SPY160318C218</stp>
        <tr r="I669" s="1"/>
      </tp>
      <tp t="s">
        <v>N/A</v>
        <stp/>
        <stp>GAMMA</stp>
        <stp>.SPY170317C216</stp>
        <tr r="I875" s="1"/>
      </tp>
      <tp t="s">
        <v>N/A</v>
        <stp/>
        <stp>GAMMA</stp>
        <stp>.SPY170317P211</stp>
        <tr r="T865" s="1"/>
      </tp>
      <tp t="s">
        <v>N/A</v>
        <stp/>
        <stp>GAMMA</stp>
        <stp>.SPY170317C211</stp>
        <tr r="I865" s="1"/>
      </tp>
      <tp>
        <v>7.8100000000000001E-3</v>
        <stp/>
        <stp>GAMMA</stp>
        <stp>.SPY170317P210</stp>
        <tr r="T863" s="1"/>
      </tp>
      <tp>
        <v>7.8700000000000003E-3</v>
        <stp/>
        <stp>GAMMA</stp>
        <stp>.SPY170317C210</stp>
        <tr r="I863" s="1"/>
      </tp>
      <tp t="s">
        <v>N/A</v>
        <stp/>
        <stp>GAMMA</stp>
        <stp>.SPY170317P213</stp>
        <tr r="T869" s="1"/>
      </tp>
      <tp t="s">
        <v>N/A</v>
        <stp/>
        <stp>GAMMA</stp>
        <stp>.SPY170317C213</stp>
        <tr r="I869" s="1"/>
      </tp>
      <tp t="s">
        <v>N/A</v>
        <stp/>
        <stp>GAMMA</stp>
        <stp>.SPY170317P212</stp>
        <tr r="T867" s="1"/>
      </tp>
      <tp t="s">
        <v>N/A</v>
        <stp/>
        <stp>GAMMA</stp>
        <stp>.SPY170317C212</stp>
        <tr r="I867" s="1"/>
      </tp>
      <tp>
        <v>-0.34976000000000002</v>
        <stp/>
        <stp>DELTA</stp>
        <stp>.SPY150717P206</stp>
        <tr r="R393" s="1"/>
      </tp>
      <tp>
        <v>0.65607000000000004</v>
        <stp/>
        <stp>DELTA</stp>
        <stp>.SPY150717C206</stp>
        <tr r="G393" s="1"/>
      </tp>
      <tp>
        <v>-0.37507000000000001</v>
        <stp/>
        <stp>DELTA</stp>
        <stp>.SPY150717P207</stp>
        <tr r="R395" s="1"/>
      </tp>
      <tp>
        <v>0.63009999999999999</v>
        <stp/>
        <stp>DELTA</stp>
        <stp>.SPY150717C207</stp>
        <tr r="G395" s="1"/>
      </tp>
      <tp>
        <v>-0.30359000000000003</v>
        <stp/>
        <stp>DELTA</stp>
        <stp>.SPY150717P204</stp>
        <tr r="R389" s="1"/>
      </tp>
      <tp>
        <v>0.70308999999999999</v>
        <stp/>
        <stp>DELTA</stp>
        <stp>.SPY150717C204</stp>
        <tr r="G389" s="1"/>
      </tp>
      <tp>
        <v>-0.32584999999999997</v>
        <stp/>
        <stp>DELTA</stp>
        <stp>.SPY150717P205</stp>
        <tr r="R391" s="1"/>
      </tp>
      <tp>
        <v>0.68047000000000002</v>
        <stp/>
        <stp>DELTA</stp>
        <stp>.SPY150717C205</stp>
        <tr r="G391" s="1"/>
      </tp>
      <tp>
        <v>-0.26305000000000001</v>
        <stp/>
        <stp>DELTA</stp>
        <stp>.SPY150717P202</stp>
        <tr r="R385" s="1"/>
      </tp>
      <tp>
        <v>0.74258000000000002</v>
        <stp/>
        <stp>DELTA</stp>
        <stp>.SPY150717C202</stp>
        <tr r="G385" s="1"/>
      </tp>
      <tp>
        <v>-0.28266000000000002</v>
        <stp/>
        <stp>DELTA</stp>
        <stp>.SPY150717P203</stp>
        <tr r="R387" s="1"/>
      </tp>
      <tp>
        <v>0.7228</v>
        <stp/>
        <stp>DELTA</stp>
        <stp>.SPY150717C203</stp>
        <tr r="G387" s="1"/>
      </tp>
      <tp>
        <v>-0.22744</v>
        <stp/>
        <stp>DELTA</stp>
        <stp>.SPY150717P200</stp>
        <tr r="R381" s="1"/>
      </tp>
      <tp>
        <v>0.77891999999999995</v>
        <stp/>
        <stp>DELTA</stp>
        <stp>.SPY150717C200</stp>
        <tr r="G381" s="1"/>
      </tp>
      <tp>
        <v>-0.24471999999999999</v>
        <stp/>
        <stp>DELTA</stp>
        <stp>.SPY150717P201</stp>
        <tr r="R383" s="1"/>
      </tp>
      <tp>
        <v>0.76205999999999996</v>
        <stp/>
        <stp>DELTA</stp>
        <stp>.SPY150717C201</stp>
        <tr r="G383" s="1"/>
      </tp>
      <tp>
        <v>-0.40203</v>
        <stp/>
        <stp>DELTA</stp>
        <stp>.SPY150717P208</stp>
        <tr r="R397" s="1"/>
      </tp>
      <tp>
        <v>0.60211000000000003</v>
        <stp/>
        <stp>DELTA</stp>
        <stp>.SPY150717C208</stp>
        <tr r="G397" s="1"/>
      </tp>
      <tp>
        <v>-0.43059999999999998</v>
        <stp/>
        <stp>DELTA</stp>
        <stp>.SPY150717P209</stp>
        <tr r="R399" s="1"/>
      </tp>
      <tp>
        <v>0.57235999999999998</v>
        <stp/>
        <stp>DELTA</stp>
        <stp>.SPY150717C209</stp>
        <tr r="G399" s="1"/>
      </tp>
      <tp t="s">
        <v>N/A</v>
        <stp/>
        <stp>VEGA</stp>
        <stp>.SPY160318C202.5</stp>
        <tr r="J638" s="1"/>
      </tp>
      <tp t="s">
        <v>N/A</v>
        <stp/>
        <stp>VEGA</stp>
        <stp>.SPY160318C212.5</stp>
        <tr r="J658" s="1"/>
      </tp>
      <tp t="s">
        <v>N/A</v>
        <stp/>
        <stp>VEGA</stp>
        <stp>.SPY150619C200.5</stp>
        <tr r="J298" s="1"/>
      </tp>
      <tp t="s">
        <v>N/A</v>
        <stp/>
        <stp>VEGA</stp>
        <stp>.SPY150619C210.5</stp>
        <tr r="J318" s="1"/>
      </tp>
      <tp t="s">
        <v>N/A</v>
        <stp/>
        <stp>VEGA</stp>
        <stp>.SPY150630C209.5</stp>
        <tr r="J358" s="1"/>
      </tp>
      <tp t="s">
        <v>N/A</v>
        <stp/>
        <stp>VEGA</stp>
        <stp>.SPY150630C219.5</stp>
        <tr r="J378" s="1"/>
      </tp>
      <tp t="s">
        <v>N/A</v>
        <stp/>
        <stp>VEGA</stp>
        <stp>.SPY150501C218.5</stp>
        <tr r="J124" s="1"/>
      </tp>
      <tp>
        <v>9.8640000000000005E-2</v>
        <stp/>
        <stp>VEGA</stp>
        <stp>.SPY150508C211.5</stp>
        <tr r="J152" s="1"/>
      </tp>
      <tp t="s">
        <v>N/A</v>
        <stp/>
        <stp>VEGA</stp>
        <stp>.SPY150501C208.5</stp>
        <tr r="J104" s="1"/>
      </tp>
      <tp>
        <v>2.205E-2</v>
        <stp/>
        <stp>VEGA</stp>
        <stp>.SPY150508C201.5</stp>
        <tr r="J132" s="1"/>
      </tp>
      <tp>
        <v>0.22267999999999999</v>
        <stp/>
        <stp>VEGA</stp>
        <stp>.SPY150529C210.5</stp>
        <tr r="J276" s="1"/>
      </tp>
      <tp>
        <v>0.10662000000000001</v>
        <stp/>
        <stp>VEGA</stp>
        <stp>.SPY150529C200.5</stp>
        <tr r="J256" s="1"/>
      </tp>
      <tp t="s">
        <v>N/A</v>
        <stp/>
        <stp>VEGA</stp>
        <stp>.SPY150918C201.5</stp>
        <tr r="J426" s="1"/>
      </tp>
      <tp t="s">
        <v>N/A</v>
        <stp/>
        <stp>VEGA</stp>
        <stp>.SPY150918C211.5</stp>
        <tr r="J446" s="1"/>
      </tp>
      <tp t="s">
        <v>N/A</v>
        <stp/>
        <stp>VEGA</stp>
        <stp>.SPY150930C209.5</stp>
        <tr r="J484" s="1"/>
      </tp>
      <tp t="s">
        <v>N/A</v>
        <stp/>
        <stp>VEGA</stp>
        <stp>.SPY150930C219.5</stp>
        <tr r="J504" s="1"/>
      </tp>
      <tp t="s">
        <v>N/A</v>
        <stp/>
        <stp>VEGA</stp>
        <stp>.SPY151219C200.5</stp>
        <tr r="J508" s="1"/>
      </tp>
      <tp t="s">
        <v>N/A</v>
        <stp/>
        <stp>VEGA</stp>
        <stp>.SPY151219C210.5</stp>
        <tr r="J528" s="1"/>
      </tp>
      <tp t="s">
        <v>N/A</v>
        <stp/>
        <stp>VEGA</stp>
        <stp>.SPY151231C208.5</stp>
        <tr r="J566" s="1"/>
      </tp>
      <tp t="s">
        <v>N/A</v>
        <stp/>
        <stp>VEGA</stp>
        <stp>.SPY151231C218.5</stp>
        <tr r="J586" s="1"/>
      </tp>
      <tp t="s">
        <v>N/A</v>
        <stp/>
        <stp>VEGA</stp>
        <stp>.SPY151219P200.5</stp>
        <tr r="U508" s="1"/>
      </tp>
      <tp t="s">
        <v>N/A</v>
        <stp/>
        <stp>VEGA</stp>
        <stp>.SPY151219P210.5</stp>
        <tr r="U528" s="1"/>
      </tp>
      <tp t="s">
        <v>N/A</v>
        <stp/>
        <stp>VEGA</stp>
        <stp>.SPY151231P208.5</stp>
        <tr r="U566" s="1"/>
      </tp>
      <tp t="s">
        <v>N/A</v>
        <stp/>
        <stp>VEGA</stp>
        <stp>.SPY151231P218.5</stp>
        <tr r="U586" s="1"/>
      </tp>
      <tp t="s">
        <v>N/A</v>
        <stp/>
        <stp>VEGA</stp>
        <stp>.SPY160318P202.5</stp>
        <tr r="U638" s="1"/>
      </tp>
      <tp t="s">
        <v>N/A</v>
        <stp/>
        <stp>VEGA</stp>
        <stp>.SPY160318P212.5</stp>
        <tr r="U658" s="1"/>
      </tp>
      <tp t="s">
        <v>N/A</v>
        <stp/>
        <stp>VEGA</stp>
        <stp>.SPY150619P200.5</stp>
        <tr r="U298" s="1"/>
      </tp>
      <tp t="s">
        <v>N/A</v>
        <stp/>
        <stp>VEGA</stp>
        <stp>.SPY150619P210.5</stp>
        <tr r="U318" s="1"/>
      </tp>
      <tp t="s">
        <v>N/A</v>
        <stp/>
        <stp>VEGA</stp>
        <stp>.SPY150630P209.5</stp>
        <tr r="U358" s="1"/>
      </tp>
      <tp t="s">
        <v>N/A</v>
        <stp/>
        <stp>VEGA</stp>
        <stp>.SPY150630P219.5</stp>
        <tr r="U378" s="1"/>
      </tp>
      <tp t="s">
        <v>N/A</v>
        <stp/>
        <stp>VEGA</stp>
        <stp>.SPY150501P218.5</stp>
        <tr r="U124" s="1"/>
      </tp>
      <tp>
        <v>9.8640000000000005E-2</v>
        <stp/>
        <stp>VEGA</stp>
        <stp>.SPY150508P211.5</stp>
        <tr r="U152" s="1"/>
      </tp>
      <tp t="s">
        <v>N/A</v>
        <stp/>
        <stp>VEGA</stp>
        <stp>.SPY150501P208.5</stp>
        <tr r="U104" s="1"/>
      </tp>
      <tp>
        <v>9.3100000000000006E-3</v>
        <stp/>
        <stp>VEGA</stp>
        <stp>.SPY150508P201.5</stp>
        <tr r="U132" s="1"/>
      </tp>
      <tp>
        <v>0.22272</v>
        <stp/>
        <stp>VEGA</stp>
        <stp>.SPY150529P210.5</stp>
        <tr r="U276" s="1"/>
      </tp>
      <tp>
        <v>9.5070000000000002E-2</v>
        <stp/>
        <stp>VEGA</stp>
        <stp>.SPY150529P200.5</stp>
        <tr r="U256" s="1"/>
      </tp>
      <tp t="s">
        <v>N/A</v>
        <stp/>
        <stp>VEGA</stp>
        <stp>.SPY150918P201.5</stp>
        <tr r="U426" s="1"/>
      </tp>
      <tp t="s">
        <v>N/A</v>
        <stp/>
        <stp>VEGA</stp>
        <stp>.SPY150918P211.5</stp>
        <tr r="U446" s="1"/>
      </tp>
      <tp t="s">
        <v>N/A</v>
        <stp/>
        <stp>VEGA</stp>
        <stp>.SPY150930P209.5</stp>
        <tr r="U484" s="1"/>
      </tp>
      <tp t="s">
        <v>N/A</v>
        <stp/>
        <stp>VEGA</stp>
        <stp>.SPY150930P219.5</stp>
        <tr r="U504" s="1"/>
      </tp>
      <tp>
        <v>1.4800000000000001E-2</v>
        <stp/>
        <stp>GAMMA</stp>
        <stp>.SPY151231P209</stp>
        <tr r="T567" s="1"/>
      </tp>
      <tp>
        <v>1.5769999999999999E-2</v>
        <stp/>
        <stp>GAMMA</stp>
        <stp>.SPY151231C209</stp>
        <tr r="I567" s="1"/>
      </tp>
      <tp>
        <v>1.457E-2</v>
        <stp/>
        <stp>GAMMA</stp>
        <stp>.SPY151231P208</stp>
        <tr r="T565" s="1"/>
      </tp>
      <tp>
        <v>1.553E-2</v>
        <stp/>
        <stp>GAMMA</stp>
        <stp>.SPY151231C208</stp>
        <tr r="I565" s="1"/>
      </tp>
      <tp>
        <v>1.256E-2</v>
        <stp/>
        <stp>GAMMA</stp>
        <stp>.SPY151231P201</stp>
        <tr r="T551" s="1"/>
      </tp>
      <tp>
        <v>1.354E-2</v>
        <stp/>
        <stp>GAMMA</stp>
        <stp>.SPY151231C201</stp>
        <tr r="I551" s="1"/>
      </tp>
      <tp>
        <v>1.227E-2</v>
        <stp/>
        <stp>GAMMA</stp>
        <stp>.SPY151231P200</stp>
        <tr r="T549" s="1"/>
      </tp>
      <tp>
        <v>1.3259999999999999E-2</v>
        <stp/>
        <stp>GAMMA</stp>
        <stp>.SPY151231C200</stp>
        <tr r="I549" s="1"/>
      </tp>
      <tp>
        <v>1.323E-2</v>
        <stp/>
        <stp>GAMMA</stp>
        <stp>.SPY151231P203</stp>
        <tr r="T555" s="1"/>
      </tp>
      <tp>
        <v>1.4120000000000001E-2</v>
        <stp/>
        <stp>GAMMA</stp>
        <stp>.SPY151231C203</stp>
        <tr r="I555" s="1"/>
      </tp>
      <tp>
        <v>1.29E-2</v>
        <stp/>
        <stp>GAMMA</stp>
        <stp>.SPY151231P202</stp>
        <tr r="T553" s="1"/>
      </tp>
      <tp>
        <v>1.384E-2</v>
        <stp/>
        <stp>GAMMA</stp>
        <stp>.SPY151231C202</stp>
        <tr r="I553" s="1"/>
      </tp>
      <tp>
        <v>1.376E-2</v>
        <stp/>
        <stp>GAMMA</stp>
        <stp>.SPY151231P205</stp>
        <tr r="T559" s="1"/>
      </tp>
      <tp>
        <v>1.4670000000000001E-2</v>
        <stp/>
        <stp>GAMMA</stp>
        <stp>.SPY151231C205</stp>
        <tr r="I559" s="1"/>
      </tp>
      <tp>
        <v>1.3469999999999999E-2</v>
        <stp/>
        <stp>GAMMA</stp>
        <stp>.SPY151231P204</stp>
        <tr r="T557" s="1"/>
      </tp>
      <tp>
        <v>1.4420000000000001E-2</v>
        <stp/>
        <stp>GAMMA</stp>
        <stp>.SPY151231C204</stp>
        <tr r="I557" s="1"/>
      </tp>
      <tp>
        <v>1.4239999999999999E-2</v>
        <stp/>
        <stp>GAMMA</stp>
        <stp>.SPY151231P207</stp>
        <tr r="T563" s="1"/>
      </tp>
      <tp>
        <v>1.521E-2</v>
        <stp/>
        <stp>GAMMA</stp>
        <stp>.SPY151231C207</stp>
        <tr r="I563" s="1"/>
      </tp>
      <tp>
        <v>1.4030000000000001E-2</v>
        <stp/>
        <stp>GAMMA</stp>
        <stp>.SPY151231P206</stp>
        <tr r="T561" s="1"/>
      </tp>
      <tp>
        <v>1.498E-2</v>
        <stp/>
        <stp>GAMMA</stp>
        <stp>.SPY151231C206</stp>
        <tr r="I561" s="1"/>
      </tp>
      <tp>
        <v>-0.49009000000000003</v>
        <stp/>
        <stp>DELTA</stp>
        <stp>.SPY150630P211</stp>
        <tr r="R361" s="1"/>
      </tp>
      <tp>
        <v>0.51032</v>
        <stp/>
        <stp>DELTA</stp>
        <stp>.SPY150630C211</stp>
        <tr r="G361" s="1"/>
      </tp>
      <tp>
        <v>-0.45352999999999999</v>
        <stp/>
        <stp>DELTA</stp>
        <stp>.SPY150630P210</stp>
        <tr r="R359" s="1"/>
      </tp>
      <tp>
        <v>0.54898000000000002</v>
        <stp/>
        <stp>DELTA</stp>
        <stp>.SPY150630C210</stp>
        <tr r="G359" s="1"/>
      </tp>
      <tp>
        <v>-0.56813999999999998</v>
        <stp/>
        <stp>DELTA</stp>
        <stp>.SPY150630P213</stp>
        <tr r="R365" s="1"/>
      </tp>
      <tp>
        <v>0.42620000000000002</v>
        <stp/>
        <stp>DELTA</stp>
        <stp>.SPY150630C213</stp>
        <tr r="G365" s="1"/>
      </tp>
      <tp>
        <v>-0.52829000000000004</v>
        <stp/>
        <stp>DELTA</stp>
        <stp>.SPY150630P212</stp>
        <tr r="R363" s="1"/>
      </tp>
      <tp>
        <v>0.46939999999999998</v>
        <stp/>
        <stp>DELTA</stp>
        <stp>.SPY150630C212</stp>
        <tr r="G363" s="1"/>
      </tp>
      <tp>
        <v>-0.64986999999999995</v>
        <stp/>
        <stp>DELTA</stp>
        <stp>.SPY150630P215</stp>
        <tr r="R369" s="1"/>
      </tp>
      <tp>
        <v>0.33450000000000002</v>
        <stp/>
        <stp>DELTA</stp>
        <stp>.SPY150630C215</stp>
        <tr r="G369" s="1"/>
      </tp>
      <tp>
        <v>-0.60882999999999998</v>
        <stp/>
        <stp>DELTA</stp>
        <stp>.SPY150630P214</stp>
        <tr r="R367" s="1"/>
      </tp>
      <tp>
        <v>0.38081999999999999</v>
        <stp/>
        <stp>DELTA</stp>
        <stp>.SPY150630C214</stp>
        <tr r="G367" s="1"/>
      </tp>
      <tp>
        <v>-0.72746</v>
        <stp/>
        <stp>DELTA</stp>
        <stp>.SPY150630P217</stp>
        <tr r="R373" s="1"/>
      </tp>
      <tp>
        <v>0.24245</v>
        <stp/>
        <stp>DELTA</stp>
        <stp>.SPY150630C217</stp>
        <tr r="G373" s="1"/>
      </tp>
      <tp>
        <v>-0.69006999999999996</v>
        <stp/>
        <stp>DELTA</stp>
        <stp>.SPY150630P216</stp>
        <tr r="R371" s="1"/>
      </tp>
      <tp>
        <v>0.28810999999999998</v>
        <stp/>
        <stp>DELTA</stp>
        <stp>.SPY150630C216</stp>
        <tr r="G371" s="1"/>
      </tp>
      <tp>
        <v>-0.79420000000000002</v>
        <stp/>
        <stp>DELTA</stp>
        <stp>.SPY150630P219</stp>
        <tr r="R377" s="1"/>
      </tp>
      <tp>
        <v>0.15995999999999999</v>
        <stp/>
        <stp>DELTA</stp>
        <stp>.SPY150630C219</stp>
        <tr r="G377" s="1"/>
      </tp>
      <tp>
        <v>-0.76409000000000005</v>
        <stp/>
        <stp>DELTA</stp>
        <stp>.SPY150630P218</stp>
        <tr r="R375" s="1"/>
      </tp>
      <tp>
        <v>0.19914999999999999</v>
        <stp/>
        <stp>DELTA</stp>
        <stp>.SPY150630C218</stp>
        <tr r="G375" s="1"/>
      </tp>
      <tp>
        <v>1.5769999999999999E-2</v>
        <stp/>
        <stp>GAMMA</stp>
        <stp>.SPY151231P219</stp>
        <tr r="T587" s="1"/>
      </tp>
      <tp>
        <v>1.6650000000000002E-2</v>
        <stp/>
        <stp>GAMMA</stp>
        <stp>.SPY151231C219</stp>
        <tr r="I587" s="1"/>
      </tp>
      <tp>
        <v>1.5820000000000001E-2</v>
        <stp/>
        <stp>GAMMA</stp>
        <stp>.SPY151231P218</stp>
        <tr r="T585" s="1"/>
      </tp>
      <tp>
        <v>1.6719999999999999E-2</v>
        <stp/>
        <stp>GAMMA</stp>
        <stp>.SPY151231C218</stp>
        <tr r="I585" s="1"/>
      </tp>
      <tp>
        <v>1.523E-2</v>
        <stp/>
        <stp>GAMMA</stp>
        <stp>.SPY151231P211</stp>
        <tr r="T571" s="1"/>
      </tp>
      <tp>
        <v>1.6119999999999999E-2</v>
        <stp/>
        <stp>GAMMA</stp>
        <stp>.SPY151231C211</stp>
        <tr r="I571" s="1"/>
      </tp>
      <tp>
        <v>1.498E-2</v>
        <stp/>
        <stp>GAMMA</stp>
        <stp>.SPY151231P210</stp>
        <tr r="T569" s="1"/>
      </tp>
      <tp>
        <v>1.5990000000000001E-2</v>
        <stp/>
        <stp>GAMMA</stp>
        <stp>.SPY151231C210</stp>
        <tr r="I569" s="1"/>
      </tp>
      <tp>
        <v>1.549E-2</v>
        <stp/>
        <stp>GAMMA</stp>
        <stp>.SPY151231P213</stp>
        <tr r="T575" s="1"/>
      </tp>
      <tp>
        <v>1.6400000000000001E-2</v>
        <stp/>
        <stp>GAMMA</stp>
        <stp>.SPY151231C213</stp>
        <tr r="I575" s="1"/>
      </tp>
      <tp>
        <v>1.54E-2</v>
        <stp/>
        <stp>GAMMA</stp>
        <stp>.SPY151231P212</stp>
        <tr r="T573" s="1"/>
      </tp>
      <tp>
        <v>1.6310000000000002E-2</v>
        <stp/>
        <stp>GAMMA</stp>
        <stp>.SPY151231C212</stp>
        <tr r="I573" s="1"/>
      </tp>
      <tp>
        <v>1.5769999999999999E-2</v>
        <stp/>
        <stp>GAMMA</stp>
        <stp>.SPY151231P215</stp>
        <tr r="T579" s="1"/>
      </tp>
      <tp>
        <v>1.67E-2</v>
        <stp/>
        <stp>GAMMA</stp>
        <stp>.SPY151231C215</stp>
        <tr r="I579" s="1"/>
      </tp>
      <tp>
        <v>1.5679999999999999E-2</v>
        <stp/>
        <stp>GAMMA</stp>
        <stp>.SPY151231P214</stp>
        <tr r="T577" s="1"/>
      </tp>
      <tp>
        <v>1.66E-2</v>
        <stp/>
        <stp>GAMMA</stp>
        <stp>.SPY151231C214</stp>
        <tr r="I577" s="1"/>
      </tp>
      <tp>
        <v>1.5900000000000001E-2</v>
        <stp/>
        <stp>GAMMA</stp>
        <stp>.SPY151231P217</stp>
        <tr r="T583" s="1"/>
      </tp>
      <tp>
        <v>1.6799999999999999E-2</v>
        <stp/>
        <stp>GAMMA</stp>
        <stp>.SPY151231C217</stp>
        <tr r="I583" s="1"/>
      </tp>
      <tp>
        <v>1.5890000000000001E-2</v>
        <stp/>
        <stp>GAMMA</stp>
        <stp>.SPY151231P216</stp>
        <tr r="T581" s="1"/>
      </tp>
      <tp>
        <v>1.677E-2</v>
        <stp/>
        <stp>GAMMA</stp>
        <stp>.SPY151231C216</stp>
        <tr r="I581" s="1"/>
      </tp>
      <tp>
        <v>-0.21451000000000001</v>
        <stp/>
        <stp>DELTA</stp>
        <stp>.SPY150630P201</stp>
        <tr r="R341" s="1"/>
      </tp>
      <tp>
        <v>0.78815999999999997</v>
        <stp/>
        <stp>DELTA</stp>
        <stp>.SPY150630C201</stp>
        <tr r="G341" s="1"/>
      </tp>
      <tp>
        <v>-0.19639999999999999</v>
        <stp/>
        <stp>DELTA</stp>
        <stp>.SPY150630P200</stp>
        <tr r="R339" s="1"/>
      </tp>
      <tp>
        <v>0.80549999999999999</v>
        <stp/>
        <stp>DELTA</stp>
        <stp>.SPY150630C200</stp>
        <tr r="G339" s="1"/>
      </tp>
      <tp>
        <v>-0.25452000000000002</v>
        <stp/>
        <stp>DELTA</stp>
        <stp>.SPY150630P203</stp>
        <tr r="R345" s="1"/>
      </tp>
      <tp>
        <v>0.74931000000000003</v>
        <stp/>
        <stp>DELTA</stp>
        <stp>.SPY150630C203</stp>
        <tr r="G345" s="1"/>
      </tp>
      <tp>
        <v>-0.2336</v>
        <stp/>
        <stp>DELTA</stp>
        <stp>.SPY150630P202</stp>
        <tr r="R343" s="1"/>
      </tp>
      <tp>
        <v>0.76944999999999997</v>
        <stp/>
        <stp>DELTA</stp>
        <stp>.SPY150630C202</stp>
        <tr r="G343" s="1"/>
      </tp>
      <tp>
        <v>-0.30179</v>
        <stp/>
        <stp>DELTA</stp>
        <stp>.SPY150630P205</stp>
        <tr r="R349" s="1"/>
      </tp>
      <tp>
        <v>0.70335999999999999</v>
        <stp/>
        <stp>DELTA</stp>
        <stp>.SPY150630C205</stp>
        <tr r="G349" s="1"/>
      </tp>
      <tp>
        <v>-0.27745999999999998</v>
        <stp/>
        <stp>DELTA</stp>
        <stp>.SPY150630P204</stp>
        <tr r="R347" s="1"/>
      </tp>
      <tp>
        <v>0.72784000000000004</v>
        <stp/>
        <stp>DELTA</stp>
        <stp>.SPY150630C204</stp>
        <tr r="G347" s="1"/>
      </tp>
      <tp>
        <v>-0.35639999999999999</v>
        <stp/>
        <stp>DELTA</stp>
        <stp>.SPY150630P207</stp>
        <tr r="R353" s="1"/>
      </tp>
      <tp>
        <v>0.64873999999999998</v>
        <stp/>
        <stp>DELTA</stp>
        <stp>.SPY150630C207</stp>
        <tr r="G353" s="1"/>
      </tp>
      <tp>
        <v>-0.32801000000000002</v>
        <stp/>
        <stp>DELTA</stp>
        <stp>.SPY150630P206</stp>
        <tr r="R351" s="1"/>
      </tp>
      <tp>
        <v>0.67703000000000002</v>
        <stp/>
        <stp>DELTA</stp>
        <stp>.SPY150630C206</stp>
        <tr r="G351" s="1"/>
      </tp>
      <tp>
        <v>-0.41905999999999999</v>
        <stp/>
        <stp>DELTA</stp>
        <stp>.SPY150630P209</stp>
        <tr r="R357" s="1"/>
      </tp>
      <tp>
        <v>0.58472999999999997</v>
        <stp/>
        <stp>DELTA</stp>
        <stp>.SPY150630C209</stp>
        <tr r="G357" s="1"/>
      </tp>
      <tp>
        <v>-0.38668000000000002</v>
        <stp/>
        <stp>DELTA</stp>
        <stp>.SPY150630P208</stp>
        <tr r="R355" s="1"/>
      </tp>
      <tp>
        <v>0.61838000000000004</v>
        <stp/>
        <stp>DELTA</stp>
        <stp>.SPY150630C208</stp>
        <tr r="G355" s="1"/>
      </tp>
      <tp>
        <v>1.2829999999999999E-2</v>
        <stp/>
        <stp>GAMMA</stp>
        <stp>.SPY151219P201</stp>
        <tr r="T509" s="1"/>
      </tp>
      <tp>
        <v>1.384E-2</v>
        <stp/>
        <stp>GAMMA</stp>
        <stp>.SPY151219C201</stp>
        <tr r="I509" s="1"/>
      </tp>
      <tp>
        <v>1.2500000000000001E-2</v>
        <stp/>
        <stp>GAMMA</stp>
        <stp>.SPY151219P200</stp>
        <tr r="T507" s="1"/>
      </tp>
      <tp>
        <v>1.353E-2</v>
        <stp/>
        <stp>GAMMA</stp>
        <stp>.SPY151219C200</stp>
        <tr r="I507" s="1"/>
      </tp>
      <tp>
        <v>1.3440000000000001E-2</v>
        <stp/>
        <stp>GAMMA</stp>
        <stp>.SPY151219P203</stp>
        <tr r="T513" s="1"/>
      </tp>
      <tp>
        <v>1.4449999999999999E-2</v>
        <stp/>
        <stp>GAMMA</stp>
        <stp>.SPY151219C203</stp>
        <tr r="I513" s="1"/>
      </tp>
      <tp>
        <v>1.3169999999999999E-2</v>
        <stp/>
        <stp>GAMMA</stp>
        <stp>.SPY151219P202</stp>
        <tr r="T511" s="1"/>
      </tp>
      <tp>
        <v>1.4149999999999999E-2</v>
        <stp/>
        <stp>GAMMA</stp>
        <stp>.SPY151219C202</stp>
        <tr r="I511" s="1"/>
      </tp>
      <tp>
        <v>1.4030000000000001E-2</v>
        <stp/>
        <stp>GAMMA</stp>
        <stp>.SPY151219P205</stp>
        <tr r="T517" s="1"/>
      </tp>
      <tp t="s">
        <v>N/A</v>
        <stp/>
        <stp>GAMMA</stp>
        <stp>.SPY161216P209</stp>
        <tr r="T777" s="1"/>
      </tp>
      <tp>
        <v>1.507E-2</v>
        <stp/>
        <stp>GAMMA</stp>
        <stp>.SPY151219C205</stp>
        <tr r="I517" s="1"/>
      </tp>
      <tp t="s">
        <v>N/A</v>
        <stp/>
        <stp>GAMMA</stp>
        <stp>.SPY161216C209</stp>
        <tr r="I777" s="1"/>
      </tp>
      <tp>
        <v>1.3769999999999999E-2</v>
        <stp/>
        <stp>GAMMA</stp>
        <stp>.SPY151219P204</stp>
        <tr r="T515" s="1"/>
      </tp>
      <tp t="s">
        <v>N/A</v>
        <stp/>
        <stp>GAMMA</stp>
        <stp>.SPY161216P208</stp>
        <tr r="T775" s="1"/>
      </tp>
      <tp>
        <v>1.477E-2</v>
        <stp/>
        <stp>GAMMA</stp>
        <stp>.SPY151219C204</stp>
        <tr r="I515" s="1"/>
      </tp>
      <tp t="s">
        <v>N/A</v>
        <stp/>
        <stp>GAMMA</stp>
        <stp>.SPY161216C208</stp>
        <tr r="I775" s="1"/>
      </tp>
      <tp>
        <v>1.4579999999999999E-2</v>
        <stp/>
        <stp>GAMMA</stp>
        <stp>.SPY151219P207</stp>
        <tr r="T521" s="1"/>
      </tp>
      <tp t="s">
        <v>N/A</v>
        <stp/>
        <stp>GAMMA</stp>
        <stp>.SPY171215P209</stp>
        <tr r="T903" s="1"/>
      </tp>
      <tp>
        <v>1.567E-2</v>
        <stp/>
        <stp>GAMMA</stp>
        <stp>.SPY151219C207</stp>
        <tr r="I521" s="1"/>
      </tp>
      <tp t="s">
        <v>N/A</v>
        <stp/>
        <stp>GAMMA</stp>
        <stp>.SPY171215C209</stp>
        <tr r="I903" s="1"/>
      </tp>
      <tp>
        <v>1.436E-2</v>
        <stp/>
        <stp>GAMMA</stp>
        <stp>.SPY151219P206</stp>
        <tr r="T519" s="1"/>
      </tp>
      <tp t="s">
        <v>N/A</v>
        <stp/>
        <stp>GAMMA</stp>
        <stp>.SPY171215P208</stp>
        <tr r="T901" s="1"/>
      </tp>
      <tp>
        <v>1.538E-2</v>
        <stp/>
        <stp>GAMMA</stp>
        <stp>.SPY151219C206</stp>
        <tr r="I519" s="1"/>
      </tp>
      <tp t="s">
        <v>N/A</v>
        <stp/>
        <stp>GAMMA</stp>
        <stp>.SPY171215C208</stp>
        <tr r="I901" s="1"/>
      </tp>
      <tp>
        <v>1.5129999999999999E-2</v>
        <stp/>
        <stp>GAMMA</stp>
        <stp>.SPY151219P209</stp>
        <tr r="T525" s="1"/>
      </tp>
      <tp>
        <v>8.0800000000000004E-3</v>
        <stp/>
        <stp>GAMMA</stp>
        <stp>.SPY161216P205</stp>
        <tr r="T769" s="1"/>
      </tp>
      <tp t="s">
        <v>N/A</v>
        <stp/>
        <stp>GAMMA</stp>
        <stp>.SPY171215P207</stp>
        <tr r="T899" s="1"/>
      </tp>
      <tp>
        <v>1.6230000000000001E-2</v>
        <stp/>
        <stp>GAMMA</stp>
        <stp>.SPY151219C209</stp>
        <tr r="I525" s="1"/>
      </tp>
      <tp>
        <v>8.4100000000000008E-3</v>
        <stp/>
        <stp>GAMMA</stp>
        <stp>.SPY161216C205</stp>
        <tr r="I769" s="1"/>
      </tp>
      <tp t="s">
        <v>N/A</v>
        <stp/>
        <stp>GAMMA</stp>
        <stp>.SPY171215C207</stp>
        <tr r="I899" s="1"/>
      </tp>
      <tp>
        <v>1.494E-2</v>
        <stp/>
        <stp>GAMMA</stp>
        <stp>.SPY151219P208</stp>
        <tr r="T523" s="1"/>
      </tp>
      <tp t="s">
        <v>N/A</v>
        <stp/>
        <stp>GAMMA</stp>
        <stp>.SPY161216P204</stp>
        <tr r="T767" s="1"/>
      </tp>
      <tp t="s">
        <v>N/A</v>
        <stp/>
        <stp>GAMMA</stp>
        <stp>.SPY171215P206</stp>
        <tr r="T897" s="1"/>
      </tp>
      <tp>
        <v>1.5990000000000001E-2</v>
        <stp/>
        <stp>GAMMA</stp>
        <stp>.SPY151219C208</stp>
        <tr r="I523" s="1"/>
      </tp>
      <tp t="s">
        <v>N/A</v>
        <stp/>
        <stp>GAMMA</stp>
        <stp>.SPY161216C204</stp>
        <tr r="I767" s="1"/>
      </tp>
      <tp t="s">
        <v>N/A</v>
        <stp/>
        <stp>GAMMA</stp>
        <stp>.SPY171215C206</stp>
        <tr r="I897" s="1"/>
      </tp>
      <tp t="s">
        <v>N/A</v>
        <stp/>
        <stp>GAMMA</stp>
        <stp>.SPY161216P207</stp>
        <tr r="T773" s="1"/>
      </tp>
      <tp>
        <v>6.11E-3</v>
        <stp/>
        <stp>GAMMA</stp>
        <stp>.SPY171215P205</stp>
        <tr r="T895" s="1"/>
      </tp>
      <tp t="s">
        <v>N/A</v>
        <stp/>
        <stp>GAMMA</stp>
        <stp>.SPY161216C207</stp>
        <tr r="I773" s="1"/>
      </tp>
      <tp>
        <v>6.1000000000000004E-3</v>
        <stp/>
        <stp>GAMMA</stp>
        <stp>.SPY171215C205</stp>
        <tr r="I895" s="1"/>
      </tp>
      <tp t="s">
        <v>N/A</v>
        <stp/>
        <stp>GAMMA</stp>
        <stp>.SPY161216P206</stp>
        <tr r="T771" s="1"/>
      </tp>
      <tp t="s">
        <v>N/A</v>
        <stp/>
        <stp>GAMMA</stp>
        <stp>.SPY171215P204</stp>
        <tr r="T893" s="1"/>
      </tp>
      <tp t="s">
        <v>N/A</v>
        <stp/>
        <stp>GAMMA</stp>
        <stp>.SPY161216C206</stp>
        <tr r="I771" s="1"/>
      </tp>
      <tp t="s">
        <v>N/A</v>
        <stp/>
        <stp>GAMMA</stp>
        <stp>.SPY171215C204</stp>
        <tr r="I893" s="1"/>
      </tp>
      <tp t="s">
        <v>N/A</v>
        <stp/>
        <stp>GAMMA</stp>
        <stp>.SPY161216P201</stp>
        <tr r="T761" s="1"/>
      </tp>
      <tp t="s">
        <v>N/A</v>
        <stp/>
        <stp>GAMMA</stp>
        <stp>.SPY171215P203</stp>
        <tr r="T891" s="1"/>
      </tp>
      <tp t="s">
        <v>N/A</v>
        <stp/>
        <stp>GAMMA</stp>
        <stp>.SPY161216C201</stp>
        <tr r="I761" s="1"/>
      </tp>
      <tp t="s">
        <v>N/A</v>
        <stp/>
        <stp>GAMMA</stp>
        <stp>.SPY171215C203</stp>
        <tr r="I891" s="1"/>
      </tp>
      <tp>
        <v>7.5300000000000002E-3</v>
        <stp/>
        <stp>GAMMA</stp>
        <stp>.SPY161216P200</stp>
        <tr r="T759" s="1"/>
      </tp>
      <tp t="s">
        <v>N/A</v>
        <stp/>
        <stp>GAMMA</stp>
        <stp>.SPY171215P202</stp>
        <tr r="T889" s="1"/>
      </tp>
      <tp>
        <v>7.9699999999999997E-3</v>
        <stp/>
        <stp>GAMMA</stp>
        <stp>.SPY161216C200</stp>
        <tr r="I759" s="1"/>
      </tp>
      <tp t="s">
        <v>N/A</v>
        <stp/>
        <stp>GAMMA</stp>
        <stp>.SPY171215C202</stp>
        <tr r="I889" s="1"/>
      </tp>
      <tp t="s">
        <v>N/A</v>
        <stp/>
        <stp>GAMMA</stp>
        <stp>.SPY161216P203</stp>
        <tr r="T765" s="1"/>
      </tp>
      <tp t="s">
        <v>N/A</v>
        <stp/>
        <stp>GAMMA</stp>
        <stp>.SPY171215P201</stp>
        <tr r="T887" s="1"/>
      </tp>
      <tp t="s">
        <v>N/A</v>
        <stp/>
        <stp>GAMMA</stp>
        <stp>.SPY161216C203</stp>
        <tr r="I765" s="1"/>
      </tp>
      <tp t="s">
        <v>N/A</v>
        <stp/>
        <stp>GAMMA</stp>
        <stp>.SPY171215C201</stp>
        <tr r="I887" s="1"/>
      </tp>
      <tp t="s">
        <v>N/A</v>
        <stp/>
        <stp>GAMMA</stp>
        <stp>.SPY161216P202</stp>
        <tr r="T763" s="1"/>
      </tp>
      <tp>
        <v>5.8599999999999998E-3</v>
        <stp/>
        <stp>GAMMA</stp>
        <stp>.SPY171215P200</stp>
        <tr r="T885" s="1"/>
      </tp>
      <tp t="s">
        <v>N/A</v>
        <stp/>
        <stp>GAMMA</stp>
        <stp>.SPY161216C202</stp>
        <tr r="I763" s="1"/>
      </tp>
      <tp>
        <v>5.9100000000000003E-3</v>
        <stp/>
        <stp>GAMMA</stp>
        <stp>.SPY171215C200</stp>
        <tr r="I885" s="1"/>
      </tp>
      <tp>
        <v>-0.77446999999999999</v>
        <stp/>
        <stp>DELTA</stp>
        <stp>.SPY150619P218</stp>
        <tr r="R333" s="1"/>
      </tp>
      <tp>
        <v>-0.53615000000000002</v>
        <stp/>
        <stp>DELTA</stp>
        <stp>.SPY160617P215</stp>
        <tr r="R705" s="1"/>
      </tp>
      <tp>
        <v>0.1782</v>
        <stp/>
        <stp>DELTA</stp>
        <stp>.SPY150619C218</stp>
        <tr r="G333" s="1"/>
      </tp>
      <tp>
        <v>0.45761000000000002</v>
        <stp/>
        <stp>DELTA</stp>
        <stp>.SPY160617C215</stp>
        <tr r="G705" s="1"/>
      </tp>
      <tp>
        <v>-0.80276000000000003</v>
        <stp/>
        <stp>DELTA</stp>
        <stp>.SPY150619P219</stp>
        <tr r="R335" s="1"/>
      </tp>
      <tp t="s">
        <v>N/A</v>
        <stp/>
        <stp>DELTA</stp>
        <stp>.SPY160617P214</stp>
        <tr r="R703" s="1"/>
      </tp>
      <tp>
        <v>0.13986000000000001</v>
        <stp/>
        <stp>DELTA</stp>
        <stp>.SPY150619C219</stp>
        <tr r="G335" s="1"/>
      </tp>
      <tp t="s">
        <v>N/A</v>
        <stp/>
        <stp>DELTA</stp>
        <stp>.SPY160617C214</stp>
        <tr r="G703" s="1"/>
      </tp>
      <tp t="s">
        <v>N/A</v>
        <stp/>
        <stp>DELTA</stp>
        <stp>.SPY160617P217</stp>
        <tr r="R709" s="1"/>
      </tp>
      <tp t="s">
        <v>N/A</v>
        <stp/>
        <stp>DELTA</stp>
        <stp>.SPY160617C217</stp>
        <tr r="G709" s="1"/>
      </tp>
      <tp t="s">
        <v>N/A</v>
        <stp/>
        <stp>DELTA</stp>
        <stp>.SPY160617P216</stp>
        <tr r="R707" s="1"/>
      </tp>
      <tp t="s">
        <v>N/A</v>
        <stp/>
        <stp>DELTA</stp>
        <stp>.SPY160617C216</stp>
        <tr r="G707" s="1"/>
      </tp>
      <tp t="s">
        <v>N/A</v>
        <stp/>
        <stp>DELTA</stp>
        <stp>.SPY160617P211</stp>
        <tr r="R697" s="1"/>
      </tp>
      <tp t="s">
        <v>N/A</v>
        <stp/>
        <stp>DELTA</stp>
        <stp>.SPY160617C211</stp>
        <tr r="G697" s="1"/>
      </tp>
      <tp>
        <v>-0.47817999999999999</v>
        <stp/>
        <stp>DELTA</stp>
        <stp>.SPY160617P210</stp>
        <tr r="R695" s="1"/>
      </tp>
      <tp>
        <v>0.51700000000000002</v>
        <stp/>
        <stp>DELTA</stp>
        <stp>.SPY160617C210</stp>
        <tr r="G695" s="1"/>
      </tp>
      <tp t="s">
        <v>N/A</v>
        <stp/>
        <stp>DELTA</stp>
        <stp>.SPY160617P213</stp>
        <tr r="R701" s="1"/>
      </tp>
      <tp t="s">
        <v>N/A</v>
        <stp/>
        <stp>DELTA</stp>
        <stp>.SPY160617C213</stp>
        <tr r="G701" s="1"/>
      </tp>
      <tp t="s">
        <v>N/A</v>
        <stp/>
        <stp>DELTA</stp>
        <stp>.SPY160617P212</stp>
        <tr r="R699" s="1"/>
      </tp>
      <tp t="s">
        <v>N/A</v>
        <stp/>
        <stp>DELTA</stp>
        <stp>.SPY160617C212</stp>
        <tr r="G699" s="1"/>
      </tp>
      <tp>
        <v>-0.44745000000000001</v>
        <stp/>
        <stp>DELTA</stp>
        <stp>.SPY150619P210</stp>
        <tr r="R317" s="1"/>
      </tp>
      <tp>
        <v>0.55464000000000002</v>
        <stp/>
        <stp>DELTA</stp>
        <stp>.SPY150619C210</stp>
        <tr r="G317" s="1"/>
      </tp>
      <tp>
        <v>-0.48749999999999999</v>
        <stp/>
        <stp>DELTA</stp>
        <stp>.SPY150619P211</stp>
        <tr r="R319" s="1"/>
      </tp>
      <tp>
        <v>0.51309000000000005</v>
        <stp/>
        <stp>DELTA</stp>
        <stp>.SPY150619C211</stp>
        <tr r="G319" s="1"/>
      </tp>
      <tp>
        <v>-0.52936000000000005</v>
        <stp/>
        <stp>DELTA</stp>
        <stp>.SPY150619P212</stp>
        <tr r="R321" s="1"/>
      </tp>
      <tp>
        <v>0.46855999999999998</v>
        <stp/>
        <stp>DELTA</stp>
        <stp>.SPY150619C212</stp>
        <tr r="G321" s="1"/>
      </tp>
      <tp>
        <v>-0.57238</v>
        <stp/>
        <stp>DELTA</stp>
        <stp>.SPY150619P213</stp>
        <tr r="R323" s="1"/>
      </tp>
      <tp>
        <v>0.42097000000000001</v>
        <stp/>
        <stp>DELTA</stp>
        <stp>.SPY150619C213</stp>
        <tr r="G323" s="1"/>
      </tp>
      <tp>
        <v>-0.61736999999999997</v>
        <stp/>
        <stp>DELTA</stp>
        <stp>.SPY150619P214</stp>
        <tr r="R325" s="1"/>
      </tp>
      <tp t="s">
        <v>N/A</v>
        <stp/>
        <stp>DELTA</stp>
        <stp>.SPY160617P219</stp>
        <tr r="R713" s="1"/>
      </tp>
      <tp>
        <v>0.3715</v>
        <stp/>
        <stp>DELTA</stp>
        <stp>.SPY150619C214</stp>
        <tr r="G325" s="1"/>
      </tp>
      <tp t="s">
        <v>N/A</v>
        <stp/>
        <stp>DELTA</stp>
        <stp>.SPY160617C219</stp>
        <tr r="G713" s="1"/>
      </tp>
      <tp>
        <v>-0.65995999999999999</v>
        <stp/>
        <stp>DELTA</stp>
        <stp>.SPY150619P215</stp>
        <tr r="R327" s="1"/>
      </tp>
      <tp t="s">
        <v>N/A</v>
        <stp/>
        <stp>DELTA</stp>
        <stp>.SPY160617P218</stp>
        <tr r="R711" s="1"/>
      </tp>
      <tp>
        <v>0.32113999999999998</v>
        <stp/>
        <stp>DELTA</stp>
        <stp>.SPY150619C215</stp>
        <tr r="G327" s="1"/>
      </tp>
      <tp t="s">
        <v>N/A</v>
        <stp/>
        <stp>DELTA</stp>
        <stp>.SPY160617C218</stp>
        <tr r="G711" s="1"/>
      </tp>
      <tp>
        <v>-0.70233000000000001</v>
        <stp/>
        <stp>DELTA</stp>
        <stp>.SPY150619P216</stp>
        <tr r="R329" s="1"/>
      </tp>
      <tp>
        <v>0.27089000000000002</v>
        <stp/>
        <stp>DELTA</stp>
        <stp>.SPY150619C216</stp>
        <tr r="G329" s="1"/>
      </tp>
      <tp>
        <v>-0.74070000000000003</v>
        <stp/>
        <stp>DELTA</stp>
        <stp>.SPY150619P217</stp>
        <tr r="R331" s="1"/>
      </tp>
      <tp>
        <v>0.22258</v>
        <stp/>
        <stp>DELTA</stp>
        <stp>.SPY150619C217</stp>
        <tr r="G331" s="1"/>
      </tp>
      <tp>
        <v>1.559E-2</v>
        <stp/>
        <stp>GAMMA</stp>
        <stp>.SPY151219P211</stp>
        <tr r="T529" s="1"/>
      </tp>
      <tp>
        <v>1.6629999999999999E-2</v>
        <stp/>
        <stp>GAMMA</stp>
        <stp>.SPY151219C211</stp>
        <tr r="I529" s="1"/>
      </tp>
      <tp>
        <v>1.5429999999999999E-2</v>
        <stp/>
        <stp>GAMMA</stp>
        <stp>.SPY151219P210</stp>
        <tr r="T527" s="1"/>
      </tp>
      <tp>
        <v>1.6420000000000001E-2</v>
        <stp/>
        <stp>GAMMA</stp>
        <stp>.SPY151219C210</stp>
        <tr r="I527" s="1"/>
      </tp>
      <tp>
        <v>1.5970000000000002E-2</v>
        <stp/>
        <stp>GAMMA</stp>
        <stp>.SPY151219P213</stp>
        <tr r="T533" s="1"/>
      </tp>
      <tp>
        <v>1.6930000000000001E-2</v>
        <stp/>
        <stp>GAMMA</stp>
        <stp>.SPY151219C213</stp>
        <tr r="I533" s="1"/>
      </tp>
      <tp>
        <v>1.5789999999999998E-2</v>
        <stp/>
        <stp>GAMMA</stp>
        <stp>.SPY151219P212</stp>
        <tr r="T531" s="1"/>
      </tp>
      <tp>
        <v>1.6830000000000001E-2</v>
        <stp/>
        <stp>GAMMA</stp>
        <stp>.SPY151219C212</stp>
        <tr r="I531" s="1"/>
      </tp>
      <tp>
        <v>1.6070000000000001E-2</v>
        <stp/>
        <stp>GAMMA</stp>
        <stp>.SPY151219P215</stp>
        <tr r="T537" s="1"/>
      </tp>
      <tp t="s">
        <v>N/A</v>
        <stp/>
        <stp>GAMMA</stp>
        <stp>.SPY161216P219</stp>
        <tr r="T797" s="1"/>
      </tp>
      <tp>
        <v>1.712E-2</v>
        <stp/>
        <stp>GAMMA</stp>
        <stp>.SPY151219C215</stp>
        <tr r="I537" s="1"/>
      </tp>
      <tp t="s">
        <v>N/A</v>
        <stp/>
        <stp>GAMMA</stp>
        <stp>.SPY161216C219</stp>
        <tr r="I797" s="1"/>
      </tp>
      <tp>
        <v>1.609E-2</v>
        <stp/>
        <stp>GAMMA</stp>
        <stp>.SPY151219P214</stp>
        <tr r="T535" s="1"/>
      </tp>
      <tp t="s">
        <v>N/A</v>
        <stp/>
        <stp>GAMMA</stp>
        <stp>.SPY161216P218</stp>
        <tr r="T795" s="1"/>
      </tp>
      <tp>
        <v>1.712E-2</v>
        <stp/>
        <stp>GAMMA</stp>
        <stp>.SPY151219C214</stp>
        <tr r="I535" s="1"/>
      </tp>
      <tp t="s">
        <v>N/A</v>
        <stp/>
        <stp>GAMMA</stp>
        <stp>.SPY161216C218</stp>
        <tr r="I795" s="1"/>
      </tp>
      <tp>
        <v>1.6299999999999999E-2</v>
        <stp/>
        <stp>GAMMA</stp>
        <stp>.SPY151219P217</stp>
        <tr r="T541" s="1"/>
      </tp>
      <tp t="s">
        <v>N/A</v>
        <stp/>
        <stp>GAMMA</stp>
        <stp>.SPY171215P219</stp>
        <tr r="T923" s="1"/>
      </tp>
      <tp>
        <v>1.7270000000000001E-2</v>
        <stp/>
        <stp>GAMMA</stp>
        <stp>.SPY151219C217</stp>
        <tr r="I541" s="1"/>
      </tp>
      <tp t="s">
        <v>N/A</v>
        <stp/>
        <stp>GAMMA</stp>
        <stp>.SPY171215C219</stp>
        <tr r="I923" s="1"/>
      </tp>
      <tp>
        <v>1.626E-2</v>
        <stp/>
        <stp>GAMMA</stp>
        <stp>.SPY151219P216</stp>
        <tr r="T539" s="1"/>
      </tp>
      <tp t="s">
        <v>N/A</v>
        <stp/>
        <stp>GAMMA</stp>
        <stp>.SPY171215P218</stp>
        <tr r="T921" s="1"/>
      </tp>
      <tp>
        <v>1.728E-2</v>
        <stp/>
        <stp>GAMMA</stp>
        <stp>.SPY151219C216</stp>
        <tr r="I539" s="1"/>
      </tp>
      <tp t="s">
        <v>N/A</v>
        <stp/>
        <stp>GAMMA</stp>
        <stp>.SPY171215C218</stp>
        <tr r="I921" s="1"/>
      </tp>
      <tp>
        <v>1.6129999999999999E-2</v>
        <stp/>
        <stp>GAMMA</stp>
        <stp>.SPY151219P219</stp>
        <tr r="T545" s="1"/>
      </tp>
      <tp>
        <v>8.7799999999999996E-3</v>
        <stp/>
        <stp>GAMMA</stp>
        <stp>.SPY161216P215</stp>
        <tr r="T789" s="1"/>
      </tp>
      <tp t="s">
        <v>N/A</v>
        <stp/>
        <stp>GAMMA</stp>
        <stp>.SPY171215P217</stp>
        <tr r="T919" s="1"/>
      </tp>
      <tp>
        <v>1.7090000000000001E-2</v>
        <stp/>
        <stp>GAMMA</stp>
        <stp>.SPY151219C219</stp>
        <tr r="I545" s="1"/>
      </tp>
      <tp>
        <v>8.9300000000000004E-3</v>
        <stp/>
        <stp>GAMMA</stp>
        <stp>.SPY161216C215</stp>
        <tr r="I789" s="1"/>
      </tp>
      <tp t="s">
        <v>N/A</v>
        <stp/>
        <stp>GAMMA</stp>
        <stp>.SPY171215C217</stp>
        <tr r="I919" s="1"/>
      </tp>
      <tp>
        <v>1.6199999999999999E-2</v>
        <stp/>
        <stp>GAMMA</stp>
        <stp>.SPY151219P218</stp>
        <tr r="T543" s="1"/>
      </tp>
      <tp t="s">
        <v>N/A</v>
        <stp/>
        <stp>GAMMA</stp>
        <stp>.SPY161216P214</stp>
        <tr r="T787" s="1"/>
      </tp>
      <tp t="s">
        <v>N/A</v>
        <stp/>
        <stp>GAMMA</stp>
        <stp>.SPY171215P216</stp>
        <tr r="T917" s="1"/>
      </tp>
      <tp>
        <v>1.7229999999999999E-2</v>
        <stp/>
        <stp>GAMMA</stp>
        <stp>.SPY151219C218</stp>
        <tr r="I543" s="1"/>
      </tp>
      <tp t="s">
        <v>N/A</v>
        <stp/>
        <stp>GAMMA</stp>
        <stp>.SPY161216C214</stp>
        <tr r="I787" s="1"/>
      </tp>
      <tp t="s">
        <v>N/A</v>
        <stp/>
        <stp>GAMMA</stp>
        <stp>.SPY171215C216</stp>
        <tr r="I917" s="1"/>
      </tp>
      <tp t="s">
        <v>N/A</v>
        <stp/>
        <stp>GAMMA</stp>
        <stp>.SPY161216P217</stp>
        <tr r="T793" s="1"/>
      </tp>
      <tp>
        <v>6.62E-3</v>
        <stp/>
        <stp>GAMMA</stp>
        <stp>.SPY171215P215</stp>
        <tr r="T915" s="1"/>
      </tp>
      <tp t="s">
        <v>N/A</v>
        <stp/>
        <stp>GAMMA</stp>
        <stp>.SPY161216C217</stp>
        <tr r="I793" s="1"/>
      </tp>
      <tp>
        <v>6.3099999999999996E-3</v>
        <stp/>
        <stp>GAMMA</stp>
        <stp>.SPY171215C215</stp>
        <tr r="I915" s="1"/>
      </tp>
      <tp t="s">
        <v>N/A</v>
        <stp/>
        <stp>GAMMA</stp>
        <stp>.SPY161216P216</stp>
        <tr r="T791" s="1"/>
      </tp>
      <tp t="s">
        <v>N/A</v>
        <stp/>
        <stp>GAMMA</stp>
        <stp>.SPY171215P214</stp>
        <tr r="T913" s="1"/>
      </tp>
      <tp t="s">
        <v>N/A</v>
        <stp/>
        <stp>GAMMA</stp>
        <stp>.SPY161216C216</stp>
        <tr r="I791" s="1"/>
      </tp>
      <tp t="s">
        <v>N/A</v>
        <stp/>
        <stp>GAMMA</stp>
        <stp>.SPY171215C214</stp>
        <tr r="I913" s="1"/>
      </tp>
      <tp t="s">
        <v>N/A</v>
        <stp/>
        <stp>GAMMA</stp>
        <stp>.SPY161216P211</stp>
        <tr r="T781" s="1"/>
      </tp>
      <tp t="s">
        <v>N/A</v>
        <stp/>
        <stp>GAMMA</stp>
        <stp>.SPY171215P213</stp>
        <tr r="T911" s="1"/>
      </tp>
      <tp t="s">
        <v>N/A</v>
        <stp/>
        <stp>GAMMA</stp>
        <stp>.SPY161216C211</stp>
        <tr r="I781" s="1"/>
      </tp>
      <tp t="s">
        <v>N/A</v>
        <stp/>
        <stp>GAMMA</stp>
        <stp>.SPY171215C213</stp>
        <tr r="I911" s="1"/>
      </tp>
      <tp>
        <v>8.4799999999999997E-3</v>
        <stp/>
        <stp>GAMMA</stp>
        <stp>.SPY161216P210</stp>
        <tr r="T779" s="1"/>
      </tp>
      <tp t="s">
        <v>N/A</v>
        <stp/>
        <stp>GAMMA</stp>
        <stp>.SPY171215P212</stp>
        <tr r="T909" s="1"/>
      </tp>
      <tp>
        <v>8.7200000000000003E-3</v>
        <stp/>
        <stp>GAMMA</stp>
        <stp>.SPY161216C210</stp>
        <tr r="I779" s="1"/>
      </tp>
      <tp t="s">
        <v>N/A</v>
        <stp/>
        <stp>GAMMA</stp>
        <stp>.SPY171215C212</stp>
        <tr r="I909" s="1"/>
      </tp>
      <tp t="s">
        <v>N/A</v>
        <stp/>
        <stp>GAMMA</stp>
        <stp>.SPY161216P213</stp>
        <tr r="T785" s="1"/>
      </tp>
      <tp t="s">
        <v>N/A</v>
        <stp/>
        <stp>GAMMA</stp>
        <stp>.SPY171215P211</stp>
        <tr r="T907" s="1"/>
      </tp>
      <tp t="s">
        <v>N/A</v>
        <stp/>
        <stp>GAMMA</stp>
        <stp>.SPY161216C213</stp>
        <tr r="I785" s="1"/>
      </tp>
      <tp t="s">
        <v>N/A</v>
        <stp/>
        <stp>GAMMA</stp>
        <stp>.SPY171215C211</stp>
        <tr r="I907" s="1"/>
      </tp>
      <tp t="s">
        <v>N/A</v>
        <stp/>
        <stp>GAMMA</stp>
        <stp>.SPY161216P212</stp>
        <tr r="T783" s="1"/>
      </tp>
      <tp>
        <v>6.3899999999999998E-3</v>
        <stp/>
        <stp>GAMMA</stp>
        <stp>.SPY171215P210</stp>
        <tr r="T905" s="1"/>
      </tp>
      <tp t="s">
        <v>N/A</v>
        <stp/>
        <stp>GAMMA</stp>
        <stp>.SPY161216C212</stp>
        <tr r="I783" s="1"/>
      </tp>
      <tp>
        <v>6.2100000000000002E-3</v>
        <stp/>
        <stp>GAMMA</stp>
        <stp>.SPY171215C210</stp>
        <tr r="I905" s="1"/>
      </tp>
      <tp>
        <v>-0.37422</v>
        <stp/>
        <stp>DELTA</stp>
        <stp>.SPY150619P208</stp>
        <tr r="R313" s="1"/>
      </tp>
      <tp>
        <v>-0.42466999999999999</v>
        <stp/>
        <stp>DELTA</stp>
        <stp>.SPY160617P205</stp>
        <tr r="R685" s="1"/>
      </tp>
      <tp>
        <v>0.62844999999999995</v>
        <stp/>
        <stp>DELTA</stp>
        <stp>.SPY150619C208</stp>
        <tr r="G313" s="1"/>
      </tp>
      <tp>
        <v>0.57228999999999997</v>
        <stp/>
        <stp>DELTA</stp>
        <stp>.SPY160617C205</stp>
        <tr r="G685" s="1"/>
      </tp>
      <tp>
        <v>-0.40964</v>
        <stp/>
        <stp>DELTA</stp>
        <stp>.SPY150619P209</stp>
        <tr r="R315" s="1"/>
      </tp>
      <tp t="s">
        <v>N/A</v>
        <stp/>
        <stp>DELTA</stp>
        <stp>.SPY160617P204</stp>
        <tr r="R683" s="1"/>
      </tp>
      <tp>
        <v>0.59321999999999997</v>
        <stp/>
        <stp>DELTA</stp>
        <stp>.SPY150619C209</stp>
        <tr r="G315" s="1"/>
      </tp>
      <tp t="s">
        <v>N/A</v>
        <stp/>
        <stp>DELTA</stp>
        <stp>.SPY160617C204</stp>
        <tr r="G683" s="1"/>
      </tp>
      <tp t="s">
        <v>N/A</v>
        <stp/>
        <stp>DELTA</stp>
        <stp>.SPY160617P207</stp>
        <tr r="R689" s="1"/>
      </tp>
      <tp t="s">
        <v>N/A</v>
        <stp/>
        <stp>DELTA</stp>
        <stp>.SPY160617C207</stp>
        <tr r="G689" s="1"/>
      </tp>
      <tp t="s">
        <v>N/A</v>
        <stp/>
        <stp>DELTA</stp>
        <stp>.SPY160617P206</stp>
        <tr r="R687" s="1"/>
      </tp>
      <tp t="s">
        <v>N/A</v>
        <stp/>
        <stp>DELTA</stp>
        <stp>.SPY160617C206</stp>
        <tr r="G687" s="1"/>
      </tp>
      <tp t="s">
        <v>N/A</v>
        <stp/>
        <stp>DELTA</stp>
        <stp>.SPY160617P201</stp>
        <tr r="R677" s="1"/>
      </tp>
      <tp t="s">
        <v>N/A</v>
        <stp/>
        <stp>DELTA</stp>
        <stp>.SPY160617C201</stp>
        <tr r="G677" s="1"/>
      </tp>
      <tp>
        <v>-0.37551000000000001</v>
        <stp/>
        <stp>DELTA</stp>
        <stp>.SPY160617P200</stp>
        <tr r="R675" s="1"/>
      </tp>
      <tp>
        <v>0.62358000000000002</v>
        <stp/>
        <stp>DELTA</stp>
        <stp>.SPY160617C200</stp>
        <tr r="G675" s="1"/>
      </tp>
      <tp t="s">
        <v>N/A</v>
        <stp/>
        <stp>DELTA</stp>
        <stp>.SPY160617P203</stp>
        <tr r="R681" s="1"/>
      </tp>
      <tp t="s">
        <v>N/A</v>
        <stp/>
        <stp>DELTA</stp>
        <stp>.SPY160617C203</stp>
        <tr r="G681" s="1"/>
      </tp>
      <tp t="s">
        <v>N/A</v>
        <stp/>
        <stp>DELTA</stp>
        <stp>.SPY160617P202</stp>
        <tr r="R679" s="1"/>
      </tp>
      <tp t="s">
        <v>N/A</v>
        <stp/>
        <stp>DELTA</stp>
        <stp>.SPY160617C202</stp>
        <tr r="G679" s="1"/>
      </tp>
      <tp>
        <v>-0.17244999999999999</v>
        <stp/>
        <stp>DELTA</stp>
        <stp>.SPY150619P200</stp>
        <tr r="R297" s="1"/>
      </tp>
      <tp>
        <v>0.82257000000000002</v>
        <stp/>
        <stp>DELTA</stp>
        <stp>.SPY150619C200</stp>
        <tr r="G297" s="1"/>
      </tp>
      <tp>
        <v>-0.19098000000000001</v>
        <stp/>
        <stp>DELTA</stp>
        <stp>.SPY150619P201</stp>
        <tr r="R299" s="1"/>
      </tp>
      <tp>
        <v>0.80547999999999997</v>
        <stp/>
        <stp>DELTA</stp>
        <stp>.SPY150619C201</stp>
        <tr r="G299" s="1"/>
      </tp>
      <tp>
        <v>-0.2109</v>
        <stp/>
        <stp>DELTA</stp>
        <stp>.SPY150619P202</stp>
        <tr r="R301" s="1"/>
      </tp>
      <tp>
        <v>0.78654999999999997</v>
        <stp/>
        <stp>DELTA</stp>
        <stp>.SPY150619C202</stp>
        <tr r="G301" s="1"/>
      </tp>
      <tp>
        <v>-0.23289000000000001</v>
        <stp/>
        <stp>DELTA</stp>
        <stp>.SPY150619P203</stp>
        <tr r="R303" s="1"/>
      </tp>
      <tp>
        <v>0.76692000000000005</v>
        <stp/>
        <stp>DELTA</stp>
        <stp>.SPY150619C203</stp>
        <tr r="G303" s="1"/>
      </tp>
      <tp>
        <v>-0.25667000000000001</v>
        <stp/>
        <stp>DELTA</stp>
        <stp>.SPY150619P204</stp>
        <tr r="R305" s="1"/>
      </tp>
      <tp t="s">
        <v>N/A</v>
        <stp/>
        <stp>DELTA</stp>
        <stp>.SPY160617P209</stp>
        <tr r="R693" s="1"/>
      </tp>
      <tp>
        <v>0.74404999999999999</v>
        <stp/>
        <stp>DELTA</stp>
        <stp>.SPY150619C204</stp>
        <tr r="G305" s="1"/>
      </tp>
      <tp t="s">
        <v>N/A</v>
        <stp/>
        <stp>DELTA</stp>
        <stp>.SPY160617C209</stp>
        <tr r="G693" s="1"/>
      </tp>
      <tp>
        <v>-0.28255999999999998</v>
        <stp/>
        <stp>DELTA</stp>
        <stp>.SPY150619P205</stp>
        <tr r="R307" s="1"/>
      </tp>
      <tp t="s">
        <v>N/A</v>
        <stp/>
        <stp>DELTA</stp>
        <stp>.SPY160617P208</stp>
        <tr r="R691" s="1"/>
      </tp>
      <tp>
        <v>0.71938999999999997</v>
        <stp/>
        <stp>DELTA</stp>
        <stp>.SPY150619C205</stp>
        <tr r="G307" s="1"/>
      </tp>
      <tp t="s">
        <v>N/A</v>
        <stp/>
        <stp>DELTA</stp>
        <stp>.SPY160617C208</stp>
        <tr r="G691" s="1"/>
      </tp>
      <tp>
        <v>-0.31061</v>
        <stp/>
        <stp>DELTA</stp>
        <stp>.SPY150619P206</stp>
        <tr r="R309" s="1"/>
      </tp>
      <tp>
        <v>0.69055999999999995</v>
        <stp/>
        <stp>DELTA</stp>
        <stp>.SPY150619C206</stp>
        <tr r="G309" s="1"/>
      </tp>
      <tp>
        <v>-0.34134999999999999</v>
        <stp/>
        <stp>DELTA</stp>
        <stp>.SPY150619P207</stp>
        <tr r="R311" s="1"/>
      </tp>
      <tp>
        <v>0.66203000000000001</v>
        <stp/>
        <stp>DELTA</stp>
        <stp>.SPY150619C207</stp>
        <tr r="G311" s="1"/>
      </tp>
      <tp t="s">
        <v>N/A</v>
        <stp/>
        <stp>VEGA</stp>
        <stp>.SPY160318C201.5</stp>
        <tr r="J636" s="1"/>
      </tp>
      <tp t="s">
        <v>N/A</v>
        <stp/>
        <stp>VEGA</stp>
        <stp>.SPY160318C211.5</stp>
        <tr r="J656" s="1"/>
      </tp>
      <tp t="s">
        <v>N/A</v>
        <stp/>
        <stp>VEGA</stp>
        <stp>.SPY170120C218.5</stp>
        <tr r="J838" s="1"/>
      </tp>
      <tp t="s">
        <v>N/A</v>
        <stp/>
        <stp>VEGA</stp>
        <stp>.SPY170120C208.5</stp>
        <tr r="J818" s="1"/>
      </tp>
      <tp t="s">
        <v>N/A</v>
        <stp/>
        <stp>VEGA</stp>
        <stp>.SPY150619C203.5</stp>
        <tr r="J304" s="1"/>
      </tp>
      <tp t="s">
        <v>N/A</v>
        <stp/>
        <stp>VEGA</stp>
        <stp>.SPY150619C213.5</stp>
        <tr r="J324" s="1"/>
      </tp>
      <tp>
        <v>8.8279999999999997E-2</v>
        <stp/>
        <stp>VEGA</stp>
        <stp>.SPY150508C212.5</stp>
        <tr r="J154" s="1"/>
      </tp>
      <tp>
        <v>2.2450000000000001E-2</v>
        <stp/>
        <stp>VEGA</stp>
        <stp>.SPY150508C202.5</stp>
        <tr r="J134" s="1"/>
      </tp>
      <tp>
        <v>4.0649999999999999E-2</v>
        <stp/>
        <stp>VEGA</stp>
        <stp>.SPY150522C218.5</stp>
        <tr r="J250" s="1"/>
      </tp>
      <tp>
        <v>0.20879</v>
        <stp/>
        <stp>VEGA</stp>
        <stp>.SPY150529C213.5</stp>
        <tr r="J282" s="1"/>
      </tp>
      <tp>
        <v>0.17122999999999999</v>
        <stp/>
        <stp>VEGA</stp>
        <stp>.SPY150522C208.5</stp>
        <tr r="J230" s="1"/>
      </tp>
      <tp>
        <v>0.14241999999999999</v>
        <stp/>
        <stp>VEGA</stp>
        <stp>.SPY150529C203.5</stp>
        <tr r="J262" s="1"/>
      </tp>
      <tp t="s">
        <v>N/A</v>
        <stp/>
        <stp>VEGA</stp>
        <stp>.SPY150918C202.5</stp>
        <tr r="J428" s="1"/>
      </tp>
      <tp t="s">
        <v>N/A</v>
        <stp/>
        <stp>VEGA</stp>
        <stp>.SPY150918C212.5</stp>
        <tr r="J448" s="1"/>
      </tp>
      <tp t="s">
        <v>N/A</v>
        <stp/>
        <stp>VEGA</stp>
        <stp>.SPY151219C203.5</stp>
        <tr r="J514" s="1"/>
      </tp>
      <tp t="s">
        <v>N/A</v>
        <stp/>
        <stp>VEGA</stp>
        <stp>.SPY151219C213.5</stp>
        <tr r="J534" s="1"/>
      </tp>
      <tp t="s">
        <v>N/A</v>
        <stp/>
        <stp>VEGA</stp>
        <stp>.SPY151219P203.5</stp>
        <tr r="U514" s="1"/>
      </tp>
      <tp t="s">
        <v>N/A</v>
        <stp/>
        <stp>VEGA</stp>
        <stp>.SPY151219P213.5</stp>
        <tr r="U534" s="1"/>
      </tp>
      <tp t="s">
        <v>N/A</v>
        <stp/>
        <stp>VEGA</stp>
        <stp>.SPY160318P201.5</stp>
        <tr r="U636" s="1"/>
      </tp>
      <tp t="s">
        <v>N/A</v>
        <stp/>
        <stp>VEGA</stp>
        <stp>.SPY160318P211.5</stp>
        <tr r="U656" s="1"/>
      </tp>
      <tp t="s">
        <v>N/A</v>
        <stp/>
        <stp>VEGA</stp>
        <stp>.SPY170120P218.5</stp>
        <tr r="U838" s="1"/>
      </tp>
      <tp t="s">
        <v>N/A</v>
        <stp/>
        <stp>VEGA</stp>
        <stp>.SPY170120P208.5</stp>
        <tr r="U818" s="1"/>
      </tp>
      <tp t="s">
        <v>N/A</v>
        <stp/>
        <stp>VEGA</stp>
        <stp>.SPY150619P203.5</stp>
        <tr r="U304" s="1"/>
      </tp>
      <tp t="s">
        <v>N/A</v>
        <stp/>
        <stp>VEGA</stp>
        <stp>.SPY150619P213.5</stp>
        <tr r="U324" s="1"/>
      </tp>
      <tp>
        <v>8.7499999999999994E-2</v>
        <stp/>
        <stp>VEGA</stp>
        <stp>.SPY150508P212.5</stp>
        <tr r="U154" s="1"/>
      </tp>
      <tp>
        <v>1.252E-2</v>
        <stp/>
        <stp>VEGA</stp>
        <stp>.SPY150508P202.5</stp>
        <tr r="U134" s="1"/>
      </tp>
      <tp>
        <v>0</v>
        <stp/>
        <stp>VEGA</stp>
        <stp>.SPY150522P218.5</stp>
        <tr r="U250" s="1"/>
      </tp>
      <tp>
        <v>0.20426</v>
        <stp/>
        <stp>VEGA</stp>
        <stp>.SPY150529P213.5</stp>
        <tr r="U282" s="1"/>
      </tp>
      <tp>
        <v>0.16919999999999999</v>
        <stp/>
        <stp>VEGA</stp>
        <stp>.SPY150522P208.5</stp>
        <tr r="U230" s="1"/>
      </tp>
      <tp>
        <v>0.13364999999999999</v>
        <stp/>
        <stp>VEGA</stp>
        <stp>.SPY150529P203.5</stp>
        <tr r="U262" s="1"/>
      </tp>
      <tp t="s">
        <v>N/A</v>
        <stp/>
        <stp>VEGA</stp>
        <stp>.SPY150918P202.5</stp>
        <tr r="U428" s="1"/>
      </tp>
      <tp t="s">
        <v>N/A</v>
        <stp/>
        <stp>VEGA</stp>
        <stp>.SPY150918P212.5</stp>
        <tr r="U448" s="1"/>
      </tp>
      <tp t="s">
        <v>N/A</v>
        <stp/>
        <stp>GAMMA</stp>
        <stp>.SPY170120P218</stp>
        <tr r="T837" s="1"/>
      </tp>
      <tp t="s">
        <v>N/A</v>
        <stp/>
        <stp>GAMMA</stp>
        <stp>.SPY170120C218</stp>
        <tr r="I837" s="1"/>
      </tp>
      <tp t="s">
        <v>N/A</v>
        <stp/>
        <stp>GAMMA</stp>
        <stp>.SPY170120P219</stp>
        <tr r="T839" s="1"/>
      </tp>
      <tp t="s">
        <v>N/A</v>
        <stp/>
        <stp>GAMMA</stp>
        <stp>.SPY170120C219</stp>
        <tr r="I839" s="1"/>
      </tp>
      <tp t="s">
        <v>N/A</v>
        <stp/>
        <stp>GAMMA</stp>
        <stp>.SPY170120P212</stp>
        <tr r="T825" s="1"/>
      </tp>
      <tp t="s">
        <v>N/A</v>
        <stp/>
        <stp>GAMMA</stp>
        <stp>.SPY170120C212</stp>
        <tr r="I825" s="1"/>
      </tp>
      <tp t="s">
        <v>N/A</v>
        <stp/>
        <stp>GAMMA</stp>
        <stp>.SPY170120P213</stp>
        <tr r="T827" s="1"/>
      </tp>
      <tp t="s">
        <v>N/A</v>
        <stp/>
        <stp>GAMMA</stp>
        <stp>.SPY170120C213</stp>
        <tr r="I827" s="1"/>
      </tp>
      <tp>
        <v>8.26E-3</v>
        <stp/>
        <stp>GAMMA</stp>
        <stp>.SPY170120P210</stp>
        <tr r="T821" s="1"/>
      </tp>
      <tp>
        <v>8.4399999999999996E-3</v>
        <stp/>
        <stp>GAMMA</stp>
        <stp>.SPY170120C210</stp>
        <tr r="I821" s="1"/>
      </tp>
      <tp t="s">
        <v>N/A</v>
        <stp/>
        <stp>GAMMA</stp>
        <stp>.SPY170120P211</stp>
        <tr r="T823" s="1"/>
      </tp>
      <tp t="s">
        <v>N/A</v>
        <stp/>
        <stp>GAMMA</stp>
        <stp>.SPY170120C211</stp>
        <tr r="I823" s="1"/>
      </tp>
      <tp t="s">
        <v>N/A</v>
        <stp/>
        <stp>GAMMA</stp>
        <stp>.SPY170120P216</stp>
        <tr r="T833" s="1"/>
      </tp>
      <tp t="s">
        <v>N/A</v>
        <stp/>
        <stp>GAMMA</stp>
        <stp>.SPY170120C216</stp>
        <tr r="I833" s="1"/>
      </tp>
      <tp t="s">
        <v>N/A</v>
        <stp/>
        <stp>GAMMA</stp>
        <stp>.SPY170120P217</stp>
        <tr r="T835" s="1"/>
      </tp>
      <tp t="s">
        <v>N/A</v>
        <stp/>
        <stp>GAMMA</stp>
        <stp>.SPY170120C217</stp>
        <tr r="I835" s="1"/>
      </tp>
      <tp t="s">
        <v>N/A</v>
        <stp/>
        <stp>GAMMA</stp>
        <stp>.SPY170120P214</stp>
        <tr r="T829" s="1"/>
      </tp>
      <tp t="s">
        <v>N/A</v>
        <stp/>
        <stp>GAMMA</stp>
        <stp>.SPY170120C214</stp>
        <tr r="I829" s="1"/>
      </tp>
      <tp>
        <v>8.5500000000000003E-3</v>
        <stp/>
        <stp>GAMMA</stp>
        <stp>.SPY170120P215</stp>
        <tr r="T831" s="1"/>
      </tp>
      <tp>
        <v>8.6400000000000001E-3</v>
        <stp/>
        <stp>GAMMA</stp>
        <stp>.SPY170120C215</stp>
        <tr r="I831" s="1"/>
      </tp>
      <tp>
        <v>-0.10954999999999999</v>
        <stp/>
        <stp>DELTA</stp>
        <stp>.SPY150522P203</stp>
        <tr r="R219" s="1"/>
      </tp>
      <tp>
        <v>-0.30798999999999999</v>
        <stp/>
        <stp>DELTA</stp>
        <stp>.SPY150529P208</stp>
        <tr r="R271" s="1"/>
      </tp>
      <tp>
        <v>0.87400999999999995</v>
        <stp/>
        <stp>DELTA</stp>
        <stp>.SPY150522C203</stp>
        <tr r="G219" s="1"/>
      </tp>
      <tp>
        <v>0.68108999999999997</v>
        <stp/>
        <stp>DELTA</stp>
        <stp>.SPY150529C208</stp>
        <tr r="G271" s="1"/>
      </tp>
      <tp>
        <v>-9.0870000000000006E-2</v>
        <stp/>
        <stp>DELTA</stp>
        <stp>.SPY150522P202</stp>
        <tr r="R217" s="1"/>
      </tp>
      <tp>
        <v>-0.35768</v>
        <stp/>
        <stp>DELTA</stp>
        <stp>.SPY150529P209</stp>
        <tr r="R273" s="1"/>
      </tp>
      <tp>
        <v>0.89202999999999999</v>
        <stp/>
        <stp>DELTA</stp>
        <stp>.SPY150522C202</stp>
        <tr r="G217" s="1"/>
      </tp>
      <tp>
        <v>0.63507000000000002</v>
        <stp/>
        <stp>DELTA</stp>
        <stp>.SPY150529C209</stp>
        <tr r="G273" s="1"/>
      </tp>
      <tp>
        <v>-7.4370000000000006E-2</v>
        <stp/>
        <stp>DELTA</stp>
        <stp>.SPY150522P201</stp>
        <tr r="R215" s="1"/>
      </tp>
      <tp>
        <v>0.90786999999999995</v>
        <stp/>
        <stp>DELTA</stp>
        <stp>.SPY150522C201</stp>
        <tr r="G215" s="1"/>
      </tp>
      <tp>
        <v>-6.2359999999999999E-2</v>
        <stp/>
        <stp>DELTA</stp>
        <stp>.SPY150522P200</stp>
        <tr r="R213" s="1"/>
      </tp>
      <tp>
        <v>0.91822999999999999</v>
        <stp/>
        <stp>DELTA</stp>
        <stp>.SPY150522C200</stp>
        <tr r="G213" s="1"/>
      </tp>
      <tp>
        <v>-0.23227999999999999</v>
        <stp/>
        <stp>DELTA</stp>
        <stp>.SPY150522P207</stp>
        <tr r="R227" s="1"/>
      </tp>
      <tp>
        <v>0.75512000000000001</v>
        <stp/>
        <stp>DELTA</stp>
        <stp>.SPY150522C207</stp>
        <tr r="G227" s="1"/>
      </tp>
      <tp>
        <v>-0.19319</v>
        <stp/>
        <stp>DELTA</stp>
        <stp>.SPY150522P206</stp>
        <tr r="R225" s="1"/>
      </tp>
      <tp>
        <v>0.79303000000000001</v>
        <stp/>
        <stp>DELTA</stp>
        <stp>.SPY150522C206</stp>
        <tr r="G225" s="1"/>
      </tp>
      <tp>
        <v>-0.15939</v>
        <stp/>
        <stp>DELTA</stp>
        <stp>.SPY150522P205</stp>
        <tr r="R223" s="1"/>
      </tp>
      <tp>
        <v>0.82662999999999998</v>
        <stp/>
        <stp>DELTA</stp>
        <stp>.SPY150522C205</stp>
        <tr r="G223" s="1"/>
      </tp>
      <tp>
        <v>-0.13275999999999999</v>
        <stp/>
        <stp>DELTA</stp>
        <stp>.SPY150522P204</stp>
        <tr r="R221" s="1"/>
      </tp>
      <tp>
        <v>0.85058999999999996</v>
        <stp/>
        <stp>DELTA</stp>
        <stp>.SPY150522C204</stp>
        <tr r="G221" s="1"/>
      </tp>
      <tp>
        <v>-8.6639999999999995E-2</v>
        <stp/>
        <stp>DELTA</stp>
        <stp>.SPY150529P200</stp>
        <tr r="R255" s="1"/>
      </tp>
      <tp>
        <v>0.89307000000000003</v>
        <stp/>
        <stp>DELTA</stp>
        <stp>.SPY150529C200</stp>
        <tr r="G255" s="1"/>
      </tp>
      <tp>
        <v>-0.10199</v>
        <stp/>
        <stp>DELTA</stp>
        <stp>.SPY150529P201</stp>
        <tr r="R257" s="1"/>
      </tp>
      <tp>
        <v>0.87888999999999995</v>
        <stp/>
        <stp>DELTA</stp>
        <stp>.SPY150529C201</stp>
        <tr r="G257" s="1"/>
      </tp>
      <tp>
        <v>-0.33366000000000001</v>
        <stp/>
        <stp>DELTA</stp>
        <stp>.SPY150522P209</stp>
        <tr r="R231" s="1"/>
      </tp>
      <tp>
        <v>-0.11898</v>
        <stp/>
        <stp>DELTA</stp>
        <stp>.SPY150529P202</stp>
        <tr r="R259" s="1"/>
      </tp>
      <tp>
        <v>0.65858000000000005</v>
        <stp/>
        <stp>DELTA</stp>
        <stp>.SPY150522C209</stp>
        <tr r="G231" s="1"/>
      </tp>
      <tp>
        <v>0.86226999999999998</v>
        <stp/>
        <stp>DELTA</stp>
        <stp>.SPY150529C202</stp>
        <tr r="G259" s="1"/>
      </tp>
      <tp>
        <v>-0.27886</v>
        <stp/>
        <stp>DELTA</stp>
        <stp>.SPY150522P208</stp>
        <tr r="R229" s="1"/>
      </tp>
      <tp>
        <v>-0.14122999999999999</v>
        <stp/>
        <stp>DELTA</stp>
        <stp>.SPY150529P203</stp>
        <tr r="R261" s="1"/>
      </tp>
      <tp>
        <v>0.71026999999999996</v>
        <stp/>
        <stp>DELTA</stp>
        <stp>.SPY150522C208</stp>
        <tr r="G229" s="1"/>
      </tp>
      <tp>
        <v>0.84008000000000005</v>
        <stp/>
        <stp>DELTA</stp>
        <stp>.SPY150529C203</stp>
        <tr r="G261" s="1"/>
      </tp>
      <tp>
        <v>-0.16585</v>
        <stp/>
        <stp>DELTA</stp>
        <stp>.SPY150529P204</stp>
        <tr r="R263" s="1"/>
      </tp>
      <tp>
        <v>0.81833</v>
        <stp/>
        <stp>DELTA</stp>
        <stp>.SPY150529C204</stp>
        <tr r="G263" s="1"/>
      </tp>
      <tp>
        <v>-0.19392000000000001</v>
        <stp/>
        <stp>DELTA</stp>
        <stp>.SPY150529P205</stp>
        <tr r="R265" s="1"/>
      </tp>
      <tp>
        <v>0.79049000000000003</v>
        <stp/>
        <stp>DELTA</stp>
        <stp>.SPY150529C205</stp>
        <tr r="G265" s="1"/>
      </tp>
      <tp>
        <v>-0.22670999999999999</v>
        <stp/>
        <stp>DELTA</stp>
        <stp>.SPY150529P206</stp>
        <tr r="R267" s="1"/>
      </tp>
      <tp>
        <v>0.75880000000000003</v>
        <stp/>
        <stp>DELTA</stp>
        <stp>.SPY150529C206</stp>
        <tr r="G267" s="1"/>
      </tp>
      <tp>
        <v>-0.26438</v>
        <stp/>
        <stp>DELTA</stp>
        <stp>.SPY150529P207</stp>
        <tr r="R269" s="1"/>
      </tp>
      <tp>
        <v>0.72224999999999995</v>
        <stp/>
        <stp>DELTA</stp>
        <stp>.SPY150529C207</stp>
        <tr r="G269" s="1"/>
      </tp>
      <tp t="s">
        <v>N/A</v>
        <stp/>
        <stp>GAMMA</stp>
        <stp>.SPY170120P208</stp>
        <tr r="T817" s="1"/>
      </tp>
      <tp t="s">
        <v>N/A</v>
        <stp/>
        <stp>GAMMA</stp>
        <stp>.SPY170120C208</stp>
        <tr r="I817" s="1"/>
      </tp>
      <tp t="s">
        <v>N/A</v>
        <stp/>
        <stp>GAMMA</stp>
        <stp>.SPY170120P209</stp>
        <tr r="T819" s="1"/>
      </tp>
      <tp t="s">
        <v>N/A</v>
        <stp/>
        <stp>GAMMA</stp>
        <stp>.SPY170120C209</stp>
        <tr r="I819" s="1"/>
      </tp>
      <tp t="s">
        <v>N/A</v>
        <stp/>
        <stp>GAMMA</stp>
        <stp>.SPY170120P202</stp>
        <tr r="T805" s="1"/>
      </tp>
      <tp t="s">
        <v>N/A</v>
        <stp/>
        <stp>GAMMA</stp>
        <stp>.SPY170120C202</stp>
        <tr r="I805" s="1"/>
      </tp>
      <tp t="s">
        <v>N/A</v>
        <stp/>
        <stp>GAMMA</stp>
        <stp>.SPY170120P203</stp>
        <tr r="T807" s="1"/>
      </tp>
      <tp t="s">
        <v>N/A</v>
        <stp/>
        <stp>GAMMA</stp>
        <stp>.SPY170120C203</stp>
        <tr r="I807" s="1"/>
      </tp>
      <tp>
        <v>7.3200000000000001E-3</v>
        <stp/>
        <stp>GAMMA</stp>
        <stp>.SPY170120P200</stp>
        <tr r="T801" s="1"/>
      </tp>
      <tp>
        <v>7.7200000000000003E-3</v>
        <stp/>
        <stp>GAMMA</stp>
        <stp>.SPY170120C200</stp>
        <tr r="I801" s="1"/>
      </tp>
      <tp t="s">
        <v>N/A</v>
        <stp/>
        <stp>GAMMA</stp>
        <stp>.SPY170120P201</stp>
        <tr r="T803" s="1"/>
      </tp>
      <tp t="s">
        <v>N/A</v>
        <stp/>
        <stp>GAMMA</stp>
        <stp>.SPY170120C201</stp>
        <tr r="I803" s="1"/>
      </tp>
      <tp t="s">
        <v>N/A</v>
        <stp/>
        <stp>GAMMA</stp>
        <stp>.SPY170120P206</stp>
        <tr r="T813" s="1"/>
      </tp>
      <tp t="s">
        <v>N/A</v>
        <stp/>
        <stp>GAMMA</stp>
        <stp>.SPY170120C206</stp>
        <tr r="I813" s="1"/>
      </tp>
      <tp t="s">
        <v>N/A</v>
        <stp/>
        <stp>GAMMA</stp>
        <stp>.SPY170120P207</stp>
        <tr r="T815" s="1"/>
      </tp>
      <tp t="s">
        <v>N/A</v>
        <stp/>
        <stp>GAMMA</stp>
        <stp>.SPY170120C207</stp>
        <tr r="I815" s="1"/>
      </tp>
      <tp t="s">
        <v>N/A</v>
        <stp/>
        <stp>GAMMA</stp>
        <stp>.SPY170120P204</stp>
        <tr r="T809" s="1"/>
      </tp>
      <tp t="s">
        <v>N/A</v>
        <stp/>
        <stp>GAMMA</stp>
        <stp>.SPY170120C204</stp>
        <tr r="I809" s="1"/>
      </tp>
      <tp>
        <v>7.8200000000000006E-3</v>
        <stp/>
        <stp>GAMMA</stp>
        <stp>.SPY170120P205</stp>
        <tr r="T811" s="1"/>
      </tp>
      <tp>
        <v>8.1499999999999993E-3</v>
        <stp/>
        <stp>GAMMA</stp>
        <stp>.SPY170120C205</stp>
        <tr r="I811" s="1"/>
      </tp>
      <tp>
        <v>-0.64498</v>
        <stp/>
        <stp>DELTA</stp>
        <stp>.SPY150522P213</stp>
        <tr r="R239" s="1"/>
      </tp>
      <tp>
        <v>-0.99875000000000003</v>
        <stp/>
        <stp>DELTA</stp>
        <stp>.SPY150529P218</stp>
        <tr r="R291" s="1"/>
      </tp>
      <tp>
        <v>0.36754999999999999</v>
        <stp/>
        <stp>DELTA</stp>
        <stp>.SPY150522C213</stp>
        <tr r="G239" s="1"/>
      </tp>
      <tp>
        <v>7.8960000000000002E-2</v>
        <stp/>
        <stp>DELTA</stp>
        <stp>.SPY150529C218</stp>
        <tr r="G291" s="1"/>
      </tp>
      <tp>
        <v>-0.55437999999999998</v>
        <stp/>
        <stp>DELTA</stp>
        <stp>.SPY150522P212</stp>
        <tr r="R237" s="1"/>
      </tp>
      <tp>
        <v>-0.99875000000000003</v>
        <stp/>
        <stp>DELTA</stp>
        <stp>.SPY150529P219</stp>
        <tr r="R293" s="1"/>
      </tp>
      <tp>
        <v>0.45155000000000001</v>
        <stp/>
        <stp>DELTA</stp>
        <stp>.SPY150522C212</stp>
        <tr r="G237" s="1"/>
      </tp>
      <tp>
        <v>5.1709999999999999E-2</v>
        <stp/>
        <stp>DELTA</stp>
        <stp>.SPY150529C219</stp>
        <tr r="G293" s="1"/>
      </tp>
      <tp>
        <v>-0.47094000000000003</v>
        <stp/>
        <stp>DELTA</stp>
        <stp>.SPY150522P211</stp>
        <tr r="R235" s="1"/>
      </tp>
      <tp>
        <v>0.52844999999999998</v>
        <stp/>
        <stp>DELTA</stp>
        <stp>.SPY150522C211</stp>
        <tr r="G235" s="1"/>
      </tp>
      <tp>
        <v>-0.39733000000000002</v>
        <stp/>
        <stp>DELTA</stp>
        <stp>.SPY150522P210</stp>
        <tr r="R233" s="1"/>
      </tp>
      <tp>
        <v>0.59721999999999997</v>
        <stp/>
        <stp>DELTA</stp>
        <stp>.SPY150522C210</stp>
        <tr r="G233" s="1"/>
      </tp>
      <tp>
        <v>-1</v>
        <stp/>
        <stp>DELTA</stp>
        <stp>.SPY150522P217</stp>
        <tr r="R247" s="1"/>
      </tp>
      <tp>
        <v>8.0879999999999994E-2</v>
        <stp/>
        <stp>DELTA</stp>
        <stp>.SPY150522C217</stp>
        <tr r="G247" s="1"/>
      </tp>
      <tp>
        <v>-0.92978000000000005</v>
        <stp/>
        <stp>DELTA</stp>
        <stp>.SPY150522P216</stp>
        <tr r="R245" s="1"/>
      </tp>
      <tp>
        <v>0.13034999999999999</v>
        <stp/>
        <stp>DELTA</stp>
        <stp>.SPY150522C216</stp>
        <tr r="G245" s="1"/>
      </tp>
      <tp>
        <v>-0.83792</v>
        <stp/>
        <stp>DELTA</stp>
        <stp>.SPY150522P215</stp>
        <tr r="R243" s="1"/>
      </tp>
      <tp>
        <v>0.19993</v>
        <stp/>
        <stp>DELTA</stp>
        <stp>.SPY150522C215</stp>
        <tr r="G243" s="1"/>
      </tp>
      <tp>
        <v>-0.74158999999999997</v>
        <stp/>
        <stp>DELTA</stp>
        <stp>.SPY150522P214</stp>
        <tr r="R241" s="1"/>
      </tp>
      <tp>
        <v>0.28219</v>
        <stp/>
        <stp>DELTA</stp>
        <stp>.SPY150522C214</stp>
        <tr r="G241" s="1"/>
      </tp>
      <tp>
        <v>-0.41447000000000001</v>
        <stp/>
        <stp>DELTA</stp>
        <stp>.SPY150529P210</stp>
        <tr r="R275" s="1"/>
      </tp>
      <tp>
        <v>0.58179999999999998</v>
        <stp/>
        <stp>DELTA</stp>
        <stp>.SPY150529C210</stp>
        <tr r="G275" s="1"/>
      </tp>
      <tp>
        <v>-0.47760000000000002</v>
        <stp/>
        <stp>DELTA</stp>
        <stp>.SPY150529P211</stp>
        <tr r="R277" s="1"/>
      </tp>
      <tp>
        <v>0.52251999999999998</v>
        <stp/>
        <stp>DELTA</stp>
        <stp>.SPY150529C211</stp>
        <tr r="G277" s="1"/>
      </tp>
      <tp>
        <v>-0.99907999999999997</v>
        <stp/>
        <stp>DELTA</stp>
        <stp>.SPY150522P219</stp>
        <tr r="R251" s="1"/>
      </tp>
      <tp>
        <v>-0.54900000000000004</v>
        <stp/>
        <stp>DELTA</stp>
        <stp>.SPY150529P212</stp>
        <tr r="R279" s="1"/>
      </tp>
      <tp>
        <v>2.9690000000000001E-2</v>
        <stp/>
        <stp>DELTA</stp>
        <stp>.SPY150522C219</stp>
        <tr r="G251" s="1"/>
      </tp>
      <tp>
        <v>0.45707999999999999</v>
        <stp/>
        <stp>DELTA</stp>
        <stp>.SPY150529C212</stp>
        <tr r="G279" s="1"/>
      </tp>
      <tp>
        <v>-1</v>
        <stp/>
        <stp>DELTA</stp>
        <stp>.SPY150522P218</stp>
        <tr r="R249" s="1"/>
      </tp>
      <tp>
        <v>-0.62834999999999996</v>
        <stp/>
        <stp>DELTA</stp>
        <stp>.SPY150529P213</stp>
        <tr r="R281" s="1"/>
      </tp>
      <tp>
        <v>4.897E-2</v>
        <stp/>
        <stp>DELTA</stp>
        <stp>.SPY150522C218</stp>
        <tr r="G249" s="1"/>
      </tp>
      <tp>
        <v>0.38656000000000001</v>
        <stp/>
        <stp>DELTA</stp>
        <stp>.SPY150529C213</stp>
        <tr r="G281" s="1"/>
      </tp>
      <tp>
        <v>-0.71191000000000004</v>
        <stp/>
        <stp>DELTA</stp>
        <stp>.SPY150529P214</stp>
        <tr r="R283" s="1"/>
      </tp>
      <tp>
        <v>0.31275999999999998</v>
        <stp/>
        <stp>DELTA</stp>
        <stp>.SPY150529C214</stp>
        <tr r="G283" s="1"/>
      </tp>
      <tp>
        <v>-0.79795000000000005</v>
        <stp/>
        <stp>DELTA</stp>
        <stp>.SPY150529P215</stp>
        <tr r="R285" s="1"/>
      </tp>
      <tp>
        <v>0.24162</v>
        <stp/>
        <stp>DELTA</stp>
        <stp>.SPY150529C215</stp>
        <tr r="G285" s="1"/>
      </tp>
      <tp>
        <v>-0.88158000000000003</v>
        <stp/>
        <stp>DELTA</stp>
        <stp>.SPY150529P216</stp>
        <tr r="R287" s="1"/>
      </tp>
      <tp>
        <v>0.17348</v>
        <stp/>
        <stp>DELTA</stp>
        <stp>.SPY150529C216</stp>
        <tr r="G287" s="1"/>
      </tp>
      <tp>
        <v>-0.96930000000000005</v>
        <stp/>
        <stp>DELTA</stp>
        <stp>.SPY150529P217</stp>
        <tr r="R289" s="1"/>
      </tp>
      <tp>
        <v>0.11878</v>
        <stp/>
        <stp>DELTA</stp>
        <stp>.SPY150529C217</stp>
        <tr r="G289" s="1"/>
      </tp>
      <tp>
        <v>1.417E-2</v>
        <stp/>
        <stp>GAMMA</stp>
        <stp>.SPY160115P208</stp>
        <tr r="T607" s="1"/>
      </tp>
      <tp>
        <v>1.502E-2</v>
        <stp/>
        <stp>GAMMA</stp>
        <stp>.SPY160115C208</stp>
        <tr r="I607" s="1"/>
      </tp>
      <tp>
        <v>1.4370000000000001E-2</v>
        <stp/>
        <stp>GAMMA</stp>
        <stp>.SPY160115P209</stp>
        <tr r="T609" s="1"/>
      </tp>
      <tp>
        <v>1.525E-2</v>
        <stp/>
        <stp>GAMMA</stp>
        <stp>.SPY160115C209</stp>
        <tr r="I609" s="1"/>
      </tp>
      <tp>
        <v>1.367E-2</v>
        <stp/>
        <stp>GAMMA</stp>
        <stp>.SPY160115P206</stp>
        <tr r="T603" s="1"/>
      </tp>
      <tp>
        <v>1.4489999999999999E-2</v>
        <stp/>
        <stp>GAMMA</stp>
        <stp>.SPY160115C206</stp>
        <tr r="I603" s="1"/>
      </tp>
      <tp>
        <v>1.3899999999999999E-2</v>
        <stp/>
        <stp>GAMMA</stp>
        <stp>.SPY160115P207</stp>
        <tr r="T605" s="1"/>
      </tp>
      <tp>
        <v>1.477E-2</v>
        <stp/>
        <stp>GAMMA</stp>
        <stp>.SPY160115C207</stp>
        <tr r="I605" s="1"/>
      </tp>
      <tp>
        <v>1.3140000000000001E-2</v>
        <stp/>
        <stp>GAMMA</stp>
        <stp>.SPY160115P204</stp>
        <tr r="T599" s="1"/>
      </tp>
      <tp>
        <v>1.3979999999999999E-2</v>
        <stp/>
        <stp>GAMMA</stp>
        <stp>.SPY160115C204</stp>
        <tr r="I599" s="1"/>
      </tp>
      <tp>
        <v>1.34E-2</v>
        <stp/>
        <stp>GAMMA</stp>
        <stp>.SPY160115P205</stp>
        <tr r="T601" s="1"/>
      </tp>
      <tp>
        <v>1.4189999999999999E-2</v>
        <stp/>
        <stp>GAMMA</stp>
        <stp>.SPY160115C205</stp>
        <tr r="I601" s="1"/>
      </tp>
      <tp>
        <v>1.26E-2</v>
        <stp/>
        <stp>GAMMA</stp>
        <stp>.SPY160115P202</stp>
        <tr r="T595" s="1"/>
      </tp>
      <tp>
        <v>1.345E-2</v>
        <stp/>
        <stp>GAMMA</stp>
        <stp>.SPY160115C202</stp>
        <tr r="I595" s="1"/>
      </tp>
      <tp>
        <v>1.286E-2</v>
        <stp/>
        <stp>GAMMA</stp>
        <stp>.SPY160115P203</stp>
        <tr r="T597" s="1"/>
      </tp>
      <tp>
        <v>1.371E-2</v>
        <stp/>
        <stp>GAMMA</stp>
        <stp>.SPY160115C203</stp>
        <tr r="I597" s="1"/>
      </tp>
      <tp>
        <v>1.2019999999999999E-2</v>
        <stp/>
        <stp>GAMMA</stp>
        <stp>.SPY160115P200</stp>
        <tr r="T591" s="1"/>
      </tp>
      <tp>
        <v>1.289E-2</v>
        <stp/>
        <stp>GAMMA</stp>
        <stp>.SPY160115C200</stp>
        <tr r="I591" s="1"/>
      </tp>
      <tp>
        <v>1.23E-2</v>
        <stp/>
        <stp>GAMMA</stp>
        <stp>.SPY160115P201</stp>
        <tr r="T593" s="1"/>
      </tp>
      <tp>
        <v>1.3169999999999999E-2</v>
        <stp/>
        <stp>GAMMA</stp>
        <stp>.SPY160115C201</stp>
        <tr r="I593" s="1"/>
      </tp>
      <tp t="s">
        <v>N/A</v>
        <stp/>
        <stp>DELTA</stp>
        <stp>.SPY150501P200</stp>
        <tr r="R87" s="1"/>
      </tp>
      <tp>
        <v>-0.20713999999999999</v>
        <stp/>
        <stp>DELTA</stp>
        <stp>.SPY150508P209</stp>
        <tr r="R147" s="1"/>
      </tp>
      <tp>
        <v>-0.79317000000000004</v>
        <stp/>
        <stp>DELTA</stp>
        <stp>.SPY150515P214</stp>
        <tr r="R199" s="1"/>
      </tp>
      <tp t="s">
        <v>N/A</v>
        <stp/>
        <stp>DELTA</stp>
        <stp>.SPY150501C200</stp>
        <tr r="G87" s="1"/>
      </tp>
      <tp>
        <v>0.79966999999999999</v>
        <stp/>
        <stp>DELTA</stp>
        <stp>.SPY150508C209</stp>
        <tr r="G147" s="1"/>
      </tp>
      <tp>
        <v>0.22572</v>
        <stp/>
        <stp>DELTA</stp>
        <stp>.SPY150515C214</stp>
        <tr r="G199" s="1"/>
      </tp>
      <tp t="s">
        <v>N/A</v>
        <stp/>
        <stp>DELTA</stp>
        <stp>.SPY150501P201</stp>
        <tr r="R89" s="1"/>
      </tp>
      <tp>
        <v>-0.13958000000000001</v>
        <stp/>
        <stp>DELTA</stp>
        <stp>.SPY150508P208</stp>
        <tr r="R145" s="1"/>
      </tp>
      <tp>
        <v>-0.89997000000000005</v>
        <stp/>
        <stp>DELTA</stp>
        <stp>.SPY150515P215</stp>
        <tr r="R201" s="1"/>
      </tp>
      <tp t="s">
        <v>N/A</v>
        <stp/>
        <stp>DELTA</stp>
        <stp>.SPY150501C201</stp>
        <tr r="G89" s="1"/>
      </tp>
      <tp>
        <v>0.86609999999999998</v>
        <stp/>
        <stp>DELTA</stp>
        <stp>.SPY150508C208</stp>
        <tr r="G145" s="1"/>
      </tp>
      <tp>
        <v>0.13857</v>
        <stp/>
        <stp>DELTA</stp>
        <stp>.SPY150515C215</stp>
        <tr r="G201" s="1"/>
      </tp>
      <tp t="s">
        <v>N/A</v>
        <stp/>
        <stp>DELTA</stp>
        <stp>.SPY150501P202</stp>
        <tr r="R91" s="1"/>
      </tp>
      <tp>
        <v>-0.99941999999999998</v>
        <stp/>
        <stp>DELTA</stp>
        <stp>.SPY150515P216</stp>
        <tr r="R203" s="1"/>
      </tp>
      <tp t="s">
        <v>N/A</v>
        <stp/>
        <stp>DELTA</stp>
        <stp>.SPY150501C202</stp>
        <tr r="G91" s="1"/>
      </tp>
      <tp>
        <v>7.7009999999999995E-2</v>
        <stp/>
        <stp>DELTA</stp>
        <stp>.SPY150515C216</stp>
        <tr r="G203" s="1"/>
      </tp>
      <tp t="s">
        <v>N/A</v>
        <stp/>
        <stp>DELTA</stp>
        <stp>.SPY150501P203</stp>
        <tr r="R93" s="1"/>
      </tp>
      <tp>
        <v>-1</v>
        <stp/>
        <stp>DELTA</stp>
        <stp>.SPY150515P217</stp>
        <tr r="R205" s="1"/>
      </tp>
      <tp t="s">
        <v>N/A</v>
        <stp/>
        <stp>DELTA</stp>
        <stp>.SPY150501C203</stp>
        <tr r="G93" s="1"/>
      </tp>
      <tp>
        <v>4.2470000000000001E-2</v>
        <stp/>
        <stp>DELTA</stp>
        <stp>.SPY150515C217</stp>
        <tr r="G205" s="1"/>
      </tp>
      <tp t="s">
        <v>N/A</v>
        <stp/>
        <stp>DELTA</stp>
        <stp>.SPY150501P204</stp>
        <tr r="R95" s="1"/>
      </tp>
      <tp>
        <v>-0.37167</v>
        <stp/>
        <stp>DELTA</stp>
        <stp>.SPY150515P210</stp>
        <tr r="R191" s="1"/>
      </tp>
      <tp t="s">
        <v>N/A</v>
        <stp/>
        <stp>DELTA</stp>
        <stp>.SPY150501C204</stp>
        <tr r="G95" s="1"/>
      </tp>
      <tp>
        <v>0.62314999999999998</v>
        <stp/>
        <stp>DELTA</stp>
        <stp>.SPY150515C210</stp>
        <tr r="G191" s="1"/>
      </tp>
      <tp t="s">
        <v>N/A</v>
        <stp/>
        <stp>DELTA</stp>
        <stp>.SPY150501P205</stp>
        <tr r="R97" s="1"/>
      </tp>
      <tp>
        <v>-0.46031</v>
        <stp/>
        <stp>DELTA</stp>
        <stp>.SPY150515P211</stp>
        <tr r="R193" s="1"/>
      </tp>
      <tp t="s">
        <v>N/A</v>
        <stp/>
        <stp>DELTA</stp>
        <stp>.SPY150501C205</stp>
        <tr r="G97" s="1"/>
      </tp>
      <tp>
        <v>0.53849000000000002</v>
        <stp/>
        <stp>DELTA</stp>
        <stp>.SPY150515C211</stp>
        <tr r="G193" s="1"/>
      </tp>
      <tp t="s">
        <v>N/A</v>
        <stp/>
        <stp>DELTA</stp>
        <stp>.SPY150501P206</stp>
        <tr r="R99" s="1"/>
      </tp>
      <tp>
        <v>-0.56396999999999997</v>
        <stp/>
        <stp>DELTA</stp>
        <stp>.SPY150515P212</stp>
        <tr r="R195" s="1"/>
      </tp>
      <tp t="s">
        <v>N/A</v>
        <stp/>
        <stp>DELTA</stp>
        <stp>.SPY150501C206</stp>
        <tr r="G99" s="1"/>
      </tp>
      <tp>
        <v>0.44157999999999997</v>
        <stp/>
        <stp>DELTA</stp>
        <stp>.SPY150515C212</stp>
        <tr r="G195" s="1"/>
      </tp>
      <tp t="s">
        <v>N/A</v>
        <stp/>
        <stp>DELTA</stp>
        <stp>.SPY150501P207</stp>
        <tr r="R101" s="1"/>
      </tp>
      <tp>
        <v>-0.67230999999999996</v>
        <stp/>
        <stp>DELTA</stp>
        <stp>.SPY150515P213</stp>
        <tr r="R197" s="1"/>
      </tp>
      <tp t="s">
        <v>N/A</v>
        <stp/>
        <stp>DELTA</stp>
        <stp>.SPY150501C207</stp>
        <tr r="G101" s="1"/>
      </tp>
      <tp>
        <v>0.33438000000000001</v>
        <stp/>
        <stp>DELTA</stp>
        <stp>.SPY150515C213</stp>
        <tr r="G197" s="1"/>
      </tp>
      <tp t="s">
        <v>N/A</v>
        <stp/>
        <stp>DELTA</stp>
        <stp>.SPY150501P208</stp>
        <tr r="R103" s="1"/>
      </tp>
      <tp>
        <v>-1.409E-2</v>
        <stp/>
        <stp>DELTA</stp>
        <stp>.SPY150508P201</stp>
        <tr r="R131" s="1"/>
      </tp>
      <tp t="s">
        <v>N/A</v>
        <stp/>
        <stp>DELTA</stp>
        <stp>.SPY150501C208</stp>
        <tr r="G103" s="1"/>
      </tp>
      <tp>
        <v>0.95426999999999995</v>
        <stp/>
        <stp>DELTA</stp>
        <stp>.SPY150508C201</stp>
        <tr r="G131" s="1"/>
      </tp>
      <tp t="s">
        <v>N/A</v>
        <stp/>
        <stp>DELTA</stp>
        <stp>.SPY150501P209</stp>
        <tr r="R105" s="1"/>
      </tp>
      <tp>
        <v>-1.312E-2</v>
        <stp/>
        <stp>DELTA</stp>
        <stp>.SPY150508P200</stp>
        <tr r="R129" s="1"/>
      </tp>
      <tp t="s">
        <v>N/A</v>
        <stp/>
        <stp>DELTA</stp>
        <stp>.SPY150501C209</stp>
        <tr r="G105" s="1"/>
      </tp>
      <tp>
        <v>0.95411999999999997</v>
        <stp/>
        <stp>DELTA</stp>
        <stp>.SPY150508C200</stp>
        <tr r="G129" s="1"/>
      </tp>
      <tp>
        <v>-2.181E-2</v>
        <stp/>
        <stp>DELTA</stp>
        <stp>.SPY150508P203</stp>
        <tr r="R135" s="1"/>
      </tp>
      <tp>
        <v>0.95345999999999997</v>
        <stp/>
        <stp>DELTA</stp>
        <stp>.SPY150508C203</stp>
        <tr r="G135" s="1"/>
      </tp>
      <tp>
        <v>-1.9879999999999998E-2</v>
        <stp/>
        <stp>DELTA</stp>
        <stp>.SPY150508P202</stp>
        <tr r="R133" s="1"/>
      </tp>
      <tp>
        <v>0.95323000000000002</v>
        <stp/>
        <stp>DELTA</stp>
        <stp>.SPY150508C202</stp>
        <tr r="G133" s="1"/>
      </tp>
      <tp>
        <v>-4.6219999999999997E-2</v>
        <stp/>
        <stp>DELTA</stp>
        <stp>.SPY150508P205</stp>
        <tr r="R139" s="1"/>
      </tp>
      <tp>
        <v>-0.99941999999999998</v>
        <stp/>
        <stp>DELTA</stp>
        <stp>.SPY150515P218</stp>
        <tr r="R207" s="1"/>
      </tp>
      <tp>
        <v>0.95304999999999995</v>
        <stp/>
        <stp>DELTA</stp>
        <stp>.SPY150508C205</stp>
        <tr r="G139" s="1"/>
      </tp>
      <tp>
        <v>2.436E-2</v>
        <stp/>
        <stp>DELTA</stp>
        <stp>.SPY150515C218</stp>
        <tr r="G207" s="1"/>
      </tp>
      <tp>
        <v>-3.363E-2</v>
        <stp/>
        <stp>DELTA</stp>
        <stp>.SPY150508P204</stp>
        <tr r="R137" s="1"/>
      </tp>
      <tp>
        <v>-0.99941999999999998</v>
        <stp/>
        <stp>DELTA</stp>
        <stp>.SPY150515P219</stp>
        <tr r="R209" s="1"/>
      </tp>
      <tp>
        <v>0.95611999999999997</v>
        <stp/>
        <stp>DELTA</stp>
        <stp>.SPY150508C204</stp>
        <tr r="G137" s="1"/>
      </tp>
      <tp>
        <v>1.9140000000000001E-2</v>
        <stp/>
        <stp>DELTA</stp>
        <stp>.SPY150515C219</stp>
        <tr r="G209" s="1"/>
      </tp>
      <tp>
        <v>-9.3460000000000001E-2</v>
        <stp/>
        <stp>DELTA</stp>
        <stp>.SPY150508P207</stp>
        <tr r="R143" s="1"/>
      </tp>
      <tp>
        <v>0.91051000000000004</v>
        <stp/>
        <stp>DELTA</stp>
        <stp>.SPY150508C207</stp>
        <tr r="G143" s="1"/>
      </tp>
      <tp>
        <v>-6.5180000000000002E-2</v>
        <stp/>
        <stp>DELTA</stp>
        <stp>.SPY150508P206</stp>
        <tr r="R141" s="1"/>
      </tp>
      <tp>
        <v>0.93491000000000002</v>
        <stp/>
        <stp>DELTA</stp>
        <stp>.SPY150508C206</stp>
        <tr r="G141" s="1"/>
      </tp>
      <tp>
        <v>1.54E-2</v>
        <stp/>
        <stp>GAMMA</stp>
        <stp>.SPY160115P218</stp>
        <tr r="T627" s="1"/>
      </tp>
      <tp>
        <v>1.6209999999999999E-2</v>
        <stp/>
        <stp>GAMMA</stp>
        <stp>.SPY160115C218</stp>
        <tr r="I627" s="1"/>
      </tp>
      <tp t="s">
        <v>N/A</v>
        <stp/>
        <stp>GAMMA</stp>
        <stp>.SPY160115P219</stp>
        <tr r="T629" s="1"/>
      </tp>
      <tp t="s">
        <v>N/A</v>
        <stp/>
        <stp>GAMMA</stp>
        <stp>.SPY160115C219</stp>
        <tr r="I629" s="1"/>
      </tp>
      <tp>
        <v>1.545E-2</v>
        <stp/>
        <stp>GAMMA</stp>
        <stp>.SPY160115P216</stp>
        <tr r="T623" s="1"/>
      </tp>
      <tp>
        <v>1.6119999999999999E-2</v>
        <stp/>
        <stp>GAMMA</stp>
        <stp>.SPY160115C216</stp>
        <tr r="I623" s="1"/>
      </tp>
      <tp>
        <v>1.54E-2</v>
        <stp/>
        <stp>GAMMA</stp>
        <stp>.SPY160115P217</stp>
        <tr r="T625" s="1"/>
      </tp>
      <tp>
        <v>1.6219999999999998E-2</v>
        <stp/>
        <stp>GAMMA</stp>
        <stp>.SPY160115C217</stp>
        <tr r="I625" s="1"/>
      </tp>
      <tp>
        <v>1.524E-2</v>
        <stp/>
        <stp>GAMMA</stp>
        <stp>.SPY160115P214</stp>
        <tr r="T619" s="1"/>
      </tp>
      <tp>
        <v>1.601E-2</v>
        <stp/>
        <stp>GAMMA</stp>
        <stp>.SPY160115C214</stp>
        <tr r="I619" s="1"/>
      </tp>
      <tp>
        <v>1.523E-2</v>
        <stp/>
        <stp>GAMMA</stp>
        <stp>.SPY160115P215</stp>
        <tr r="T621" s="1"/>
      </tp>
      <tp>
        <v>1.6140000000000002E-2</v>
        <stp/>
        <stp>GAMMA</stp>
        <stp>.SPY160115C215</stp>
        <tr r="I621" s="1"/>
      </tp>
      <tp>
        <v>1.4959999999999999E-2</v>
        <stp/>
        <stp>GAMMA</stp>
        <stp>.SPY160115P212</stp>
        <tr r="T615" s="1"/>
      </tp>
      <tp>
        <v>1.5779999999999999E-2</v>
        <stp/>
        <stp>GAMMA</stp>
        <stp>.SPY160115C212</stp>
        <tr r="I615" s="1"/>
      </tp>
      <tp>
        <v>1.5089999999999999E-2</v>
        <stp/>
        <stp>GAMMA</stp>
        <stp>.SPY160115P213</stp>
        <tr r="T617" s="1"/>
      </tp>
      <tp>
        <v>1.5859999999999999E-2</v>
        <stp/>
        <stp>GAMMA</stp>
        <stp>.SPY160115C213</stp>
        <tr r="I617" s="1"/>
      </tp>
      <tp>
        <v>1.457E-2</v>
        <stp/>
        <stp>GAMMA</stp>
        <stp>.SPY160115P210</stp>
        <tr r="T611" s="1"/>
      </tp>
      <tp>
        <v>1.541E-2</v>
        <stp/>
        <stp>GAMMA</stp>
        <stp>.SPY160115C210</stp>
        <tr r="I611" s="1"/>
      </tp>
      <tp>
        <v>1.474E-2</v>
        <stp/>
        <stp>GAMMA</stp>
        <stp>.SPY160115P211</stp>
        <tr r="T613" s="1"/>
      </tp>
      <tp>
        <v>1.5610000000000001E-2</v>
        <stp/>
        <stp>GAMMA</stp>
        <stp>.SPY160115C211</stp>
        <tr r="I613" s="1"/>
      </tp>
      <tp t="s">
        <v>N/A</v>
        <stp/>
        <stp>DELTA</stp>
        <stp>.SPY150501P210</stp>
        <tr r="R107" s="1"/>
      </tp>
      <tp>
        <v>-1</v>
        <stp/>
        <stp>DELTA</stp>
        <stp>.SPY150508P219</stp>
        <tr r="R167" s="1"/>
      </tp>
      <tp>
        <v>-8.9190000000000005E-2</v>
        <stp/>
        <stp>DELTA</stp>
        <stp>.SPY150515P204</stp>
        <tr r="R179" s="1"/>
      </tp>
      <tp t="s">
        <v>N/A</v>
        <stp/>
        <stp>DELTA</stp>
        <stp>.SPY150501C210</stp>
        <tr r="G107" s="1"/>
      </tp>
      <tp>
        <v>5.45E-3</v>
        <stp/>
        <stp>DELTA</stp>
        <stp>.SPY150508C219</stp>
        <tr r="G167" s="1"/>
      </tp>
      <tp>
        <v>0.89922999999999997</v>
        <stp/>
        <stp>DELTA</stp>
        <stp>.SPY150515C204</stp>
        <tr r="G179" s="1"/>
      </tp>
      <tp t="s">
        <v>N/A</v>
        <stp/>
        <stp>DELTA</stp>
        <stp>.SPY150501P211</stp>
        <tr r="R109" s="1"/>
      </tp>
      <tp>
        <v>-1</v>
        <stp/>
        <stp>DELTA</stp>
        <stp>.SPY150508P218</stp>
        <tr r="R165" s="1"/>
      </tp>
      <tp>
        <v>-0.11305</v>
        <stp/>
        <stp>DELTA</stp>
        <stp>.SPY150515P205</stp>
        <tr r="R181" s="1"/>
      </tp>
      <tp t="s">
        <v>N/A</v>
        <stp/>
        <stp>DELTA</stp>
        <stp>.SPY150501C211</stp>
        <tr r="G109" s="1"/>
      </tp>
      <tp>
        <v>6.0899999999999999E-3</v>
        <stp/>
        <stp>DELTA</stp>
        <stp>.SPY150508C218</stp>
        <tr r="G165" s="1"/>
      </tp>
      <tp>
        <v>0.87592999999999999</v>
        <stp/>
        <stp>DELTA</stp>
        <stp>.SPY150515C205</stp>
        <tr r="G181" s="1"/>
      </tp>
      <tp t="s">
        <v>N/A</v>
        <stp/>
        <stp>DELTA</stp>
        <stp>.SPY150501P212</stp>
        <tr r="R111" s="1"/>
      </tp>
      <tp>
        <v>-0.14463000000000001</v>
        <stp/>
        <stp>DELTA</stp>
        <stp>.SPY150515P206</stp>
        <tr r="R183" s="1"/>
      </tp>
      <tp t="s">
        <v>N/A</v>
        <stp/>
        <stp>DELTA</stp>
        <stp>.SPY150501C212</stp>
        <tr r="G111" s="1"/>
      </tp>
      <tp>
        <v>0.84499000000000002</v>
        <stp/>
        <stp>DELTA</stp>
        <stp>.SPY150515C206</stp>
        <tr r="G183" s="1"/>
      </tp>
      <tp t="s">
        <v>N/A</v>
        <stp/>
        <stp>DELTA</stp>
        <stp>.SPY150501P213</stp>
        <tr r="R113" s="1"/>
      </tp>
      <tp>
        <v>-0.18406</v>
        <stp/>
        <stp>DELTA</stp>
        <stp>.SPY150515P207</stp>
        <tr r="R185" s="1"/>
      </tp>
      <tp t="s">
        <v>N/A</v>
        <stp/>
        <stp>DELTA</stp>
        <stp>.SPY150501C213</stp>
        <tr r="G113" s="1"/>
      </tp>
      <tp>
        <v>0.80781999999999998</v>
        <stp/>
        <stp>DELTA</stp>
        <stp>.SPY150515C207</stp>
        <tr r="G185" s="1"/>
      </tp>
      <tp t="s">
        <v>N/A</v>
        <stp/>
        <stp>DELTA</stp>
        <stp>.SPY150501P214</stp>
        <tr r="R115" s="1"/>
      </tp>
      <tp>
        <v>-3.7350000000000001E-2</v>
        <stp/>
        <stp>DELTA</stp>
        <stp>.SPY150515P200</stp>
        <tr r="R171" s="1"/>
      </tp>
      <tp t="s">
        <v>N/A</v>
        <stp/>
        <stp>DELTA</stp>
        <stp>.SPY150501C214</stp>
        <tr r="G115" s="1"/>
      </tp>
      <tp>
        <v>0.94274000000000002</v>
        <stp/>
        <stp>DELTA</stp>
        <stp>.SPY150515C200</stp>
        <tr r="G171" s="1"/>
      </tp>
      <tp t="s">
        <v>N/A</v>
        <stp/>
        <stp>DELTA</stp>
        <stp>.SPY150501P215</stp>
        <tr r="R117" s="1"/>
      </tp>
      <tp>
        <v>-4.539E-2</v>
        <stp/>
        <stp>DELTA</stp>
        <stp>.SPY150515P201</stp>
        <tr r="R173" s="1"/>
      </tp>
      <tp t="s">
        <v>N/A</v>
        <stp/>
        <stp>DELTA</stp>
        <stp>.SPY150501C215</stp>
        <tr r="G117" s="1"/>
      </tp>
      <tp>
        <v>0.93559999999999999</v>
        <stp/>
        <stp>DELTA</stp>
        <stp>.SPY150515C201</stp>
        <tr r="G173" s="1"/>
      </tp>
      <tp t="s">
        <v>N/A</v>
        <stp/>
        <stp>DELTA</stp>
        <stp>.SPY150501P216</stp>
        <tr r="R119" s="1"/>
      </tp>
      <tp>
        <v>-5.6800000000000003E-2</v>
        <stp/>
        <stp>DELTA</stp>
        <stp>.SPY150515P202</stp>
        <tr r="R175" s="1"/>
      </tp>
      <tp t="s">
        <v>N/A</v>
        <stp/>
        <stp>DELTA</stp>
        <stp>.SPY150501C216</stp>
        <tr r="G119" s="1"/>
      </tp>
      <tp>
        <v>0.92934000000000005</v>
        <stp/>
        <stp>DELTA</stp>
        <stp>.SPY150515C202</stp>
        <tr r="G175" s="1"/>
      </tp>
      <tp t="s">
        <v>N/A</v>
        <stp/>
        <stp>DELTA</stp>
        <stp>.SPY150501P217</stp>
        <tr r="R121" s="1"/>
      </tp>
      <tp>
        <v>-7.0559999999999998E-2</v>
        <stp/>
        <stp>DELTA</stp>
        <stp>.SPY150515P203</stp>
        <tr r="R177" s="1"/>
      </tp>
      <tp t="s">
        <v>N/A</v>
        <stp/>
        <stp>DELTA</stp>
        <stp>.SPY150501C217</stp>
        <tr r="G121" s="1"/>
      </tp>
      <tp>
        <v>0.91805999999999999</v>
        <stp/>
        <stp>DELTA</stp>
        <stp>.SPY150515C203</stp>
        <tr r="G177" s="1"/>
      </tp>
      <tp t="s">
        <v>N/A</v>
        <stp/>
        <stp>DELTA</stp>
        <stp>.SPY150501P218</stp>
        <tr r="R123" s="1"/>
      </tp>
      <tp>
        <v>-0.43237999999999999</v>
        <stp/>
        <stp>DELTA</stp>
        <stp>.SPY150508P211</stp>
        <tr r="R151" s="1"/>
      </tp>
      <tp t="s">
        <v>N/A</v>
        <stp/>
        <stp>DELTA</stp>
        <stp>.SPY150501C218</stp>
        <tr r="G123" s="1"/>
      </tp>
      <tp>
        <v>0.56701999999999997</v>
        <stp/>
        <stp>DELTA</stp>
        <stp>.SPY150508C211</stp>
        <tr r="G151" s="1"/>
      </tp>
      <tp t="s">
        <v>N/A</v>
        <stp/>
        <stp>DELTA</stp>
        <stp>.SPY150501P219</stp>
        <tr r="R125" s="1"/>
      </tp>
      <tp>
        <v>-0.3019</v>
        <stp/>
        <stp>DELTA</stp>
        <stp>.SPY150508P210</stp>
        <tr r="R149" s="1"/>
      </tp>
      <tp t="s">
        <v>N/A</v>
        <stp/>
        <stp>DELTA</stp>
        <stp>.SPY150501C219</stp>
        <tr r="G125" s="1"/>
      </tp>
      <tp>
        <v>0.69323000000000001</v>
        <stp/>
        <stp>DELTA</stp>
        <stp>.SPY150508C210</stp>
        <tr r="G149" s="1"/>
      </tp>
      <tp>
        <v>-0.77863000000000004</v>
        <stp/>
        <stp>DELTA</stp>
        <stp>.SPY150508P213</stp>
        <tr r="R155" s="1"/>
      </tp>
      <tp>
        <v>0.22996</v>
        <stp/>
        <stp>DELTA</stp>
        <stp>.SPY150508C213</stp>
        <tr r="G155" s="1"/>
      </tp>
      <tp>
        <v>-0.59584000000000004</v>
        <stp/>
        <stp>DELTA</stp>
        <stp>.SPY150508P212</stp>
        <tr r="R153" s="1"/>
      </tp>
      <tp>
        <v>0.40632000000000001</v>
        <stp/>
        <stp>DELTA</stp>
        <stp>.SPY150508C212</stp>
        <tr r="G153" s="1"/>
      </tp>
      <tp>
        <v>-0.95620000000000005</v>
        <stp/>
        <stp>DELTA</stp>
        <stp>.SPY150508P215</stp>
        <tr r="R159" s="1"/>
      </tp>
      <tp>
        <v>-0.23436999999999999</v>
        <stp/>
        <stp>DELTA</stp>
        <stp>.SPY150515P208</stp>
        <tr r="R187" s="1"/>
      </tp>
      <tp>
        <v>4.2459999999999998E-2</v>
        <stp/>
        <stp>DELTA</stp>
        <stp>.SPY150508C215</stp>
        <tr r="G159" s="1"/>
      </tp>
      <tp>
        <v>0.75968000000000002</v>
        <stp/>
        <stp>DELTA</stp>
        <stp>.SPY150515C208</stp>
        <tr r="G187" s="1"/>
      </tp>
      <tp>
        <v>-0.89788999999999997</v>
        <stp/>
        <stp>DELTA</stp>
        <stp>.SPY150508P214</stp>
        <tr r="R157" s="1"/>
      </tp>
      <tp>
        <v>-0.29576999999999998</v>
        <stp/>
        <stp>DELTA</stp>
        <stp>.SPY150515P209</stp>
        <tr r="R189" s="1"/>
      </tp>
      <tp>
        <v>0.10105</v>
        <stp/>
        <stp>DELTA</stp>
        <stp>.SPY150508C214</stp>
        <tr r="G157" s="1"/>
      </tp>
      <tp>
        <v>0.69871000000000005</v>
        <stp/>
        <stp>DELTA</stp>
        <stp>.SPY150515C209</stp>
        <tr r="G189" s="1"/>
      </tp>
      <tp>
        <v>-0.99975999999999998</v>
        <stp/>
        <stp>DELTA</stp>
        <stp>.SPY150508P217</stp>
        <tr r="R163" s="1"/>
      </tp>
      <tp>
        <v>1.6590000000000001E-2</v>
        <stp/>
        <stp>DELTA</stp>
        <stp>.SPY150508C217</stp>
        <tr r="G163" s="1"/>
      </tp>
      <tp>
        <v>-0.99975999999999998</v>
        <stp/>
        <stp>DELTA</stp>
        <stp>.SPY150508P216</stp>
        <tr r="R161" s="1"/>
      </tp>
      <tp>
        <v>1.9210000000000001E-2</v>
        <stp/>
        <stp>DELTA</stp>
        <stp>.SPY150508C216</stp>
        <tr r="G161" s="1"/>
      </tp>
      <tp t="s">
        <v>N/A</v>
        <stp/>
        <stp>VEGA</stp>
        <stp>.SPY160318C200.5</stp>
        <tr r="J634" s="1"/>
      </tp>
      <tp t="s">
        <v>N/A</v>
        <stp/>
        <stp>VEGA</stp>
        <stp>.SPY160318C210.5</stp>
        <tr r="J654" s="1"/>
      </tp>
      <tp t="s">
        <v>N/A</v>
        <stp/>
        <stp>VEGA</stp>
        <stp>.SPY170120C219.5</stp>
        <tr r="J840" s="1"/>
      </tp>
      <tp t="s">
        <v>N/A</v>
        <stp/>
        <stp>VEGA</stp>
        <stp>.SPY170120C209.5</stp>
        <tr r="J820" s="1"/>
      </tp>
      <tp t="s">
        <v>N/A</v>
        <stp/>
        <stp>VEGA</stp>
        <stp>.SPY150619C202.5</stp>
        <tr r="J302" s="1"/>
      </tp>
      <tp t="s">
        <v>N/A</v>
        <stp/>
        <stp>VEGA</stp>
        <stp>.SPY150619C212.5</stp>
        <tr r="J322" s="1"/>
      </tp>
      <tp>
        <v>6.0080000000000001E-2</v>
        <stp/>
        <stp>VEGA</stp>
        <stp>.SPY150508C213.5</stp>
        <tr r="J156" s="1"/>
      </tp>
      <tp>
        <v>2.198E-2</v>
        <stp/>
        <stp>VEGA</stp>
        <stp>.SPY150508C203.5</stp>
        <tr r="J136" s="1"/>
      </tp>
      <tp>
        <v>2.725E-2</v>
        <stp/>
        <stp>VEGA</stp>
        <stp>.SPY150522C219.5</stp>
        <tr r="J252" s="1"/>
      </tp>
      <tp>
        <v>0.22051999999999999</v>
        <stp/>
        <stp>VEGA</stp>
        <stp>.SPY150529C212.5</stp>
        <tr r="J280" s="1"/>
      </tp>
      <tp>
        <v>0.18226000000000001</v>
        <stp/>
        <stp>VEGA</stp>
        <stp>.SPY150522C209.5</stp>
        <tr r="J232" s="1"/>
      </tp>
      <tp>
        <v>0.1298</v>
        <stp/>
        <stp>VEGA</stp>
        <stp>.SPY150529C202.5</stp>
        <tr r="J260" s="1"/>
      </tp>
      <tp t="s">
        <v>N/A</v>
        <stp/>
        <stp>VEGA</stp>
        <stp>.SPY150918C203.5</stp>
        <tr r="J430" s="1"/>
      </tp>
      <tp t="s">
        <v>N/A</v>
        <stp/>
        <stp>VEGA</stp>
        <stp>.SPY150918C213.5</stp>
        <tr r="J450" s="1"/>
      </tp>
      <tp t="s">
        <v>N/A</v>
        <stp/>
        <stp>VEGA</stp>
        <stp>.SPY151219C202.5</stp>
        <tr r="J512" s="1"/>
      </tp>
      <tp t="s">
        <v>N/A</v>
        <stp/>
        <stp>VEGA</stp>
        <stp>.SPY151219C212.5</stp>
        <tr r="J532" s="1"/>
      </tp>
      <tp t="s">
        <v>N/A</v>
        <stp/>
        <stp>VEGA</stp>
        <stp>.SPY151219P202.5</stp>
        <tr r="U512" s="1"/>
      </tp>
      <tp t="s">
        <v>N/A</v>
        <stp/>
        <stp>VEGA</stp>
        <stp>.SPY151219P212.5</stp>
        <tr r="U532" s="1"/>
      </tp>
      <tp t="s">
        <v>N/A</v>
        <stp/>
        <stp>VEGA</stp>
        <stp>.SPY160318P200.5</stp>
        <tr r="U634" s="1"/>
      </tp>
      <tp t="s">
        <v>N/A</v>
        <stp/>
        <stp>VEGA</stp>
        <stp>.SPY160318P210.5</stp>
        <tr r="U654" s="1"/>
      </tp>
      <tp t="s">
        <v>N/A</v>
        <stp/>
        <stp>VEGA</stp>
        <stp>.SPY170120P219.5</stp>
        <tr r="U840" s="1"/>
      </tp>
      <tp t="s">
        <v>N/A</v>
        <stp/>
        <stp>VEGA</stp>
        <stp>.SPY170120P209.5</stp>
        <tr r="U820" s="1"/>
      </tp>
      <tp t="s">
        <v>N/A</v>
        <stp/>
        <stp>VEGA</stp>
        <stp>.SPY150619P202.5</stp>
        <tr r="U302" s="1"/>
      </tp>
      <tp t="s">
        <v>N/A</v>
        <stp/>
        <stp>VEGA</stp>
        <stp>.SPY150619P212.5</stp>
        <tr r="U322" s="1"/>
      </tp>
      <tp>
        <v>5.7689999999999998E-2</v>
        <stp/>
        <stp>VEGA</stp>
        <stp>.SPY150508P213.5</stp>
        <tr r="U156" s="1"/>
      </tp>
      <tp>
        <v>1.5959999999999998E-2</v>
        <stp/>
        <stp>VEGA</stp>
        <stp>.SPY150508P203.5</stp>
        <tr r="U136" s="1"/>
      </tp>
      <tp>
        <v>0</v>
        <stp/>
        <stp>VEGA</stp>
        <stp>.SPY150522P219.5</stp>
        <tr r="U252" s="1"/>
      </tp>
      <tp>
        <v>0.21929999999999999</v>
        <stp/>
        <stp>VEGA</stp>
        <stp>.SPY150529P212.5</stp>
        <tr r="U280" s="1"/>
      </tp>
      <tp>
        <v>0.18121999999999999</v>
        <stp/>
        <stp>VEGA</stp>
        <stp>.SPY150522P209.5</stp>
        <tr r="U232" s="1"/>
      </tp>
      <tp>
        <v>0.11987</v>
        <stp/>
        <stp>VEGA</stp>
        <stp>.SPY150529P202.5</stp>
        <tr r="U260" s="1"/>
      </tp>
      <tp t="s">
        <v>N/A</v>
        <stp/>
        <stp>VEGA</stp>
        <stp>.SPY150918P203.5</stp>
        <tr r="U430" s="1"/>
      </tp>
      <tp t="s">
        <v>N/A</v>
        <stp/>
        <stp>VEGA</stp>
        <stp>.SPY150918P213.5</stp>
        <tr r="U450" s="1"/>
      </tp>
      <tp>
        <v>-2.112E-2</v>
        <stp/>
        <stp>THETA</stp>
        <stp>.SPY150930C201</stp>
        <tr r="H467" s="1"/>
      </tp>
      <tp>
        <v>-2.9389999999999999E-2</v>
        <stp/>
        <stp>THETA</stp>
        <stp>.SPY150930P201</stp>
        <tr r="S467" s="1"/>
      </tp>
      <tp>
        <v>-2.0879999999999999E-2</v>
        <stp/>
        <stp>THETA</stp>
        <stp>.SPY150930C200</stp>
        <tr r="H465" s="1"/>
      </tp>
      <tp>
        <v>-2.912E-2</v>
        <stp/>
        <stp>THETA</stp>
        <stp>.SPY150930P200</stp>
        <tr r="S465" s="1"/>
      </tp>
      <tp>
        <v>-2.146E-2</v>
        <stp/>
        <stp>THETA</stp>
        <stp>.SPY150930C203</stp>
        <tr r="H471" s="1"/>
      </tp>
      <tp>
        <v>-2.981E-2</v>
        <stp/>
        <stp>THETA</stp>
        <stp>.SPY150930P203</stp>
        <tr r="S471" s="1"/>
      </tp>
      <tp>
        <v>-2.1309999999999999E-2</v>
        <stp/>
        <stp>THETA</stp>
        <stp>.SPY150930C202</stp>
        <tr r="H469" s="1"/>
      </tp>
      <tp>
        <v>-2.964E-2</v>
        <stp/>
        <stp>THETA</stp>
        <stp>.SPY150930P202</stp>
        <tr r="S469" s="1"/>
      </tp>
      <tp>
        <v>-2.164E-2</v>
        <stp/>
        <stp>THETA</stp>
        <stp>.SPY150930C205</stp>
        <tr r="H475" s="1"/>
      </tp>
      <tp>
        <v>-3.0079999999999999E-2</v>
        <stp/>
        <stp>THETA</stp>
        <stp>.SPY150930P205</stp>
        <tr r="S475" s="1"/>
      </tp>
      <tp>
        <v>-2.1579999999999998E-2</v>
        <stp/>
        <stp>THETA</stp>
        <stp>.SPY150930C204</stp>
        <tr r="H473" s="1"/>
      </tp>
      <tp>
        <v>-2.998E-2</v>
        <stp/>
        <stp>THETA</stp>
        <stp>.SPY150930P204</stp>
        <tr r="S473" s="1"/>
      </tp>
      <tp>
        <v>-2.1729999999999999E-2</v>
        <stp/>
        <stp>THETA</stp>
        <stp>.SPY150930C207</stp>
        <tr r="H479" s="1"/>
      </tp>
      <tp>
        <v>-3.0120000000000001E-2</v>
        <stp/>
        <stp>THETA</stp>
        <stp>.SPY150930P207</stp>
        <tr r="S479" s="1"/>
      </tp>
      <tp>
        <v>-2.1829999999999999E-2</v>
        <stp/>
        <stp>THETA</stp>
        <stp>.SPY150930C206</stp>
        <tr r="H477" s="1"/>
      </tp>
      <tp>
        <v>-3.0120000000000001E-2</v>
        <stp/>
        <stp>THETA</stp>
        <stp>.SPY150930P206</stp>
        <tr r="S477" s="1"/>
      </tp>
      <tp>
        <v>-2.145E-2</v>
        <stp/>
        <stp>THETA</stp>
        <stp>.SPY150930C209</stp>
        <tr r="H483" s="1"/>
      </tp>
      <tp>
        <v>-2.998E-2</v>
        <stp/>
        <stp>THETA</stp>
        <stp>.SPY150930P209</stp>
        <tr r="S483" s="1"/>
      </tp>
      <tp>
        <v>-2.164E-2</v>
        <stp/>
        <stp>THETA</stp>
        <stp>.SPY150930C208</stp>
        <tr r="H481" s="1"/>
      </tp>
      <tp>
        <v>-3.0079999999999999E-2</v>
        <stp/>
        <stp>THETA</stp>
        <stp>.SPY150930P208</stp>
        <tr r="S481" s="1"/>
      </tp>
      <tp>
        <v>-2.0959999999999999E-2</v>
        <stp/>
        <stp>THETA</stp>
        <stp>.SPY150930C211</stp>
        <tr r="H487" s="1"/>
      </tp>
      <tp>
        <v>-2.9610000000000001E-2</v>
        <stp/>
        <stp>THETA</stp>
        <stp>.SPY150930P211</stp>
        <tr r="S487" s="1"/>
      </tp>
      <tp>
        <v>-2.1250000000000002E-2</v>
        <stp/>
        <stp>THETA</stp>
        <stp>.SPY150930C210</stp>
        <tr r="H485" s="1"/>
      </tp>
      <tp>
        <v>-2.9829999999999999E-2</v>
        <stp/>
        <stp>THETA</stp>
        <stp>.SPY150930P210</stp>
        <tr r="S485" s="1"/>
      </tp>
      <tp>
        <v>-2.0219999999999998E-2</v>
        <stp/>
        <stp>THETA</stp>
        <stp>.SPY150930C213</stp>
        <tr r="H491" s="1"/>
      </tp>
      <tp>
        <v>-2.8930000000000001E-2</v>
        <stp/>
        <stp>THETA</stp>
        <stp>.SPY150930P213</stp>
        <tr r="S491" s="1"/>
      </tp>
      <tp>
        <v>-2.0619999999999999E-2</v>
        <stp/>
        <stp>THETA</stp>
        <stp>.SPY150930C212</stp>
        <tr r="H489" s="1"/>
      </tp>
      <tp>
        <v>-2.929E-2</v>
        <stp/>
        <stp>THETA</stp>
        <stp>.SPY150930P212</stp>
        <tr r="S489" s="1"/>
      </tp>
      <tp>
        <v>-1.9099999999999999E-2</v>
        <stp/>
        <stp>THETA</stp>
        <stp>.SPY150930C215</stp>
        <tr r="H495" s="1"/>
      </tp>
      <tp>
        <v>-2.8049999999999999E-2</v>
        <stp/>
        <stp>THETA</stp>
        <stp>.SPY150930P215</stp>
        <tr r="S495" s="1"/>
      </tp>
      <tp>
        <v>-1.9650000000000001E-2</v>
        <stp/>
        <stp>THETA</stp>
        <stp>.SPY150930C214</stp>
        <tr r="H493" s="1"/>
      </tp>
      <tp>
        <v>-2.8539999999999999E-2</v>
        <stp/>
        <stp>THETA</stp>
        <stp>.SPY150930P214</stp>
        <tr r="S493" s="1"/>
      </tp>
      <tp t="s">
        <v>N/A</v>
        <stp/>
        <stp>THETA</stp>
        <stp>.SPY150930C217</stp>
        <tr r="H499" s="1"/>
      </tp>
      <tp t="s">
        <v>N/A</v>
        <stp/>
        <stp>THETA</stp>
        <stp>.SPY150930P217</stp>
        <tr r="S499" s="1"/>
      </tp>
      <tp t="s">
        <v>N/A</v>
        <stp/>
        <stp>THETA</stp>
        <stp>.SPY150930C216</stp>
        <tr r="H497" s="1"/>
      </tp>
      <tp t="s">
        <v>N/A</v>
        <stp/>
        <stp>THETA</stp>
        <stp>.SPY150930P216</stp>
        <tr r="S497" s="1"/>
      </tp>
      <tp t="s">
        <v>N/A</v>
        <stp/>
        <stp>THETA</stp>
        <stp>.SPY150930C219</stp>
        <tr r="H503" s="1"/>
      </tp>
      <tp t="s">
        <v>N/A</v>
        <stp/>
        <stp>THETA</stp>
        <stp>.SPY150930P219</stp>
        <tr r="S503" s="1"/>
      </tp>
      <tp t="s">
        <v>N/A</v>
        <stp/>
        <stp>THETA</stp>
        <stp>.SPY150930C218</stp>
        <tr r="H501" s="1"/>
      </tp>
      <tp t="s">
        <v>N/A</v>
        <stp/>
        <stp>THETA</stp>
        <stp>.SPY150930P218</stp>
        <tr r="S501" s="1"/>
      </tp>
      <tp>
        <v>-2.2409999999999999E-2</v>
        <stp/>
        <stp>THETA</stp>
        <stp>.SPY150918C209</stp>
        <tr r="H441" s="1"/>
      </tp>
      <tp t="s">
        <v>N/A</v>
        <stp/>
        <stp>THETA</stp>
        <stp>.SPY160916C204</stp>
        <tr r="H725" s="1"/>
      </tp>
      <tp>
        <v>-3.0939999999999999E-2</v>
        <stp/>
        <stp>THETA</stp>
        <stp>.SPY150918P209</stp>
        <tr r="S441" s="1"/>
      </tp>
      <tp t="s">
        <v>N/A</v>
        <stp/>
        <stp>THETA</stp>
        <stp>.SPY160916P204</stp>
        <tr r="S725" s="1"/>
      </tp>
      <tp>
        <v>-2.2620000000000001E-2</v>
        <stp/>
        <stp>THETA</stp>
        <stp>.SPY150918C208</stp>
        <tr r="H439" s="1"/>
      </tp>
      <tp>
        <v>-1.324E-2</v>
        <stp/>
        <stp>THETA</stp>
        <stp>.SPY160916C205</stp>
        <tr r="H727" s="1"/>
      </tp>
      <tp>
        <v>-3.1040000000000002E-2</v>
        <stp/>
        <stp>THETA</stp>
        <stp>.SPY150918P208</stp>
        <tr r="S439" s="1"/>
      </tp>
      <tp>
        <v>-2.0299999999999999E-2</v>
        <stp/>
        <stp>THETA</stp>
        <stp>.SPY160916P205</stp>
        <tr r="S727" s="1"/>
      </tp>
      <tp t="s">
        <v>N/A</v>
        <stp/>
        <stp>THETA</stp>
        <stp>.SPY160916C206</stp>
        <tr r="H729" s="1"/>
      </tp>
      <tp t="s">
        <v>N/A</v>
        <stp/>
        <stp>THETA</stp>
        <stp>.SPY160916P206</stp>
        <tr r="S729" s="1"/>
      </tp>
      <tp t="s">
        <v>N/A</v>
        <stp/>
        <stp>THETA</stp>
        <stp>.SPY160916C207</stp>
        <tr r="H731" s="1"/>
      </tp>
      <tp t="s">
        <v>N/A</v>
        <stp/>
        <stp>THETA</stp>
        <stp>.SPY160916P207</stp>
        <tr r="S731" s="1"/>
      </tp>
      <tp>
        <v>-1.3220000000000001E-2</v>
        <stp/>
        <stp>THETA</stp>
        <stp>.SPY160916C200</stp>
        <tr r="H717" s="1"/>
      </tp>
      <tp>
        <v>-2.017E-2</v>
        <stp/>
        <stp>THETA</stp>
        <stp>.SPY160916P200</stp>
        <tr r="S717" s="1"/>
      </tp>
      <tp t="s">
        <v>N/A</v>
        <stp/>
        <stp>THETA</stp>
        <stp>.SPY160916C201</stp>
        <tr r="H719" s="1"/>
      </tp>
      <tp t="s">
        <v>N/A</v>
        <stp/>
        <stp>THETA</stp>
        <stp>.SPY160916P201</stp>
        <tr r="S719" s="1"/>
      </tp>
      <tp t="s">
        <v>N/A</v>
        <stp/>
        <stp>THETA</stp>
        <stp>.SPY160916C202</stp>
        <tr r="H721" s="1"/>
      </tp>
      <tp t="s">
        <v>N/A</v>
        <stp/>
        <stp>THETA</stp>
        <stp>.SPY160916P202</stp>
        <tr r="S721" s="1"/>
      </tp>
      <tp t="s">
        <v>N/A</v>
        <stp/>
        <stp>THETA</stp>
        <stp>.SPY160916C203</stp>
        <tr r="H723" s="1"/>
      </tp>
      <tp t="s">
        <v>N/A</v>
        <stp/>
        <stp>THETA</stp>
        <stp>.SPY160916P203</stp>
        <tr r="S723" s="1"/>
      </tp>
      <tp>
        <v>-2.1989999999999999E-2</v>
        <stp/>
        <stp>THETA</stp>
        <stp>.SPY150918C201</stp>
        <tr r="H425" s="1"/>
      </tp>
      <tp>
        <v>-3.015E-2</v>
        <stp/>
        <stp>THETA</stp>
        <stp>.SPY150918P201</stp>
        <tr r="S425" s="1"/>
      </tp>
      <tp>
        <v>-2.2030000000000001E-2</v>
        <stp/>
        <stp>THETA</stp>
        <stp>.SPY150918C200</stp>
        <tr r="H423" s="1"/>
      </tp>
      <tp>
        <v>-2.981E-2</v>
        <stp/>
        <stp>THETA</stp>
        <stp>.SPY150918P200</stp>
        <tr r="S423" s="1"/>
      </tp>
      <tp>
        <v>-2.265E-2</v>
        <stp/>
        <stp>THETA</stp>
        <stp>.SPY150918C203</stp>
        <tr r="H429" s="1"/>
      </tp>
      <tp>
        <v>-3.0640000000000001E-2</v>
        <stp/>
        <stp>THETA</stp>
        <stp>.SPY150918P203</stp>
        <tr r="S429" s="1"/>
      </tp>
      <tp>
        <v>-2.2259999999999999E-2</v>
        <stp/>
        <stp>THETA</stp>
        <stp>.SPY150918C202</stp>
        <tr r="H427" s="1"/>
      </tp>
      <tp>
        <v>-3.0419999999999999E-2</v>
        <stp/>
        <stp>THETA</stp>
        <stp>.SPY150918P202</stp>
        <tr r="S427" s="1"/>
      </tp>
      <tp>
        <v>-2.257E-2</v>
        <stp/>
        <stp>THETA</stp>
        <stp>.SPY150918C205</stp>
        <tr r="H433" s="1"/>
      </tp>
      <tp t="s">
        <v>N/A</v>
        <stp/>
        <stp>THETA</stp>
        <stp>.SPY160916C208</stp>
        <tr r="H733" s="1"/>
      </tp>
      <tp>
        <v>-3.0970000000000001E-2</v>
        <stp/>
        <stp>THETA</stp>
        <stp>.SPY150918P205</stp>
        <tr r="S433" s="1"/>
      </tp>
      <tp t="s">
        <v>N/A</v>
        <stp/>
        <stp>THETA</stp>
        <stp>.SPY160916P208</stp>
        <tr r="S733" s="1"/>
      </tp>
      <tp>
        <v>-2.2509999999999999E-2</v>
        <stp/>
        <stp>THETA</stp>
        <stp>.SPY150918C204</stp>
        <tr r="H431" s="1"/>
      </tp>
      <tp t="s">
        <v>N/A</v>
        <stp/>
        <stp>THETA</stp>
        <stp>.SPY160916C209</stp>
        <tr r="H735" s="1"/>
      </tp>
      <tp>
        <v>-3.082E-2</v>
        <stp/>
        <stp>THETA</stp>
        <stp>.SPY150918P204</stp>
        <tr r="S431" s="1"/>
      </tp>
      <tp t="s">
        <v>N/A</v>
        <stp/>
        <stp>THETA</stp>
        <stp>.SPY160916P209</stp>
        <tr r="S735" s="1"/>
      </tp>
      <tp>
        <v>-2.2689999999999998E-2</v>
        <stp/>
        <stp>THETA</stp>
        <stp>.SPY150918C207</stp>
        <tr r="H437" s="1"/>
      </tp>
      <tp>
        <v>-3.108E-2</v>
        <stp/>
        <stp>THETA</stp>
        <stp>.SPY150918P207</stp>
        <tr r="S437" s="1"/>
      </tp>
      <tp>
        <v>-2.2620000000000001E-2</v>
        <stp/>
        <stp>THETA</stp>
        <stp>.SPY150918C206</stp>
        <tr r="H435" s="1"/>
      </tp>
      <tp>
        <v>-3.1040000000000002E-2</v>
        <stp/>
        <stp>THETA</stp>
        <stp>.SPY150918P206</stp>
        <tr r="S435" s="1"/>
      </tp>
      <tp>
        <v>-1.6369999999999999E-2</v>
        <stp/>
        <stp>THETA</stp>
        <stp>.SPY150918C219</stp>
        <tr r="H461" s="1"/>
      </tp>
      <tp t="s">
        <v>N/A</v>
        <stp/>
        <stp>THETA</stp>
        <stp>.SPY160916C214</stp>
        <tr r="H745" s="1"/>
      </tp>
      <tp>
        <v>-2.615E-2</v>
        <stp/>
        <stp>THETA</stp>
        <stp>.SPY150918P219</stp>
        <tr r="S461" s="1"/>
      </tp>
      <tp t="s">
        <v>N/A</v>
        <stp/>
        <stp>THETA</stp>
        <stp>.SPY160916P214</stp>
        <tr r="S745" s="1"/>
      </tp>
      <tp>
        <v>-1.7340000000000001E-2</v>
        <stp/>
        <stp>THETA</stp>
        <stp>.SPY150918C218</stp>
        <tr r="H459" s="1"/>
      </tp>
      <tp>
        <v>-1.265E-2</v>
        <stp/>
        <stp>THETA</stp>
        <stp>.SPY160916C215</stp>
        <tr r="H747" s="1"/>
      </tp>
      <tp>
        <v>-2.6929999999999999E-2</v>
        <stp/>
        <stp>THETA</stp>
        <stp>.SPY150918P218</stp>
        <tr r="S459" s="1"/>
      </tp>
      <tp>
        <v>-1.9869999999999999E-2</v>
        <stp/>
        <stp>THETA</stp>
        <stp>.SPY160916P215</stp>
        <tr r="S747" s="1"/>
      </tp>
      <tp t="s">
        <v>N/A</v>
        <stp/>
        <stp>THETA</stp>
        <stp>.SPY160916C216</stp>
        <tr r="H749" s="1"/>
      </tp>
      <tp t="s">
        <v>N/A</v>
        <stp/>
        <stp>THETA</stp>
        <stp>.SPY160916P216</stp>
        <tr r="S749" s="1"/>
      </tp>
      <tp t="s">
        <v>N/A</v>
        <stp/>
        <stp>THETA</stp>
        <stp>.SPY160916C217</stp>
        <tr r="H751" s="1"/>
      </tp>
      <tp t="s">
        <v>N/A</v>
        <stp/>
        <stp>THETA</stp>
        <stp>.SPY160916P217</stp>
        <tr r="S751" s="1"/>
      </tp>
      <tp>
        <v>-1.312E-2</v>
        <stp/>
        <stp>THETA</stp>
        <stp>.SPY160916C210</stp>
        <tr r="H737" s="1"/>
      </tp>
      <tp>
        <v>-2.0199999999999999E-2</v>
        <stp/>
        <stp>THETA</stp>
        <stp>.SPY160916P210</stp>
        <tr r="S737" s="1"/>
      </tp>
      <tp t="s">
        <v>N/A</v>
        <stp/>
        <stp>THETA</stp>
        <stp>.SPY160916C211</stp>
        <tr r="H739" s="1"/>
      </tp>
      <tp t="s">
        <v>N/A</v>
        <stp/>
        <stp>THETA</stp>
        <stp>.SPY160916P211</stp>
        <tr r="S739" s="1"/>
      </tp>
      <tp t="s">
        <v>N/A</v>
        <stp/>
        <stp>THETA</stp>
        <stp>.SPY160916C212</stp>
        <tr r="H741" s="1"/>
      </tp>
      <tp t="s">
        <v>N/A</v>
        <stp/>
        <stp>THETA</stp>
        <stp>.SPY160916P212</stp>
        <tr r="S741" s="1"/>
      </tp>
      <tp t="s">
        <v>N/A</v>
        <stp/>
        <stp>THETA</stp>
        <stp>.SPY160916C213</stp>
        <tr r="H743" s="1"/>
      </tp>
      <tp t="s">
        <v>N/A</v>
        <stp/>
        <stp>THETA</stp>
        <stp>.SPY160916P213</stp>
        <tr r="S743" s="1"/>
      </tp>
      <tp>
        <v>-2.1829999999999999E-2</v>
        <stp/>
        <stp>THETA</stp>
        <stp>.SPY150918C211</stp>
        <tr r="H445" s="1"/>
      </tp>
      <tp>
        <v>-3.0620000000000001E-2</v>
        <stp/>
        <stp>THETA</stp>
        <stp>.SPY150918P211</stp>
        <tr r="S445" s="1"/>
      </tp>
      <tp>
        <v>-2.2169999999999999E-2</v>
        <stp/>
        <stp>THETA</stp>
        <stp>.SPY150918C210</stp>
        <tr r="H443" s="1"/>
      </tp>
      <tp>
        <v>-3.0759999999999999E-2</v>
        <stp/>
        <stp>THETA</stp>
        <stp>.SPY150918P210</stp>
        <tr r="S443" s="1"/>
      </tp>
      <tp>
        <v>-2.094E-2</v>
        <stp/>
        <stp>THETA</stp>
        <stp>.SPY150918C213</stp>
        <tr r="H449" s="1"/>
      </tp>
      <tp>
        <v>-2.9839999999999998E-2</v>
        <stp/>
        <stp>THETA</stp>
        <stp>.SPY150918P213</stp>
        <tr r="S449" s="1"/>
      </tp>
      <tp>
        <v>-2.1420000000000002E-2</v>
        <stp/>
        <stp>THETA</stp>
        <stp>.SPY150918C212</stp>
        <tr r="H447" s="1"/>
      </tp>
      <tp>
        <v>-3.0259999999999999E-2</v>
        <stp/>
        <stp>THETA</stp>
        <stp>.SPY150918P212</stp>
        <tr r="S447" s="1"/>
      </tp>
      <tp>
        <v>-1.9730000000000001E-2</v>
        <stp/>
        <stp>THETA</stp>
        <stp>.SPY150918C215</stp>
        <tr r="H453" s="1"/>
      </tp>
      <tp t="s">
        <v>N/A</v>
        <stp/>
        <stp>THETA</stp>
        <stp>.SPY160916C218</stp>
        <tr r="H753" s="1"/>
      </tp>
      <tp>
        <v>-2.9080000000000002E-2</v>
        <stp/>
        <stp>THETA</stp>
        <stp>.SPY150918P215</stp>
        <tr r="S453" s="1"/>
      </tp>
      <tp t="s">
        <v>N/A</v>
        <stp/>
        <stp>THETA</stp>
        <stp>.SPY160916P218</stp>
        <tr r="S753" s="1"/>
      </tp>
      <tp>
        <v>-2.0400000000000001E-2</v>
        <stp/>
        <stp>THETA</stp>
        <stp>.SPY150918C214</stp>
        <tr r="H451" s="1"/>
      </tp>
      <tp t="s">
        <v>N/A</v>
        <stp/>
        <stp>THETA</stp>
        <stp>.SPY160916C219</stp>
        <tr r="H755" s="1"/>
      </tp>
      <tp>
        <v>-2.938E-2</v>
        <stp/>
        <stp>THETA</stp>
        <stp>.SPY150918P214</stp>
        <tr r="S451" s="1"/>
      </tp>
      <tp t="s">
        <v>N/A</v>
        <stp/>
        <stp>THETA</stp>
        <stp>.SPY160916P219</stp>
        <tr r="S755" s="1"/>
      </tp>
      <tp>
        <v>-1.822E-2</v>
        <stp/>
        <stp>THETA</stp>
        <stp>.SPY150918C217</stp>
        <tr r="H457" s="1"/>
      </tp>
      <tp>
        <v>-2.7619999999999999E-2</v>
        <stp/>
        <stp>THETA</stp>
        <stp>.SPY150918P217</stp>
        <tr r="S457" s="1"/>
      </tp>
      <tp>
        <v>-1.9060000000000001E-2</v>
        <stp/>
        <stp>THETA</stp>
        <stp>.SPY150918C216</stp>
        <tr r="H455" s="1"/>
      </tp>
      <tp>
        <v>-2.8299999999999999E-2</v>
        <stp/>
        <stp>THETA</stp>
        <stp>.SPY150918P216</stp>
        <tr r="S455" s="1"/>
      </tp>
      <tp t="s">
        <v>N/A</v>
        <stp/>
        <stp>DELTA</stp>
        <stp>.SPY150424P205</stp>
        <tr r="R55" s="1"/>
      </tp>
      <tp t="s">
        <v>N/A</v>
        <stp/>
        <stp>DELTA</stp>
        <stp>.SPY150424C205</stp>
        <tr r="G55" s="1"/>
      </tp>
      <tp t="s">
        <v>N/A</v>
        <stp/>
        <stp>DELTA</stp>
        <stp>.SPY150424P204</stp>
        <tr r="R53" s="1"/>
      </tp>
      <tp t="s">
        <v>N/A</v>
        <stp/>
        <stp>DELTA</stp>
        <stp>.SPY150424C204</stp>
        <tr r="G53" s="1"/>
      </tp>
      <tp t="s">
        <v>N/A</v>
        <stp/>
        <stp>DELTA</stp>
        <stp>.SPY150424P207</stp>
        <tr r="R59" s="1"/>
      </tp>
      <tp t="s">
        <v>N/A</v>
        <stp/>
        <stp>DELTA</stp>
        <stp>.SPY150424C207</stp>
        <tr r="G59" s="1"/>
      </tp>
      <tp t="s">
        <v>N/A</v>
        <stp/>
        <stp>DELTA</stp>
        <stp>.SPY150424P206</stp>
        <tr r="R57" s="1"/>
      </tp>
      <tp t="s">
        <v>N/A</v>
        <stp/>
        <stp>DELTA</stp>
        <stp>.SPY150424C206</stp>
        <tr r="G57" s="1"/>
      </tp>
      <tp t="s">
        <v>N/A</v>
        <stp/>
        <stp>DELTA</stp>
        <stp>.SPY150424P201</stp>
        <tr r="R47" s="1"/>
      </tp>
      <tp t="s">
        <v>N/A</v>
        <stp/>
        <stp>DELTA</stp>
        <stp>.SPY150424C201</stp>
        <tr r="G47" s="1"/>
      </tp>
      <tp t="s">
        <v>N/A</v>
        <stp/>
        <stp>DELTA</stp>
        <stp>.SPY150424P200</stp>
        <tr r="R45" s="1"/>
      </tp>
      <tp t="s">
        <v>N/A</v>
        <stp/>
        <stp>DELTA</stp>
        <stp>.SPY150424C200</stp>
        <tr r="G45" s="1"/>
      </tp>
      <tp t="s">
        <v>N/A</v>
        <stp/>
        <stp>DELTA</stp>
        <stp>.SPY150424P203</stp>
        <tr r="R51" s="1"/>
      </tp>
      <tp t="s">
        <v>N/A</v>
        <stp/>
        <stp>DELTA</stp>
        <stp>.SPY150424C203</stp>
        <tr r="G51" s="1"/>
      </tp>
      <tp t="s">
        <v>N/A</v>
        <stp/>
        <stp>DELTA</stp>
        <stp>.SPY150424P202</stp>
        <tr r="R49" s="1"/>
      </tp>
      <tp t="s">
        <v>N/A</v>
        <stp/>
        <stp>DELTA</stp>
        <stp>.SPY150424C202</stp>
        <tr r="G49" s="1"/>
      </tp>
      <tp t="s">
        <v>N/A</v>
        <stp/>
        <stp>DELTA</stp>
        <stp>.SPY150424P209</stp>
        <tr r="R63" s="1"/>
      </tp>
      <tp t="s">
        <v>N/A</v>
        <stp/>
        <stp>DELTA</stp>
        <stp>.SPY150424C209</stp>
        <tr r="G63" s="1"/>
      </tp>
      <tp t="s">
        <v>N/A</v>
        <stp/>
        <stp>DELTA</stp>
        <stp>.SPY150424P208</stp>
        <tr r="R61" s="1"/>
      </tp>
      <tp t="s">
        <v>N/A</v>
        <stp/>
        <stp>DELTA</stp>
        <stp>.SPY150424C208</stp>
        <tr r="G61" s="1"/>
      </tp>
      <tp t="s">
        <v>N/A</v>
        <stp/>
        <stp>DELTA</stp>
        <stp>.SPY150424P215</stp>
        <tr r="R75" s="1"/>
      </tp>
      <tp t="s">
        <v>N/A</v>
        <stp/>
        <stp>DELTA</stp>
        <stp>.SPY150424C215</stp>
        <tr r="G75" s="1"/>
      </tp>
      <tp t="s">
        <v>N/A</v>
        <stp/>
        <stp>DELTA</stp>
        <stp>.SPY150424P214</stp>
        <tr r="R73" s="1"/>
      </tp>
      <tp t="s">
        <v>N/A</v>
        <stp/>
        <stp>DELTA</stp>
        <stp>.SPY150424C214</stp>
        <tr r="G73" s="1"/>
      </tp>
      <tp t="s">
        <v>N/A</v>
        <stp/>
        <stp>DELTA</stp>
        <stp>.SPY150424P217</stp>
        <tr r="R79" s="1"/>
      </tp>
      <tp t="s">
        <v>N/A</v>
        <stp/>
        <stp>DELTA</stp>
        <stp>.SPY150424C217</stp>
        <tr r="G79" s="1"/>
      </tp>
      <tp t="s">
        <v>N/A</v>
        <stp/>
        <stp>DELTA</stp>
        <stp>.SPY150424P216</stp>
        <tr r="R77" s="1"/>
      </tp>
      <tp t="s">
        <v>N/A</v>
        <stp/>
        <stp>DELTA</stp>
        <stp>.SPY150424C216</stp>
        <tr r="G77" s="1"/>
      </tp>
      <tp t="s">
        <v>N/A</v>
        <stp/>
        <stp>DELTA</stp>
        <stp>.SPY150424P211</stp>
        <tr r="R67" s="1"/>
      </tp>
      <tp t="s">
        <v>N/A</v>
        <stp/>
        <stp>DELTA</stp>
        <stp>.SPY150424C211</stp>
        <tr r="G67" s="1"/>
      </tp>
      <tp t="s">
        <v>N/A</v>
        <stp/>
        <stp>DELTA</stp>
        <stp>.SPY150424P210</stp>
        <tr r="R65" s="1"/>
      </tp>
      <tp t="s">
        <v>N/A</v>
        <stp/>
        <stp>DELTA</stp>
        <stp>.SPY150424C210</stp>
        <tr r="G65" s="1"/>
      </tp>
      <tp t="s">
        <v>N/A</v>
        <stp/>
        <stp>DELTA</stp>
        <stp>.SPY150424P213</stp>
        <tr r="R71" s="1"/>
      </tp>
      <tp t="s">
        <v>N/A</v>
        <stp/>
        <stp>DELTA</stp>
        <stp>.SPY150424C213</stp>
        <tr r="G71" s="1"/>
      </tp>
      <tp t="s">
        <v>N/A</v>
        <stp/>
        <stp>DELTA</stp>
        <stp>.SPY150424P212</stp>
        <tr r="R69" s="1"/>
      </tp>
      <tp t="s">
        <v>N/A</v>
        <stp/>
        <stp>DELTA</stp>
        <stp>.SPY150424C212</stp>
        <tr r="G69" s="1"/>
      </tp>
      <tp t="s">
        <v>N/A</v>
        <stp/>
        <stp>DELTA</stp>
        <stp>.SPY150424P219</stp>
        <tr r="R83" s="1"/>
      </tp>
      <tp t="s">
        <v>N/A</v>
        <stp/>
        <stp>DELTA</stp>
        <stp>.SPY150424C219</stp>
        <tr r="G83" s="1"/>
      </tp>
      <tp t="s">
        <v>N/A</v>
        <stp/>
        <stp>DELTA</stp>
        <stp>.SPY150424P218</stp>
        <tr r="R81" s="1"/>
      </tp>
      <tp t="s">
        <v>N/A</v>
        <stp/>
        <stp>DELTA</stp>
        <stp>.SPY150424C218</stp>
        <tr r="G81" s="1"/>
      </tp>
      <tp t="s">
        <v>N/A</v>
        <stp/>
        <stp>DELTA</stp>
        <stp>.SPY150417P216</stp>
        <tr r="R35" s="1"/>
      </tp>
      <tp t="s">
        <v>N/A</v>
        <stp/>
        <stp>DELTA</stp>
        <stp>.SPY150417C216</stp>
        <tr r="G35" s="1"/>
      </tp>
      <tp t="s">
        <v>N/A</v>
        <stp/>
        <stp>DELTA</stp>
        <stp>.SPY150417P217</stp>
        <tr r="R37" s="1"/>
      </tp>
      <tp t="s">
        <v>N/A</v>
        <stp/>
        <stp>DELTA</stp>
        <stp>.SPY150417C217</stp>
        <tr r="G37" s="1"/>
      </tp>
      <tp t="s">
        <v>N/A</v>
        <stp/>
        <stp>DELTA</stp>
        <stp>.SPY150417P214</stp>
        <tr r="R31" s="1"/>
      </tp>
      <tp t="s">
        <v>N/A</v>
        <stp/>
        <stp>DELTA</stp>
        <stp>.SPY150417C214</stp>
        <tr r="G31" s="1"/>
      </tp>
      <tp t="s">
        <v>N/A</v>
        <stp/>
        <stp>DELTA</stp>
        <stp>.SPY150417P215</stp>
        <tr r="R33" s="1"/>
      </tp>
      <tp t="s">
        <v>N/A</v>
        <stp/>
        <stp>DELTA</stp>
        <stp>.SPY150417C215</stp>
        <tr r="G33" s="1"/>
      </tp>
      <tp t="s">
        <v>N/A</v>
        <stp/>
        <stp>DELTA</stp>
        <stp>.SPY150417P212</stp>
        <tr r="R27" s="1"/>
      </tp>
      <tp t="s">
        <v>N/A</v>
        <stp/>
        <stp>DELTA</stp>
        <stp>.SPY150417C212</stp>
        <tr r="G27" s="1"/>
      </tp>
      <tp t="s">
        <v>N/A</v>
        <stp/>
        <stp>DELTA</stp>
        <stp>.SPY150417P213</stp>
        <tr r="R29" s="1"/>
      </tp>
      <tp t="s">
        <v>N/A</v>
        <stp/>
        <stp>DELTA</stp>
        <stp>.SPY150417C213</stp>
        <tr r="G29" s="1"/>
      </tp>
      <tp t="s">
        <v>N/A</v>
        <stp/>
        <stp>DELTA</stp>
        <stp>.SPY150417P210</stp>
        <tr r="R23" s="1"/>
      </tp>
      <tp t="s">
        <v>N/A</v>
        <stp/>
        <stp>DELTA</stp>
        <stp>.SPY150417C210</stp>
        <tr r="G23" s="1"/>
      </tp>
      <tp t="s">
        <v>N/A</v>
        <stp/>
        <stp>DELTA</stp>
        <stp>.SPY150417P211</stp>
        <tr r="R25" s="1"/>
      </tp>
      <tp t="s">
        <v>N/A</v>
        <stp/>
        <stp>DELTA</stp>
        <stp>.SPY150417C211</stp>
        <tr r="G25" s="1"/>
      </tp>
      <tp t="s">
        <v>N/A</v>
        <stp/>
        <stp>DELTA</stp>
        <stp>.SPY150417P218</stp>
        <tr r="R39" s="1"/>
      </tp>
      <tp t="s">
        <v>N/A</v>
        <stp/>
        <stp>DELTA</stp>
        <stp>.SPY150417C218</stp>
        <tr r="G39" s="1"/>
      </tp>
      <tp t="s">
        <v>N/A</v>
        <stp/>
        <stp>DELTA</stp>
        <stp>.SPY150417P219</stp>
        <tr r="R41" s="1"/>
      </tp>
      <tp t="s">
        <v>N/A</v>
        <stp/>
        <stp>DELTA</stp>
        <stp>.SPY150417C219</stp>
        <tr r="G41" s="1"/>
      </tp>
      <tp t="s">
        <v>N/A</v>
        <stp/>
        <stp>DELTA</stp>
        <stp>.SPY150417P206</stp>
        <tr r="R15" s="1"/>
      </tp>
      <tp t="s">
        <v>N/A</v>
        <stp/>
        <stp>DELTA</stp>
        <stp>.SPY150417C206</stp>
        <tr r="G15" s="1"/>
      </tp>
      <tp t="s">
        <v>N/A</v>
        <stp/>
        <stp>DELTA</stp>
        <stp>.SPY150417P207</stp>
        <tr r="R17" s="1"/>
      </tp>
      <tp t="s">
        <v>N/A</v>
        <stp/>
        <stp>DELTA</stp>
        <stp>.SPY150417C207</stp>
        <tr r="G17" s="1"/>
      </tp>
      <tp t="s">
        <v>N/A</v>
        <stp/>
        <stp>DELTA</stp>
        <stp>.SPY150417P204</stp>
        <tr r="R11" s="1"/>
      </tp>
      <tp t="s">
        <v>N/A</v>
        <stp/>
        <stp>DELTA</stp>
        <stp>.SPY150417C204</stp>
        <tr r="G11" s="1"/>
      </tp>
      <tp t="s">
        <v>N/A</v>
        <stp/>
        <stp>DELTA</stp>
        <stp>.SPY150417P205</stp>
        <tr r="R13" s="1"/>
      </tp>
      <tp t="s">
        <v>N/A</v>
        <stp/>
        <stp>DELTA</stp>
        <stp>.SPY150417C205</stp>
        <tr r="G13" s="1"/>
      </tp>
      <tp t="s">
        <v>N/A</v>
        <stp/>
        <stp>DELTA</stp>
        <stp>.SPY150417P202</stp>
        <tr r="R7" s="1"/>
      </tp>
      <tp t="s">
        <v>N/A</v>
        <stp/>
        <stp>DELTA</stp>
        <stp>.SPY150417C202</stp>
        <tr r="G7" s="1"/>
      </tp>
      <tp t="s">
        <v>N/A</v>
        <stp/>
        <stp>DELTA</stp>
        <stp>.SPY150417P203</stp>
        <tr r="R9" s="1"/>
      </tp>
      <tp t="s">
        <v>N/A</v>
        <stp/>
        <stp>DELTA</stp>
        <stp>.SPY150417C203</stp>
        <tr r="G9" s="1"/>
      </tp>
      <tp t="s">
        <v>N/A</v>
        <stp/>
        <stp>DELTA</stp>
        <stp>.SPY150417P200</stp>
        <tr r="R3" s="1"/>
      </tp>
      <tp t="s">
        <v>N/A</v>
        <stp/>
        <stp>DELTA</stp>
        <stp>.SPY150417C200</stp>
        <tr r="G3" s="1"/>
      </tp>
      <tp t="s">
        <v>N/A</v>
        <stp/>
        <stp>DELTA</stp>
        <stp>.SPY150417P201</stp>
        <tr r="R5" s="1"/>
      </tp>
      <tp t="s">
        <v>N/A</v>
        <stp/>
        <stp>DELTA</stp>
        <stp>.SPY150417C201</stp>
        <tr r="G5" s="1"/>
      </tp>
      <tp t="s">
        <v>N/A</v>
        <stp/>
        <stp>DELTA</stp>
        <stp>.SPY150417P208</stp>
        <tr r="R19" s="1"/>
      </tp>
      <tp t="s">
        <v>N/A</v>
        <stp/>
        <stp>DELTA</stp>
        <stp>.SPY150417C208</stp>
        <tr r="G19" s="1"/>
      </tp>
      <tp t="s">
        <v>N/A</v>
        <stp/>
        <stp>DELTA</stp>
        <stp>.SPY150417P209</stp>
        <tr r="R21" s="1"/>
      </tp>
      <tp t="s">
        <v>N/A</v>
        <stp/>
        <stp>DELTA</stp>
        <stp>.SPY150417C209</stp>
        <tr r="G21" s="1"/>
      </tp>
      <tp t="s">
        <v>N/A</v>
        <stp/>
        <stp>VEGA</stp>
        <stp>.SPY160318C207.5</stp>
        <tr r="J648" s="1"/>
      </tp>
      <tp t="s">
        <v>N/A</v>
        <stp/>
        <stp>VEGA</stp>
        <stp>.SPY170317C209.5</stp>
        <tr r="J862" s="1"/>
      </tp>
      <tp t="s">
        <v>N/A</v>
        <stp/>
        <stp>VEGA</stp>
        <stp>.SPY160318C217.5</stp>
        <tr r="J668" s="1"/>
      </tp>
      <tp t="s">
        <v>N/A</v>
        <stp/>
        <stp>VEGA</stp>
        <stp>.SPY170317C219.5</stp>
        <tr r="J882" s="1"/>
      </tp>
      <tp t="s">
        <v>N/A</v>
        <stp/>
        <stp>VEGA</stp>
        <stp>.SPY150619C205.5</stp>
        <tr r="J308" s="1"/>
      </tp>
      <tp t="s">
        <v>N/A</v>
        <stp/>
        <stp>VEGA</stp>
        <stp>.SPY160617C208.5</stp>
        <tr r="J692" s="1"/>
      </tp>
      <tp t="s">
        <v>N/A</v>
        <stp/>
        <stp>VEGA</stp>
        <stp>.SPY150619C215.5</stp>
        <tr r="J328" s="1"/>
      </tp>
      <tp t="s">
        <v>N/A</v>
        <stp/>
        <stp>VEGA</stp>
        <stp>.SPY160617C218.5</stp>
        <tr r="J712" s="1"/>
      </tp>
      <tp>
        <v>3.2649999999999998E-2</v>
        <stp/>
        <stp>VEGA</stp>
        <stp>.SPY150508C214.5</stp>
        <tr r="J158" s="1"/>
      </tp>
      <tp>
        <v>0.13972999999999999</v>
        <stp/>
        <stp>VEGA</stp>
        <stp>.SPY150515C209.5</stp>
        <tr r="J190" s="1"/>
      </tp>
      <tp>
        <v>2.4209999999999999E-2</v>
        <stp/>
        <stp>VEGA</stp>
        <stp>.SPY150508C204.5</stp>
        <tr r="J138" s="1"/>
      </tp>
      <tp>
        <v>1.2710000000000001E-2</v>
        <stp/>
        <stp>VEGA</stp>
        <stp>.SPY150515C219.5</stp>
        <tr r="J210" s="1"/>
      </tp>
      <tp>
        <v>0.16112000000000001</v>
        <stp/>
        <stp>VEGA</stp>
        <stp>.SPY150529C215.5</stp>
        <tr r="J286" s="1"/>
      </tp>
      <tp>
        <v>0.16875000000000001</v>
        <stp/>
        <stp>VEGA</stp>
        <stp>.SPY150529C205.5</stp>
        <tr r="J266" s="1"/>
      </tp>
      <tp t="s">
        <v>N/A</v>
        <stp/>
        <stp>VEGA</stp>
        <stp>.SPY150424C218.5</stp>
        <tr r="J82" s="1"/>
      </tp>
      <tp t="s">
        <v>N/A</v>
        <stp/>
        <stp>VEGA</stp>
        <stp>.SPY150424C208.5</stp>
        <tr r="J62" s="1"/>
      </tp>
      <tp t="s">
        <v>N/A</v>
        <stp/>
        <stp>VEGA</stp>
        <stp>.SPY150918C204.5</stp>
        <tr r="J432" s="1"/>
      </tp>
      <tp t="s">
        <v>N/A</v>
        <stp/>
        <stp>VEGA</stp>
        <stp>.SPY160916C209.5</stp>
        <tr r="J736" s="1"/>
      </tp>
      <tp t="s">
        <v>N/A</v>
        <stp/>
        <stp>VEGA</stp>
        <stp>.SPY150918C214.5</stp>
        <tr r="J452" s="1"/>
      </tp>
      <tp t="s">
        <v>N/A</v>
        <stp/>
        <stp>VEGA</stp>
        <stp>.SPY160916C219.5</stp>
        <tr r="J756" s="1"/>
      </tp>
      <tp t="s">
        <v>N/A</v>
        <stp/>
        <stp>VEGA</stp>
        <stp>.SPY151219C205.5</stp>
        <tr r="J518" s="1"/>
      </tp>
      <tp t="s">
        <v>N/A</v>
        <stp/>
        <stp>VEGA</stp>
        <stp>.SPY161216C209.5</stp>
        <tr r="J778" s="1"/>
      </tp>
      <tp t="s">
        <v>N/A</v>
        <stp/>
        <stp>VEGA</stp>
        <stp>.SPY151219C215.5</stp>
        <tr r="J538" s="1"/>
      </tp>
      <tp t="s">
        <v>N/A</v>
        <stp/>
        <stp>VEGA</stp>
        <stp>.SPY161216C219.5</stp>
        <tr r="J798" s="1"/>
      </tp>
      <tp t="s">
        <v>N/A</v>
        <stp/>
        <stp>VEGA</stp>
        <stp>.SPY151219P205.5</stp>
        <tr r="U518" s="1"/>
      </tp>
      <tp t="s">
        <v>N/A</v>
        <stp/>
        <stp>VEGA</stp>
        <stp>.SPY161216P209.5</stp>
        <tr r="U778" s="1"/>
      </tp>
      <tp t="s">
        <v>N/A</v>
        <stp/>
        <stp>VEGA</stp>
        <stp>.SPY151219P215.5</stp>
        <tr r="U538" s="1"/>
      </tp>
      <tp t="s">
        <v>N/A</v>
        <stp/>
        <stp>VEGA</stp>
        <stp>.SPY161216P219.5</stp>
        <tr r="U798" s="1"/>
      </tp>
      <tp t="s">
        <v>N/A</v>
        <stp/>
        <stp>VEGA</stp>
        <stp>.SPY160318P207.5</stp>
        <tr r="U648" s="1"/>
      </tp>
      <tp t="s">
        <v>N/A</v>
        <stp/>
        <stp>VEGA</stp>
        <stp>.SPY170317P209.5</stp>
        <tr r="U862" s="1"/>
      </tp>
      <tp t="s">
        <v>N/A</v>
        <stp/>
        <stp>VEGA</stp>
        <stp>.SPY160318P217.5</stp>
        <tr r="U668" s="1"/>
      </tp>
      <tp t="s">
        <v>N/A</v>
        <stp/>
        <stp>VEGA</stp>
        <stp>.SPY170317P219.5</stp>
        <tr r="U882" s="1"/>
      </tp>
      <tp t="s">
        <v>N/A</v>
        <stp/>
        <stp>VEGA</stp>
        <stp>.SPY150619P205.5</stp>
        <tr r="U308" s="1"/>
      </tp>
      <tp t="s">
        <v>N/A</v>
        <stp/>
        <stp>VEGA</stp>
        <stp>.SPY160617P208.5</stp>
        <tr r="U692" s="1"/>
      </tp>
      <tp t="s">
        <v>N/A</v>
        <stp/>
        <stp>VEGA</stp>
        <stp>.SPY150619P215.5</stp>
        <tr r="U328" s="1"/>
      </tp>
      <tp t="s">
        <v>N/A</v>
        <stp/>
        <stp>VEGA</stp>
        <stp>.SPY160617P218.5</stp>
        <tr r="U712" s="1"/>
      </tp>
      <tp>
        <v>2.1100000000000001E-2</v>
        <stp/>
        <stp>VEGA</stp>
        <stp>.SPY150508P214.5</stp>
        <tr r="U158" s="1"/>
      </tp>
      <tp>
        <v>0.13930000000000001</v>
        <stp/>
        <stp>VEGA</stp>
        <stp>.SPY150515P209.5</stp>
        <tr r="U190" s="1"/>
      </tp>
      <tp>
        <v>1.9539999999999998E-2</v>
        <stp/>
        <stp>VEGA</stp>
        <stp>.SPY150508P204.5</stp>
        <tr r="U138" s="1"/>
      </tp>
      <tp>
        <v>0</v>
        <stp/>
        <stp>VEGA</stp>
        <stp>.SPY150515P219.5</stp>
        <tr r="U210" s="1"/>
      </tp>
      <tp>
        <v>0.13703000000000001</v>
        <stp/>
        <stp>VEGA</stp>
        <stp>.SPY150529P215.5</stp>
        <tr r="U286" s="1"/>
      </tp>
      <tp>
        <v>0.16277</v>
        <stp/>
        <stp>VEGA</stp>
        <stp>.SPY150529P205.5</stp>
        <tr r="U266" s="1"/>
      </tp>
      <tp t="s">
        <v>N/A</v>
        <stp/>
        <stp>VEGA</stp>
        <stp>.SPY150424P218.5</stp>
        <tr r="U82" s="1"/>
      </tp>
      <tp t="s">
        <v>N/A</v>
        <stp/>
        <stp>VEGA</stp>
        <stp>.SPY150424P208.5</stp>
        <tr r="U62" s="1"/>
      </tp>
      <tp t="s">
        <v>N/A</v>
        <stp/>
        <stp>VEGA</stp>
        <stp>.SPY150918P204.5</stp>
        <tr r="U432" s="1"/>
      </tp>
      <tp t="s">
        <v>N/A</v>
        <stp/>
        <stp>VEGA</stp>
        <stp>.SPY160916P209.5</stp>
        <tr r="U736" s="1"/>
      </tp>
      <tp t="s">
        <v>N/A</v>
        <stp/>
        <stp>VEGA</stp>
        <stp>.SPY150918P214.5</stp>
        <tr r="U452" s="1"/>
      </tp>
      <tp t="s">
        <v>N/A</v>
        <stp/>
        <stp>VEGA</stp>
        <stp>.SPY160916P219.5</stp>
        <tr r="U756" s="1"/>
      </tp>
      <tp>
        <v>3.0089999999999999E-2</v>
        <stp/>
        <stp>GAMMA</stp>
        <stp>.SPY150717P209</stp>
        <tr r="T399" s="1"/>
      </tp>
      <tp>
        <v>3.1669999999999997E-2</v>
        <stp/>
        <stp>GAMMA</stp>
        <stp>.SPY150717C209</stp>
        <tr r="I399" s="1"/>
      </tp>
      <tp>
        <v>2.8930000000000001E-2</v>
        <stp/>
        <stp>GAMMA</stp>
        <stp>.SPY150717P208</stp>
        <tr r="T397" s="1"/>
      </tp>
      <tp>
        <v>3.0470000000000001E-2</v>
        <stp/>
        <stp>GAMMA</stp>
        <stp>.SPY150717C208</stp>
        <tr r="I397" s="1"/>
      </tp>
      <tp>
        <v>2.7720000000000002E-2</v>
        <stp/>
        <stp>GAMMA</stp>
        <stp>.SPY150717P207</stp>
        <tr r="T395" s="1"/>
      </tp>
      <tp>
        <v>2.9219999999999999E-2</v>
        <stp/>
        <stp>GAMMA</stp>
        <stp>.SPY150717C207</stp>
        <tr r="I395" s="1"/>
      </tp>
      <tp>
        <v>2.647E-2</v>
        <stp/>
        <stp>GAMMA</stp>
        <stp>.SPY150717P206</stp>
        <tr r="T393" s="1"/>
      </tp>
      <tp>
        <v>2.7859999999999999E-2</v>
        <stp/>
        <stp>GAMMA</stp>
        <stp>.SPY150717C206</stp>
        <tr r="I393" s="1"/>
      </tp>
      <tp>
        <v>2.5219999999999999E-2</v>
        <stp/>
        <stp>GAMMA</stp>
        <stp>.SPY150717P205</stp>
        <tr r="T391" s="1"/>
      </tp>
      <tp>
        <v>2.6530000000000001E-2</v>
        <stp/>
        <stp>GAMMA</stp>
        <stp>.SPY150717C205</stp>
        <tr r="I391" s="1"/>
      </tp>
      <tp>
        <v>2.3949999999999999E-2</v>
        <stp/>
        <stp>GAMMA</stp>
        <stp>.SPY150717P204</stp>
        <tr r="T389" s="1"/>
      </tp>
      <tp>
        <v>2.5190000000000001E-2</v>
        <stp/>
        <stp>GAMMA</stp>
        <stp>.SPY150717C204</stp>
        <tr r="I389" s="1"/>
      </tp>
      <tp>
        <v>2.2700000000000001E-2</v>
        <stp/>
        <stp>GAMMA</stp>
        <stp>.SPY150717P203</stp>
        <tr r="T387" s="1"/>
      </tp>
      <tp>
        <v>2.3730000000000001E-2</v>
        <stp/>
        <stp>GAMMA</stp>
        <stp>.SPY150717C203</stp>
        <tr r="I387" s="1"/>
      </tp>
      <tp>
        <v>2.1489999999999999E-2</v>
        <stp/>
        <stp>GAMMA</stp>
        <stp>.SPY150717P202</stp>
        <tr r="T385" s="1"/>
      </tp>
      <tp>
        <v>2.249E-2</v>
        <stp/>
        <stp>GAMMA</stp>
        <stp>.SPY150717C202</stp>
        <tr r="I385" s="1"/>
      </tp>
      <tp>
        <v>2.0299999999999999E-2</v>
        <stp/>
        <stp>GAMMA</stp>
        <stp>.SPY150717P201</stp>
        <tr r="T383" s="1"/>
      </tp>
      <tp>
        <v>2.1350000000000001E-2</v>
        <stp/>
        <stp>GAMMA</stp>
        <stp>.SPY150717C201</stp>
        <tr r="I383" s="1"/>
      </tp>
      <tp>
        <v>1.915E-2</v>
        <stp/>
        <stp>GAMMA</stp>
        <stp>.SPY150717P200</stp>
        <tr r="T381" s="1"/>
      </tp>
      <tp>
        <v>2.0140000000000002E-2</v>
        <stp/>
        <stp>GAMMA</stp>
        <stp>.SPY150717C200</stp>
        <tr r="I381" s="1"/>
      </tp>
      <tp t="s">
        <v>N/A</v>
        <stp/>
        <stp>DELTA</stp>
        <stp>.SPY170317P214</stp>
        <tr r="R871" s="1"/>
      </tp>
      <tp t="s">
        <v>N/A</v>
        <stp/>
        <stp>DELTA</stp>
        <stp>.SPY170317C214</stp>
        <tr r="G871" s="1"/>
      </tp>
      <tp>
        <v>-0.51719000000000004</v>
        <stp/>
        <stp>DELTA</stp>
        <stp>.SPY170317P215</stp>
        <tr r="R873" s="1"/>
      </tp>
      <tp>
        <v>0.47731000000000001</v>
        <stp/>
        <stp>DELTA</stp>
        <stp>.SPY170317C215</stp>
        <tr r="G873" s="1"/>
      </tp>
      <tp t="s">
        <v>N/A</v>
        <stp/>
        <stp>DELTA</stp>
        <stp>.SPY160318P218</stp>
        <tr r="R669" s="1"/>
      </tp>
      <tp t="s">
        <v>N/A</v>
        <stp/>
        <stp>DELTA</stp>
        <stp>.SPY170317P216</stp>
        <tr r="R875" s="1"/>
      </tp>
      <tp t="s">
        <v>N/A</v>
        <stp/>
        <stp>DELTA</stp>
        <stp>.SPY160318C218</stp>
        <tr r="G669" s="1"/>
      </tp>
      <tp t="s">
        <v>N/A</v>
        <stp/>
        <stp>DELTA</stp>
        <stp>.SPY170317C216</stp>
        <tr r="G875" s="1"/>
      </tp>
      <tp t="s">
        <v>N/A</v>
        <stp/>
        <stp>DELTA</stp>
        <stp>.SPY160318P219</stp>
        <tr r="R671" s="1"/>
      </tp>
      <tp t="s">
        <v>N/A</v>
        <stp/>
        <stp>DELTA</stp>
        <stp>.SPY170317P217</stp>
        <tr r="R877" s="1"/>
      </tp>
      <tp t="s">
        <v>N/A</v>
        <stp/>
        <stp>DELTA</stp>
        <stp>.SPY160318C219</stp>
        <tr r="G671" s="1"/>
      </tp>
      <tp t="s">
        <v>N/A</v>
        <stp/>
        <stp>DELTA</stp>
        <stp>.SPY170317C217</stp>
        <tr r="G877" s="1"/>
      </tp>
      <tp>
        <v>-0.47398000000000001</v>
        <stp/>
        <stp>DELTA</stp>
        <stp>.SPY170317P210</stp>
        <tr r="R863" s="1"/>
      </tp>
      <tp>
        <v>0.51946000000000003</v>
        <stp/>
        <stp>DELTA</stp>
        <stp>.SPY170317C210</stp>
        <tr r="G863" s="1"/>
      </tp>
      <tp t="s">
        <v>N/A</v>
        <stp/>
        <stp>DELTA</stp>
        <stp>.SPY170317P211</stp>
        <tr r="R865" s="1"/>
      </tp>
      <tp t="s">
        <v>N/A</v>
        <stp/>
        <stp>DELTA</stp>
        <stp>.SPY170317C211</stp>
        <tr r="G865" s="1"/>
      </tp>
      <tp t="s">
        <v>N/A</v>
        <stp/>
        <stp>DELTA</stp>
        <stp>.SPY170317P212</stp>
        <tr r="R867" s="1"/>
      </tp>
      <tp t="s">
        <v>N/A</v>
        <stp/>
        <stp>DELTA</stp>
        <stp>.SPY170317C212</stp>
        <tr r="G867" s="1"/>
      </tp>
      <tp t="s">
        <v>N/A</v>
        <stp/>
        <stp>DELTA</stp>
        <stp>.SPY170317P213</stp>
        <tr r="R869" s="1"/>
      </tp>
      <tp t="s">
        <v>N/A</v>
        <stp/>
        <stp>DELTA</stp>
        <stp>.SPY170317C213</stp>
        <tr r="G869" s="1"/>
      </tp>
      <tp t="s">
        <v>N/A</v>
        <stp/>
        <stp>DELTA</stp>
        <stp>.SPY160318P212</stp>
        <tr r="R657" s="1"/>
      </tp>
      <tp t="s">
        <v>N/A</v>
        <stp/>
        <stp>DELTA</stp>
        <stp>.SPY160318C212</stp>
        <tr r="G657" s="1"/>
      </tp>
      <tp t="s">
        <v>N/A</v>
        <stp/>
        <stp>DELTA</stp>
        <stp>.SPY160318P213</stp>
        <tr r="R659" s="1"/>
      </tp>
      <tp t="s">
        <v>N/A</v>
        <stp/>
        <stp>DELTA</stp>
        <stp>.SPY160318C213</stp>
        <tr r="G659" s="1"/>
      </tp>
      <tp>
        <v>-0.47960000000000003</v>
        <stp/>
        <stp>DELTA</stp>
        <stp>.SPY160318P210</stp>
        <tr r="R653" s="1"/>
      </tp>
      <tp>
        <v>0.51685999999999999</v>
        <stp/>
        <stp>DELTA</stp>
        <stp>.SPY160318C210</stp>
        <tr r="G653" s="1"/>
      </tp>
      <tp t="s">
        <v>N/A</v>
        <stp/>
        <stp>DELTA</stp>
        <stp>.SPY160318P211</stp>
        <tr r="R655" s="1"/>
      </tp>
      <tp t="s">
        <v>N/A</v>
        <stp/>
        <stp>DELTA</stp>
        <stp>.SPY160318C211</stp>
        <tr r="G655" s="1"/>
      </tp>
      <tp t="s">
        <v>N/A</v>
        <stp/>
        <stp>DELTA</stp>
        <stp>.SPY160318P216</stp>
        <tr r="R665" s="1"/>
      </tp>
      <tp t="s">
        <v>N/A</v>
        <stp/>
        <stp>DELTA</stp>
        <stp>.SPY170317P218</stp>
        <tr r="R879" s="1"/>
      </tp>
      <tp t="s">
        <v>N/A</v>
        <stp/>
        <stp>DELTA</stp>
        <stp>.SPY160318C216</stp>
        <tr r="G665" s="1"/>
      </tp>
      <tp t="s">
        <v>N/A</v>
        <stp/>
        <stp>DELTA</stp>
        <stp>.SPY170317C218</stp>
        <tr r="G879" s="1"/>
      </tp>
      <tp t="s">
        <v>N/A</v>
        <stp/>
        <stp>DELTA</stp>
        <stp>.SPY160318P217</stp>
        <tr r="R667" s="1"/>
      </tp>
      <tp t="s">
        <v>N/A</v>
        <stp/>
        <stp>DELTA</stp>
        <stp>.SPY170317P219</stp>
        <tr r="R881" s="1"/>
      </tp>
      <tp t="s">
        <v>N/A</v>
        <stp/>
        <stp>DELTA</stp>
        <stp>.SPY160318C217</stp>
        <tr r="G667" s="1"/>
      </tp>
      <tp t="s">
        <v>N/A</v>
        <stp/>
        <stp>DELTA</stp>
        <stp>.SPY170317C219</stp>
        <tr r="G881" s="1"/>
      </tp>
      <tp t="s">
        <v>N/A</v>
        <stp/>
        <stp>DELTA</stp>
        <stp>.SPY160318P214</stp>
        <tr r="R661" s="1"/>
      </tp>
      <tp t="s">
        <v>N/A</v>
        <stp/>
        <stp>DELTA</stp>
        <stp>.SPY160318C214</stp>
        <tr r="G661" s="1"/>
      </tp>
      <tp>
        <v>-0.54727000000000003</v>
        <stp/>
        <stp>DELTA</stp>
        <stp>.SPY160318P215</stp>
        <tr r="R663" s="1"/>
      </tp>
      <tp>
        <v>0.44640000000000002</v>
        <stp/>
        <stp>DELTA</stp>
        <stp>.SPY160318C215</stp>
        <tr r="G663" s="1"/>
      </tp>
      <tp>
        <v>2.8969999999999999E-2</v>
        <stp/>
        <stp>GAMMA</stp>
        <stp>.SPY150717P219</stp>
        <tr r="T419" s="1"/>
      </tp>
      <tp>
        <v>3.005E-2</v>
        <stp/>
        <stp>GAMMA</stp>
        <stp>.SPY150717C219</stp>
        <tr r="I419" s="1"/>
      </tp>
      <tp>
        <v>3.073E-2</v>
        <stp/>
        <stp>GAMMA</stp>
        <stp>.SPY150717P218</stp>
        <tr r="T417" s="1"/>
      </tp>
      <tp>
        <v>3.227E-2</v>
        <stp/>
        <stp>GAMMA</stp>
        <stp>.SPY150717C218</stp>
        <tr r="I417" s="1"/>
      </tp>
      <tp>
        <v>3.2129999999999999E-2</v>
        <stp/>
        <stp>GAMMA</stp>
        <stp>.SPY150717P217</stp>
        <tr r="T415" s="1"/>
      </tp>
      <tp>
        <v>3.3860000000000001E-2</v>
        <stp/>
        <stp>GAMMA</stp>
        <stp>.SPY150717C217</stp>
        <tr r="I415" s="1"/>
      </tp>
      <tp>
        <v>3.3059999999999999E-2</v>
        <stp/>
        <stp>GAMMA</stp>
        <stp>.SPY150717P216</stp>
        <tr r="T413" s="1"/>
      </tp>
      <tp>
        <v>3.4930000000000003E-2</v>
        <stp/>
        <stp>GAMMA</stp>
        <stp>.SPY150717C216</stp>
        <tr r="I413" s="1"/>
      </tp>
      <tp>
        <v>3.3520000000000001E-2</v>
        <stp/>
        <stp>GAMMA</stp>
        <stp>.SPY150717P215</stp>
        <tr r="T411" s="1"/>
      </tp>
      <tp>
        <v>3.5499999999999997E-2</v>
        <stp/>
        <stp>GAMMA</stp>
        <stp>.SPY150717C215</stp>
        <tr r="I411" s="1"/>
      </tp>
      <tp>
        <v>3.3689999999999998E-2</v>
        <stp/>
        <stp>GAMMA</stp>
        <stp>.SPY150717P214</stp>
        <tr r="T409" s="1"/>
      </tp>
      <tp>
        <v>3.56E-2</v>
        <stp/>
        <stp>GAMMA</stp>
        <stp>.SPY150717C214</stp>
        <tr r="I409" s="1"/>
      </tp>
      <tp>
        <v>3.3239999999999999E-2</v>
        <stp/>
        <stp>GAMMA</stp>
        <stp>.SPY150717P213</stp>
        <tr r="T407" s="1"/>
      </tp>
      <tp>
        <v>3.5340000000000003E-2</v>
        <stp/>
        <stp>GAMMA</stp>
        <stp>.SPY150717C213</stp>
        <tr r="I407" s="1"/>
      </tp>
      <tp>
        <v>3.2820000000000002E-2</v>
        <stp/>
        <stp>GAMMA</stp>
        <stp>.SPY150717P212</stp>
        <tr r="T405" s="1"/>
      </tp>
      <tp>
        <v>3.4680000000000002E-2</v>
        <stp/>
        <stp>GAMMA</stp>
        <stp>.SPY150717C212</stp>
        <tr r="I405" s="1"/>
      </tp>
      <tp>
        <v>3.227E-2</v>
        <stp/>
        <stp>GAMMA</stp>
        <stp>.SPY150717P211</stp>
        <tr r="T403" s="1"/>
      </tp>
      <tp>
        <v>3.3939999999999998E-2</v>
        <stp/>
        <stp>GAMMA</stp>
        <stp>.SPY150717C211</stp>
        <tr r="I403" s="1"/>
      </tp>
      <tp>
        <v>3.117E-2</v>
        <stp/>
        <stp>GAMMA</stp>
        <stp>.SPY150717P210</stp>
        <tr r="T401" s="1"/>
      </tp>
      <tp>
        <v>3.2870000000000003E-2</v>
        <stp/>
        <stp>GAMMA</stp>
        <stp>.SPY150717C210</stp>
        <tr r="I401" s="1"/>
      </tp>
      <tp t="s">
        <v>N/A</v>
        <stp/>
        <stp>DELTA</stp>
        <stp>.SPY170317P204</stp>
        <tr r="R851" s="1"/>
      </tp>
      <tp t="s">
        <v>N/A</v>
        <stp/>
        <stp>DELTA</stp>
        <stp>.SPY170317C204</stp>
        <tr r="G851" s="1"/>
      </tp>
      <tp>
        <v>-0.43260999999999999</v>
        <stp/>
        <stp>DELTA</stp>
        <stp>.SPY170317P205</stp>
        <tr r="R853" s="1"/>
      </tp>
      <tp>
        <v>0.56028999999999995</v>
        <stp/>
        <stp>DELTA</stp>
        <stp>.SPY170317C205</stp>
        <tr r="G853" s="1"/>
      </tp>
      <tp t="s">
        <v>N/A</v>
        <stp/>
        <stp>DELTA</stp>
        <stp>.SPY160318P208</stp>
        <tr r="R649" s="1"/>
      </tp>
      <tp t="s">
        <v>N/A</v>
        <stp/>
        <stp>DELTA</stp>
        <stp>.SPY170317P206</stp>
        <tr r="R855" s="1"/>
      </tp>
      <tp t="s">
        <v>N/A</v>
        <stp/>
        <stp>DELTA</stp>
        <stp>.SPY160318C208</stp>
        <tr r="G649" s="1"/>
      </tp>
      <tp t="s">
        <v>N/A</v>
        <stp/>
        <stp>DELTA</stp>
        <stp>.SPY170317C206</stp>
        <tr r="G855" s="1"/>
      </tp>
      <tp t="s">
        <v>N/A</v>
        <stp/>
        <stp>DELTA</stp>
        <stp>.SPY160318P209</stp>
        <tr r="R651" s="1"/>
      </tp>
      <tp t="s">
        <v>N/A</v>
        <stp/>
        <stp>DELTA</stp>
        <stp>.SPY170317P207</stp>
        <tr r="R857" s="1"/>
      </tp>
      <tp t="s">
        <v>N/A</v>
        <stp/>
        <stp>DELTA</stp>
        <stp>.SPY160318C209</stp>
        <tr r="G651" s="1"/>
      </tp>
      <tp t="s">
        <v>N/A</v>
        <stp/>
        <stp>DELTA</stp>
        <stp>.SPY170317C207</stp>
        <tr r="G857" s="1"/>
      </tp>
      <tp>
        <v>-0.39394000000000001</v>
        <stp/>
        <stp>DELTA</stp>
        <stp>.SPY170317P200</stp>
        <tr r="R843" s="1"/>
      </tp>
      <tp>
        <v>0.59931999999999996</v>
        <stp/>
        <stp>DELTA</stp>
        <stp>.SPY170317C200</stp>
        <tr r="G843" s="1"/>
      </tp>
      <tp t="s">
        <v>N/A</v>
        <stp/>
        <stp>DELTA</stp>
        <stp>.SPY170317P201</stp>
        <tr r="R845" s="1"/>
      </tp>
      <tp t="s">
        <v>N/A</v>
        <stp/>
        <stp>DELTA</stp>
        <stp>.SPY170317C201</stp>
        <tr r="G845" s="1"/>
      </tp>
      <tp t="s">
        <v>N/A</v>
        <stp/>
        <stp>DELTA</stp>
        <stp>.SPY170317P202</stp>
        <tr r="R847" s="1"/>
      </tp>
      <tp t="s">
        <v>N/A</v>
        <stp/>
        <stp>DELTA</stp>
        <stp>.SPY170317C202</stp>
        <tr r="G847" s="1"/>
      </tp>
      <tp t="s">
        <v>N/A</v>
        <stp/>
        <stp>DELTA</stp>
        <stp>.SPY170317P203</stp>
        <tr r="R849" s="1"/>
      </tp>
      <tp t="s">
        <v>N/A</v>
        <stp/>
        <stp>DELTA</stp>
        <stp>.SPY170317C203</stp>
        <tr r="G849" s="1"/>
      </tp>
      <tp t="s">
        <v>N/A</v>
        <stp/>
        <stp>DELTA</stp>
        <stp>.SPY160318P202</stp>
        <tr r="R637" s="1"/>
      </tp>
      <tp t="s">
        <v>N/A</v>
        <stp/>
        <stp>DELTA</stp>
        <stp>.SPY160318C202</stp>
        <tr r="G637" s="1"/>
      </tp>
      <tp t="s">
        <v>N/A</v>
        <stp/>
        <stp>DELTA</stp>
        <stp>.SPY160318P203</stp>
        <tr r="R639" s="1"/>
      </tp>
      <tp t="s">
        <v>N/A</v>
        <stp/>
        <stp>DELTA</stp>
        <stp>.SPY160318C203</stp>
        <tr r="G639" s="1"/>
      </tp>
      <tp>
        <v>-0.36151</v>
        <stp/>
        <stp>DELTA</stp>
        <stp>.SPY160318P200</stp>
        <tr r="R633" s="1"/>
      </tp>
      <tp>
        <v>0.64032999999999995</v>
        <stp/>
        <stp>DELTA</stp>
        <stp>.SPY160318C200</stp>
        <tr r="G633" s="1"/>
      </tp>
      <tp t="s">
        <v>N/A</v>
        <stp/>
        <stp>DELTA</stp>
        <stp>.SPY160318P201</stp>
        <tr r="R635" s="1"/>
      </tp>
      <tp t="s">
        <v>N/A</v>
        <stp/>
        <stp>DELTA</stp>
        <stp>.SPY160318C201</stp>
        <tr r="G635" s="1"/>
      </tp>
      <tp t="s">
        <v>N/A</v>
        <stp/>
        <stp>DELTA</stp>
        <stp>.SPY160318P206</stp>
        <tr r="R645" s="1"/>
      </tp>
      <tp t="s">
        <v>N/A</v>
        <stp/>
        <stp>DELTA</stp>
        <stp>.SPY170317P208</stp>
        <tr r="R859" s="1"/>
      </tp>
      <tp t="s">
        <v>N/A</v>
        <stp/>
        <stp>DELTA</stp>
        <stp>.SPY160318C206</stp>
        <tr r="G645" s="1"/>
      </tp>
      <tp t="s">
        <v>N/A</v>
        <stp/>
        <stp>DELTA</stp>
        <stp>.SPY170317C208</stp>
        <tr r="G859" s="1"/>
      </tp>
      <tp t="s">
        <v>N/A</v>
        <stp/>
        <stp>DELTA</stp>
        <stp>.SPY160318P207</stp>
        <tr r="R647" s="1"/>
      </tp>
      <tp t="s">
        <v>N/A</v>
        <stp/>
        <stp>DELTA</stp>
        <stp>.SPY170317P209</stp>
        <tr r="R861" s="1"/>
      </tp>
      <tp t="s">
        <v>N/A</v>
        <stp/>
        <stp>DELTA</stp>
        <stp>.SPY160318C207</stp>
        <tr r="G647" s="1"/>
      </tp>
      <tp t="s">
        <v>N/A</v>
        <stp/>
        <stp>DELTA</stp>
        <stp>.SPY170317C209</stp>
        <tr r="G861" s="1"/>
      </tp>
      <tp t="s">
        <v>N/A</v>
        <stp/>
        <stp>DELTA</stp>
        <stp>.SPY160318P204</stp>
        <tr r="R641" s="1"/>
      </tp>
      <tp t="s">
        <v>N/A</v>
        <stp/>
        <stp>DELTA</stp>
        <stp>.SPY160318C204</stp>
        <tr r="G641" s="1"/>
      </tp>
      <tp>
        <v>-0.41741</v>
        <stp/>
        <stp>DELTA</stp>
        <stp>.SPY160318P205</stp>
        <tr r="R643" s="1"/>
      </tp>
      <tp>
        <v>0.58176000000000005</v>
        <stp/>
        <stp>DELTA</stp>
        <stp>.SPY160318C205</stp>
        <tr r="G643" s="1"/>
      </tp>
      <tp>
        <v>211.32</v>
        <stp/>
        <stp>LAST</stp>
        <stp>SPY</stp>
        <tr r="A254" s="1"/>
        <tr r="A2" s="1"/>
        <tr r="A674" s="1"/>
        <tr r="A338" s="1"/>
        <tr r="A380" s="1"/>
        <tr r="A128" s="1"/>
        <tr r="A422" s="1"/>
        <tr r="A86" s="1"/>
        <tr r="A44" s="1"/>
        <tr r="A464" s="1"/>
        <tr r="A170" s="1"/>
        <tr r="A296" s="1"/>
        <tr r="A212" s="1"/>
        <tr r="A800" s="1"/>
        <tr r="A506" s="1"/>
        <tr r="A884" s="1"/>
        <tr r="A590" s="1"/>
        <tr r="A716" s="1"/>
        <tr r="A632" s="1"/>
        <tr r="A548" s="1"/>
        <tr r="A758" s="1"/>
        <tr r="A842" s="1"/>
      </tp>
      <tp t="s">
        <v>N/A</v>
        <stp/>
        <stp>VEGA</stp>
        <stp>.SPY160318C206.5</stp>
        <tr r="J646" s="1"/>
      </tp>
      <tp t="s">
        <v>N/A</v>
        <stp/>
        <stp>VEGA</stp>
        <stp>.SPY170317C208.5</stp>
        <tr r="J860" s="1"/>
      </tp>
      <tp t="s">
        <v>N/A</v>
        <stp/>
        <stp>VEGA</stp>
        <stp>.SPY160318C216.5</stp>
        <tr r="J666" s="1"/>
      </tp>
      <tp t="s">
        <v>N/A</v>
        <stp/>
        <stp>VEGA</stp>
        <stp>.SPY170317C218.5</stp>
        <tr r="J880" s="1"/>
      </tp>
      <tp t="s">
        <v>N/A</v>
        <stp/>
        <stp>VEGA</stp>
        <stp>.SPY150619C204.5</stp>
        <tr r="J306" s="1"/>
      </tp>
      <tp t="s">
        <v>N/A</v>
        <stp/>
        <stp>VEGA</stp>
        <stp>.SPY160617C209.5</stp>
        <tr r="J694" s="1"/>
      </tp>
      <tp t="s">
        <v>N/A</v>
        <stp/>
        <stp>VEGA</stp>
        <stp>.SPY150619C214.5</stp>
        <tr r="J326" s="1"/>
      </tp>
      <tp t="s">
        <v>N/A</v>
        <stp/>
        <stp>VEGA</stp>
        <stp>.SPY160617C219.5</stp>
        <tr r="J714" s="1"/>
      </tp>
      <tp>
        <v>1.7260000000000001E-2</v>
        <stp/>
        <stp>VEGA</stp>
        <stp>.SPY150508C215.5</stp>
        <tr r="J160" s="1"/>
      </tp>
      <tp>
        <v>0.12644</v>
        <stp/>
        <stp>VEGA</stp>
        <stp>.SPY150515C208.5</stp>
        <tr r="J188" s="1"/>
      </tp>
      <tp>
        <v>2.7519999999999999E-2</v>
        <stp/>
        <stp>VEGA</stp>
        <stp>.SPY150508C205.5</stp>
        <tr r="J140" s="1"/>
      </tp>
      <tp>
        <v>1.9040000000000001E-2</v>
        <stp/>
        <stp>VEGA</stp>
        <stp>.SPY150515C218.5</stp>
        <tr r="J208" s="1"/>
      </tp>
      <tp>
        <v>0.18876999999999999</v>
        <stp/>
        <stp>VEGA</stp>
        <stp>.SPY150529C214.5</stp>
        <tr r="J284" s="1"/>
      </tp>
      <tp>
        <v>0.15543000000000001</v>
        <stp/>
        <stp>VEGA</stp>
        <stp>.SPY150529C204.5</stp>
        <tr r="J264" s="1"/>
      </tp>
      <tp t="s">
        <v>N/A</v>
        <stp/>
        <stp>VEGA</stp>
        <stp>.SPY150424C219.5</stp>
        <tr r="J84" s="1"/>
      </tp>
      <tp t="s">
        <v>N/A</v>
        <stp/>
        <stp>VEGA</stp>
        <stp>.SPY150424C209.5</stp>
        <tr r="J64" s="1"/>
      </tp>
      <tp t="s">
        <v>N/A</v>
        <stp/>
        <stp>VEGA</stp>
        <stp>.SPY150918C205.5</stp>
        <tr r="J434" s="1"/>
      </tp>
      <tp t="s">
        <v>N/A</v>
        <stp/>
        <stp>VEGA</stp>
        <stp>.SPY160916C208.5</stp>
        <tr r="J734" s="1"/>
      </tp>
      <tp t="s">
        <v>N/A</v>
        <stp/>
        <stp>VEGA</stp>
        <stp>.SPY150918C215.5</stp>
        <tr r="J454" s="1"/>
      </tp>
      <tp t="s">
        <v>N/A</v>
        <stp/>
        <stp>VEGA</stp>
        <stp>.SPY160916C218.5</stp>
        <tr r="J754" s="1"/>
      </tp>
      <tp t="s">
        <v>N/A</v>
        <stp/>
        <stp>VEGA</stp>
        <stp>.SPY151219C204.5</stp>
        <tr r="J516" s="1"/>
      </tp>
      <tp t="s">
        <v>N/A</v>
        <stp/>
        <stp>VEGA</stp>
        <stp>.SPY161216C208.5</stp>
        <tr r="J776" s="1"/>
      </tp>
      <tp t="s">
        <v>N/A</v>
        <stp/>
        <stp>VEGA</stp>
        <stp>.SPY151219C214.5</stp>
        <tr r="J536" s="1"/>
      </tp>
      <tp t="s">
        <v>N/A</v>
        <stp/>
        <stp>VEGA</stp>
        <stp>.SPY161216C218.5</stp>
        <tr r="J796" s="1"/>
      </tp>
      <tp t="s">
        <v>N/A</v>
        <stp/>
        <stp>VEGA</stp>
        <stp>.SPY151219P204.5</stp>
        <tr r="U516" s="1"/>
      </tp>
      <tp t="s">
        <v>N/A</v>
        <stp/>
        <stp>VEGA</stp>
        <stp>.SPY161216P208.5</stp>
        <tr r="U776" s="1"/>
      </tp>
      <tp t="s">
        <v>N/A</v>
        <stp/>
        <stp>VEGA</stp>
        <stp>.SPY151219P214.5</stp>
        <tr r="U536" s="1"/>
      </tp>
      <tp t="s">
        <v>N/A</v>
        <stp/>
        <stp>VEGA</stp>
        <stp>.SPY161216P218.5</stp>
        <tr r="U796" s="1"/>
      </tp>
      <tp t="s">
        <v>N/A</v>
        <stp/>
        <stp>VEGA</stp>
        <stp>.SPY160318P206.5</stp>
        <tr r="U646" s="1"/>
      </tp>
      <tp t="s">
        <v>N/A</v>
        <stp/>
        <stp>VEGA</stp>
        <stp>.SPY170317P208.5</stp>
        <tr r="U860" s="1"/>
      </tp>
      <tp t="s">
        <v>N/A</v>
        <stp/>
        <stp>VEGA</stp>
        <stp>.SPY160318P216.5</stp>
        <tr r="U666" s="1"/>
      </tp>
      <tp t="s">
        <v>N/A</v>
        <stp/>
        <stp>VEGA</stp>
        <stp>.SPY170317P218.5</stp>
        <tr r="U880" s="1"/>
      </tp>
      <tp t="s">
        <v>N/A</v>
        <stp/>
        <stp>VEGA</stp>
        <stp>.SPY150619P204.5</stp>
        <tr r="U306" s="1"/>
      </tp>
      <tp t="s">
        <v>N/A</v>
        <stp/>
        <stp>VEGA</stp>
        <stp>.SPY160617P209.5</stp>
        <tr r="U694" s="1"/>
      </tp>
      <tp t="s">
        <v>N/A</v>
        <stp/>
        <stp>VEGA</stp>
        <stp>.SPY150619P214.5</stp>
        <tr r="U326" s="1"/>
      </tp>
      <tp t="s">
        <v>N/A</v>
        <stp/>
        <stp>VEGA</stp>
        <stp>.SPY160617P219.5</stp>
        <tr r="U714" s="1"/>
      </tp>
      <tp>
        <v>0.43622</v>
        <stp/>
        <stp>VEGA</stp>
        <stp>.SPY150508P215.5</stp>
        <tr r="U160" s="1"/>
      </tp>
      <tp>
        <v>0.12522</v>
        <stp/>
        <stp>VEGA</stp>
        <stp>.SPY150515P208.5</stp>
        <tr r="U188" s="1"/>
      </tp>
      <tp>
        <v>2.7959999999999999E-2</v>
        <stp/>
        <stp>VEGA</stp>
        <stp>.SPY150508P205.5</stp>
        <tr r="U140" s="1"/>
      </tp>
      <tp>
        <v>1.04426</v>
        <stp/>
        <stp>VEGA</stp>
        <stp>.SPY150515P218.5</stp>
        <tr r="U208" s="1"/>
      </tp>
      <tp>
        <v>0.17699999999999999</v>
        <stp/>
        <stp>VEGA</stp>
        <stp>.SPY150529P214.5</stp>
        <tr r="U284" s="1"/>
      </tp>
      <tp>
        <v>0.14818999999999999</v>
        <stp/>
        <stp>VEGA</stp>
        <stp>.SPY150529P204.5</stp>
        <tr r="U264" s="1"/>
      </tp>
      <tp t="s">
        <v>N/A</v>
        <stp/>
        <stp>VEGA</stp>
        <stp>.SPY150424P219.5</stp>
        <tr r="U84" s="1"/>
      </tp>
      <tp t="s">
        <v>N/A</v>
        <stp/>
        <stp>VEGA</stp>
        <stp>.SPY150424P209.5</stp>
        <tr r="U64" s="1"/>
      </tp>
      <tp t="s">
        <v>N/A</v>
        <stp/>
        <stp>VEGA</stp>
        <stp>.SPY150918P205.5</stp>
        <tr r="U434" s="1"/>
      </tp>
      <tp t="s">
        <v>N/A</v>
        <stp/>
        <stp>VEGA</stp>
        <stp>.SPY160916P208.5</stp>
        <tr r="U734" s="1"/>
      </tp>
      <tp t="s">
        <v>N/A</v>
        <stp/>
        <stp>VEGA</stp>
        <stp>.SPY150918P215.5</stp>
        <tr r="U454" s="1"/>
      </tp>
      <tp t="s">
        <v>N/A</v>
        <stp/>
        <stp>VEGA</stp>
        <stp>.SPY160916P218.5</stp>
        <tr r="U754" s="1"/>
      </tp>
      <tp>
        <v>3.2969999999999999E-2</v>
        <stp/>
        <stp>GAMMA</stp>
        <stp>.SPY150630P208</stp>
        <tr r="T355" s="1"/>
      </tp>
      <tp>
        <v>3.4729999999999997E-2</v>
        <stp/>
        <stp>GAMMA</stp>
        <stp>.SPY150630C208</stp>
        <tr r="I355" s="1"/>
      </tp>
      <tp>
        <v>3.4509999999999999E-2</v>
        <stp/>
        <stp>GAMMA</stp>
        <stp>.SPY150630P209</stp>
        <tr r="T357" s="1"/>
      </tp>
      <tp>
        <v>3.6380000000000003E-2</v>
        <stp/>
        <stp>GAMMA</stp>
        <stp>.SPY150630C209</stp>
        <tr r="I357" s="1"/>
      </tp>
      <tp>
        <v>2.0119999999999999E-2</v>
        <stp/>
        <stp>GAMMA</stp>
        <stp>.SPY150630P200</stp>
        <tr r="T339" s="1"/>
      </tp>
      <tp>
        <v>2.094E-2</v>
        <stp/>
        <stp>GAMMA</stp>
        <stp>.SPY150630C200</stp>
        <tr r="I339" s="1"/>
      </tp>
      <tp>
        <v>2.1579999999999998E-2</v>
        <stp/>
        <stp>GAMMA</stp>
        <stp>.SPY150630P201</stp>
        <tr r="T341" s="1"/>
      </tp>
      <tp>
        <v>2.2429999999999999E-2</v>
        <stp/>
        <stp>GAMMA</stp>
        <stp>.SPY150630C201</stp>
        <tr r="I341" s="1"/>
      </tp>
      <tp>
        <v>2.3130000000000001E-2</v>
        <stp/>
        <stp>GAMMA</stp>
        <stp>.SPY150630P202</stp>
        <tr r="T343" s="1"/>
      </tp>
      <tp>
        <v>2.3990000000000001E-2</v>
        <stp/>
        <stp>GAMMA</stp>
        <stp>.SPY150630C202</stp>
        <tr r="I343" s="1"/>
      </tp>
      <tp>
        <v>2.4729999999999999E-2</v>
        <stp/>
        <stp>GAMMA</stp>
        <stp>.SPY150630P203</stp>
        <tr r="T345" s="1"/>
      </tp>
      <tp>
        <v>2.564E-2</v>
        <stp/>
        <stp>GAMMA</stp>
        <stp>.SPY150630C203</stp>
        <tr r="I345" s="1"/>
      </tp>
      <tp>
        <v>2.6339999999999999E-2</v>
        <stp/>
        <stp>GAMMA</stp>
        <stp>.SPY150630P204</stp>
        <tr r="T347" s="1"/>
      </tp>
      <tp>
        <v>2.742E-2</v>
        <stp/>
        <stp>GAMMA</stp>
        <stp>.SPY150630C204</stp>
        <tr r="I347" s="1"/>
      </tp>
      <tp>
        <v>2.802E-2</v>
        <stp/>
        <stp>GAMMA</stp>
        <stp>.SPY150630P205</stp>
        <tr r="T349" s="1"/>
      </tp>
      <tp>
        <v>2.9149999999999999E-2</v>
        <stp/>
        <stp>GAMMA</stp>
        <stp>.SPY150630C205</stp>
        <tr r="I349" s="1"/>
      </tp>
      <tp>
        <v>2.971E-2</v>
        <stp/>
        <stp>GAMMA</stp>
        <stp>.SPY150630P206</stp>
        <tr r="T351" s="1"/>
      </tp>
      <tp>
        <v>3.0929999999999999E-2</v>
        <stp/>
        <stp>GAMMA</stp>
        <stp>.SPY150630C206</stp>
        <tr r="I351" s="1"/>
      </tp>
      <tp>
        <v>3.1350000000000003E-2</v>
        <stp/>
        <stp>GAMMA</stp>
        <stp>.SPY150630P207</stp>
        <tr r="T353" s="1"/>
      </tp>
      <tp>
        <v>3.2779999999999997E-2</v>
        <stp/>
        <stp>GAMMA</stp>
        <stp>.SPY150630C207</stp>
        <tr r="I353" s="1"/>
      </tp>
      <tp>
        <v>-0.47935</v>
        <stp/>
        <stp>DELTA</stp>
        <stp>.SPY151231P210</stp>
        <tr r="R569" s="1"/>
      </tp>
      <tp>
        <v>0.51832999999999996</v>
        <stp/>
        <stp>DELTA</stp>
        <stp>.SPY151231C210</stp>
        <tr r="G569" s="1"/>
      </tp>
      <tp>
        <v>-0.49529000000000001</v>
        <stp/>
        <stp>DELTA</stp>
        <stp>.SPY151231P211</stp>
        <tr r="R571" s="1"/>
      </tp>
      <tp>
        <v>0.50183</v>
        <stp/>
        <stp>DELTA</stp>
        <stp>.SPY151231C211</stp>
        <tr r="G571" s="1"/>
      </tp>
      <tp>
        <v>-0.51129000000000002</v>
        <stp/>
        <stp>DELTA</stp>
        <stp>.SPY151231P212</stp>
        <tr r="R573" s="1"/>
      </tp>
      <tp>
        <v>0.48491000000000001</v>
        <stp/>
        <stp>DELTA</stp>
        <stp>.SPY151231C212</stp>
        <tr r="G573" s="1"/>
      </tp>
      <tp>
        <v>-0.52725</v>
        <stp/>
        <stp>DELTA</stp>
        <stp>.SPY151231P213</stp>
        <tr r="R575" s="1"/>
      </tp>
      <tp>
        <v>0.46793000000000001</v>
        <stp/>
        <stp>DELTA</stp>
        <stp>.SPY151231C213</stp>
        <tr r="G575" s="1"/>
      </tp>
      <tp>
        <v>-0.54413999999999996</v>
        <stp/>
        <stp>DELTA</stp>
        <stp>.SPY151231P214</stp>
        <tr r="R577" s="1"/>
      </tp>
      <tp>
        <v>0.45008999999999999</v>
        <stp/>
        <stp>DELTA</stp>
        <stp>.SPY151231C214</stp>
        <tr r="G577" s="1"/>
      </tp>
      <tp>
        <v>-0.56091000000000002</v>
        <stp/>
        <stp>DELTA</stp>
        <stp>.SPY151231P215</stp>
        <tr r="R579" s="1"/>
      </tp>
      <tp>
        <v>0.43219000000000002</v>
        <stp/>
        <stp>DELTA</stp>
        <stp>.SPY151231C215</stp>
        <tr r="G579" s="1"/>
      </tp>
      <tp>
        <v>-0.57840000000000003</v>
        <stp/>
        <stp>DELTA</stp>
        <stp>.SPY151231P216</stp>
        <tr r="R581" s="1"/>
      </tp>
      <tp>
        <v>0.41399000000000002</v>
        <stp/>
        <stp>DELTA</stp>
        <stp>.SPY151231C216</stp>
        <tr r="G581" s="1"/>
      </tp>
      <tp>
        <v>-0.59540999999999999</v>
        <stp/>
        <stp>DELTA</stp>
        <stp>.SPY151231P217</stp>
        <tr r="R583" s="1"/>
      </tp>
      <tp>
        <v>0.39561000000000002</v>
        <stp/>
        <stp>DELTA</stp>
        <stp>.SPY151231C217</stp>
        <tr r="G583" s="1"/>
      </tp>
      <tp>
        <v>-0.61185999999999996</v>
        <stp/>
        <stp>DELTA</stp>
        <stp>.SPY151231P218</stp>
        <tr r="R585" s="1"/>
      </tp>
      <tp>
        <v>0.37769000000000003</v>
        <stp/>
        <stp>DELTA</stp>
        <stp>.SPY151231C218</stp>
        <tr r="G585" s="1"/>
      </tp>
      <tp>
        <v>-0.62914999999999999</v>
        <stp/>
        <stp>DELTA</stp>
        <stp>.SPY151231P219</stp>
        <tr r="R587" s="1"/>
      </tp>
      <tp>
        <v>0.35927999999999999</v>
        <stp/>
        <stp>DELTA</stp>
        <stp>.SPY151231C219</stp>
        <tr r="G587" s="1"/>
      </tp>
      <tp>
        <v>3.2919999999999998E-2</v>
        <stp/>
        <stp>GAMMA</stp>
        <stp>.SPY150630P218</stp>
        <tr r="T375" s="1"/>
      </tp>
      <tp>
        <v>3.4810000000000001E-2</v>
        <stp/>
        <stp>GAMMA</stp>
        <stp>.SPY150630C218</stp>
        <tr r="I375" s="1"/>
      </tp>
      <tp>
        <v>3.0329999999999999E-2</v>
        <stp/>
        <stp>GAMMA</stp>
        <stp>.SPY150630P219</stp>
        <tr r="T377" s="1"/>
      </tp>
      <tp>
        <v>3.1179999999999999E-2</v>
        <stp/>
        <stp>GAMMA</stp>
        <stp>.SPY150630C219</stp>
        <tr r="I377" s="1"/>
      </tp>
      <tp>
        <v>3.5889999999999998E-2</v>
        <stp/>
        <stp>GAMMA</stp>
        <stp>.SPY150630P210</stp>
        <tr r="T359" s="1"/>
      </tp>
      <tp>
        <v>3.8190000000000002E-2</v>
        <stp/>
        <stp>GAMMA</stp>
        <stp>.SPY150630C210</stp>
        <tr r="I359" s="1"/>
      </tp>
      <tp>
        <v>3.7260000000000001E-2</v>
        <stp/>
        <stp>GAMMA</stp>
        <stp>.SPY150630P211</stp>
        <tr r="T361" s="1"/>
      </tp>
      <tp>
        <v>3.9440000000000003E-2</v>
        <stp/>
        <stp>GAMMA</stp>
        <stp>.SPY150630C211</stp>
        <tr r="I361" s="1"/>
      </tp>
      <tp>
        <v>3.7830000000000003E-2</v>
        <stp/>
        <stp>GAMMA</stp>
        <stp>.SPY150630P212</stp>
        <tr r="T363" s="1"/>
      </tp>
      <tp>
        <v>4.0480000000000002E-2</v>
        <stp/>
        <stp>GAMMA</stp>
        <stp>.SPY150630C212</stp>
        <tr r="I363" s="1"/>
      </tp>
      <tp>
        <v>3.8399999999999997E-2</v>
        <stp/>
        <stp>GAMMA</stp>
        <stp>.SPY150630P213</stp>
        <tr r="T365" s="1"/>
      </tp>
      <tp>
        <v>4.1259999999999998E-2</v>
        <stp/>
        <stp>GAMMA</stp>
        <stp>.SPY150630C213</stp>
        <tr r="I365" s="1"/>
      </tp>
      <tp>
        <v>3.8429999999999999E-2</v>
        <stp/>
        <stp>GAMMA</stp>
        <stp>.SPY150630P214</stp>
        <tr r="T367" s="1"/>
      </tp>
      <tp>
        <v>4.1590000000000002E-2</v>
        <stp/>
        <stp>GAMMA</stp>
        <stp>.SPY150630C214</stp>
        <tr r="I367" s="1"/>
      </tp>
      <tp>
        <v>3.7929999999999998E-2</v>
        <stp/>
        <stp>GAMMA</stp>
        <stp>.SPY150630P215</stp>
        <tr r="T369" s="1"/>
      </tp>
      <tp>
        <v>4.1119999999999997E-2</v>
        <stp/>
        <stp>GAMMA</stp>
        <stp>.SPY150630C215</stp>
        <tr r="I369" s="1"/>
      </tp>
      <tp>
        <v>3.6810000000000002E-2</v>
        <stp/>
        <stp>GAMMA</stp>
        <stp>.SPY150630P216</stp>
        <tr r="T371" s="1"/>
      </tp>
      <tp>
        <v>3.984E-2</v>
        <stp/>
        <stp>GAMMA</stp>
        <stp>.SPY150630C216</stp>
        <tr r="I371" s="1"/>
      </tp>
      <tp>
        <v>3.5009999999999999E-2</v>
        <stp/>
        <stp>GAMMA</stp>
        <stp>.SPY150630P217</stp>
        <tr r="T373" s="1"/>
      </tp>
      <tp>
        <v>3.7749999999999999E-2</v>
        <stp/>
        <stp>GAMMA</stp>
        <stp>.SPY150630C217</stp>
        <tr r="I373" s="1"/>
      </tp>
      <tp>
        <v>-0.3422</v>
        <stp/>
        <stp>DELTA</stp>
        <stp>.SPY151231P200</stp>
        <tr r="R549" s="1"/>
      </tp>
      <tp>
        <v>0.66288000000000002</v>
        <stp/>
        <stp>DELTA</stp>
        <stp>.SPY151231C200</stp>
        <tr r="G549" s="1"/>
      </tp>
      <tp>
        <v>-0.35428999999999999</v>
        <stp/>
        <stp>DELTA</stp>
        <stp>.SPY151231P201</stp>
        <tr r="R551" s="1"/>
      </tp>
      <tp>
        <v>0.65000999999999998</v>
        <stp/>
        <stp>DELTA</stp>
        <stp>.SPY151231C201</stp>
        <tr r="G551" s="1"/>
      </tp>
      <tp>
        <v>-0.36646000000000001</v>
        <stp/>
        <stp>DELTA</stp>
        <stp>.SPY151231P202</stp>
        <tr r="R553" s="1"/>
      </tp>
      <tp>
        <v>0.63698999999999995</v>
        <stp/>
        <stp>DELTA</stp>
        <stp>.SPY151231C202</stp>
        <tr r="G553" s="1"/>
      </tp>
      <tp>
        <v>-0.37914999999999999</v>
        <stp/>
        <stp>DELTA</stp>
        <stp>.SPY151231P203</stp>
        <tr r="R555" s="1"/>
      </tp>
      <tp>
        <v>0.62346000000000001</v>
        <stp/>
        <stp>DELTA</stp>
        <stp>.SPY151231C203</stp>
        <tr r="G555" s="1"/>
      </tp>
      <tp>
        <v>-0.39256000000000002</v>
        <stp/>
        <stp>DELTA</stp>
        <stp>.SPY151231P204</stp>
        <tr r="R557" s="1"/>
      </tp>
      <tp>
        <v>0.60965000000000003</v>
        <stp/>
        <stp>DELTA</stp>
        <stp>.SPY151231C204</stp>
        <tr r="G557" s="1"/>
      </tp>
      <tp>
        <v>-0.40611000000000003</v>
        <stp/>
        <stp>DELTA</stp>
        <stp>.SPY151231P205</stp>
        <tr r="R559" s="1"/>
      </tp>
      <tp>
        <v>0.59535000000000005</v>
        <stp/>
        <stp>DELTA</stp>
        <stp>.SPY151231C205</stp>
        <tr r="G559" s="1"/>
      </tp>
      <tp>
        <v>-0.42004999999999998</v>
        <stp/>
        <stp>DELTA</stp>
        <stp>.SPY151231P206</stp>
        <tr r="R561" s="1"/>
      </tp>
      <tp>
        <v>0.58084000000000002</v>
        <stp/>
        <stp>DELTA</stp>
        <stp>.SPY151231C206</stp>
        <tr r="G561" s="1"/>
      </tp>
      <tp>
        <v>-0.43437999999999999</v>
        <stp/>
        <stp>DELTA</stp>
        <stp>.SPY151231P207</stp>
        <tr r="R563" s="1"/>
      </tp>
      <tp>
        <v>0.56577</v>
        <stp/>
        <stp>DELTA</stp>
        <stp>.SPY151231C207</stp>
        <tr r="G563" s="1"/>
      </tp>
      <tp>
        <v>-0.44901999999999997</v>
        <stp/>
        <stp>DELTA</stp>
        <stp>.SPY151231P208</stp>
        <tr r="R565" s="1"/>
      </tp>
      <tp>
        <v>0.5504</v>
        <stp/>
        <stp>DELTA</stp>
        <stp>.SPY151231C208</stp>
        <tr r="G565" s="1"/>
      </tp>
      <tp>
        <v>-0.46406999999999998</v>
        <stp/>
        <stp>DELTA</stp>
        <stp>.SPY151231P209</stp>
        <tr r="R567" s="1"/>
      </tp>
      <tp>
        <v>0.53454999999999997</v>
        <stp/>
        <stp>DELTA</stp>
        <stp>.SPY151231C209</stp>
        <tr r="G567" s="1"/>
      </tp>
      <tp>
        <v>2.2239999999999999E-2</v>
        <stp/>
        <stp>GAMMA</stp>
        <stp>.SPY150619P201</stp>
        <tr r="T299" s="1"/>
      </tp>
      <tp>
        <v>2.2859999999999998E-2</v>
        <stp/>
        <stp>GAMMA</stp>
        <stp>.SPY150619C201</stp>
        <tr r="I299" s="1"/>
      </tp>
      <tp>
        <v>2.0500000000000001E-2</v>
        <stp/>
        <stp>GAMMA</stp>
        <stp>.SPY150619P200</stp>
        <tr r="T297" s="1"/>
      </tp>
      <tp>
        <v>2.1149999999999999E-2</v>
        <stp/>
        <stp>GAMMA</stp>
        <stp>.SPY150619C200</stp>
        <tr r="I297" s="1"/>
      </tp>
      <tp>
        <v>2.5989999999999999E-2</v>
        <stp/>
        <stp>GAMMA</stp>
        <stp>.SPY150619P203</stp>
        <tr r="T303" s="1"/>
      </tp>
      <tp>
        <v>2.6620000000000001E-2</v>
        <stp/>
        <stp>GAMMA</stp>
        <stp>.SPY150619C203</stp>
        <tr r="I303" s="1"/>
      </tp>
      <tp>
        <v>2.4080000000000001E-2</v>
        <stp/>
        <stp>GAMMA</stp>
        <stp>.SPY150619P202</stp>
        <tr r="T301" s="1"/>
      </tp>
      <tp>
        <v>2.4649999999999998E-2</v>
        <stp/>
        <stp>GAMMA</stp>
        <stp>.SPY150619C202</stp>
        <tr r="I301" s="1"/>
      </tp>
      <tp>
        <v>3.0009999999999998E-2</v>
        <stp/>
        <stp>GAMMA</stp>
        <stp>.SPY150619P205</stp>
        <tr r="T307" s="1"/>
      </tp>
      <tp t="s">
        <v>N/A</v>
        <stp/>
        <stp>GAMMA</stp>
        <stp>.SPY160617P208</stp>
        <tr r="T691" s="1"/>
      </tp>
      <tp>
        <v>3.073E-2</v>
        <stp/>
        <stp>GAMMA</stp>
        <stp>.SPY150619C205</stp>
        <tr r="I307" s="1"/>
      </tp>
      <tp t="s">
        <v>N/A</v>
        <stp/>
        <stp>GAMMA</stp>
        <stp>.SPY160617C208</stp>
        <tr r="I691" s="1"/>
      </tp>
      <tp>
        <v>2.7980000000000001E-2</v>
        <stp/>
        <stp>GAMMA</stp>
        <stp>.SPY150619P204</stp>
        <tr r="T305" s="1"/>
      </tp>
      <tp t="s">
        <v>N/A</v>
        <stp/>
        <stp>GAMMA</stp>
        <stp>.SPY160617P209</stp>
        <tr r="T693" s="1"/>
      </tp>
      <tp>
        <v>2.861E-2</v>
        <stp/>
        <stp>GAMMA</stp>
        <stp>.SPY150619C204</stp>
        <tr r="I305" s="1"/>
      </tp>
      <tp t="s">
        <v>N/A</v>
        <stp/>
        <stp>GAMMA</stp>
        <stp>.SPY160617C209</stp>
        <tr r="I693" s="1"/>
      </tp>
      <tp>
        <v>3.4070000000000003E-2</v>
        <stp/>
        <stp>GAMMA</stp>
        <stp>.SPY150619P207</stp>
        <tr r="T311" s="1"/>
      </tp>
      <tp>
        <v>3.5069999999999997E-2</v>
        <stp/>
        <stp>GAMMA</stp>
        <stp>.SPY150619C207</stp>
        <tr r="I311" s="1"/>
      </tp>
      <tp>
        <v>3.2079999999999997E-2</v>
        <stp/>
        <stp>GAMMA</stp>
        <stp>.SPY150619P206</stp>
        <tr r="T309" s="1"/>
      </tp>
      <tp>
        <v>3.2640000000000002E-2</v>
        <stp/>
        <stp>GAMMA</stp>
        <stp>.SPY150619C206</stp>
        <tr r="I309" s="1"/>
      </tp>
      <tp>
        <v>3.7859999999999998E-2</v>
        <stp/>
        <stp>GAMMA</stp>
        <stp>.SPY150619P209</stp>
        <tr r="T315" s="1"/>
      </tp>
      <tp t="s">
        <v>N/A</v>
        <stp/>
        <stp>GAMMA</stp>
        <stp>.SPY160617P204</stp>
        <tr r="T683" s="1"/>
      </tp>
      <tp>
        <v>3.918E-2</v>
        <stp/>
        <stp>GAMMA</stp>
        <stp>.SPY150619C209</stp>
        <tr r="I315" s="1"/>
      </tp>
      <tp t="s">
        <v>N/A</v>
        <stp/>
        <stp>GAMMA</stp>
        <stp>.SPY160617C204</stp>
        <tr r="I683" s="1"/>
      </tp>
      <tp>
        <v>3.6049999999999999E-2</v>
        <stp/>
        <stp>GAMMA</stp>
        <stp>.SPY150619P208</stp>
        <tr r="T313" s="1"/>
      </tp>
      <tp>
        <v>9.9500000000000005E-3</v>
        <stp/>
        <stp>GAMMA</stp>
        <stp>.SPY160617P205</stp>
        <tr r="T685" s="1"/>
      </tp>
      <tp>
        <v>3.6990000000000002E-2</v>
        <stp/>
        <stp>GAMMA</stp>
        <stp>.SPY150619C208</stp>
        <tr r="I313" s="1"/>
      </tp>
      <tp>
        <v>1.048E-2</v>
        <stp/>
        <stp>GAMMA</stp>
        <stp>.SPY160617C205</stp>
        <tr r="I685" s="1"/>
      </tp>
      <tp t="s">
        <v>N/A</v>
        <stp/>
        <stp>GAMMA</stp>
        <stp>.SPY160617P206</stp>
        <tr r="T687" s="1"/>
      </tp>
      <tp t="s">
        <v>N/A</v>
        <stp/>
        <stp>GAMMA</stp>
        <stp>.SPY160617C206</stp>
        <tr r="I687" s="1"/>
      </tp>
      <tp t="s">
        <v>N/A</v>
        <stp/>
        <stp>GAMMA</stp>
        <stp>.SPY160617P207</stp>
        <tr r="T689" s="1"/>
      </tp>
      <tp t="s">
        <v>N/A</v>
        <stp/>
        <stp>GAMMA</stp>
        <stp>.SPY160617C207</stp>
        <tr r="I689" s="1"/>
      </tp>
      <tp>
        <v>9.1999999999999998E-3</v>
        <stp/>
        <stp>GAMMA</stp>
        <stp>.SPY160617P200</stp>
        <tr r="T675" s="1"/>
      </tp>
      <tp>
        <v>9.8300000000000002E-3</v>
        <stp/>
        <stp>GAMMA</stp>
        <stp>.SPY160617C200</stp>
        <tr r="I675" s="1"/>
      </tp>
      <tp t="s">
        <v>N/A</v>
        <stp/>
        <stp>GAMMA</stp>
        <stp>.SPY160617P201</stp>
        <tr r="T677" s="1"/>
      </tp>
      <tp t="s">
        <v>N/A</v>
        <stp/>
        <stp>GAMMA</stp>
        <stp>.SPY160617C201</stp>
        <tr r="I677" s="1"/>
      </tp>
      <tp t="s">
        <v>N/A</v>
        <stp/>
        <stp>GAMMA</stp>
        <stp>.SPY160617P202</stp>
        <tr r="T679" s="1"/>
      </tp>
      <tp t="s">
        <v>N/A</v>
        <stp/>
        <stp>GAMMA</stp>
        <stp>.SPY160617C202</stp>
        <tr r="I679" s="1"/>
      </tp>
      <tp t="s">
        <v>N/A</v>
        <stp/>
        <stp>GAMMA</stp>
        <stp>.SPY160617P203</stp>
        <tr r="T681" s="1"/>
      </tp>
      <tp t="s">
        <v>N/A</v>
        <stp/>
        <stp>GAMMA</stp>
        <stp>.SPY160617C203</stp>
        <tr r="I681" s="1"/>
      </tp>
      <tp>
        <v>-0.61446999999999996</v>
        <stp/>
        <stp>DELTA</stp>
        <stp>.SPY151219P218</stp>
        <tr r="R543" s="1"/>
      </tp>
      <tp t="s">
        <v>N/A</v>
        <stp/>
        <stp>DELTA</stp>
        <stp>.SPY161216P214</stp>
        <tr r="R787" s="1"/>
      </tp>
      <tp t="s">
        <v>N/A</v>
        <stp/>
        <stp>DELTA</stp>
        <stp>.SPY171215P216</stp>
        <tr r="R917" s="1"/>
      </tp>
      <tp>
        <v>0.37389</v>
        <stp/>
        <stp>DELTA</stp>
        <stp>.SPY151219C218</stp>
        <tr r="G543" s="1"/>
      </tp>
      <tp t="s">
        <v>N/A</v>
        <stp/>
        <stp>DELTA</stp>
        <stp>.SPY161216C214</stp>
        <tr r="G787" s="1"/>
      </tp>
      <tp t="s">
        <v>N/A</v>
        <stp/>
        <stp>DELTA</stp>
        <stp>.SPY171215C216</stp>
        <tr r="G917" s="1"/>
      </tp>
      <tp>
        <v>-0.63202000000000003</v>
        <stp/>
        <stp>DELTA</stp>
        <stp>.SPY151219P219</stp>
        <tr r="R545" s="1"/>
      </tp>
      <tp>
        <v>-0.52227000000000001</v>
        <stp/>
        <stp>DELTA</stp>
        <stp>.SPY161216P215</stp>
        <tr r="R789" s="1"/>
      </tp>
      <tp t="s">
        <v>N/A</v>
        <stp/>
        <stp>DELTA</stp>
        <stp>.SPY171215P217</stp>
        <tr r="R919" s="1"/>
      </tp>
      <tp>
        <v>0.35555999999999999</v>
        <stp/>
        <stp>DELTA</stp>
        <stp>.SPY151219C219</stp>
        <tr r="G545" s="1"/>
      </tp>
      <tp>
        <v>0.47103</v>
        <stp/>
        <stp>DELTA</stp>
        <stp>.SPY161216C215</stp>
        <tr r="G789" s="1"/>
      </tp>
      <tp t="s">
        <v>N/A</v>
        <stp/>
        <stp>DELTA</stp>
        <stp>.SPY171215C217</stp>
        <tr r="G919" s="1"/>
      </tp>
      <tp t="s">
        <v>N/A</v>
        <stp/>
        <stp>DELTA</stp>
        <stp>.SPY161216P216</stp>
        <tr r="R791" s="1"/>
      </tp>
      <tp t="s">
        <v>N/A</v>
        <stp/>
        <stp>DELTA</stp>
        <stp>.SPY171215P214</stp>
        <tr r="R913" s="1"/>
      </tp>
      <tp t="s">
        <v>N/A</v>
        <stp/>
        <stp>DELTA</stp>
        <stp>.SPY161216C216</stp>
        <tr r="G791" s="1"/>
      </tp>
      <tp t="s">
        <v>N/A</v>
        <stp/>
        <stp>DELTA</stp>
        <stp>.SPY171215C214</stp>
        <tr r="G913" s="1"/>
      </tp>
      <tp t="s">
        <v>N/A</v>
        <stp/>
        <stp>DELTA</stp>
        <stp>.SPY161216P217</stp>
        <tr r="R793" s="1"/>
      </tp>
      <tp>
        <v>-0.50466</v>
        <stp/>
        <stp>DELTA</stp>
        <stp>.SPY171215P215</stp>
        <tr r="R915" s="1"/>
      </tp>
      <tp t="s">
        <v>N/A</v>
        <stp/>
        <stp>DELTA</stp>
        <stp>.SPY161216C217</stp>
        <tr r="G793" s="1"/>
      </tp>
      <tp>
        <v>0.49142999999999998</v>
        <stp/>
        <stp>DELTA</stp>
        <stp>.SPY171215C215</stp>
        <tr r="G915" s="1"/>
      </tp>
      <tp>
        <v>-0.47550999999999999</v>
        <stp/>
        <stp>DELTA</stp>
        <stp>.SPY161216P210</stp>
        <tr r="R779" s="1"/>
      </tp>
      <tp t="s">
        <v>N/A</v>
        <stp/>
        <stp>DELTA</stp>
        <stp>.SPY171215P212</stp>
        <tr r="R909" s="1"/>
      </tp>
      <tp>
        <v>0.51787000000000005</v>
        <stp/>
        <stp>DELTA</stp>
        <stp>.SPY161216C210</stp>
        <tr r="G779" s="1"/>
      </tp>
      <tp t="s">
        <v>N/A</v>
        <stp/>
        <stp>DELTA</stp>
        <stp>.SPY171215C212</stp>
        <tr r="G909" s="1"/>
      </tp>
      <tp t="s">
        <v>N/A</v>
        <stp/>
        <stp>DELTA</stp>
        <stp>.SPY161216P211</stp>
        <tr r="R781" s="1"/>
      </tp>
      <tp t="s">
        <v>N/A</v>
        <stp/>
        <stp>DELTA</stp>
        <stp>.SPY171215P213</stp>
        <tr r="R911" s="1"/>
      </tp>
      <tp t="s">
        <v>N/A</v>
        <stp/>
        <stp>DELTA</stp>
        <stp>.SPY161216C211</stp>
        <tr r="G781" s="1"/>
      </tp>
      <tp t="s">
        <v>N/A</v>
        <stp/>
        <stp>DELTA</stp>
        <stp>.SPY171215C213</stp>
        <tr r="G911" s="1"/>
      </tp>
      <tp t="s">
        <v>N/A</v>
        <stp/>
        <stp>DELTA</stp>
        <stp>.SPY161216P212</stp>
        <tr r="R783" s="1"/>
      </tp>
      <tp>
        <v>-0.46794999999999998</v>
        <stp/>
        <stp>DELTA</stp>
        <stp>.SPY171215P210</stp>
        <tr r="R905" s="1"/>
      </tp>
      <tp t="s">
        <v>N/A</v>
        <stp/>
        <stp>DELTA</stp>
        <stp>.SPY161216C212</stp>
        <tr r="G783" s="1"/>
      </tp>
      <tp>
        <v>0.52476999999999996</v>
        <stp/>
        <stp>DELTA</stp>
        <stp>.SPY171215C210</stp>
        <tr r="G905" s="1"/>
      </tp>
      <tp t="s">
        <v>N/A</v>
        <stp/>
        <stp>DELTA</stp>
        <stp>.SPY161216P213</stp>
        <tr r="R785" s="1"/>
      </tp>
      <tp t="s">
        <v>N/A</v>
        <stp/>
        <stp>DELTA</stp>
        <stp>.SPY171215P211</stp>
        <tr r="R907" s="1"/>
      </tp>
      <tp t="s">
        <v>N/A</v>
        <stp/>
        <stp>DELTA</stp>
        <stp>.SPY161216C213</stp>
        <tr r="G785" s="1"/>
      </tp>
      <tp t="s">
        <v>N/A</v>
        <stp/>
        <stp>DELTA</stp>
        <stp>.SPY171215C211</stp>
        <tr r="G907" s="1"/>
      </tp>
      <tp>
        <v>-0.47900999999999999</v>
        <stp/>
        <stp>DELTA</stp>
        <stp>.SPY151219P210</stp>
        <tr r="R527" s="1"/>
      </tp>
      <tp>
        <v>0.51895000000000002</v>
        <stp/>
        <stp>DELTA</stp>
        <stp>.SPY151219C210</stp>
        <tr r="G527" s="1"/>
      </tp>
      <tp>
        <v>-0.49506</v>
        <stp/>
        <stp>DELTA</stp>
        <stp>.SPY151219P211</stp>
        <tr r="R529" s="1"/>
      </tp>
      <tp>
        <v>0.50185999999999997</v>
        <stp/>
        <stp>DELTA</stp>
        <stp>.SPY151219C211</stp>
        <tr r="G529" s="1"/>
      </tp>
      <tp>
        <v>-0.51149999999999995</v>
        <stp/>
        <stp>DELTA</stp>
        <stp>.SPY151219P212</stp>
        <tr r="R531" s="1"/>
      </tp>
      <tp>
        <v>0.48442000000000002</v>
        <stp/>
        <stp>DELTA</stp>
        <stp>.SPY151219C212</stp>
        <tr r="G531" s="1"/>
      </tp>
      <tp>
        <v>-0.52829999999999999</v>
        <stp/>
        <stp>DELTA</stp>
        <stp>.SPY151219P213</stp>
        <tr r="R533" s="1"/>
      </tp>
      <tp>
        <v>0.46689999999999998</v>
        <stp/>
        <stp>DELTA</stp>
        <stp>.SPY151219C213</stp>
        <tr r="G533" s="1"/>
      </tp>
      <tp>
        <v>-0.54525000000000001</v>
        <stp/>
        <stp>DELTA</stp>
        <stp>.SPY151219P214</stp>
        <tr r="R535" s="1"/>
      </tp>
      <tp t="s">
        <v>N/A</v>
        <stp/>
        <stp>DELTA</stp>
        <stp>.SPY161216P218</stp>
        <tr r="R795" s="1"/>
      </tp>
      <tp>
        <v>0.44857999999999998</v>
        <stp/>
        <stp>DELTA</stp>
        <stp>.SPY151219C214</stp>
        <tr r="G535" s="1"/>
      </tp>
      <tp t="s">
        <v>N/A</v>
        <stp/>
        <stp>DELTA</stp>
        <stp>.SPY161216C218</stp>
        <tr r="G795" s="1"/>
      </tp>
      <tp>
        <v>-0.56157999999999997</v>
        <stp/>
        <stp>DELTA</stp>
        <stp>.SPY151219P215</stp>
        <tr r="R537" s="1"/>
      </tp>
      <tp t="s">
        <v>N/A</v>
        <stp/>
        <stp>DELTA</stp>
        <stp>.SPY161216P219</stp>
        <tr r="R797" s="1"/>
      </tp>
      <tp>
        <v>0.43080000000000002</v>
        <stp/>
        <stp>DELTA</stp>
        <stp>.SPY151219C215</stp>
        <tr r="G537" s="1"/>
      </tp>
      <tp t="s">
        <v>N/A</v>
        <stp/>
        <stp>DELTA</stp>
        <stp>.SPY161216C219</stp>
        <tr r="G797" s="1"/>
      </tp>
      <tp>
        <v>-0.57994000000000001</v>
        <stp/>
        <stp>DELTA</stp>
        <stp>.SPY151219P216</stp>
        <tr r="R539" s="1"/>
      </tp>
      <tp t="s">
        <v>N/A</v>
        <stp/>
        <stp>DELTA</stp>
        <stp>.SPY171215P218</stp>
        <tr r="R921" s="1"/>
      </tp>
      <tp>
        <v>0.41143000000000002</v>
        <stp/>
        <stp>DELTA</stp>
        <stp>.SPY151219C216</stp>
        <tr r="G539" s="1"/>
      </tp>
      <tp t="s">
        <v>N/A</v>
        <stp/>
        <stp>DELTA</stp>
        <stp>.SPY171215C218</stp>
        <tr r="G921" s="1"/>
      </tp>
      <tp>
        <v>-0.59767000000000003</v>
        <stp/>
        <stp>DELTA</stp>
        <stp>.SPY151219P217</stp>
        <tr r="R541" s="1"/>
      </tp>
      <tp t="s">
        <v>N/A</v>
        <stp/>
        <stp>DELTA</stp>
        <stp>.SPY171215P219</stp>
        <tr r="R923" s="1"/>
      </tp>
      <tp>
        <v>0.39276</v>
        <stp/>
        <stp>DELTA</stp>
        <stp>.SPY151219C217</stp>
        <tr r="G541" s="1"/>
      </tp>
      <tp t="s">
        <v>N/A</v>
        <stp/>
        <stp>DELTA</stp>
        <stp>.SPY171215C219</stp>
        <tr r="G923" s="1"/>
      </tp>
      <tp>
        <v>4.1189999999999997E-2</v>
        <stp/>
        <stp>GAMMA</stp>
        <stp>.SPY150619P211</stp>
        <tr r="T319" s="1"/>
      </tp>
      <tp>
        <v>4.308E-2</v>
        <stp/>
        <stp>GAMMA</stp>
        <stp>.SPY150619C211</stp>
        <tr r="I319" s="1"/>
      </tp>
      <tp>
        <v>3.9440000000000003E-2</v>
        <stp/>
        <stp>GAMMA</stp>
        <stp>.SPY150619P210</stp>
        <tr r="T317" s="1"/>
      </tp>
      <tp>
        <v>4.1090000000000002E-2</v>
        <stp/>
        <stp>GAMMA</stp>
        <stp>.SPY150619C210</stp>
        <tr r="I317" s="1"/>
      </tp>
      <tp>
        <v>4.1869999999999997E-2</v>
        <stp/>
        <stp>GAMMA</stp>
        <stp>.SPY150619P213</stp>
        <tr r="T323" s="1"/>
      </tp>
      <tp>
        <v>4.5269999999999998E-2</v>
        <stp/>
        <stp>GAMMA</stp>
        <stp>.SPY150619C213</stp>
        <tr r="I323" s="1"/>
      </tp>
      <tp>
        <v>4.1579999999999999E-2</v>
        <stp/>
        <stp>GAMMA</stp>
        <stp>.SPY150619P212</stp>
        <tr r="T321" s="1"/>
      </tp>
      <tp>
        <v>4.4200000000000003E-2</v>
        <stp/>
        <stp>GAMMA</stp>
        <stp>.SPY150619C212</stp>
        <tr r="I321" s="1"/>
      </tp>
      <tp>
        <v>4.0770000000000001E-2</v>
        <stp/>
        <stp>GAMMA</stp>
        <stp>.SPY150619P215</stp>
        <tr r="T327" s="1"/>
      </tp>
      <tp t="s">
        <v>N/A</v>
        <stp/>
        <stp>GAMMA</stp>
        <stp>.SPY160617P218</stp>
        <tr r="T711" s="1"/>
      </tp>
      <tp>
        <v>4.4549999999999999E-2</v>
        <stp/>
        <stp>GAMMA</stp>
        <stp>.SPY150619C215</stp>
        <tr r="I327" s="1"/>
      </tp>
      <tp t="s">
        <v>N/A</v>
        <stp/>
        <stp>GAMMA</stp>
        <stp>.SPY160617C218</stp>
        <tr r="I711" s="1"/>
      </tp>
      <tp>
        <v>4.1980000000000003E-2</v>
        <stp/>
        <stp>GAMMA</stp>
        <stp>.SPY150619P214</stp>
        <tr r="T325" s="1"/>
      </tp>
      <tp t="s">
        <v>N/A</v>
        <stp/>
        <stp>GAMMA</stp>
        <stp>.SPY160617P219</stp>
        <tr r="T713" s="1"/>
      </tp>
      <tp>
        <v>4.5400000000000003E-2</v>
        <stp/>
        <stp>GAMMA</stp>
        <stp>.SPY150619C214</stp>
        <tr r="I325" s="1"/>
      </tp>
      <tp t="s">
        <v>N/A</v>
        <stp/>
        <stp>GAMMA</stp>
        <stp>.SPY160617C219</stp>
        <tr r="I713" s="1"/>
      </tp>
      <tp>
        <v>3.6799999999999999E-2</v>
        <stp/>
        <stp>GAMMA</stp>
        <stp>.SPY150619P217</stp>
        <tr r="T331" s="1"/>
      </tp>
      <tp>
        <v>3.9730000000000001E-2</v>
        <stp/>
        <stp>GAMMA</stp>
        <stp>.SPY150619C217</stp>
        <tr r="I331" s="1"/>
      </tp>
      <tp>
        <v>3.9170000000000003E-2</v>
        <stp/>
        <stp>GAMMA</stp>
        <stp>.SPY150619P216</stp>
        <tr r="T329" s="1"/>
      </tp>
      <tp>
        <v>4.2689999999999999E-2</v>
        <stp/>
        <stp>GAMMA</stp>
        <stp>.SPY150619C216</stp>
        <tr r="I329" s="1"/>
      </tp>
      <tp>
        <v>3.0970000000000001E-2</v>
        <stp/>
        <stp>GAMMA</stp>
        <stp>.SPY150619P219</stp>
        <tr r="T335" s="1"/>
      </tp>
      <tp t="s">
        <v>N/A</v>
        <stp/>
        <stp>GAMMA</stp>
        <stp>.SPY160617P214</stp>
        <tr r="T703" s="1"/>
      </tp>
      <tp>
        <v>3.124E-2</v>
        <stp/>
        <stp>GAMMA</stp>
        <stp>.SPY150619C219</stp>
        <tr r="I335" s="1"/>
      </tp>
      <tp t="s">
        <v>N/A</v>
        <stp/>
        <stp>GAMMA</stp>
        <stp>.SPY160617C214</stp>
        <tr r="I703" s="1"/>
      </tp>
      <tp>
        <v>3.3980000000000003E-2</v>
        <stp/>
        <stp>GAMMA</stp>
        <stp>.SPY150619P218</stp>
        <tr r="T333" s="1"/>
      </tp>
      <tp>
        <v>1.0999999999999999E-2</v>
        <stp/>
        <stp>GAMMA</stp>
        <stp>.SPY160617P215</stp>
        <tr r="T705" s="1"/>
      </tp>
      <tp>
        <v>3.5810000000000002E-2</v>
        <stp/>
        <stp>GAMMA</stp>
        <stp>.SPY150619C218</stp>
        <tr r="I333" s="1"/>
      </tp>
      <tp>
        <v>1.1379999999999999E-2</v>
        <stp/>
        <stp>GAMMA</stp>
        <stp>.SPY160617C215</stp>
        <tr r="I705" s="1"/>
      </tp>
      <tp t="s">
        <v>N/A</v>
        <stp/>
        <stp>GAMMA</stp>
        <stp>.SPY160617P216</stp>
        <tr r="T707" s="1"/>
      </tp>
      <tp t="s">
        <v>N/A</v>
        <stp/>
        <stp>GAMMA</stp>
        <stp>.SPY160617C216</stp>
        <tr r="I707" s="1"/>
      </tp>
      <tp t="s">
        <v>N/A</v>
        <stp/>
        <stp>GAMMA</stp>
        <stp>.SPY160617P217</stp>
        <tr r="T709" s="1"/>
      </tp>
      <tp t="s">
        <v>N/A</v>
        <stp/>
        <stp>GAMMA</stp>
        <stp>.SPY160617C217</stp>
        <tr r="I709" s="1"/>
      </tp>
      <tp>
        <v>1.052E-2</v>
        <stp/>
        <stp>GAMMA</stp>
        <stp>.SPY160617P210</stp>
        <tr r="T695" s="1"/>
      </tp>
      <tp>
        <v>1.0970000000000001E-2</v>
        <stp/>
        <stp>GAMMA</stp>
        <stp>.SPY160617C210</stp>
        <tr r="I695" s="1"/>
      </tp>
      <tp t="s">
        <v>N/A</v>
        <stp/>
        <stp>GAMMA</stp>
        <stp>.SPY160617P211</stp>
        <tr r="T697" s="1"/>
      </tp>
      <tp t="s">
        <v>N/A</v>
        <stp/>
        <stp>GAMMA</stp>
        <stp>.SPY160617C211</stp>
        <tr r="I697" s="1"/>
      </tp>
      <tp t="s">
        <v>N/A</v>
        <stp/>
        <stp>GAMMA</stp>
        <stp>.SPY160617P212</stp>
        <tr r="T699" s="1"/>
      </tp>
      <tp t="s">
        <v>N/A</v>
        <stp/>
        <stp>GAMMA</stp>
        <stp>.SPY160617C212</stp>
        <tr r="I699" s="1"/>
      </tp>
      <tp t="s">
        <v>N/A</v>
        <stp/>
        <stp>GAMMA</stp>
        <stp>.SPY160617P213</stp>
        <tr r="T701" s="1"/>
      </tp>
      <tp t="s">
        <v>N/A</v>
        <stp/>
        <stp>GAMMA</stp>
        <stp>.SPY160617C213</stp>
        <tr r="I701" s="1"/>
      </tp>
      <tp>
        <v>-0.44782</v>
        <stp/>
        <stp>DELTA</stp>
        <stp>.SPY151219P208</stp>
        <tr r="R523" s="1"/>
      </tp>
      <tp t="s">
        <v>N/A</v>
        <stp/>
        <stp>DELTA</stp>
        <stp>.SPY161216P204</stp>
        <tr r="R767" s="1"/>
      </tp>
      <tp t="s">
        <v>N/A</v>
        <stp/>
        <stp>DELTA</stp>
        <stp>.SPY171215P206</stp>
        <tr r="R897" s="1"/>
      </tp>
      <tp>
        <v>0.55184999999999995</v>
        <stp/>
        <stp>DELTA</stp>
        <stp>.SPY151219C208</stp>
        <tr r="G523" s="1"/>
      </tp>
      <tp t="s">
        <v>N/A</v>
        <stp/>
        <stp>DELTA</stp>
        <stp>.SPY161216C204</stp>
        <tr r="G767" s="1"/>
      </tp>
      <tp t="s">
        <v>N/A</v>
        <stp/>
        <stp>DELTA</stp>
        <stp>.SPY171215C206</stp>
        <tr r="G897" s="1"/>
      </tp>
      <tp>
        <v>-0.46316000000000002</v>
        <stp/>
        <stp>DELTA</stp>
        <stp>.SPY151219P209</stp>
        <tr r="R525" s="1"/>
      </tp>
      <tp>
        <v>-0.43128</v>
        <stp/>
        <stp>DELTA</stp>
        <stp>.SPY161216P205</stp>
        <tr r="R769" s="1"/>
      </tp>
      <tp t="s">
        <v>N/A</v>
        <stp/>
        <stp>DELTA</stp>
        <stp>.SPY171215P207</stp>
        <tr r="R899" s="1"/>
      </tp>
      <tp>
        <v>0.53556999999999999</v>
        <stp/>
        <stp>DELTA</stp>
        <stp>.SPY151219C209</stp>
        <tr r="G525" s="1"/>
      </tp>
      <tp>
        <v>0.56269999999999998</v>
        <stp/>
        <stp>DELTA</stp>
        <stp>.SPY161216C205</stp>
        <tr r="G769" s="1"/>
      </tp>
      <tp t="s">
        <v>N/A</v>
        <stp/>
        <stp>DELTA</stp>
        <stp>.SPY171215C207</stp>
        <tr r="G899" s="1"/>
      </tp>
      <tp t="s">
        <v>N/A</v>
        <stp/>
        <stp>DELTA</stp>
        <stp>.SPY161216P206</stp>
        <tr r="R771" s="1"/>
      </tp>
      <tp t="s">
        <v>N/A</v>
        <stp/>
        <stp>DELTA</stp>
        <stp>.SPY171215P204</stp>
        <tr r="R893" s="1"/>
      </tp>
      <tp t="s">
        <v>N/A</v>
        <stp/>
        <stp>DELTA</stp>
        <stp>.SPY161216C206</stp>
        <tr r="G771" s="1"/>
      </tp>
      <tp t="s">
        <v>N/A</v>
        <stp/>
        <stp>DELTA</stp>
        <stp>.SPY171215C204</stp>
        <tr r="G893" s="1"/>
      </tp>
      <tp t="s">
        <v>N/A</v>
        <stp/>
        <stp>DELTA</stp>
        <stp>.SPY161216P207</stp>
        <tr r="R773" s="1"/>
      </tp>
      <tp>
        <v>-0.43295</v>
        <stp/>
        <stp>DELTA</stp>
        <stp>.SPY171215P205</stp>
        <tr r="R895" s="1"/>
      </tp>
      <tp t="s">
        <v>N/A</v>
        <stp/>
        <stp>DELTA</stp>
        <stp>.SPY161216C207</stp>
        <tr r="G773" s="1"/>
      </tp>
      <tp>
        <v>0.55725999999999998</v>
        <stp/>
        <stp>DELTA</stp>
        <stp>.SPY171215C205</stp>
        <tr r="G895" s="1"/>
      </tp>
      <tp>
        <v>-0.38989000000000001</v>
        <stp/>
        <stp>DELTA</stp>
        <stp>.SPY161216P200</stp>
        <tr r="R759" s="1"/>
      </tp>
      <tp t="s">
        <v>N/A</v>
        <stp/>
        <stp>DELTA</stp>
        <stp>.SPY171215P202</stp>
        <tr r="R889" s="1"/>
      </tp>
      <tp>
        <v>0.60504000000000002</v>
        <stp/>
        <stp>DELTA</stp>
        <stp>.SPY161216C200</stp>
        <tr r="G759" s="1"/>
      </tp>
      <tp t="s">
        <v>N/A</v>
        <stp/>
        <stp>DELTA</stp>
        <stp>.SPY171215C202</stp>
        <tr r="G889" s="1"/>
      </tp>
      <tp t="s">
        <v>N/A</v>
        <stp/>
        <stp>DELTA</stp>
        <stp>.SPY161216P201</stp>
        <tr r="R761" s="1"/>
      </tp>
      <tp t="s">
        <v>N/A</v>
        <stp/>
        <stp>DELTA</stp>
        <stp>.SPY171215P203</stp>
        <tr r="R891" s="1"/>
      </tp>
      <tp t="s">
        <v>N/A</v>
        <stp/>
        <stp>DELTA</stp>
        <stp>.SPY161216C201</stp>
        <tr r="G761" s="1"/>
      </tp>
      <tp t="s">
        <v>N/A</v>
        <stp/>
        <stp>DELTA</stp>
        <stp>.SPY171215C203</stp>
        <tr r="G891" s="1"/>
      </tp>
      <tp t="s">
        <v>N/A</v>
        <stp/>
        <stp>DELTA</stp>
        <stp>.SPY161216P202</stp>
        <tr r="R763" s="1"/>
      </tp>
      <tp>
        <v>-0.4002</v>
        <stp/>
        <stp>DELTA</stp>
        <stp>.SPY171215P200</stp>
        <tr r="R885" s="1"/>
      </tp>
      <tp t="s">
        <v>N/A</v>
        <stp/>
        <stp>DELTA</stp>
        <stp>.SPY161216C202</stp>
        <tr r="G763" s="1"/>
      </tp>
      <tp>
        <v>0.58926999999999996</v>
        <stp/>
        <stp>DELTA</stp>
        <stp>.SPY171215C200</stp>
        <tr r="G885" s="1"/>
      </tp>
      <tp t="s">
        <v>N/A</v>
        <stp/>
        <stp>DELTA</stp>
        <stp>.SPY161216P203</stp>
        <tr r="R765" s="1"/>
      </tp>
      <tp t="s">
        <v>N/A</v>
        <stp/>
        <stp>DELTA</stp>
        <stp>.SPY171215P201</stp>
        <tr r="R887" s="1"/>
      </tp>
      <tp t="s">
        <v>N/A</v>
        <stp/>
        <stp>DELTA</stp>
        <stp>.SPY161216C203</stp>
        <tr r="G765" s="1"/>
      </tp>
      <tp t="s">
        <v>N/A</v>
        <stp/>
        <stp>DELTA</stp>
        <stp>.SPY171215C201</stp>
        <tr r="G887" s="1"/>
      </tp>
      <tp>
        <v>-0.33900999999999998</v>
        <stp/>
        <stp>DELTA</stp>
        <stp>.SPY151219P200</stp>
        <tr r="R507" s="1"/>
      </tp>
      <tp>
        <v>0.66659000000000002</v>
        <stp/>
        <stp>DELTA</stp>
        <stp>.SPY151219C200</stp>
        <tr r="G507" s="1"/>
      </tp>
      <tp>
        <v>-0.35115000000000002</v>
        <stp/>
        <stp>DELTA</stp>
        <stp>.SPY151219P201</stp>
        <tr r="R509" s="1"/>
      </tp>
      <tp>
        <v>0.65361999999999998</v>
        <stp/>
        <stp>DELTA</stp>
        <stp>.SPY151219C201</stp>
        <tr r="G509" s="1"/>
      </tp>
      <tp>
        <v>-0.36364999999999997</v>
        <stp/>
        <stp>DELTA</stp>
        <stp>.SPY151219P202</stp>
        <tr r="R511" s="1"/>
      </tp>
      <tp>
        <v>0.64027999999999996</v>
        <stp/>
        <stp>DELTA</stp>
        <stp>.SPY151219C202</stp>
        <tr r="G511" s="1"/>
      </tp>
      <tp>
        <v>-0.37687999999999999</v>
        <stp/>
        <stp>DELTA</stp>
        <stp>.SPY151219P203</stp>
        <tr r="R513" s="1"/>
      </tp>
      <tp>
        <v>0.62646000000000002</v>
        <stp/>
        <stp>DELTA</stp>
        <stp>.SPY151219C203</stp>
        <tr r="G513" s="1"/>
      </tp>
      <tp>
        <v>-0.39019999999999999</v>
        <stp/>
        <stp>DELTA</stp>
        <stp>.SPY151219P204</stp>
        <tr r="R515" s="1"/>
      </tp>
      <tp t="s">
        <v>N/A</v>
        <stp/>
        <stp>DELTA</stp>
        <stp>.SPY161216P208</stp>
        <tr r="R775" s="1"/>
      </tp>
      <tp>
        <v>0.61246</v>
        <stp/>
        <stp>DELTA</stp>
        <stp>.SPY151219C204</stp>
        <tr r="G515" s="1"/>
      </tp>
      <tp t="s">
        <v>N/A</v>
        <stp/>
        <stp>DELTA</stp>
        <stp>.SPY161216C208</stp>
        <tr r="G775" s="1"/>
      </tp>
      <tp>
        <v>-0.40411000000000002</v>
        <stp/>
        <stp>DELTA</stp>
        <stp>.SPY151219P205</stp>
        <tr r="R517" s="1"/>
      </tp>
      <tp t="s">
        <v>N/A</v>
        <stp/>
        <stp>DELTA</stp>
        <stp>.SPY161216P209</stp>
        <tr r="R777" s="1"/>
      </tp>
      <tp>
        <v>0.59791000000000005</v>
        <stp/>
        <stp>DELTA</stp>
        <stp>.SPY151219C205</stp>
        <tr r="G517" s="1"/>
      </tp>
      <tp t="s">
        <v>N/A</v>
        <stp/>
        <stp>DELTA</stp>
        <stp>.SPY161216C209</stp>
        <tr r="G777" s="1"/>
      </tp>
      <tp>
        <v>-0.41821999999999998</v>
        <stp/>
        <stp>DELTA</stp>
        <stp>.SPY151219P206</stp>
        <tr r="R519" s="1"/>
      </tp>
      <tp t="s">
        <v>N/A</v>
        <stp/>
        <stp>DELTA</stp>
        <stp>.SPY171215P208</stp>
        <tr r="R901" s="1"/>
      </tp>
      <tp>
        <v>0.58301999999999998</v>
        <stp/>
        <stp>DELTA</stp>
        <stp>.SPY151219C206</stp>
        <tr r="G519" s="1"/>
      </tp>
      <tp t="s">
        <v>N/A</v>
        <stp/>
        <stp>DELTA</stp>
        <stp>.SPY171215C208</stp>
        <tr r="G901" s="1"/>
      </tp>
      <tp>
        <v>-0.43287999999999999</v>
        <stp/>
        <stp>DELTA</stp>
        <stp>.SPY151219P207</stp>
        <tr r="R521" s="1"/>
      </tp>
      <tp t="s">
        <v>N/A</v>
        <stp/>
        <stp>DELTA</stp>
        <stp>.SPY171215P209</stp>
        <tr r="R903" s="1"/>
      </tp>
      <tp>
        <v>0.56766000000000005</v>
        <stp/>
        <stp>DELTA</stp>
        <stp>.SPY151219C207</stp>
        <tr r="G521" s="1"/>
      </tp>
      <tp t="s">
        <v>N/A</v>
        <stp/>
        <stp>DELTA</stp>
        <stp>.SPY171215C209</stp>
        <tr r="G903" s="1"/>
      </tp>
      <tp t="s">
        <v>N/A</v>
        <stp/>
        <stp>VEGA</stp>
        <stp>.SPY160318C205.5</stp>
        <tr r="J644" s="1"/>
      </tp>
      <tp t="s">
        <v>N/A</v>
        <stp/>
        <stp>VEGA</stp>
        <stp>.SPY160318C215.5</stp>
        <tr r="J664" s="1"/>
      </tp>
      <tp t="s">
        <v>N/A</v>
        <stp/>
        <stp>VEGA</stp>
        <stp>.SPY160115C208.5</stp>
        <tr r="J608" s="1"/>
      </tp>
      <tp t="s">
        <v>N/A</v>
        <stp/>
        <stp>VEGA</stp>
        <stp>.SPY160115C218.5</stp>
        <tr r="J628" s="1"/>
      </tp>
      <tp t="s">
        <v>N/A</v>
        <stp/>
        <stp>VEGA</stp>
        <stp>.SPY150717C209.5</stp>
        <tr r="J400" s="1"/>
      </tp>
      <tp t="s">
        <v>N/A</v>
        <stp/>
        <stp>VEGA</stp>
        <stp>.SPY150717C219.5</stp>
        <tr r="J420" s="1"/>
      </tp>
      <tp t="s">
        <v>N/A</v>
        <stp/>
        <stp>VEGA</stp>
        <stp>.SPY150619C207.5</stp>
        <tr r="J312" s="1"/>
      </tp>
      <tp t="s">
        <v>N/A</v>
        <stp/>
        <stp>VEGA</stp>
        <stp>.SPY150619C217.5</stp>
        <tr r="J332" s="1"/>
      </tp>
      <tp>
        <v>1.1050000000000001E-2</v>
        <stp/>
        <stp>VEGA</stp>
        <stp>.SPY150508C216.5</stp>
        <tr r="J162" s="1"/>
      </tp>
      <tp>
        <v>3.4430000000000002E-2</v>
        <stp/>
        <stp>VEGA</stp>
        <stp>.SPY150508C206.5</stp>
        <tr r="J142" s="1"/>
      </tp>
      <tp>
        <v>9.7100000000000006E-2</v>
        <stp/>
        <stp>VEGA</stp>
        <stp>.SPY150529C217.5</stp>
        <tr r="J290" s="1"/>
      </tp>
      <tp>
        <v>0.19495000000000001</v>
        <stp/>
        <stp>VEGA</stp>
        <stp>.SPY150529C207.5</stp>
        <tr r="J270" s="1"/>
      </tp>
      <tp t="s">
        <v>N/A</v>
        <stp/>
        <stp>VEGA</stp>
        <stp>.SPY150417C209.5</stp>
        <tr r="J22" s="1"/>
      </tp>
      <tp t="s">
        <v>N/A</v>
        <stp/>
        <stp>VEGA</stp>
        <stp>.SPY150417C219.5</stp>
        <tr r="J42" s="1"/>
      </tp>
      <tp t="s">
        <v>N/A</v>
        <stp/>
        <stp>VEGA</stp>
        <stp>.SPY150918C206.5</stp>
        <tr r="J436" s="1"/>
      </tp>
      <tp t="s">
        <v>N/A</v>
        <stp/>
        <stp>VEGA</stp>
        <stp>.SPY150918C216.5</stp>
        <tr r="J456" s="1"/>
      </tp>
      <tp t="s">
        <v>N/A</v>
        <stp/>
        <stp>VEGA</stp>
        <stp>.SPY151219C207.5</stp>
        <tr r="J522" s="1"/>
      </tp>
      <tp t="s">
        <v>N/A</v>
        <stp/>
        <stp>VEGA</stp>
        <stp>.SPY171215C209.5</stp>
        <tr r="J904" s="1"/>
      </tp>
      <tp t="s">
        <v>N/A</v>
        <stp/>
        <stp>VEGA</stp>
        <stp>.SPY151219C217.5</stp>
        <tr r="J542" s="1"/>
      </tp>
      <tp t="s">
        <v>N/A</v>
        <stp/>
        <stp>VEGA</stp>
        <stp>.SPY171215C219.5</stp>
        <tr r="J924" s="1"/>
      </tp>
      <tp t="s">
        <v>N/A</v>
        <stp/>
        <stp>VEGA</stp>
        <stp>.SPY151219P207.5</stp>
        <tr r="U522" s="1"/>
      </tp>
      <tp t="s">
        <v>N/A</v>
        <stp/>
        <stp>VEGA</stp>
        <stp>.SPY171215P209.5</stp>
        <tr r="U904" s="1"/>
      </tp>
      <tp t="s">
        <v>N/A</v>
        <stp/>
        <stp>VEGA</stp>
        <stp>.SPY151219P217.5</stp>
        <tr r="U542" s="1"/>
      </tp>
      <tp t="s">
        <v>N/A</v>
        <stp/>
        <stp>VEGA</stp>
        <stp>.SPY171215P219.5</stp>
        <tr r="U924" s="1"/>
      </tp>
      <tp t="s">
        <v>N/A</v>
        <stp/>
        <stp>VEGA</stp>
        <stp>.SPY160318P205.5</stp>
        <tr r="U644" s="1"/>
      </tp>
      <tp t="s">
        <v>N/A</v>
        <stp/>
        <stp>VEGA</stp>
        <stp>.SPY160318P215.5</stp>
        <tr r="U664" s="1"/>
      </tp>
      <tp t="s">
        <v>N/A</v>
        <stp/>
        <stp>VEGA</stp>
        <stp>.SPY160115P208.5</stp>
        <tr r="U608" s="1"/>
      </tp>
      <tp t="s">
        <v>N/A</v>
        <stp/>
        <stp>VEGA</stp>
        <stp>.SPY160115P218.5</stp>
        <tr r="U628" s="1"/>
      </tp>
      <tp t="s">
        <v>N/A</v>
        <stp/>
        <stp>VEGA</stp>
        <stp>.SPY150717P209.5</stp>
        <tr r="U400" s="1"/>
      </tp>
      <tp t="s">
        <v>N/A</v>
        <stp/>
        <stp>VEGA</stp>
        <stp>.SPY150717P219.5</stp>
        <tr r="U420" s="1"/>
      </tp>
      <tp t="s">
        <v>N/A</v>
        <stp/>
        <stp>VEGA</stp>
        <stp>.SPY150619P207.5</stp>
        <tr r="U312" s="1"/>
      </tp>
      <tp t="s">
        <v>N/A</v>
        <stp/>
        <stp>VEGA</stp>
        <stp>.SPY150619P217.5</stp>
        <tr r="U332" s="1"/>
      </tp>
      <tp>
        <v>0</v>
        <stp/>
        <stp>VEGA</stp>
        <stp>.SPY150508P216.5</stp>
        <tr r="U162" s="1"/>
      </tp>
      <tp>
        <v>3.5700000000000003E-2</v>
        <stp/>
        <stp>VEGA</stp>
        <stp>.SPY150508P206.5</stp>
        <tr r="U142" s="1"/>
      </tp>
      <tp>
        <v>2.2634699999999999</v>
        <stp/>
        <stp>VEGA</stp>
        <stp>.SPY150529P217.5</stp>
        <tr r="U290" s="1"/>
      </tp>
      <tp>
        <v>0.19186</v>
        <stp/>
        <stp>VEGA</stp>
        <stp>.SPY150529P207.5</stp>
        <tr r="U270" s="1"/>
      </tp>
      <tp t="s">
        <v>N/A</v>
        <stp/>
        <stp>VEGA</stp>
        <stp>.SPY150417P209.5</stp>
        <tr r="U22" s="1"/>
      </tp>
      <tp t="s">
        <v>N/A</v>
        <stp/>
        <stp>VEGA</stp>
        <stp>.SPY150417P219.5</stp>
        <tr r="U42" s="1"/>
      </tp>
      <tp t="s">
        <v>N/A</v>
        <stp/>
        <stp>VEGA</stp>
        <stp>.SPY150918P206.5</stp>
        <tr r="U436" s="1"/>
      </tp>
      <tp t="s">
        <v>N/A</v>
        <stp/>
        <stp>VEGA</stp>
        <stp>.SPY150918P216.5</stp>
        <tr r="U456" s="1"/>
      </tp>
      <tp>
        <v>6.8089999999999998E-2</v>
        <stp/>
        <stp>GAMMA</stp>
        <stp>.SPY150529P211</stp>
        <tr r="T277" s="1"/>
      </tp>
      <tp>
        <v>6.2859999999999999E-2</v>
        <stp/>
        <stp>GAMMA</stp>
        <stp>.SPY150529C211</stp>
        <tr r="I277" s="1"/>
      </tp>
      <tp>
        <v>6.2670000000000003E-2</v>
        <stp/>
        <stp>GAMMA</stp>
        <stp>.SPY150529P210</stp>
        <tr r="T275" s="1"/>
      </tp>
      <tp>
        <v>5.9029999999999999E-2</v>
        <stp/>
        <stp>GAMMA</stp>
        <stp>.SPY150529C210</stp>
        <tr r="I275" s="1"/>
      </tp>
      <tp>
        <v>0</v>
        <stp/>
        <stp>GAMMA</stp>
        <stp>.SPY150522P218</stp>
        <tr r="T249" s="1"/>
      </tp>
      <tp>
        <v>7.3380000000000001E-2</v>
        <stp/>
        <stp>GAMMA</stp>
        <stp>.SPY150529P213</stp>
        <tr r="T281" s="1"/>
      </tp>
      <tp>
        <v>2.5520000000000001E-2</v>
        <stp/>
        <stp>GAMMA</stp>
        <stp>.SPY150522C218</stp>
        <tr r="I249" s="1"/>
      </tp>
      <tp>
        <v>6.651E-2</v>
        <stp/>
        <stp>GAMMA</stp>
        <stp>.SPY150529C213</stp>
        <tr r="I281" s="1"/>
      </tp>
      <tp>
        <v>0</v>
        <stp/>
        <stp>GAMMA</stp>
        <stp>.SPY150522P219</stp>
        <tr r="T251" s="1"/>
      </tp>
      <tp>
        <v>7.1510000000000004E-2</v>
        <stp/>
        <stp>GAMMA</stp>
        <stp>.SPY150529P212</stp>
        <tr r="T279" s="1"/>
      </tp>
      <tp>
        <v>1.685E-2</v>
        <stp/>
        <stp>GAMMA</stp>
        <stp>.SPY150522C219</stp>
        <tr r="I251" s="1"/>
      </tp>
      <tp>
        <v>6.5540000000000001E-2</v>
        <stp/>
        <stp>GAMMA</stp>
        <stp>.SPY150529C212</stp>
        <tr r="I279" s="1"/>
      </tp>
      <tp>
        <v>6.3670000000000004E-2</v>
        <stp/>
        <stp>GAMMA</stp>
        <stp>.SPY150529P215</stp>
        <tr r="T285" s="1"/>
      </tp>
      <tp>
        <v>5.9760000000000001E-2</v>
        <stp/>
        <stp>GAMMA</stp>
        <stp>.SPY150529C215</stp>
        <tr r="I285" s="1"/>
      </tp>
      <tp>
        <v>7.0930000000000007E-2</v>
        <stp/>
        <stp>GAMMA</stp>
        <stp>.SPY150529P214</stp>
        <tr r="T283" s="1"/>
      </tp>
      <tp>
        <v>6.4920000000000005E-2</v>
        <stp/>
        <stp>GAMMA</stp>
        <stp>.SPY150529C214</stp>
        <tr r="I283" s="1"/>
      </tp>
      <tp>
        <v>2.2249999999999999E-2</v>
        <stp/>
        <stp>GAMMA</stp>
        <stp>.SPY150529P217</stp>
        <tr r="T289" s="1"/>
      </tp>
      <tp>
        <v>4.1579999999999999E-2</v>
        <stp/>
        <stp>GAMMA</stp>
        <stp>.SPY150529C217</stp>
        <tr r="I289" s="1"/>
      </tp>
      <tp>
        <v>4.9880000000000001E-2</v>
        <stp/>
        <stp>GAMMA</stp>
        <stp>.SPY150529P216</stp>
        <tr r="T287" s="1"/>
      </tp>
      <tp>
        <v>5.1790000000000003E-2</v>
        <stp/>
        <stp>GAMMA</stp>
        <stp>.SPY150529C216</stp>
        <tr r="I287" s="1"/>
      </tp>
      <tp>
        <v>8.3970000000000003E-2</v>
        <stp/>
        <stp>GAMMA</stp>
        <stp>.SPY150522P212</stp>
        <tr r="T237" s="1"/>
      </tp>
      <tp>
        <v>0</v>
        <stp/>
        <stp>GAMMA</stp>
        <stp>.SPY150529P219</stp>
        <tr r="T293" s="1"/>
      </tp>
      <tp>
        <v>7.7380000000000004E-2</v>
        <stp/>
        <stp>GAMMA</stp>
        <stp>.SPY150522C212</stp>
        <tr r="I237" s="1"/>
      </tp>
      <tp>
        <v>2.2720000000000001E-2</v>
        <stp/>
        <stp>GAMMA</stp>
        <stp>.SPY150529C219</stp>
        <tr r="I293" s="1"/>
      </tp>
      <tp>
        <v>8.412E-2</v>
        <stp/>
        <stp>GAMMA</stp>
        <stp>.SPY150522P213</stp>
        <tr r="T239" s="1"/>
      </tp>
      <tp>
        <v>0</v>
        <stp/>
        <stp>GAMMA</stp>
        <stp>.SPY150529P218</stp>
        <tr r="T291" s="1"/>
      </tp>
      <tp>
        <v>7.8289999999999998E-2</v>
        <stp/>
        <stp>GAMMA</stp>
        <stp>.SPY150522C213</stp>
        <tr r="I239" s="1"/>
      </tp>
      <tp>
        <v>3.1399999999999997E-2</v>
        <stp/>
        <stp>GAMMA</stp>
        <stp>.SPY150529C218</stp>
        <tr r="I291" s="1"/>
      </tp>
      <tp>
        <v>7.2969999999999993E-2</v>
        <stp/>
        <stp>GAMMA</stp>
        <stp>.SPY150522P210</stp>
        <tr r="T233" s="1"/>
      </tp>
      <tp>
        <v>6.8459999999999993E-2</v>
        <stp/>
        <stp>GAMMA</stp>
        <stp>.SPY150522C210</stp>
        <tr r="I233" s="1"/>
      </tp>
      <tp>
        <v>7.9560000000000006E-2</v>
        <stp/>
        <stp>GAMMA</stp>
        <stp>.SPY150522P211</stp>
        <tr r="T235" s="1"/>
      </tp>
      <tp>
        <v>7.3679999999999995E-2</v>
        <stp/>
        <stp>GAMMA</stp>
        <stp>.SPY150522C211</stp>
        <tr r="I235" s="1"/>
      </tp>
      <tp>
        <v>4.2500000000000003E-2</v>
        <stp/>
        <stp>GAMMA</stp>
        <stp>.SPY150522P216</stp>
        <tr r="T245" s="1"/>
      </tp>
      <tp>
        <v>5.1619999999999999E-2</v>
        <stp/>
        <stp>GAMMA</stp>
        <stp>.SPY150522C216</stp>
        <tr r="I245" s="1"/>
      </tp>
      <tp>
        <v>0</v>
        <stp/>
        <stp>GAMMA</stp>
        <stp>.SPY150522P217</stp>
        <tr r="T247" s="1"/>
      </tp>
      <tp>
        <v>3.7440000000000001E-2</v>
        <stp/>
        <stp>GAMMA</stp>
        <stp>.SPY150522C217</stp>
        <tr r="I247" s="1"/>
      </tp>
      <tp>
        <v>7.9200000000000007E-2</v>
        <stp/>
        <stp>GAMMA</stp>
        <stp>.SPY150522P214</stp>
        <tr r="T241" s="1"/>
      </tp>
      <tp>
        <v>7.4069999999999997E-2</v>
        <stp/>
        <stp>GAMMA</stp>
        <stp>.SPY150522C214</stp>
        <tr r="I241" s="1"/>
      </tp>
      <tp>
        <v>6.6309999999999994E-2</v>
        <stp/>
        <stp>GAMMA</stp>
        <stp>.SPY150522P215</stp>
        <tr r="T243" s="1"/>
      </tp>
      <tp>
        <v>6.4979999999999996E-2</v>
        <stp/>
        <stp>GAMMA</stp>
        <stp>.SPY150522C215</stp>
        <tr r="I243" s="1"/>
      </tp>
      <tp t="s">
        <v>N/A</v>
        <stp/>
        <stp>DELTA</stp>
        <stp>.SPY170120P203</stp>
        <tr r="R807" s="1"/>
      </tp>
      <tp t="s">
        <v>N/A</v>
        <stp/>
        <stp>DELTA</stp>
        <stp>.SPY170120C203</stp>
        <tr r="G807" s="1"/>
      </tp>
      <tp t="s">
        <v>N/A</v>
        <stp/>
        <stp>DELTA</stp>
        <stp>.SPY170120P202</stp>
        <tr r="R805" s="1"/>
      </tp>
      <tp t="s">
        <v>N/A</v>
        <stp/>
        <stp>DELTA</stp>
        <stp>.SPY170120C202</stp>
        <tr r="G805" s="1"/>
      </tp>
      <tp t="s">
        <v>N/A</v>
        <stp/>
        <stp>DELTA</stp>
        <stp>.SPY170120P201</stp>
        <tr r="R803" s="1"/>
      </tp>
      <tp t="s">
        <v>N/A</v>
        <stp/>
        <stp>DELTA</stp>
        <stp>.SPY170120C201</stp>
        <tr r="G803" s="1"/>
      </tp>
      <tp>
        <v>-0.39158999999999999</v>
        <stp/>
        <stp>DELTA</stp>
        <stp>.SPY170120P200</stp>
        <tr r="R801" s="1"/>
      </tp>
      <tp>
        <v>0.60265999999999997</v>
        <stp/>
        <stp>DELTA</stp>
        <stp>.SPY170120C200</stp>
        <tr r="G801" s="1"/>
      </tp>
      <tp t="s">
        <v>N/A</v>
        <stp/>
        <stp>DELTA</stp>
        <stp>.SPY170120P207</stp>
        <tr r="R815" s="1"/>
      </tp>
      <tp t="s">
        <v>N/A</v>
        <stp/>
        <stp>DELTA</stp>
        <stp>.SPY170120C207</stp>
        <tr r="G815" s="1"/>
      </tp>
      <tp t="s">
        <v>N/A</v>
        <stp/>
        <stp>DELTA</stp>
        <stp>.SPY170120P206</stp>
        <tr r="R813" s="1"/>
      </tp>
      <tp t="s">
        <v>N/A</v>
        <stp/>
        <stp>DELTA</stp>
        <stp>.SPY170120C206</stp>
        <tr r="G813" s="1"/>
      </tp>
      <tp>
        <v>-0.43192999999999998</v>
        <stp/>
        <stp>DELTA</stp>
        <stp>.SPY170120P205</stp>
        <tr r="R811" s="1"/>
      </tp>
      <tp>
        <v>0.56152999999999997</v>
        <stp/>
        <stp>DELTA</stp>
        <stp>.SPY170120C205</stp>
        <tr r="G811" s="1"/>
      </tp>
      <tp t="s">
        <v>N/A</v>
        <stp/>
        <stp>DELTA</stp>
        <stp>.SPY170120P204</stp>
        <tr r="R809" s="1"/>
      </tp>
      <tp t="s">
        <v>N/A</v>
        <stp/>
        <stp>DELTA</stp>
        <stp>.SPY170120C204</stp>
        <tr r="G809" s="1"/>
      </tp>
      <tp t="s">
        <v>N/A</v>
        <stp/>
        <stp>DELTA</stp>
        <stp>.SPY170120P209</stp>
        <tr r="R819" s="1"/>
      </tp>
      <tp t="s">
        <v>N/A</v>
        <stp/>
        <stp>DELTA</stp>
        <stp>.SPY170120C209</stp>
        <tr r="G819" s="1"/>
      </tp>
      <tp t="s">
        <v>N/A</v>
        <stp/>
        <stp>DELTA</stp>
        <stp>.SPY170120P208</stp>
        <tr r="R817" s="1"/>
      </tp>
      <tp t="s">
        <v>N/A</v>
        <stp/>
        <stp>DELTA</stp>
        <stp>.SPY170120C208</stp>
        <tr r="G817" s="1"/>
      </tp>
      <tp>
        <v>2.1190000000000001E-2</v>
        <stp/>
        <stp>GAMMA</stp>
        <stp>.SPY150529P201</stp>
        <tr r="T257" s="1"/>
      </tp>
      <tp>
        <v>2.2780000000000002E-2</v>
        <stp/>
        <stp>GAMMA</stp>
        <stp>.SPY150529C201</stp>
        <tr r="I257" s="1"/>
      </tp>
      <tp>
        <v>1.831E-2</v>
        <stp/>
        <stp>GAMMA</stp>
        <stp>.SPY150529P200</stp>
        <tr r="T255" s="1"/>
      </tp>
      <tp>
        <v>2.009E-2</v>
        <stp/>
        <stp>GAMMA</stp>
        <stp>.SPY150529C200</stp>
        <tr r="I255" s="1"/>
      </tp>
      <tp>
        <v>5.7729999999999997E-2</v>
        <stp/>
        <stp>GAMMA</stp>
        <stp>.SPY150522P208</stp>
        <tr r="T229" s="1"/>
      </tp>
      <tp>
        <v>2.809E-2</v>
        <stp/>
        <stp>GAMMA</stp>
        <stp>.SPY150529P203</stp>
        <tr r="T261" s="1"/>
      </tp>
      <tp>
        <v>5.5879999999999999E-2</v>
        <stp/>
        <stp>GAMMA</stp>
        <stp>.SPY150522C208</stp>
        <tr r="I229" s="1"/>
      </tp>
      <tp>
        <v>2.9059999999999999E-2</v>
        <stp/>
        <stp>GAMMA</stp>
        <stp>.SPY150529C203</stp>
        <tr r="I261" s="1"/>
      </tp>
      <tp>
        <v>6.5390000000000004E-2</v>
        <stp/>
        <stp>GAMMA</stp>
        <stp>.SPY150522P209</stp>
        <tr r="T231" s="1"/>
      </tp>
      <tp>
        <v>2.4400000000000002E-2</v>
        <stp/>
        <stp>GAMMA</stp>
        <stp>.SPY150529P202</stp>
        <tr r="T259" s="1"/>
      </tp>
      <tp>
        <v>6.2649999999999997E-2</v>
        <stp/>
        <stp>GAMMA</stp>
        <stp>.SPY150522C209</stp>
        <tr r="I231" s="1"/>
      </tp>
      <tp>
        <v>2.579E-2</v>
        <stp/>
        <stp>GAMMA</stp>
        <stp>.SPY150529C202</stp>
        <tr r="I259" s="1"/>
      </tp>
      <tp>
        <v>3.6630000000000003E-2</v>
        <stp/>
        <stp>GAMMA</stp>
        <stp>.SPY150529P205</stp>
        <tr r="T265" s="1"/>
      </tp>
      <tp>
        <v>3.6630000000000003E-2</v>
        <stp/>
        <stp>GAMMA</stp>
        <stp>.SPY150529C205</stp>
        <tr r="I265" s="1"/>
      </tp>
      <tp>
        <v>3.2149999999999998E-2</v>
        <stp/>
        <stp>GAMMA</stp>
        <stp>.SPY150529P204</stp>
        <tr r="T263" s="1"/>
      </tp>
      <tp>
        <v>3.2730000000000002E-2</v>
        <stp/>
        <stp>GAMMA</stp>
        <stp>.SPY150529C204</stp>
        <tr r="I263" s="1"/>
      </tp>
      <tp>
        <v>4.675E-2</v>
        <stp/>
        <stp>GAMMA</stp>
        <stp>.SPY150529P207</stp>
        <tr r="T269" s="1"/>
      </tp>
      <tp>
        <v>4.5190000000000001E-2</v>
        <stp/>
        <stp>GAMMA</stp>
        <stp>.SPY150529C207</stp>
        <tr r="I269" s="1"/>
      </tp>
      <tp>
        <v>4.1509999999999998E-2</v>
        <stp/>
        <stp>GAMMA</stp>
        <stp>.SPY150529P206</stp>
        <tr r="T267" s="1"/>
      </tp>
      <tp>
        <v>4.0820000000000002E-2</v>
        <stp/>
        <stp>GAMMA</stp>
        <stp>.SPY150529C206</stp>
        <tr r="I267" s="1"/>
      </tp>
      <tp>
        <v>2.266E-2</v>
        <stp/>
        <stp>GAMMA</stp>
        <stp>.SPY150522P202</stp>
        <tr r="T217" s="1"/>
      </tp>
      <tp>
        <v>5.7689999999999998E-2</v>
        <stp/>
        <stp>GAMMA</stp>
        <stp>.SPY150529P209</stp>
        <tr r="T273" s="1"/>
      </tp>
      <tp>
        <v>2.435E-2</v>
        <stp/>
        <stp>GAMMA</stp>
        <stp>.SPY150522C202</stp>
        <tr r="I217" s="1"/>
      </tp>
      <tp>
        <v>5.4719999999999998E-2</v>
        <stp/>
        <stp>GAMMA</stp>
        <stp>.SPY150529C209</stp>
        <tr r="I273" s="1"/>
      </tp>
      <tp>
        <v>2.683E-2</v>
        <stp/>
        <stp>GAMMA</stp>
        <stp>.SPY150522P203</stp>
        <tr r="T219" s="1"/>
      </tp>
      <tp>
        <v>5.2179999999999997E-2</v>
        <stp/>
        <stp>GAMMA</stp>
        <stp>.SPY150529P208</stp>
        <tr r="T271" s="1"/>
      </tp>
      <tp>
        <v>2.8340000000000001E-2</v>
        <stp/>
        <stp>GAMMA</stp>
        <stp>.SPY150522C203</stp>
        <tr r="I219" s="1"/>
      </tp>
      <tp>
        <v>4.9790000000000001E-2</v>
        <stp/>
        <stp>GAMMA</stp>
        <stp>.SPY150529C208</stp>
        <tr r="I271" s="1"/>
      </tp>
      <tp>
        <v>1.6039999999999999E-2</v>
        <stp/>
        <stp>GAMMA</stp>
        <stp>.SPY150522P200</stp>
        <tr r="T213" s="1"/>
      </tp>
      <tp>
        <v>1.779E-2</v>
        <stp/>
        <stp>GAMMA</stp>
        <stp>.SPY150522C200</stp>
        <tr r="I213" s="1"/>
      </tp>
      <tp>
        <v>1.9E-2</v>
        <stp/>
        <stp>GAMMA</stp>
        <stp>.SPY150522P201</stp>
        <tr r="T215" s="1"/>
      </tp>
      <tp>
        <v>2.0760000000000001E-2</v>
        <stp/>
        <stp>GAMMA</stp>
        <stp>.SPY150522C201</stp>
        <tr r="I215" s="1"/>
      </tp>
      <tp>
        <v>4.3439999999999999E-2</v>
        <stp/>
        <stp>GAMMA</stp>
        <stp>.SPY150522P206</stp>
        <tr r="T225" s="1"/>
      </tp>
      <tp>
        <v>4.3439999999999999E-2</v>
        <stp/>
        <stp>GAMMA</stp>
        <stp>.SPY150522C206</stp>
        <tr r="I225" s="1"/>
      </tp>
      <tp>
        <v>5.033E-2</v>
        <stp/>
        <stp>GAMMA</stp>
        <stp>.SPY150522P207</stp>
        <tr r="T227" s="1"/>
      </tp>
      <tp>
        <v>4.9489999999999999E-2</v>
        <stp/>
        <stp>GAMMA</stp>
        <stp>.SPY150522C207</stp>
        <tr r="I227" s="1"/>
      </tp>
      <tp>
        <v>3.168E-2</v>
        <stp/>
        <stp>GAMMA</stp>
        <stp>.SPY150522P204</stp>
        <tr r="T221" s="1"/>
      </tp>
      <tp>
        <v>3.2840000000000001E-2</v>
        <stp/>
        <stp>GAMMA</stp>
        <stp>.SPY150522C204</stp>
        <tr r="I221" s="1"/>
      </tp>
      <tp>
        <v>3.7220000000000003E-2</v>
        <stp/>
        <stp>GAMMA</stp>
        <stp>.SPY150522P205</stp>
        <tr r="T223" s="1"/>
      </tp>
      <tp>
        <v>3.7949999999999998E-2</v>
        <stp/>
        <stp>GAMMA</stp>
        <stp>.SPY150522C205</stp>
        <tr r="I223" s="1"/>
      </tp>
      <tp t="s">
        <v>N/A</v>
        <stp/>
        <stp>DELTA</stp>
        <stp>.SPY170120P213</stp>
        <tr r="R827" s="1"/>
      </tp>
      <tp t="s">
        <v>N/A</v>
        <stp/>
        <stp>DELTA</stp>
        <stp>.SPY170120C213</stp>
        <tr r="G827" s="1"/>
      </tp>
      <tp t="s">
        <v>N/A</v>
        <stp/>
        <stp>DELTA</stp>
        <stp>.SPY170120P212</stp>
        <tr r="R825" s="1"/>
      </tp>
      <tp t="s">
        <v>N/A</v>
        <stp/>
        <stp>DELTA</stp>
        <stp>.SPY170120C212</stp>
        <tr r="G825" s="1"/>
      </tp>
      <tp t="s">
        <v>N/A</v>
        <stp/>
        <stp>DELTA</stp>
        <stp>.SPY170120P211</stp>
        <tr r="R823" s="1"/>
      </tp>
      <tp t="s">
        <v>N/A</v>
        <stp/>
        <stp>DELTA</stp>
        <stp>.SPY170120C211</stp>
        <tr r="G823" s="1"/>
      </tp>
      <tp>
        <v>-0.47549999999999998</v>
        <stp/>
        <stp>DELTA</stp>
        <stp>.SPY170120P210</stp>
        <tr r="R821" s="1"/>
      </tp>
      <tp>
        <v>0.51798999999999995</v>
        <stp/>
        <stp>DELTA</stp>
        <stp>.SPY170120C210</stp>
        <tr r="G821" s="1"/>
      </tp>
      <tp t="s">
        <v>N/A</v>
        <stp/>
        <stp>DELTA</stp>
        <stp>.SPY170120P217</stp>
        <tr r="R835" s="1"/>
      </tp>
      <tp t="s">
        <v>N/A</v>
        <stp/>
        <stp>DELTA</stp>
        <stp>.SPY170120C217</stp>
        <tr r="G835" s="1"/>
      </tp>
      <tp t="s">
        <v>N/A</v>
        <stp/>
        <stp>DELTA</stp>
        <stp>.SPY170120P216</stp>
        <tr r="R833" s="1"/>
      </tp>
      <tp t="s">
        <v>N/A</v>
        <stp/>
        <stp>DELTA</stp>
        <stp>.SPY170120C216</stp>
        <tr r="G833" s="1"/>
      </tp>
      <tp>
        <v>-0.52120999999999995</v>
        <stp/>
        <stp>DELTA</stp>
        <stp>.SPY170120P215</stp>
        <tr r="R831" s="1"/>
      </tp>
      <tp>
        <v>0.47267999999999999</v>
        <stp/>
        <stp>DELTA</stp>
        <stp>.SPY170120C215</stp>
        <tr r="G831" s="1"/>
      </tp>
      <tp t="s">
        <v>N/A</v>
        <stp/>
        <stp>DELTA</stp>
        <stp>.SPY170120P214</stp>
        <tr r="R829" s="1"/>
      </tp>
      <tp t="s">
        <v>N/A</v>
        <stp/>
        <stp>DELTA</stp>
        <stp>.SPY170120C214</stp>
        <tr r="G829" s="1"/>
      </tp>
      <tp t="s">
        <v>N/A</v>
        <stp/>
        <stp>DELTA</stp>
        <stp>.SPY170120P219</stp>
        <tr r="R839" s="1"/>
      </tp>
      <tp t="s">
        <v>N/A</v>
        <stp/>
        <stp>DELTA</stp>
        <stp>.SPY170120C219</stp>
        <tr r="G839" s="1"/>
      </tp>
      <tp t="s">
        <v>N/A</v>
        <stp/>
        <stp>DELTA</stp>
        <stp>.SPY170120P218</stp>
        <tr r="R837" s="1"/>
      </tp>
      <tp t="s">
        <v>N/A</v>
        <stp/>
        <stp>DELTA</stp>
        <stp>.SPY170120C218</stp>
        <tr r="G837" s="1"/>
      </tp>
      <tp t="s">
        <v>N/A</v>
        <stp/>
        <stp>GAMMA</stp>
        <stp>.SPY150501P219</stp>
        <tr r="T125" s="1"/>
      </tp>
      <tp>
        <v>0.12531999999999999</v>
        <stp/>
        <stp>GAMMA</stp>
        <stp>.SPY150508P210</stp>
        <tr r="T149" s="1"/>
      </tp>
      <tp t="s">
        <v>N/A</v>
        <stp/>
        <stp>GAMMA</stp>
        <stp>.SPY150501C219</stp>
        <tr r="I125" s="1"/>
      </tp>
      <tp>
        <v>0.12300999999999999</v>
        <stp/>
        <stp>GAMMA</stp>
        <stp>.SPY150508C210</stp>
        <tr r="I149" s="1"/>
      </tp>
      <tp t="s">
        <v>N/A</v>
        <stp/>
        <stp>GAMMA</stp>
        <stp>.SPY150501P218</stp>
        <tr r="T123" s="1"/>
      </tp>
      <tp>
        <v>0.15279999999999999</v>
        <stp/>
        <stp>GAMMA</stp>
        <stp>.SPY150508P211</stp>
        <tr r="T151" s="1"/>
      </tp>
      <tp t="s">
        <v>N/A</v>
        <stp/>
        <stp>GAMMA</stp>
        <stp>.SPY150501C218</stp>
        <tr r="I123" s="1"/>
      </tp>
      <tp>
        <v>0.15035999999999999</v>
        <stp/>
        <stp>GAMMA</stp>
        <stp>.SPY150508C211</stp>
        <tr r="I151" s="1"/>
      </tp>
      <tp>
        <v>0.1663</v>
        <stp/>
        <stp>GAMMA</stp>
        <stp>.SPY150508P212</stp>
        <tr r="T153" s="1"/>
      </tp>
      <tp>
        <v>0.16363</v>
        <stp/>
        <stp>GAMMA</stp>
        <stp>.SPY150508C212</stp>
        <tr r="I153" s="1"/>
      </tp>
      <tp>
        <v>0.14562</v>
        <stp/>
        <stp>GAMMA</stp>
        <stp>.SPY150508P213</stp>
        <tr r="T155" s="1"/>
      </tp>
      <tp>
        <v>0.14348</v>
        <stp/>
        <stp>GAMMA</stp>
        <stp>.SPY150508C213</stp>
        <tr r="I155" s="1"/>
      </tp>
      <tp>
        <v>8.8230000000000003E-2</v>
        <stp/>
        <stp>GAMMA</stp>
        <stp>.SPY150508P214</stp>
        <tr r="T157" s="1"/>
      </tp>
      <tp>
        <v>7.6480000000000006E-2</v>
        <stp/>
        <stp>GAMMA</stp>
        <stp>.SPY150515P209</stp>
        <tr r="T189" s="1"/>
      </tp>
      <tp>
        <v>8.8059999999999999E-2</v>
        <stp/>
        <stp>GAMMA</stp>
        <stp>.SPY150508C214</stp>
        <tr r="I157" s="1"/>
      </tp>
      <tp>
        <v>7.5120000000000006E-2</v>
        <stp/>
        <stp>GAMMA</stp>
        <stp>.SPY150515C209</stp>
        <tr r="I189" s="1"/>
      </tp>
      <tp>
        <v>4.446E-2</v>
        <stp/>
        <stp>GAMMA</stp>
        <stp>.SPY150508P215</stp>
        <tr r="T159" s="1"/>
      </tp>
      <tp>
        <v>6.4589999999999995E-2</v>
        <stp/>
        <stp>GAMMA</stp>
        <stp>.SPY150515P208</stp>
        <tr r="T187" s="1"/>
      </tp>
      <tp>
        <v>4.3860000000000003E-2</v>
        <stp/>
        <stp>GAMMA</stp>
        <stp>.SPY150508C215</stp>
        <tr r="I159" s="1"/>
      </tp>
      <tp>
        <v>6.4399999999999999E-2</v>
        <stp/>
        <stp>GAMMA</stp>
        <stp>.SPY150515C208</stp>
        <tr r="I187" s="1"/>
      </tp>
      <tp>
        <v>0</v>
        <stp/>
        <stp>GAMMA</stp>
        <stp>.SPY150508P216</stp>
        <tr r="T161" s="1"/>
      </tp>
      <tp>
        <v>2.1350000000000001E-2</v>
        <stp/>
        <stp>GAMMA</stp>
        <stp>.SPY150508C216</stp>
        <tr r="I161" s="1"/>
      </tp>
      <tp>
        <v>0</v>
        <stp/>
        <stp>GAMMA</stp>
        <stp>.SPY150508P217</stp>
        <tr r="T163" s="1"/>
      </tp>
      <tp>
        <v>1.5949999999999999E-2</v>
        <stp/>
        <stp>GAMMA</stp>
        <stp>.SPY150508C217</stp>
        <tr r="I163" s="1"/>
      </tp>
      <tp t="s">
        <v>N/A</v>
        <stp/>
        <stp>GAMMA</stp>
        <stp>.SPY150501P211</stp>
        <tr r="T109" s="1"/>
      </tp>
      <tp>
        <v>0</v>
        <stp/>
        <stp>GAMMA</stp>
        <stp>.SPY150508P218</stp>
        <tr r="T165" s="1"/>
      </tp>
      <tp>
        <v>3.5569999999999997E-2</v>
        <stp/>
        <stp>GAMMA</stp>
        <stp>.SPY150515P205</stp>
        <tr r="T181" s="1"/>
      </tp>
      <tp t="s">
        <v>N/A</v>
        <stp/>
        <stp>GAMMA</stp>
        <stp>.SPY150501C211</stp>
        <tr r="I109" s="1"/>
      </tp>
      <tp>
        <v>6.6499999999999997E-3</v>
        <stp/>
        <stp>GAMMA</stp>
        <stp>.SPY150508C218</stp>
        <tr r="I165" s="1"/>
      </tp>
      <tp>
        <v>3.6900000000000002E-2</v>
        <stp/>
        <stp>GAMMA</stp>
        <stp>.SPY150515C205</stp>
        <tr r="I181" s="1"/>
      </tp>
      <tp t="s">
        <v>N/A</v>
        <stp/>
        <stp>GAMMA</stp>
        <stp>.SPY150501P210</stp>
        <tr r="T107" s="1"/>
      </tp>
      <tp>
        <v>0</v>
        <stp/>
        <stp>GAMMA</stp>
        <stp>.SPY150508P219</stp>
        <tr r="T167" s="1"/>
      </tp>
      <tp>
        <v>2.87E-2</v>
        <stp/>
        <stp>GAMMA</stp>
        <stp>.SPY150515P204</stp>
        <tr r="T179" s="1"/>
      </tp>
      <tp t="s">
        <v>N/A</v>
        <stp/>
        <stp>GAMMA</stp>
        <stp>.SPY150501C210</stp>
        <tr r="I107" s="1"/>
      </tp>
      <tp>
        <v>5.3299999999999997E-3</v>
        <stp/>
        <stp>GAMMA</stp>
        <stp>.SPY150508C219</stp>
        <tr r="I167" s="1"/>
      </tp>
      <tp>
        <v>3.006E-2</v>
        <stp/>
        <stp>GAMMA</stp>
        <stp>.SPY150515C204</stp>
        <tr r="I179" s="1"/>
      </tp>
      <tp t="s">
        <v>N/A</v>
        <stp/>
        <stp>GAMMA</stp>
        <stp>.SPY150501P213</stp>
        <tr r="T113" s="1"/>
      </tp>
      <tp>
        <v>5.3629999999999997E-2</v>
        <stp/>
        <stp>GAMMA</stp>
        <stp>.SPY150515P207</stp>
        <tr r="T185" s="1"/>
      </tp>
      <tp t="s">
        <v>N/A</v>
        <stp/>
        <stp>GAMMA</stp>
        <stp>.SPY150501C213</stp>
        <tr r="I113" s="1"/>
      </tp>
      <tp>
        <v>5.4080000000000003E-2</v>
        <stp/>
        <stp>GAMMA</stp>
        <stp>.SPY150515C207</stp>
        <tr r="I185" s="1"/>
      </tp>
      <tp t="s">
        <v>N/A</v>
        <stp/>
        <stp>GAMMA</stp>
        <stp>.SPY150501P212</stp>
        <tr r="T111" s="1"/>
      </tp>
      <tp>
        <v>4.3900000000000002E-2</v>
        <stp/>
        <stp>GAMMA</stp>
        <stp>.SPY150515P206</stp>
        <tr r="T183" s="1"/>
      </tp>
      <tp t="s">
        <v>N/A</v>
        <stp/>
        <stp>GAMMA</stp>
        <stp>.SPY150501C212</stp>
        <tr r="I111" s="1"/>
      </tp>
      <tp>
        <v>4.4859999999999997E-2</v>
        <stp/>
        <stp>GAMMA</stp>
        <stp>.SPY150515C206</stp>
        <tr r="I183" s="1"/>
      </tp>
      <tp t="s">
        <v>N/A</v>
        <stp/>
        <stp>GAMMA</stp>
        <stp>.SPY150501P215</stp>
        <tr r="T117" s="1"/>
      </tp>
      <tp>
        <v>1.507E-2</v>
        <stp/>
        <stp>GAMMA</stp>
        <stp>.SPY150515P201</stp>
        <tr r="T173" s="1"/>
      </tp>
      <tp t="s">
        <v>N/A</v>
        <stp/>
        <stp>GAMMA</stp>
        <stp>.SPY150501C215</stp>
        <tr r="I117" s="1"/>
      </tp>
      <tp>
        <v>1.6129999999999999E-2</v>
        <stp/>
        <stp>GAMMA</stp>
        <stp>.SPY150515C201</stp>
        <tr r="I173" s="1"/>
      </tp>
      <tp t="s">
        <v>N/A</v>
        <stp/>
        <stp>GAMMA</stp>
        <stp>.SPY150501P214</stp>
        <tr r="T115" s="1"/>
      </tp>
      <tp>
        <v>1.234E-2</v>
        <stp/>
        <stp>GAMMA</stp>
        <stp>.SPY150515P200</stp>
        <tr r="T171" s="1"/>
      </tp>
      <tp t="s">
        <v>N/A</v>
        <stp/>
        <stp>GAMMA</stp>
        <stp>.SPY150501C214</stp>
        <tr r="I115" s="1"/>
      </tp>
      <tp>
        <v>1.2840000000000001E-2</v>
        <stp/>
        <stp>GAMMA</stp>
        <stp>.SPY150515C200</stp>
        <tr r="I171" s="1"/>
      </tp>
      <tp t="s">
        <v>N/A</v>
        <stp/>
        <stp>GAMMA</stp>
        <stp>.SPY150501P217</stp>
        <tr r="T121" s="1"/>
      </tp>
      <tp>
        <v>2.3099999999999999E-2</v>
        <stp/>
        <stp>GAMMA</stp>
        <stp>.SPY150515P203</stp>
        <tr r="T177" s="1"/>
      </tp>
      <tp t="s">
        <v>N/A</v>
        <stp/>
        <stp>GAMMA</stp>
        <stp>.SPY150501C217</stp>
        <tr r="I121" s="1"/>
      </tp>
      <tp>
        <v>2.4140000000000002E-2</v>
        <stp/>
        <stp>GAMMA</stp>
        <stp>.SPY150515C203</stp>
        <tr r="I177" s="1"/>
      </tp>
      <tp t="s">
        <v>N/A</v>
        <stp/>
        <stp>GAMMA</stp>
        <stp>.SPY150501P216</stp>
        <tr r="T119" s="1"/>
      </tp>
      <tp>
        <v>1.8700000000000001E-2</v>
        <stp/>
        <stp>GAMMA</stp>
        <stp>.SPY150515P202</stp>
        <tr r="T175" s="1"/>
      </tp>
      <tp t="s">
        <v>N/A</v>
        <stp/>
        <stp>GAMMA</stp>
        <stp>.SPY150501C216</stp>
        <tr r="I119" s="1"/>
      </tp>
      <tp>
        <v>1.9529999999999999E-2</v>
        <stp/>
        <stp>GAMMA</stp>
        <stp>.SPY150515C202</stp>
        <tr r="I175" s="1"/>
      </tp>
      <tp>
        <v>-0.59233000000000002</v>
        <stp/>
        <stp>DELTA</stp>
        <stp>.SPY160115P217</stp>
        <tr r="R625" s="1"/>
      </tp>
      <tp>
        <v>0.39917000000000002</v>
        <stp/>
        <stp>DELTA</stp>
        <stp>.SPY160115C217</stp>
        <tr r="G625" s="1"/>
      </tp>
      <tp>
        <v>-0.57642000000000004</v>
        <stp/>
        <stp>DELTA</stp>
        <stp>.SPY160115P216</stp>
        <tr r="R623" s="1"/>
      </tp>
      <tp>
        <v>0.41749999999999998</v>
        <stp/>
        <stp>DELTA</stp>
        <stp>.SPY160115C216</stp>
        <tr r="G623" s="1"/>
      </tp>
      <tp>
        <v>-0.55862999999999996</v>
        <stp/>
        <stp>DELTA</stp>
        <stp>.SPY160115P215</stp>
        <tr r="R621" s="1"/>
      </tp>
      <tp>
        <v>0.43434</v>
        <stp/>
        <stp>DELTA</stp>
        <stp>.SPY160115C215</stp>
        <tr r="G621" s="1"/>
      </tp>
      <tp>
        <v>-0.54310000000000003</v>
        <stp/>
        <stp>DELTA</stp>
        <stp>.SPY160115P214</stp>
        <tr r="R619" s="1"/>
      </tp>
      <tp>
        <v>0.45180999999999999</v>
        <stp/>
        <stp>DELTA</stp>
        <stp>.SPY160115C214</stp>
        <tr r="G619" s="1"/>
      </tp>
      <tp>
        <v>-0.52681999999999995</v>
        <stp/>
        <stp>DELTA</stp>
        <stp>.SPY160115P213</stp>
        <tr r="R617" s="1"/>
      </tp>
      <tp>
        <v>0.46887000000000001</v>
        <stp/>
        <stp>DELTA</stp>
        <stp>.SPY160115C213</stp>
        <tr r="G617" s="1"/>
      </tp>
      <tp>
        <v>-0.51105999999999996</v>
        <stp/>
        <stp>DELTA</stp>
        <stp>.SPY160115P212</stp>
        <tr r="R615" s="1"/>
      </tp>
      <tp>
        <v>0.48526999999999998</v>
        <stp/>
        <stp>DELTA</stp>
        <stp>.SPY160115C212</stp>
        <tr r="G615" s="1"/>
      </tp>
      <tp>
        <v>-0.49531999999999998</v>
        <stp/>
        <stp>DELTA</stp>
        <stp>.SPY160115P211</stp>
        <tr r="R613" s="1"/>
      </tp>
      <tp>
        <v>0.50161999999999995</v>
        <stp/>
        <stp>DELTA</stp>
        <stp>.SPY160115C211</stp>
        <tr r="G613" s="1"/>
      </tp>
      <tp>
        <v>-0.48000999999999999</v>
        <stp/>
        <stp>DELTA</stp>
        <stp>.SPY160115P210</stp>
        <tr r="R611" s="1"/>
      </tp>
      <tp>
        <v>0.51776</v>
        <stp/>
        <stp>DELTA</stp>
        <stp>.SPY160115C210</stp>
        <tr r="G611" s="1"/>
      </tp>
      <tp t="s">
        <v>N/A</v>
        <stp/>
        <stp>DELTA</stp>
        <stp>.SPY160115P219</stp>
        <tr r="R629" s="1"/>
      </tp>
      <tp t="s">
        <v>N/A</v>
        <stp/>
        <stp>DELTA</stp>
        <stp>.SPY160115C219</stp>
        <tr r="G629" s="1"/>
      </tp>
      <tp>
        <v>-0.60907</v>
        <stp/>
        <stp>DELTA</stp>
        <stp>.SPY160115P218</stp>
        <tr r="R627" s="1"/>
      </tp>
      <tp>
        <v>0.38134000000000001</v>
        <stp/>
        <stp>DELTA</stp>
        <stp>.SPY160115C218</stp>
        <tr r="G627" s="1"/>
      </tp>
      <tp t="s">
        <v>N/A</v>
        <stp/>
        <stp>GAMMA</stp>
        <stp>.SPY150501P209</stp>
        <tr r="T105" s="1"/>
      </tp>
      <tp>
        <v>6.3600000000000002E-3</v>
        <stp/>
        <stp>GAMMA</stp>
        <stp>.SPY150508P200</stp>
        <tr r="T129" s="1"/>
      </tp>
      <tp t="s">
        <v>N/A</v>
        <stp/>
        <stp>GAMMA</stp>
        <stp>.SPY150501C209</stp>
        <tr r="I105" s="1"/>
      </tp>
      <tp>
        <v>4.0099999999999997E-3</v>
        <stp/>
        <stp>GAMMA</stp>
        <stp>.SPY150508C200</stp>
        <tr r="I129" s="1"/>
      </tp>
      <tp t="s">
        <v>N/A</v>
        <stp/>
        <stp>GAMMA</stp>
        <stp>.SPY150501P208</stp>
        <tr r="T103" s="1"/>
      </tp>
      <tp>
        <v>7.3499999999999998E-3</v>
        <stp/>
        <stp>GAMMA</stp>
        <stp>.SPY150508P201</stp>
        <tr r="T131" s="1"/>
      </tp>
      <tp t="s">
        <v>N/A</v>
        <stp/>
        <stp>GAMMA</stp>
        <stp>.SPY150501C208</stp>
        <tr r="I103" s="1"/>
      </tp>
      <tp>
        <v>5.5100000000000001E-3</v>
        <stp/>
        <stp>GAMMA</stp>
        <stp>.SPY150508C201</stp>
        <tr r="I131" s="1"/>
      </tp>
      <tp>
        <v>1.0240000000000001E-2</v>
        <stp/>
        <stp>GAMMA</stp>
        <stp>.SPY150508P202</stp>
        <tr r="T133" s="1"/>
      </tp>
      <tp>
        <v>8.2000000000000007E-3</v>
        <stp/>
        <stp>GAMMA</stp>
        <stp>.SPY150508C202</stp>
        <tr r="I133" s="1"/>
      </tp>
      <tp>
        <v>1.2200000000000001E-2</v>
        <stp/>
        <stp>GAMMA</stp>
        <stp>.SPY150508P203</stp>
        <tr r="T135" s="1"/>
      </tp>
      <tp>
        <v>1.0240000000000001E-2</v>
        <stp/>
        <stp>GAMMA</stp>
        <stp>.SPY150508C203</stp>
        <tr r="I135" s="1"/>
      </tp>
      <tp>
        <v>1.805E-2</v>
        <stp/>
        <stp>GAMMA</stp>
        <stp>.SPY150508P204</stp>
        <tr r="T137" s="1"/>
      </tp>
      <tp>
        <v>0</v>
        <stp/>
        <stp>GAMMA</stp>
        <stp>.SPY150515P219</stp>
        <tr r="T209" s="1"/>
      </tp>
      <tp>
        <v>1.099E-2</v>
        <stp/>
        <stp>GAMMA</stp>
        <stp>.SPY150508C204</stp>
        <tr r="I137" s="1"/>
      </tp>
      <tp>
        <v>1.289E-2</v>
        <stp/>
        <stp>GAMMA</stp>
        <stp>.SPY150515C219</stp>
        <tr r="I209" s="1"/>
      </tp>
      <tp>
        <v>2.4910000000000002E-2</v>
        <stp/>
        <stp>GAMMA</stp>
        <stp>.SPY150508P205</stp>
        <tr r="T139" s="1"/>
      </tp>
      <tp>
        <v>0</v>
        <stp/>
        <stp>GAMMA</stp>
        <stp>.SPY150515P218</stp>
        <tr r="T207" s="1"/>
      </tp>
      <tp>
        <v>1.7229999999999999E-2</v>
        <stp/>
        <stp>GAMMA</stp>
        <stp>.SPY150508C205</stp>
        <tr r="I139" s="1"/>
      </tp>
      <tp>
        <v>1.7250000000000001E-2</v>
        <stp/>
        <stp>GAMMA</stp>
        <stp>.SPY150515C218</stp>
        <tr r="I207" s="1"/>
      </tp>
      <tp>
        <v>3.4860000000000002E-2</v>
        <stp/>
        <stp>GAMMA</stp>
        <stp>.SPY150508P206</stp>
        <tr r="T141" s="1"/>
      </tp>
      <tp>
        <v>3.1559999999999998E-2</v>
        <stp/>
        <stp>GAMMA</stp>
        <stp>.SPY150508C206</stp>
        <tr r="I141" s="1"/>
      </tp>
      <tp>
        <v>4.9099999999999998E-2</v>
        <stp/>
        <stp>GAMMA</stp>
        <stp>.SPY150508P207</stp>
        <tr r="T143" s="1"/>
      </tp>
      <tp>
        <v>4.7600000000000003E-2</v>
        <stp/>
        <stp>GAMMA</stp>
        <stp>.SPY150508C207</stp>
        <tr r="I143" s="1"/>
      </tp>
      <tp t="s">
        <v>N/A</v>
        <stp/>
        <stp>GAMMA</stp>
        <stp>.SPY150501P201</stp>
        <tr r="T89" s="1"/>
      </tp>
      <tp>
        <v>6.9290000000000004E-2</v>
        <stp/>
        <stp>GAMMA</stp>
        <stp>.SPY150508P208</stp>
        <tr r="T145" s="1"/>
      </tp>
      <tp>
        <v>6.234E-2</v>
        <stp/>
        <stp>GAMMA</stp>
        <stp>.SPY150515P215</stp>
        <tr r="T201" s="1"/>
      </tp>
      <tp t="s">
        <v>N/A</v>
        <stp/>
        <stp>GAMMA</stp>
        <stp>.SPY150501C201</stp>
        <tr r="I89" s="1"/>
      </tp>
      <tp>
        <v>6.9559999999999997E-2</v>
        <stp/>
        <stp>GAMMA</stp>
        <stp>.SPY150508C208</stp>
        <tr r="I145" s="1"/>
      </tp>
      <tp>
        <v>6.6919999999999993E-2</v>
        <stp/>
        <stp>GAMMA</stp>
        <stp>.SPY150515C215</stp>
        <tr r="I201" s="1"/>
      </tp>
      <tp t="s">
        <v>N/A</v>
        <stp/>
        <stp>GAMMA</stp>
        <stp>.SPY150501P200</stp>
        <tr r="T87" s="1"/>
      </tp>
      <tp>
        <v>9.5079999999999998E-2</v>
        <stp/>
        <stp>GAMMA</stp>
        <stp>.SPY150508P209</stp>
        <tr r="T147" s="1"/>
      </tp>
      <tp>
        <v>8.9649999999999994E-2</v>
        <stp/>
        <stp>GAMMA</stp>
        <stp>.SPY150515P214</stp>
        <tr r="T199" s="1"/>
      </tp>
      <tp t="s">
        <v>N/A</v>
        <stp/>
        <stp>GAMMA</stp>
        <stp>.SPY150501C200</stp>
        <tr r="I87" s="1"/>
      </tp>
      <tp>
        <v>9.6860000000000002E-2</v>
        <stp/>
        <stp>GAMMA</stp>
        <stp>.SPY150508C209</stp>
        <tr r="I147" s="1"/>
      </tp>
      <tp>
        <v>8.7160000000000001E-2</v>
        <stp/>
        <stp>GAMMA</stp>
        <stp>.SPY150515C214</stp>
        <tr r="I199" s="1"/>
      </tp>
      <tp t="s">
        <v>N/A</v>
        <stp/>
        <stp>GAMMA</stp>
        <stp>.SPY150501P203</stp>
        <tr r="T93" s="1"/>
      </tp>
      <tp>
        <v>0</v>
        <stp/>
        <stp>GAMMA</stp>
        <stp>.SPY150515P217</stp>
        <tr r="T205" s="1"/>
      </tp>
      <tp t="s">
        <v>N/A</v>
        <stp/>
        <stp>GAMMA</stp>
        <stp>.SPY150501C203</stp>
        <tr r="I93" s="1"/>
      </tp>
      <tp>
        <v>2.8039999999999999E-2</v>
        <stp/>
        <stp>GAMMA</stp>
        <stp>.SPY150515C217</stp>
        <tr r="I205" s="1"/>
      </tp>
      <tp t="s">
        <v>N/A</v>
        <stp/>
        <stp>GAMMA</stp>
        <stp>.SPY150501P202</stp>
        <tr r="T91" s="1"/>
      </tp>
      <tp>
        <v>0</v>
        <stp/>
        <stp>GAMMA</stp>
        <stp>.SPY150515P216</stp>
        <tr r="T203" s="1"/>
      </tp>
      <tp t="s">
        <v>N/A</v>
        <stp/>
        <stp>GAMMA</stp>
        <stp>.SPY150501C202</stp>
        <tr r="I91" s="1"/>
      </tp>
      <tp>
        <v>4.4979999999999999E-2</v>
        <stp/>
        <stp>GAMMA</stp>
        <stp>.SPY150515C216</stp>
        <tr r="I203" s="1"/>
      </tp>
      <tp t="s">
        <v>N/A</v>
        <stp/>
        <stp>GAMMA</stp>
        <stp>.SPY150501P205</stp>
        <tr r="T97" s="1"/>
      </tp>
      <tp>
        <v>9.8320000000000005E-2</v>
        <stp/>
        <stp>GAMMA</stp>
        <stp>.SPY150515P211</stp>
        <tr r="T193" s="1"/>
      </tp>
      <tp t="s">
        <v>N/A</v>
        <stp/>
        <stp>GAMMA</stp>
        <stp>.SPY150501C205</stp>
        <tr r="I97" s="1"/>
      </tp>
      <tp>
        <v>9.2660000000000006E-2</v>
        <stp/>
        <stp>GAMMA</stp>
        <stp>.SPY150515C211</stp>
        <tr r="I193" s="1"/>
      </tp>
      <tp t="s">
        <v>N/A</v>
        <stp/>
        <stp>GAMMA</stp>
        <stp>.SPY150501P204</stp>
        <tr r="T95" s="1"/>
      </tp>
      <tp>
        <v>8.7720000000000006E-2</v>
        <stp/>
        <stp>GAMMA</stp>
        <stp>.SPY150515P210</stp>
        <tr r="T191" s="1"/>
      </tp>
      <tp t="s">
        <v>N/A</v>
        <stp/>
        <stp>GAMMA</stp>
        <stp>.SPY150501C204</stp>
        <tr r="I95" s="1"/>
      </tp>
      <tp>
        <v>8.405E-2</v>
        <stp/>
        <stp>GAMMA</stp>
        <stp>.SPY150515C210</stp>
        <tr r="I191" s="1"/>
      </tp>
      <tp t="s">
        <v>N/A</v>
        <stp/>
        <stp>GAMMA</stp>
        <stp>.SPY150501P207</stp>
        <tr r="T101" s="1"/>
      </tp>
      <tp>
        <v>0.10056</v>
        <stp/>
        <stp>GAMMA</stp>
        <stp>.SPY150515P213</stp>
        <tr r="T197" s="1"/>
      </tp>
      <tp t="s">
        <v>N/A</v>
        <stp/>
        <stp>GAMMA</stp>
        <stp>.SPY150501C207</stp>
        <tr r="I101" s="1"/>
      </tp>
      <tp>
        <v>9.7629999999999995E-2</v>
        <stp/>
        <stp>GAMMA</stp>
        <stp>.SPY150515C213</stp>
        <tr r="I197" s="1"/>
      </tp>
      <tp t="s">
        <v>N/A</v>
        <stp/>
        <stp>GAMMA</stp>
        <stp>.SPY150501P206</stp>
        <tr r="T99" s="1"/>
      </tp>
      <tp>
        <v>0.105</v>
        <stp/>
        <stp>GAMMA</stp>
        <stp>.SPY150515P212</stp>
        <tr r="T195" s="1"/>
      </tp>
      <tp t="s">
        <v>N/A</v>
        <stp/>
        <stp>GAMMA</stp>
        <stp>.SPY150501C206</stp>
        <tr r="I99" s="1"/>
      </tp>
      <tp>
        <v>9.7970000000000002E-2</v>
        <stp/>
        <stp>GAMMA</stp>
        <stp>.SPY150515C212</stp>
        <tr r="I195" s="1"/>
      </tp>
      <tp>
        <v>-0.43608999999999998</v>
        <stp/>
        <stp>DELTA</stp>
        <stp>.SPY160115P207</stp>
        <tr r="R605" s="1"/>
      </tp>
      <tp>
        <v>0.56376000000000004</v>
        <stp/>
        <stp>DELTA</stp>
        <stp>.SPY160115C207</stp>
        <tr r="G605" s="1"/>
      </tp>
      <tp>
        <v>-0.42210999999999999</v>
        <stp/>
        <stp>DELTA</stp>
        <stp>.SPY160115P206</stp>
        <tr r="R603" s="1"/>
      </tp>
      <tp>
        <v>0.57828000000000002</v>
        <stp/>
        <stp>DELTA</stp>
        <stp>.SPY160115C206</stp>
        <tr r="G603" s="1"/>
      </tp>
      <tp>
        <v>-0.40851999999999999</v>
        <stp/>
        <stp>DELTA</stp>
        <stp>.SPY160115P205</stp>
        <tr r="R601" s="1"/>
      </tp>
      <tp>
        <v>0.59233000000000002</v>
        <stp/>
        <stp>DELTA</stp>
        <stp>.SPY160115C205</stp>
        <tr r="G601" s="1"/>
      </tp>
      <tp>
        <v>-0.39523999999999998</v>
        <stp/>
        <stp>DELTA</stp>
        <stp>.SPY160115P204</stp>
        <tr r="R599" s="1"/>
      </tp>
      <tp>
        <v>0.60631999999999997</v>
        <stp/>
        <stp>DELTA</stp>
        <stp>.SPY160115C204</stp>
        <tr r="G599" s="1"/>
      </tp>
      <tp>
        <v>-0.38233</v>
        <stp/>
        <stp>DELTA</stp>
        <stp>.SPY160115P203</stp>
        <tr r="R597" s="1"/>
      </tp>
      <tp>
        <v>0.61978</v>
        <stp/>
        <stp>DELTA</stp>
        <stp>.SPY160115C203</stp>
        <tr r="G597" s="1"/>
      </tp>
      <tp>
        <v>-0.36969000000000002</v>
        <stp/>
        <stp>DELTA</stp>
        <stp>.SPY160115P202</stp>
        <tr r="R595" s="1"/>
      </tp>
      <tp>
        <v>0.63302000000000003</v>
        <stp/>
        <stp>DELTA</stp>
        <stp>.SPY160115C202</stp>
        <tr r="G595" s="1"/>
      </tp>
      <tp>
        <v>-0.35754999999999998</v>
        <stp/>
        <stp>DELTA</stp>
        <stp>.SPY160115P201</stp>
        <tr r="R593" s="1"/>
      </tp>
      <tp>
        <v>0.64570000000000005</v>
        <stp/>
        <stp>DELTA</stp>
        <stp>.SPY160115C201</stp>
        <tr r="G593" s="1"/>
      </tp>
      <tp>
        <v>-0.34570000000000001</v>
        <stp/>
        <stp>DELTA</stp>
        <stp>.SPY160115P200</stp>
        <tr r="R591" s="1"/>
      </tp>
      <tp>
        <v>0.65812000000000004</v>
        <stp/>
        <stp>DELTA</stp>
        <stp>.SPY160115C200</stp>
        <tr r="G591" s="1"/>
      </tp>
      <tp>
        <v>-0.46504000000000001</v>
        <stp/>
        <stp>DELTA</stp>
        <stp>.SPY160115P209</stp>
        <tr r="R609" s="1"/>
      </tp>
      <tp>
        <v>0.53341000000000005</v>
        <stp/>
        <stp>DELTA</stp>
        <stp>.SPY160115C209</stp>
        <tr r="G609" s="1"/>
      </tp>
      <tp>
        <v>-0.45040999999999998</v>
        <stp/>
        <stp>DELTA</stp>
        <stp>.SPY160115P208</stp>
        <tr r="R607" s="1"/>
      </tp>
      <tp>
        <v>0.54876000000000003</v>
        <stp/>
        <stp>DELTA</stp>
        <stp>.SPY160115C208</stp>
        <tr r="G607" s="1"/>
      </tp>
      <tp t="s">
        <v>N/A</v>
        <stp/>
        <stp>VEGA</stp>
        <stp>.SPY160318C204.5</stp>
        <tr r="J642" s="1"/>
      </tp>
      <tp t="s">
        <v>N/A</v>
        <stp/>
        <stp>VEGA</stp>
        <stp>.SPY160318C214.5</stp>
        <tr r="J662" s="1"/>
      </tp>
      <tp t="s">
        <v>N/A</v>
        <stp/>
        <stp>VEGA</stp>
        <stp>.SPY160115C209.5</stp>
        <tr r="J610" s="1"/>
      </tp>
      <tp t="s">
        <v>N/A</v>
        <stp/>
        <stp>VEGA</stp>
        <stp>.SPY160115C219.5</stp>
        <tr r="J630" s="1"/>
      </tp>
      <tp t="s">
        <v>N/A</v>
        <stp/>
        <stp>VEGA</stp>
        <stp>.SPY150717C208.5</stp>
        <tr r="J398" s="1"/>
      </tp>
      <tp t="s">
        <v>N/A</v>
        <stp/>
        <stp>VEGA</stp>
        <stp>.SPY150717C218.5</stp>
        <tr r="J418" s="1"/>
      </tp>
      <tp t="s">
        <v>N/A</v>
        <stp/>
        <stp>VEGA</stp>
        <stp>.SPY150619C206.5</stp>
        <tr r="J310" s="1"/>
      </tp>
      <tp t="s">
        <v>N/A</v>
        <stp/>
        <stp>VEGA</stp>
        <stp>.SPY150619C216.5</stp>
        <tr r="J330" s="1"/>
      </tp>
      <tp>
        <v>4.6299999999999996E-3</v>
        <stp/>
        <stp>VEGA</stp>
        <stp>.SPY150508C217.5</stp>
        <tr r="J164" s="1"/>
      </tp>
      <tp>
        <v>4.6449999999999998E-2</v>
        <stp/>
        <stp>VEGA</stp>
        <stp>.SPY150508C207.5</stp>
        <tr r="J144" s="1"/>
      </tp>
      <tp>
        <v>0.12889999999999999</v>
        <stp/>
        <stp>VEGA</stp>
        <stp>.SPY150529C216.5</stp>
        <tr r="J288" s="1"/>
      </tp>
      <tp>
        <v>0.18209</v>
        <stp/>
        <stp>VEGA</stp>
        <stp>.SPY150529C206.5</stp>
        <tr r="J268" s="1"/>
      </tp>
      <tp t="s">
        <v>N/A</v>
        <stp/>
        <stp>VEGA</stp>
        <stp>.SPY150417C208.5</stp>
        <tr r="J20" s="1"/>
      </tp>
      <tp t="s">
        <v>N/A</v>
        <stp/>
        <stp>VEGA</stp>
        <stp>.SPY150417C218.5</stp>
        <tr r="J40" s="1"/>
      </tp>
      <tp t="s">
        <v>N/A</v>
        <stp/>
        <stp>VEGA</stp>
        <stp>.SPY150918C207.5</stp>
        <tr r="J438" s="1"/>
      </tp>
      <tp t="s">
        <v>N/A</v>
        <stp/>
        <stp>VEGA</stp>
        <stp>.SPY150918C217.5</stp>
        <tr r="J458" s="1"/>
      </tp>
      <tp t="s">
        <v>N/A</v>
        <stp/>
        <stp>VEGA</stp>
        <stp>.SPY151219C206.5</stp>
        <tr r="J520" s="1"/>
      </tp>
      <tp t="s">
        <v>N/A</v>
        <stp/>
        <stp>VEGA</stp>
        <stp>.SPY171215C208.5</stp>
        <tr r="J902" s="1"/>
      </tp>
      <tp t="s">
        <v>N/A</v>
        <stp/>
        <stp>VEGA</stp>
        <stp>.SPY151219C216.5</stp>
        <tr r="J540" s="1"/>
      </tp>
      <tp t="s">
        <v>N/A</v>
        <stp/>
        <stp>VEGA</stp>
        <stp>.SPY171215C218.5</stp>
        <tr r="J922" s="1"/>
      </tp>
      <tp t="s">
        <v>N/A</v>
        <stp/>
        <stp>VEGA</stp>
        <stp>.SPY151219P206.5</stp>
        <tr r="U520" s="1"/>
      </tp>
      <tp t="s">
        <v>N/A</v>
        <stp/>
        <stp>VEGA</stp>
        <stp>.SPY171215P208.5</stp>
        <tr r="U902" s="1"/>
      </tp>
      <tp t="s">
        <v>N/A</v>
        <stp/>
        <stp>VEGA</stp>
        <stp>.SPY151219P216.5</stp>
        <tr r="U540" s="1"/>
      </tp>
      <tp t="s">
        <v>N/A</v>
        <stp/>
        <stp>VEGA</stp>
        <stp>.SPY171215P218.5</stp>
        <tr r="U922" s="1"/>
      </tp>
      <tp t="s">
        <v>N/A</v>
        <stp/>
        <stp>VEGA</stp>
        <stp>.SPY160318P204.5</stp>
        <tr r="U642" s="1"/>
      </tp>
      <tp t="s">
        <v>N/A</v>
        <stp/>
        <stp>VEGA</stp>
        <stp>.SPY160318P214.5</stp>
        <tr r="U662" s="1"/>
      </tp>
      <tp t="s">
        <v>N/A</v>
        <stp/>
        <stp>VEGA</stp>
        <stp>.SPY160115P209.5</stp>
        <tr r="U610" s="1"/>
      </tp>
      <tp t="s">
        <v>N/A</v>
        <stp/>
        <stp>VEGA</stp>
        <stp>.SPY160115P219.5</stp>
        <tr r="U630" s="1"/>
      </tp>
      <tp t="s">
        <v>N/A</v>
        <stp/>
        <stp>VEGA</stp>
        <stp>.SPY150717P208.5</stp>
        <tr r="U398" s="1"/>
      </tp>
      <tp t="s">
        <v>N/A</v>
        <stp/>
        <stp>VEGA</stp>
        <stp>.SPY150717P218.5</stp>
        <tr r="U418" s="1"/>
      </tp>
      <tp t="s">
        <v>N/A</v>
        <stp/>
        <stp>VEGA</stp>
        <stp>.SPY150619P206.5</stp>
        <tr r="U310" s="1"/>
      </tp>
      <tp t="s">
        <v>N/A</v>
        <stp/>
        <stp>VEGA</stp>
        <stp>.SPY150619P216.5</stp>
        <tr r="U330" s="1"/>
      </tp>
      <tp>
        <v>0</v>
        <stp/>
        <stp>VEGA</stp>
        <stp>.SPY150508P217.5</stp>
        <tr r="U164" s="1"/>
      </tp>
      <tp>
        <v>4.8579999999999998E-2</v>
        <stp/>
        <stp>VEGA</stp>
        <stp>.SPY150508P207.5</stp>
        <tr r="U144" s="1"/>
      </tp>
      <tp>
        <v>8.0680000000000002E-2</v>
        <stp/>
        <stp>VEGA</stp>
        <stp>.SPY150529P216.5</stp>
        <tr r="U288" s="1"/>
      </tp>
      <tp>
        <v>0.17765</v>
        <stp/>
        <stp>VEGA</stp>
        <stp>.SPY150529P206.5</stp>
        <tr r="U268" s="1"/>
      </tp>
      <tp t="s">
        <v>N/A</v>
        <stp/>
        <stp>VEGA</stp>
        <stp>.SPY150417P208.5</stp>
        <tr r="U20" s="1"/>
      </tp>
      <tp t="s">
        <v>N/A</v>
        <stp/>
        <stp>VEGA</stp>
        <stp>.SPY150417P218.5</stp>
        <tr r="U40" s="1"/>
      </tp>
      <tp t="s">
        <v>N/A</v>
        <stp/>
        <stp>VEGA</stp>
        <stp>.SPY150918P207.5</stp>
        <tr r="U438" s="1"/>
      </tp>
      <tp t="s">
        <v>N/A</v>
        <stp/>
        <stp>VEGA</stp>
        <stp>.SPY150918P217.5</stp>
        <tr r="U458" s="1"/>
      </tp>
      <tp t="s">
        <v>N/A</v>
        <stp/>
        <stp>GAMMA</stp>
        <stp>.SPY150424P218</stp>
        <tr r="T81" s="1"/>
      </tp>
      <tp t="s">
        <v>N/A</v>
        <stp/>
        <stp>GAMMA</stp>
        <stp>.SPY150424C218</stp>
        <tr r="I81" s="1"/>
      </tp>
      <tp t="s">
        <v>N/A</v>
        <stp/>
        <stp>GAMMA</stp>
        <stp>.SPY150424P219</stp>
        <tr r="T83" s="1"/>
      </tp>
      <tp t="s">
        <v>N/A</v>
        <stp/>
        <stp>GAMMA</stp>
        <stp>.SPY150424C219</stp>
        <tr r="I83" s="1"/>
      </tp>
      <tp t="s">
        <v>N/A</v>
        <stp/>
        <stp>GAMMA</stp>
        <stp>.SPY150424P214</stp>
        <tr r="T73" s="1"/>
      </tp>
      <tp t="s">
        <v>N/A</v>
        <stp/>
        <stp>GAMMA</stp>
        <stp>.SPY150424C214</stp>
        <tr r="I73" s="1"/>
      </tp>
      <tp t="s">
        <v>N/A</v>
        <stp/>
        <stp>GAMMA</stp>
        <stp>.SPY150424P215</stp>
        <tr r="T75" s="1"/>
      </tp>
      <tp t="s">
        <v>N/A</v>
        <stp/>
        <stp>GAMMA</stp>
        <stp>.SPY150424C215</stp>
        <tr r="I75" s="1"/>
      </tp>
      <tp t="s">
        <v>N/A</v>
        <stp/>
        <stp>GAMMA</stp>
        <stp>.SPY150424P216</stp>
        <tr r="T77" s="1"/>
      </tp>
      <tp t="s">
        <v>N/A</v>
        <stp/>
        <stp>GAMMA</stp>
        <stp>.SPY150424C216</stp>
        <tr r="I77" s="1"/>
      </tp>
      <tp t="s">
        <v>N/A</v>
        <stp/>
        <stp>GAMMA</stp>
        <stp>.SPY150424P217</stp>
        <tr r="T79" s="1"/>
      </tp>
      <tp t="s">
        <v>N/A</v>
        <stp/>
        <stp>GAMMA</stp>
        <stp>.SPY150424C217</stp>
        <tr r="I79" s="1"/>
      </tp>
      <tp t="s">
        <v>N/A</v>
        <stp/>
        <stp>GAMMA</stp>
        <stp>.SPY150424P210</stp>
        <tr r="T65" s="1"/>
      </tp>
      <tp t="s">
        <v>N/A</v>
        <stp/>
        <stp>GAMMA</stp>
        <stp>.SPY150424C210</stp>
        <tr r="I65" s="1"/>
      </tp>
      <tp t="s">
        <v>N/A</v>
        <stp/>
        <stp>GAMMA</stp>
        <stp>.SPY150424P211</stp>
        <tr r="T67" s="1"/>
      </tp>
      <tp t="s">
        <v>N/A</v>
        <stp/>
        <stp>GAMMA</stp>
        <stp>.SPY150424C211</stp>
        <tr r="I67" s="1"/>
      </tp>
      <tp t="s">
        <v>N/A</v>
        <stp/>
        <stp>GAMMA</stp>
        <stp>.SPY150424P212</stp>
        <tr r="T69" s="1"/>
      </tp>
      <tp t="s">
        <v>N/A</v>
        <stp/>
        <stp>GAMMA</stp>
        <stp>.SPY150424C212</stp>
        <tr r="I69" s="1"/>
      </tp>
      <tp t="s">
        <v>N/A</v>
        <stp/>
        <stp>GAMMA</stp>
        <stp>.SPY150424P213</stp>
        <tr r="T71" s="1"/>
      </tp>
      <tp t="s">
        <v>N/A</v>
        <stp/>
        <stp>GAMMA</stp>
        <stp>.SPY150424C213</stp>
        <tr r="I71" s="1"/>
      </tp>
      <tp t="s">
        <v>N/A</v>
        <stp/>
        <stp>GAMMA</stp>
        <stp>.SPY150424P208</stp>
        <tr r="T61" s="1"/>
      </tp>
      <tp t="s">
        <v>N/A</v>
        <stp/>
        <stp>GAMMA</stp>
        <stp>.SPY150424C208</stp>
        <tr r="I61" s="1"/>
      </tp>
      <tp t="s">
        <v>N/A</v>
        <stp/>
        <stp>GAMMA</stp>
        <stp>.SPY150424P209</stp>
        <tr r="T63" s="1"/>
      </tp>
      <tp t="s">
        <v>N/A</v>
        <stp/>
        <stp>GAMMA</stp>
        <stp>.SPY150424C209</stp>
        <tr r="I63" s="1"/>
      </tp>
      <tp t="s">
        <v>N/A</v>
        <stp/>
        <stp>GAMMA</stp>
        <stp>.SPY150424P204</stp>
        <tr r="T53" s="1"/>
      </tp>
      <tp t="s">
        <v>N/A</v>
        <stp/>
        <stp>GAMMA</stp>
        <stp>.SPY150424C204</stp>
        <tr r="I53" s="1"/>
      </tp>
      <tp t="s">
        <v>N/A</v>
        <stp/>
        <stp>GAMMA</stp>
        <stp>.SPY150424P205</stp>
        <tr r="T55" s="1"/>
      </tp>
      <tp t="s">
        <v>N/A</v>
        <stp/>
        <stp>GAMMA</stp>
        <stp>.SPY150424C205</stp>
        <tr r="I55" s="1"/>
      </tp>
      <tp t="s">
        <v>N/A</v>
        <stp/>
        <stp>GAMMA</stp>
        <stp>.SPY150424P206</stp>
        <tr r="T57" s="1"/>
      </tp>
      <tp t="s">
        <v>N/A</v>
        <stp/>
        <stp>GAMMA</stp>
        <stp>.SPY150424C206</stp>
        <tr r="I57" s="1"/>
      </tp>
      <tp t="s">
        <v>N/A</v>
        <stp/>
        <stp>GAMMA</stp>
        <stp>.SPY150424P207</stp>
        <tr r="T59" s="1"/>
      </tp>
      <tp t="s">
        <v>N/A</v>
        <stp/>
        <stp>GAMMA</stp>
        <stp>.SPY150424C207</stp>
        <tr r="I59" s="1"/>
      </tp>
      <tp t="s">
        <v>N/A</v>
        <stp/>
        <stp>GAMMA</stp>
        <stp>.SPY150424P200</stp>
        <tr r="T45" s="1"/>
      </tp>
      <tp t="s">
        <v>N/A</v>
        <stp/>
        <stp>GAMMA</stp>
        <stp>.SPY150424C200</stp>
        <tr r="I45" s="1"/>
      </tp>
      <tp t="s">
        <v>N/A</v>
        <stp/>
        <stp>GAMMA</stp>
        <stp>.SPY150424P201</stp>
        <tr r="T47" s="1"/>
      </tp>
      <tp t="s">
        <v>N/A</v>
        <stp/>
        <stp>GAMMA</stp>
        <stp>.SPY150424C201</stp>
        <tr r="I47" s="1"/>
      </tp>
      <tp t="s">
        <v>N/A</v>
        <stp/>
        <stp>GAMMA</stp>
        <stp>.SPY150424P202</stp>
        <tr r="T49" s="1"/>
      </tp>
      <tp t="s">
        <v>N/A</v>
        <stp/>
        <stp>GAMMA</stp>
        <stp>.SPY150424C202</stp>
        <tr r="I49" s="1"/>
      </tp>
      <tp t="s">
        <v>N/A</v>
        <stp/>
        <stp>GAMMA</stp>
        <stp>.SPY150424P203</stp>
        <tr r="T51" s="1"/>
      </tp>
      <tp t="s">
        <v>N/A</v>
        <stp/>
        <stp>GAMMA</stp>
        <stp>.SPY150424C203</stp>
        <tr r="I51" s="1"/>
      </tp>
      <tp t="s">
        <v>N/A</v>
        <stp/>
        <stp>GAMMA</stp>
        <stp>.SPY150417P209</stp>
        <tr r="T21" s="1"/>
      </tp>
      <tp t="s">
        <v>N/A</v>
        <stp/>
        <stp>GAMMA</stp>
        <stp>.SPY150417C209</stp>
        <tr r="I21" s="1"/>
      </tp>
      <tp t="s">
        <v>N/A</v>
        <stp/>
        <stp>GAMMA</stp>
        <stp>.SPY150417P208</stp>
        <tr r="T19" s="1"/>
      </tp>
      <tp t="s">
        <v>N/A</v>
        <stp/>
        <stp>GAMMA</stp>
        <stp>.SPY150417C208</stp>
        <tr r="I19" s="1"/>
      </tp>
      <tp t="s">
        <v>N/A</v>
        <stp/>
        <stp>GAMMA</stp>
        <stp>.SPY150417P207</stp>
        <tr r="T17" s="1"/>
      </tp>
      <tp t="s">
        <v>N/A</v>
        <stp/>
        <stp>GAMMA</stp>
        <stp>.SPY150417C207</stp>
        <tr r="I17" s="1"/>
      </tp>
      <tp t="s">
        <v>N/A</v>
        <stp/>
        <stp>GAMMA</stp>
        <stp>.SPY150417P206</stp>
        <tr r="T15" s="1"/>
      </tp>
      <tp t="s">
        <v>N/A</v>
        <stp/>
        <stp>GAMMA</stp>
        <stp>.SPY150417C206</stp>
        <tr r="I15" s="1"/>
      </tp>
      <tp t="s">
        <v>N/A</v>
        <stp/>
        <stp>GAMMA</stp>
        <stp>.SPY150417P205</stp>
        <tr r="T13" s="1"/>
      </tp>
      <tp t="s">
        <v>N/A</v>
        <stp/>
        <stp>GAMMA</stp>
        <stp>.SPY150417C205</stp>
        <tr r="I13" s="1"/>
      </tp>
      <tp t="s">
        <v>N/A</v>
        <stp/>
        <stp>GAMMA</stp>
        <stp>.SPY150417P204</stp>
        <tr r="T11" s="1"/>
      </tp>
      <tp t="s">
        <v>N/A</v>
        <stp/>
        <stp>GAMMA</stp>
        <stp>.SPY150417C204</stp>
        <tr r="I11" s="1"/>
      </tp>
      <tp t="s">
        <v>N/A</v>
        <stp/>
        <stp>GAMMA</stp>
        <stp>.SPY150417P203</stp>
        <tr r="T9" s="1"/>
      </tp>
      <tp t="s">
        <v>N/A</v>
        <stp/>
        <stp>GAMMA</stp>
        <stp>.SPY150417C203</stp>
        <tr r="I9" s="1"/>
      </tp>
      <tp t="s">
        <v>N/A</v>
        <stp/>
        <stp>GAMMA</stp>
        <stp>.SPY150417P202</stp>
        <tr r="T7" s="1"/>
      </tp>
      <tp t="s">
        <v>N/A</v>
        <stp/>
        <stp>GAMMA</stp>
        <stp>.SPY150417C202</stp>
        <tr r="I7" s="1"/>
      </tp>
      <tp t="s">
        <v>N/A</v>
        <stp/>
        <stp>GAMMA</stp>
        <stp>.SPY150417P201</stp>
        <tr r="T5" s="1"/>
      </tp>
      <tp t="s">
        <v>N/A</v>
        <stp/>
        <stp>GAMMA</stp>
        <stp>.SPY150417C201</stp>
        <tr r="I5" s="1"/>
      </tp>
      <tp t="s">
        <v>N/A</v>
        <stp/>
        <stp>GAMMA</stp>
        <stp>.SPY150417P200</stp>
        <tr r="T3" s="1"/>
      </tp>
      <tp t="s">
        <v>N/A</v>
        <stp/>
        <stp>GAMMA</stp>
        <stp>.SPY150417C200</stp>
        <tr r="I3" s="1"/>
      </tp>
      <tp t="s">
        <v>N/A</v>
        <stp/>
        <stp>GAMMA</stp>
        <stp>.SPY150417P219</stp>
        <tr r="T41" s="1"/>
      </tp>
      <tp t="s">
        <v>N/A</v>
        <stp/>
        <stp>GAMMA</stp>
        <stp>.SPY150417C219</stp>
        <tr r="I41" s="1"/>
      </tp>
      <tp t="s">
        <v>N/A</v>
        <stp/>
        <stp>GAMMA</stp>
        <stp>.SPY150417P218</stp>
        <tr r="T39" s="1"/>
      </tp>
      <tp t="s">
        <v>N/A</v>
        <stp/>
        <stp>GAMMA</stp>
        <stp>.SPY150417C218</stp>
        <tr r="I39" s="1"/>
      </tp>
      <tp t="s">
        <v>N/A</v>
        <stp/>
        <stp>GAMMA</stp>
        <stp>.SPY150417P217</stp>
        <tr r="T37" s="1"/>
      </tp>
      <tp t="s">
        <v>N/A</v>
        <stp/>
        <stp>GAMMA</stp>
        <stp>.SPY150417C217</stp>
        <tr r="I37" s="1"/>
      </tp>
      <tp t="s">
        <v>N/A</v>
        <stp/>
        <stp>GAMMA</stp>
        <stp>.SPY150417P216</stp>
        <tr r="T35" s="1"/>
      </tp>
      <tp t="s">
        <v>N/A</v>
        <stp/>
        <stp>GAMMA</stp>
        <stp>.SPY150417C216</stp>
        <tr r="I35" s="1"/>
      </tp>
      <tp t="s">
        <v>N/A</v>
        <stp/>
        <stp>GAMMA</stp>
        <stp>.SPY150417P215</stp>
        <tr r="T33" s="1"/>
      </tp>
      <tp t="s">
        <v>N/A</v>
        <stp/>
        <stp>GAMMA</stp>
        <stp>.SPY150417C215</stp>
        <tr r="I33" s="1"/>
      </tp>
      <tp t="s">
        <v>N/A</v>
        <stp/>
        <stp>GAMMA</stp>
        <stp>.SPY150417P214</stp>
        <tr r="T31" s="1"/>
      </tp>
      <tp t="s">
        <v>N/A</v>
        <stp/>
        <stp>GAMMA</stp>
        <stp>.SPY150417C214</stp>
        <tr r="I31" s="1"/>
      </tp>
      <tp t="s">
        <v>N/A</v>
        <stp/>
        <stp>GAMMA</stp>
        <stp>.SPY150417P213</stp>
        <tr r="T29" s="1"/>
      </tp>
      <tp t="s">
        <v>N/A</v>
        <stp/>
        <stp>GAMMA</stp>
        <stp>.SPY150417C213</stp>
        <tr r="I29" s="1"/>
      </tp>
      <tp t="s">
        <v>N/A</v>
        <stp/>
        <stp>GAMMA</stp>
        <stp>.SPY150417P212</stp>
        <tr r="T27" s="1"/>
      </tp>
      <tp t="s">
        <v>N/A</v>
        <stp/>
        <stp>GAMMA</stp>
        <stp>.SPY150417C212</stp>
        <tr r="I27" s="1"/>
      </tp>
      <tp t="s">
        <v>N/A</v>
        <stp/>
        <stp>GAMMA</stp>
        <stp>.SPY150417P211</stp>
        <tr r="T25" s="1"/>
      </tp>
      <tp t="s">
        <v>N/A</v>
        <stp/>
        <stp>GAMMA</stp>
        <stp>.SPY150417C211</stp>
        <tr r="I25" s="1"/>
      </tp>
      <tp t="s">
        <v>N/A</v>
        <stp/>
        <stp>GAMMA</stp>
        <stp>.SPY150417P210</stp>
        <tr r="T23" s="1"/>
      </tp>
      <tp t="s">
        <v>N/A</v>
        <stp/>
        <stp>GAMMA</stp>
        <stp>.SPY150417C210</stp>
        <tr r="I23" s="1"/>
      </tp>
      <tp t="s">
        <v>N/A</v>
        <stp/>
        <stp>VEGA</stp>
        <stp>.SPY170317C205.5</stp>
        <tr r="J854" s="1"/>
      </tp>
      <tp t="s">
        <v>N/A</v>
        <stp/>
        <stp>VEGA</stp>
        <stp>.SPY170317C215.5</stp>
        <tr r="J874" s="1"/>
      </tp>
      <tp t="s">
        <v>N/A</v>
        <stp/>
        <stp>VEGA</stp>
        <stp>.SPY160115C206.5</stp>
        <tr r="J604" s="1"/>
      </tp>
      <tp t="s">
        <v>N/A</v>
        <stp/>
        <stp>VEGA</stp>
        <stp>.SPY160115C216.5</stp>
        <tr r="J624" s="1"/>
      </tp>
      <tp t="s">
        <v>N/A</v>
        <stp/>
        <stp>VEGA</stp>
        <stp>.SPY170120C212.5</stp>
        <tr r="J826" s="1"/>
      </tp>
      <tp t="s">
        <v>N/A</v>
        <stp/>
        <stp>VEGA</stp>
        <stp>.SPY170120C202.5</stp>
        <tr r="J806" s="1"/>
      </tp>
      <tp t="s">
        <v>N/A</v>
        <stp/>
        <stp>VEGA</stp>
        <stp>.SPY150717C207.5</stp>
        <tr r="J396" s="1"/>
      </tp>
      <tp t="s">
        <v>N/A</v>
        <stp/>
        <stp>VEGA</stp>
        <stp>.SPY150717C217.5</stp>
        <tr r="J416" s="1"/>
      </tp>
      <tp t="s">
        <v>N/A</v>
        <stp/>
        <stp>VEGA</stp>
        <stp>.SPY150619C209.5</stp>
        <tr r="J316" s="1"/>
      </tp>
      <tp t="s">
        <v>N/A</v>
        <stp/>
        <stp>VEGA</stp>
        <stp>.SPY160617C204.5</stp>
        <tr r="J684" s="1"/>
      </tp>
      <tp t="s">
        <v>N/A</v>
        <stp/>
        <stp>VEGA</stp>
        <stp>.SPY150619C219.5</stp>
        <tr r="J336" s="1"/>
      </tp>
      <tp t="s">
        <v>N/A</v>
        <stp/>
        <stp>VEGA</stp>
        <stp>.SPY160617C214.5</stp>
        <tr r="J704" s="1"/>
      </tp>
      <tp t="s">
        <v>N/A</v>
        <stp/>
        <stp>VEGA</stp>
        <stp>.SPY150630C200.5</stp>
        <tr r="J340" s="1"/>
      </tp>
      <tp t="s">
        <v>N/A</v>
        <stp/>
        <stp>VEGA</stp>
        <stp>.SPY150630C210.5</stp>
        <tr r="J360" s="1"/>
      </tp>
      <tp t="s">
        <v>N/A</v>
        <stp/>
        <stp>VEGA</stp>
        <stp>.SPY150501C211.5</stp>
        <tr r="J110" s="1"/>
      </tp>
      <tp>
        <v>4.15E-3</v>
        <stp/>
        <stp>VEGA</stp>
        <stp>.SPY150508C218.5</stp>
        <tr r="J166" s="1"/>
      </tp>
      <tp>
        <v>8.4370000000000001E-2</v>
        <stp/>
        <stp>VEGA</stp>
        <stp>.SPY150515C205.5</stp>
        <tr r="J182" s="1"/>
      </tp>
      <tp t="s">
        <v>N/A</v>
        <stp/>
        <stp>VEGA</stp>
        <stp>.SPY150501C201.5</stp>
        <tr r="J90" s="1"/>
      </tp>
      <tp>
        <v>6.1960000000000001E-2</v>
        <stp/>
        <stp>VEGA</stp>
        <stp>.SPY150508C208.5</stp>
        <tr r="J146" s="1"/>
      </tp>
      <tp>
        <v>6.9900000000000004E-2</v>
        <stp/>
        <stp>VEGA</stp>
        <stp>.SPY150515C215.5</stp>
        <tr r="J202" s="1"/>
      </tp>
      <tp>
        <v>0.18740999999999999</v>
        <stp/>
        <stp>VEGA</stp>
        <stp>.SPY150522C212.5</stp>
        <tr r="J238" s="1"/>
      </tp>
      <tp>
        <v>5.1869999999999999E-2</v>
        <stp/>
        <stp>VEGA</stp>
        <stp>.SPY150529C219.5</stp>
        <tr r="J294" s="1"/>
      </tp>
      <tp>
        <v>9.2740000000000003E-2</v>
        <stp/>
        <stp>VEGA</stp>
        <stp>.SPY150522C202.5</stp>
        <tr r="J218" s="1"/>
      </tp>
      <tp>
        <v>0.21622</v>
        <stp/>
        <stp>VEGA</stp>
        <stp>.SPY150529C209.5</stp>
        <tr r="J274" s="1"/>
      </tp>
      <tp t="s">
        <v>N/A</v>
        <stp/>
        <stp>VEGA</stp>
        <stp>.SPY150417C207.5</stp>
        <tr r="J18" s="1"/>
      </tp>
      <tp t="s">
        <v>N/A</v>
        <stp/>
        <stp>VEGA</stp>
        <stp>.SPY150417C217.5</stp>
        <tr r="J38" s="1"/>
      </tp>
      <tp t="s">
        <v>N/A</v>
        <stp/>
        <stp>VEGA</stp>
        <stp>.SPY150424C214.5</stp>
        <tr r="J74" s="1"/>
      </tp>
      <tp t="s">
        <v>N/A</v>
        <stp/>
        <stp>VEGA</stp>
        <stp>.SPY150424C204.5</stp>
        <tr r="J54" s="1"/>
      </tp>
      <tp t="s">
        <v>N/A</v>
        <stp/>
        <stp>VEGA</stp>
        <stp>.SPY150918C208.5</stp>
        <tr r="J440" s="1"/>
      </tp>
      <tp t="s">
        <v>N/A</v>
        <stp/>
        <stp>VEGA</stp>
        <stp>.SPY160916C205.5</stp>
        <tr r="J728" s="1"/>
      </tp>
      <tp t="s">
        <v>N/A</v>
        <stp/>
        <stp>VEGA</stp>
        <stp>.SPY150918C218.5</stp>
        <tr r="J460" s="1"/>
      </tp>
      <tp t="s">
        <v>N/A</v>
        <stp/>
        <stp>VEGA</stp>
        <stp>.SPY160916C215.5</stp>
        <tr r="J748" s="1"/>
      </tp>
      <tp t="s">
        <v>N/A</v>
        <stp/>
        <stp>VEGA</stp>
        <stp>.SPY150930C200.5</stp>
        <tr r="J466" s="1"/>
      </tp>
      <tp t="s">
        <v>N/A</v>
        <stp/>
        <stp>VEGA</stp>
        <stp>.SPY150930C210.5</stp>
        <tr r="J486" s="1"/>
      </tp>
      <tp t="s">
        <v>N/A</v>
        <stp/>
        <stp>VEGA</stp>
        <stp>.SPY151219C209.5</stp>
        <tr r="J526" s="1"/>
      </tp>
      <tp t="s">
        <v>N/A</v>
        <stp/>
        <stp>VEGA</stp>
        <stp>.SPY161216C205.5</stp>
        <tr r="J770" s="1"/>
      </tp>
      <tp t="s">
        <v>N/A</v>
        <stp/>
        <stp>VEGA</stp>
        <stp>.SPY171215C207.5</stp>
        <tr r="J900" s="1"/>
      </tp>
      <tp t="s">
        <v>N/A</v>
        <stp/>
        <stp>VEGA</stp>
        <stp>.SPY151219C219.5</stp>
        <tr r="J546" s="1"/>
      </tp>
      <tp t="s">
        <v>N/A</v>
        <stp/>
        <stp>VEGA</stp>
        <stp>.SPY161216C215.5</stp>
        <tr r="J790" s="1"/>
      </tp>
      <tp t="s">
        <v>N/A</v>
        <stp/>
        <stp>VEGA</stp>
        <stp>.SPY171215C217.5</stp>
        <tr r="J920" s="1"/>
      </tp>
      <tp t="s">
        <v>N/A</v>
        <stp/>
        <stp>VEGA</stp>
        <stp>.SPY151231C201.5</stp>
        <tr r="J552" s="1"/>
      </tp>
      <tp t="s">
        <v>N/A</v>
        <stp/>
        <stp>VEGA</stp>
        <stp>.SPY151231C211.5</stp>
        <tr r="J572" s="1"/>
      </tp>
      <tp t="s">
        <v>N/A</v>
        <stp/>
        <stp>VEGA</stp>
        <stp>.SPY151219P209.5</stp>
        <tr r="U526" s="1"/>
      </tp>
      <tp t="s">
        <v>N/A</v>
        <stp/>
        <stp>VEGA</stp>
        <stp>.SPY161216P205.5</stp>
        <tr r="U770" s="1"/>
      </tp>
      <tp t="s">
        <v>N/A</v>
        <stp/>
        <stp>VEGA</stp>
        <stp>.SPY171215P207.5</stp>
        <tr r="U900" s="1"/>
      </tp>
      <tp t="s">
        <v>N/A</v>
        <stp/>
        <stp>VEGA</stp>
        <stp>.SPY151219P219.5</stp>
        <tr r="U546" s="1"/>
      </tp>
      <tp t="s">
        <v>N/A</v>
        <stp/>
        <stp>VEGA</stp>
        <stp>.SPY161216P215.5</stp>
        <tr r="U790" s="1"/>
      </tp>
      <tp t="s">
        <v>N/A</v>
        <stp/>
        <stp>VEGA</stp>
        <stp>.SPY171215P217.5</stp>
        <tr r="U920" s="1"/>
      </tp>
      <tp t="s">
        <v>N/A</v>
        <stp/>
        <stp>VEGA</stp>
        <stp>.SPY151231P201.5</stp>
        <tr r="U552" s="1"/>
      </tp>
      <tp t="s">
        <v>N/A</v>
        <stp/>
        <stp>VEGA</stp>
        <stp>.SPY151231P211.5</stp>
        <tr r="U572" s="1"/>
      </tp>
      <tp t="s">
        <v>N/A</v>
        <stp/>
        <stp>VEGA</stp>
        <stp>.SPY170317P205.5</stp>
        <tr r="U854" s="1"/>
      </tp>
      <tp t="s">
        <v>N/A</v>
        <stp/>
        <stp>VEGA</stp>
        <stp>.SPY170317P215.5</stp>
        <tr r="U874" s="1"/>
      </tp>
      <tp t="s">
        <v>N/A</v>
        <stp/>
        <stp>VEGA</stp>
        <stp>.SPY160115P206.5</stp>
        <tr r="U604" s="1"/>
      </tp>
      <tp t="s">
        <v>N/A</v>
        <stp/>
        <stp>VEGA</stp>
        <stp>.SPY160115P216.5</stp>
        <tr r="U624" s="1"/>
      </tp>
      <tp t="s">
        <v>N/A</v>
        <stp/>
        <stp>VEGA</stp>
        <stp>.SPY170120P212.5</stp>
        <tr r="U826" s="1"/>
      </tp>
      <tp t="s">
        <v>N/A</v>
        <stp/>
        <stp>VEGA</stp>
        <stp>.SPY170120P202.5</stp>
        <tr r="U806" s="1"/>
      </tp>
      <tp t="s">
        <v>N/A</v>
        <stp/>
        <stp>VEGA</stp>
        <stp>.SPY150717P207.5</stp>
        <tr r="U396" s="1"/>
      </tp>
      <tp t="s">
        <v>N/A</v>
        <stp/>
        <stp>VEGA</stp>
        <stp>.SPY150717P217.5</stp>
        <tr r="U416" s="1"/>
      </tp>
      <tp t="s">
        <v>N/A</v>
        <stp/>
        <stp>VEGA</stp>
        <stp>.SPY150619P209.5</stp>
        <tr r="U316" s="1"/>
      </tp>
      <tp t="s">
        <v>N/A</v>
        <stp/>
        <stp>VEGA</stp>
        <stp>.SPY160617P204.5</stp>
        <tr r="U684" s="1"/>
      </tp>
      <tp t="s">
        <v>N/A</v>
        <stp/>
        <stp>VEGA</stp>
        <stp>.SPY150619P219.5</stp>
        <tr r="U336" s="1"/>
      </tp>
      <tp t="s">
        <v>N/A</v>
        <stp/>
        <stp>VEGA</stp>
        <stp>.SPY160617P214.5</stp>
        <tr r="U704" s="1"/>
      </tp>
      <tp t="s">
        <v>N/A</v>
        <stp/>
        <stp>VEGA</stp>
        <stp>.SPY150630P200.5</stp>
        <tr r="U340" s="1"/>
      </tp>
      <tp t="s">
        <v>N/A</v>
        <stp/>
        <stp>VEGA</stp>
        <stp>.SPY150630P210.5</stp>
        <tr r="U360" s="1"/>
      </tp>
      <tp t="s">
        <v>N/A</v>
        <stp/>
        <stp>VEGA</stp>
        <stp>.SPY150501P211.5</stp>
        <tr r="U110" s="1"/>
      </tp>
      <tp>
        <v>0.43519000000000002</v>
        <stp/>
        <stp>VEGA</stp>
        <stp>.SPY150508P218.5</stp>
        <tr r="U166" s="1"/>
      </tp>
      <tp>
        <v>8.1350000000000006E-2</v>
        <stp/>
        <stp>VEGA</stp>
        <stp>.SPY150515P205.5</stp>
        <tr r="U182" s="1"/>
      </tp>
      <tp t="s">
        <v>N/A</v>
        <stp/>
        <stp>VEGA</stp>
        <stp>.SPY150501P201.5</stp>
        <tr r="U90" s="1"/>
      </tp>
      <tp>
        <v>6.2570000000000001E-2</v>
        <stp/>
        <stp>VEGA</stp>
        <stp>.SPY150508P208.5</stp>
        <tr r="U146" s="1"/>
      </tp>
      <tp>
        <v>4.197E-2</v>
        <stp/>
        <stp>VEGA</stp>
        <stp>.SPY150515P215.5</stp>
        <tr r="U202" s="1"/>
      </tp>
      <tp>
        <v>0.18631</v>
        <stp/>
        <stp>VEGA</stp>
        <stp>.SPY150522P212.5</stp>
        <tr r="U238" s="1"/>
      </tp>
      <tp>
        <v>0</v>
        <stp/>
        <stp>VEGA</stp>
        <stp>.SPY150529P219.5</stp>
        <tr r="U294" s="1"/>
      </tp>
      <tp>
        <v>8.498E-2</v>
        <stp/>
        <stp>VEGA</stp>
        <stp>.SPY150522P202.5</stp>
        <tr r="U218" s="1"/>
      </tp>
      <tp>
        <v>0.21554000000000001</v>
        <stp/>
        <stp>VEGA</stp>
        <stp>.SPY150529P209.5</stp>
        <tr r="U274" s="1"/>
      </tp>
      <tp t="s">
        <v>N/A</v>
        <stp/>
        <stp>VEGA</stp>
        <stp>.SPY150417P207.5</stp>
        <tr r="U18" s="1"/>
      </tp>
      <tp t="s">
        <v>N/A</v>
        <stp/>
        <stp>VEGA</stp>
        <stp>.SPY150417P217.5</stp>
        <tr r="U38" s="1"/>
      </tp>
      <tp t="s">
        <v>N/A</v>
        <stp/>
        <stp>VEGA</stp>
        <stp>.SPY150424P214.5</stp>
        <tr r="U74" s="1"/>
      </tp>
      <tp t="s">
        <v>N/A</v>
        <stp/>
        <stp>VEGA</stp>
        <stp>.SPY150424P204.5</stp>
        <tr r="U54" s="1"/>
      </tp>
      <tp t="s">
        <v>N/A</v>
        <stp/>
        <stp>VEGA</stp>
        <stp>.SPY150918P208.5</stp>
        <tr r="U440" s="1"/>
      </tp>
      <tp t="s">
        <v>N/A</v>
        <stp/>
        <stp>VEGA</stp>
        <stp>.SPY160916P205.5</stp>
        <tr r="U728" s="1"/>
      </tp>
      <tp t="s">
        <v>N/A</v>
        <stp/>
        <stp>VEGA</stp>
        <stp>.SPY150918P218.5</stp>
        <tr r="U460" s="1"/>
      </tp>
      <tp t="s">
        <v>N/A</v>
        <stp/>
        <stp>VEGA</stp>
        <stp>.SPY160916P215.5</stp>
        <tr r="U748" s="1"/>
      </tp>
      <tp t="s">
        <v>N/A</v>
        <stp/>
        <stp>VEGA</stp>
        <stp>.SPY150930P200.5</stp>
        <tr r="U466" s="1"/>
      </tp>
      <tp t="s">
        <v>N/A</v>
        <stp/>
        <stp>VEGA</stp>
        <stp>.SPY150930P210.5</stp>
        <tr r="U486" s="1"/>
      </tp>
      <tp>
        <v>-1.7340000000000001E-2</v>
        <stp/>
        <stp>THETA</stp>
        <stp>.SPY151231C200</stp>
        <tr r="H549" s="1"/>
      </tp>
      <tp>
        <v>-2.5319999999999999E-2</v>
        <stp/>
        <stp>THETA</stp>
        <stp>.SPY151231P200</stp>
        <tr r="S549" s="1"/>
      </tp>
      <tp>
        <v>-1.746E-2</v>
        <stp/>
        <stp>THETA</stp>
        <stp>.SPY151231C201</stp>
        <tr r="H551" s="1"/>
      </tp>
      <tp>
        <v>-2.545E-2</v>
        <stp/>
        <stp>THETA</stp>
        <stp>.SPY151231P201</stp>
        <tr r="S551" s="1"/>
      </tp>
      <tp>
        <v>-1.7520000000000001E-2</v>
        <stp/>
        <stp>THETA</stp>
        <stp>.SPY151231C202</stp>
        <tr r="H553" s="1"/>
      </tp>
      <tp>
        <v>-2.546E-2</v>
        <stp/>
        <stp>THETA</stp>
        <stp>.SPY151231P202</stp>
        <tr r="S553" s="1"/>
      </tp>
      <tp>
        <v>-1.7579999999999998E-2</v>
        <stp/>
        <stp>THETA</stp>
        <stp>.SPY151231C203</stp>
        <tr r="H555" s="1"/>
      </tp>
      <tp>
        <v>-2.5489999999999999E-2</v>
        <stp/>
        <stp>THETA</stp>
        <stp>.SPY151231P203</stp>
        <tr r="S555" s="1"/>
      </tp>
      <tp>
        <v>-1.7590000000000001E-2</v>
        <stp/>
        <stp>THETA</stp>
        <stp>.SPY151231C204</stp>
        <tr r="H557" s="1"/>
      </tp>
      <tp>
        <v>-2.563E-2</v>
        <stp/>
        <stp>THETA</stp>
        <stp>.SPY151231P204</stp>
        <tr r="S557" s="1"/>
      </tp>
      <tp>
        <v>-1.762E-2</v>
        <stp/>
        <stp>THETA</stp>
        <stp>.SPY151231C205</stp>
        <tr r="H559" s="1"/>
      </tp>
      <tp>
        <v>-2.5659999999999999E-2</v>
        <stp/>
        <stp>THETA</stp>
        <stp>.SPY151231P205</stp>
        <tr r="S559" s="1"/>
      </tp>
      <tp>
        <v>-1.754E-2</v>
        <stp/>
        <stp>THETA</stp>
        <stp>.SPY151231C206</stp>
        <tr r="H561" s="1"/>
      </tp>
      <tp>
        <v>-2.5680000000000001E-2</v>
        <stp/>
        <stp>THETA</stp>
        <stp>.SPY151231P206</stp>
        <tr r="S561" s="1"/>
      </tp>
      <tp>
        <v>-1.753E-2</v>
        <stp/>
        <stp>THETA</stp>
        <stp>.SPY151231C207</stp>
        <tr r="H563" s="1"/>
      </tp>
      <tp>
        <v>-2.5739999999999999E-2</v>
        <stp/>
        <stp>THETA</stp>
        <stp>.SPY151231P207</stp>
        <tr r="S563" s="1"/>
      </tp>
      <tp>
        <v>-1.7399999999999999E-2</v>
        <stp/>
        <stp>THETA</stp>
        <stp>.SPY151231C208</stp>
        <tr r="H565" s="1"/>
      </tp>
      <tp>
        <v>-2.563E-2</v>
        <stp/>
        <stp>THETA</stp>
        <stp>.SPY151231P208</stp>
        <tr r="S565" s="1"/>
      </tp>
      <tp>
        <v>-1.729E-2</v>
        <stp/>
        <stp>THETA</stp>
        <stp>.SPY151231C209</stp>
        <tr r="H567" s="1"/>
      </tp>
      <tp>
        <v>-2.5569999999999999E-2</v>
        <stp/>
        <stp>THETA</stp>
        <stp>.SPY151231P209</stp>
        <tr r="S567" s="1"/>
      </tp>
      <tp>
        <v>-1.7149999999999999E-2</v>
        <stp/>
        <stp>THETA</stp>
        <stp>.SPY151231C210</stp>
        <tr r="H569" s="1"/>
      </tp>
      <tp>
        <v>-2.555E-2</v>
        <stp/>
        <stp>THETA</stp>
        <stp>.SPY151231P210</stp>
        <tr r="S569" s="1"/>
      </tp>
      <tp>
        <v>-1.703E-2</v>
        <stp/>
        <stp>THETA</stp>
        <stp>.SPY151231C211</stp>
        <tr r="H571" s="1"/>
      </tp>
      <tp>
        <v>-2.5319999999999999E-2</v>
        <stp/>
        <stp>THETA</stp>
        <stp>.SPY151231P211</stp>
        <tr r="S571" s="1"/>
      </tp>
      <tp>
        <v>-1.6820000000000002E-2</v>
        <stp/>
        <stp>THETA</stp>
        <stp>.SPY151231C212</stp>
        <tr r="H573" s="1"/>
      </tp>
      <tp>
        <v>-2.5180000000000001E-2</v>
        <stp/>
        <stp>THETA</stp>
        <stp>.SPY151231P212</stp>
        <tr r="S573" s="1"/>
      </tp>
      <tp>
        <v>-1.6660000000000001E-2</v>
        <stp/>
        <stp>THETA</stp>
        <stp>.SPY151231C213</stp>
        <tr r="H575" s="1"/>
      </tp>
      <tp>
        <v>-2.5100000000000001E-2</v>
        <stp/>
        <stp>THETA</stp>
        <stp>.SPY151231P213</stp>
        <tr r="S575" s="1"/>
      </tp>
      <tp>
        <v>-1.6320000000000001E-2</v>
        <stp/>
        <stp>THETA</stp>
        <stp>.SPY151231C214</stp>
        <tr r="H577" s="1"/>
      </tp>
      <tp>
        <v>-2.4809999999999999E-2</v>
        <stp/>
        <stp>THETA</stp>
        <stp>.SPY151231P214</stp>
        <tr r="S577" s="1"/>
      </tp>
      <tp>
        <v>-1.602E-2</v>
        <stp/>
        <stp>THETA</stp>
        <stp>.SPY151231C215</stp>
        <tr r="H579" s="1"/>
      </tp>
      <tp>
        <v>-2.4580000000000001E-2</v>
        <stp/>
        <stp>THETA</stp>
        <stp>.SPY151231P215</stp>
        <tr r="S579" s="1"/>
      </tp>
      <tp>
        <v>-1.5679999999999999E-2</v>
        <stp/>
        <stp>THETA</stp>
        <stp>.SPY151231C216</stp>
        <tr r="H581" s="1"/>
      </tp>
      <tp>
        <v>-2.4240000000000001E-2</v>
        <stp/>
        <stp>THETA</stp>
        <stp>.SPY151231P216</stp>
        <tr r="S581" s="1"/>
      </tp>
      <tp>
        <v>-1.532E-2</v>
        <stp/>
        <stp>THETA</stp>
        <stp>.SPY151231C217</stp>
        <tr r="H583" s="1"/>
      </tp>
      <tp>
        <v>-2.3980000000000001E-2</v>
        <stp/>
        <stp>THETA</stp>
        <stp>.SPY151231P217</stp>
        <tr r="S583" s="1"/>
      </tp>
      <tp>
        <v>-1.5010000000000001E-2</v>
        <stp/>
        <stp>THETA</stp>
        <stp>.SPY151231C218</stp>
        <tr r="H585" s="1"/>
      </tp>
      <tp>
        <v>-2.376E-2</v>
        <stp/>
        <stp>THETA</stp>
        <stp>.SPY151231P218</stp>
        <tr r="S585" s="1"/>
      </tp>
      <tp>
        <v>-1.461E-2</v>
        <stp/>
        <stp>THETA</stp>
        <stp>.SPY151231C219</stp>
        <tr r="H587" s="1"/>
      </tp>
      <tp>
        <v>-2.341E-2</v>
        <stp/>
        <stp>THETA</stp>
        <stp>.SPY151231P219</stp>
        <tr r="S587" s="1"/>
      </tp>
      <tp>
        <v>-1.7829999999999999E-2</v>
        <stp/>
        <stp>THETA</stp>
        <stp>.SPY151219C208</stp>
        <tr r="H523" s="1"/>
      </tp>
      <tp t="s">
        <v>N/A</v>
        <stp/>
        <stp>THETA</stp>
        <stp>.SPY161216C204</stp>
        <tr r="H767" s="1"/>
      </tp>
      <tp t="s">
        <v>N/A</v>
        <stp/>
        <stp>THETA</stp>
        <stp>.SPY171215C206</stp>
        <tr r="H897" s="1"/>
      </tp>
      <tp>
        <v>-2.6210000000000001E-2</v>
        <stp/>
        <stp>THETA</stp>
        <stp>.SPY151219P208</stp>
        <tr r="S523" s="1"/>
      </tp>
      <tp t="s">
        <v>N/A</v>
        <stp/>
        <stp>THETA</stp>
        <stp>.SPY161216P204</stp>
        <tr r="S767" s="1"/>
      </tp>
      <tp t="s">
        <v>N/A</v>
        <stp/>
        <stp>THETA</stp>
        <stp>.SPY171215P206</stp>
        <tr r="S897" s="1"/>
      </tp>
      <tp>
        <v>-1.7729999999999999E-2</v>
        <stp/>
        <stp>THETA</stp>
        <stp>.SPY151219C209</stp>
        <tr r="H525" s="1"/>
      </tp>
      <tp>
        <v>-1.223E-2</v>
        <stp/>
        <stp>THETA</stp>
        <stp>.SPY161216C205</stp>
        <tr r="H769" s="1"/>
      </tp>
      <tp t="s">
        <v>N/A</v>
        <stp/>
        <stp>THETA</stp>
        <stp>.SPY171215C207</stp>
        <tr r="H899" s="1"/>
      </tp>
      <tp>
        <v>-2.622E-2</v>
        <stp/>
        <stp>THETA</stp>
        <stp>.SPY151219P209</stp>
        <tr r="S525" s="1"/>
      </tp>
      <tp>
        <v>-1.9040000000000001E-2</v>
        <stp/>
        <stp>THETA</stp>
        <stp>.SPY161216P205</stp>
        <tr r="S769" s="1"/>
      </tp>
      <tp t="s">
        <v>N/A</v>
        <stp/>
        <stp>THETA</stp>
        <stp>.SPY171215P207</stp>
        <tr r="S899" s="1"/>
      </tp>
      <tp t="s">
        <v>N/A</v>
        <stp/>
        <stp>THETA</stp>
        <stp>.SPY161216C206</stp>
        <tr r="H771" s="1"/>
      </tp>
      <tp t="s">
        <v>N/A</v>
        <stp/>
        <stp>THETA</stp>
        <stp>.SPY171215C204</stp>
        <tr r="H893" s="1"/>
      </tp>
      <tp t="s">
        <v>N/A</v>
        <stp/>
        <stp>THETA</stp>
        <stp>.SPY161216P206</stp>
        <tr r="S771" s="1"/>
      </tp>
      <tp t="s">
        <v>N/A</v>
        <stp/>
        <stp>THETA</stp>
        <stp>.SPY171215P204</stp>
        <tr r="S893" s="1"/>
      </tp>
      <tp t="s">
        <v>N/A</v>
        <stp/>
        <stp>THETA</stp>
        <stp>.SPY161216C207</stp>
        <tr r="H773" s="1"/>
      </tp>
      <tp>
        <v>-0.01</v>
        <stp/>
        <stp>THETA</stp>
        <stp>.SPY171215C205</stp>
        <tr r="H895" s="1"/>
      </tp>
      <tp t="s">
        <v>N/A</v>
        <stp/>
        <stp>THETA</stp>
        <stp>.SPY161216P207</stp>
        <tr r="S773" s="1"/>
      </tp>
      <tp>
        <v>-1.585E-2</v>
        <stp/>
        <stp>THETA</stp>
        <stp>.SPY171215P205</stp>
        <tr r="S895" s="1"/>
      </tp>
      <tp>
        <v>-1.2279999999999999E-2</v>
        <stp/>
        <stp>THETA</stp>
        <stp>.SPY161216C200</stp>
        <tr r="H759" s="1"/>
      </tp>
      <tp t="s">
        <v>N/A</v>
        <stp/>
        <stp>THETA</stp>
        <stp>.SPY171215C202</stp>
        <tr r="H889" s="1"/>
      </tp>
      <tp>
        <v>-1.9099999999999999E-2</v>
        <stp/>
        <stp>THETA</stp>
        <stp>.SPY161216P200</stp>
        <tr r="S759" s="1"/>
      </tp>
      <tp t="s">
        <v>N/A</v>
        <stp/>
        <stp>THETA</stp>
        <stp>.SPY171215P202</stp>
        <tr r="S889" s="1"/>
      </tp>
      <tp t="s">
        <v>N/A</v>
        <stp/>
        <stp>THETA</stp>
        <stp>.SPY161216C201</stp>
        <tr r="H761" s="1"/>
      </tp>
      <tp t="s">
        <v>N/A</v>
        <stp/>
        <stp>THETA</stp>
        <stp>.SPY171215C203</stp>
        <tr r="H891" s="1"/>
      </tp>
      <tp t="s">
        <v>N/A</v>
        <stp/>
        <stp>THETA</stp>
        <stp>.SPY161216P201</stp>
        <tr r="S761" s="1"/>
      </tp>
      <tp t="s">
        <v>N/A</v>
        <stp/>
        <stp>THETA</stp>
        <stp>.SPY171215P203</stp>
        <tr r="S891" s="1"/>
      </tp>
      <tp t="s">
        <v>N/A</v>
        <stp/>
        <stp>THETA</stp>
        <stp>.SPY161216C202</stp>
        <tr r="H763" s="1"/>
      </tp>
      <tp>
        <v>-9.9600000000000001E-3</v>
        <stp/>
        <stp>THETA</stp>
        <stp>.SPY171215C200</stp>
        <tr r="H885" s="1"/>
      </tp>
      <tp t="s">
        <v>N/A</v>
        <stp/>
        <stp>THETA</stp>
        <stp>.SPY161216P202</stp>
        <tr r="S763" s="1"/>
      </tp>
      <tp>
        <v>-1.576E-2</v>
        <stp/>
        <stp>THETA</stp>
        <stp>.SPY171215P200</stp>
        <tr r="S885" s="1"/>
      </tp>
      <tp t="s">
        <v>N/A</v>
        <stp/>
        <stp>THETA</stp>
        <stp>.SPY161216C203</stp>
        <tr r="H765" s="1"/>
      </tp>
      <tp t="s">
        <v>N/A</v>
        <stp/>
        <stp>THETA</stp>
        <stp>.SPY171215C201</stp>
        <tr r="H887" s="1"/>
      </tp>
      <tp t="s">
        <v>N/A</v>
        <stp/>
        <stp>THETA</stp>
        <stp>.SPY161216P203</stp>
        <tr r="S765" s="1"/>
      </tp>
      <tp t="s">
        <v>N/A</v>
        <stp/>
        <stp>THETA</stp>
        <stp>.SPY171215P201</stp>
        <tr r="S887" s="1"/>
      </tp>
      <tp>
        <v>-1.779E-2</v>
        <stp/>
        <stp>THETA</stp>
        <stp>.SPY151219C200</stp>
        <tr r="H507" s="1"/>
      </tp>
      <tp>
        <v>-2.588E-2</v>
        <stp/>
        <stp>THETA</stp>
        <stp>.SPY151219P200</stp>
        <tr r="S507" s="1"/>
      </tp>
      <tp>
        <v>-1.789E-2</v>
        <stp/>
        <stp>THETA</stp>
        <stp>.SPY151219C201</stp>
        <tr r="H509" s="1"/>
      </tp>
      <tp>
        <v>-2.598E-2</v>
        <stp/>
        <stp>THETA</stp>
        <stp>.SPY151219P201</stp>
        <tr r="S509" s="1"/>
      </tp>
      <tp>
        <v>-1.7979999999999999E-2</v>
        <stp/>
        <stp>THETA</stp>
        <stp>.SPY151219C202</stp>
        <tr r="H511" s="1"/>
      </tp>
      <tp>
        <v>-2.6040000000000001E-2</v>
        <stp/>
        <stp>THETA</stp>
        <stp>.SPY151219P202</stp>
        <tr r="S511" s="1"/>
      </tp>
      <tp>
        <v>-1.806E-2</v>
        <stp/>
        <stp>THETA</stp>
        <stp>.SPY151219C203</stp>
        <tr r="H513" s="1"/>
      </tp>
      <tp>
        <v>-2.6190000000000001E-2</v>
        <stp/>
        <stp>THETA</stp>
        <stp>.SPY151219P203</stp>
        <tr r="S513" s="1"/>
      </tp>
      <tp>
        <v>-1.805E-2</v>
        <stp/>
        <stp>THETA</stp>
        <stp>.SPY151219C204</stp>
        <tr r="H515" s="1"/>
      </tp>
      <tp t="s">
        <v>N/A</v>
        <stp/>
        <stp>THETA</stp>
        <stp>.SPY161216C208</stp>
        <tr r="H775" s="1"/>
      </tp>
      <tp>
        <v>-2.6210000000000001E-2</v>
        <stp/>
        <stp>THETA</stp>
        <stp>.SPY151219P204</stp>
        <tr r="S515" s="1"/>
      </tp>
      <tp t="s">
        <v>N/A</v>
        <stp/>
        <stp>THETA</stp>
        <stp>.SPY161216P208</stp>
        <tr r="S775" s="1"/>
      </tp>
      <tp>
        <v>-1.806E-2</v>
        <stp/>
        <stp>THETA</stp>
        <stp>.SPY151219C205</stp>
        <tr r="H517" s="1"/>
      </tp>
      <tp t="s">
        <v>N/A</v>
        <stp/>
        <stp>THETA</stp>
        <stp>.SPY161216C209</stp>
        <tr r="H777" s="1"/>
      </tp>
      <tp>
        <v>-2.631E-2</v>
        <stp/>
        <stp>THETA</stp>
        <stp>.SPY151219P205</stp>
        <tr r="S517" s="1"/>
      </tp>
      <tp t="s">
        <v>N/A</v>
        <stp/>
        <stp>THETA</stp>
        <stp>.SPY161216P209</stp>
        <tr r="S777" s="1"/>
      </tp>
      <tp>
        <v>-1.7999999999999999E-2</v>
        <stp/>
        <stp>THETA</stp>
        <stp>.SPY151219C206</stp>
        <tr r="H519" s="1"/>
      </tp>
      <tp t="s">
        <v>N/A</v>
        <stp/>
        <stp>THETA</stp>
        <stp>.SPY171215C208</stp>
        <tr r="H901" s="1"/>
      </tp>
      <tp>
        <v>-2.6259999999999999E-2</v>
        <stp/>
        <stp>THETA</stp>
        <stp>.SPY151219P206</stp>
        <tr r="S519" s="1"/>
      </tp>
      <tp t="s">
        <v>N/A</v>
        <stp/>
        <stp>THETA</stp>
        <stp>.SPY171215P208</stp>
        <tr r="S901" s="1"/>
      </tp>
      <tp>
        <v>-1.7919999999999998E-2</v>
        <stp/>
        <stp>THETA</stp>
        <stp>.SPY151219C207</stp>
        <tr r="H521" s="1"/>
      </tp>
      <tp t="s">
        <v>N/A</v>
        <stp/>
        <stp>THETA</stp>
        <stp>.SPY171215C209</stp>
        <tr r="H903" s="1"/>
      </tp>
      <tp>
        <v>-2.6339999999999999E-2</v>
        <stp/>
        <stp>THETA</stp>
        <stp>.SPY151219P207</stp>
        <tr r="S521" s="1"/>
      </tp>
      <tp t="s">
        <v>N/A</v>
        <stp/>
        <stp>THETA</stp>
        <stp>.SPY171215P209</stp>
        <tr r="S903" s="1"/>
      </tp>
      <tp>
        <v>-1.528E-2</v>
        <stp/>
        <stp>THETA</stp>
        <stp>.SPY151219C218</stp>
        <tr r="H543" s="1"/>
      </tp>
      <tp t="s">
        <v>N/A</v>
        <stp/>
        <stp>THETA</stp>
        <stp>.SPY161216C214</stp>
        <tr r="H787" s="1"/>
      </tp>
      <tp t="s">
        <v>N/A</v>
        <stp/>
        <stp>THETA</stp>
        <stp>.SPY171215C216</stp>
        <tr r="H917" s="1"/>
      </tp>
      <tp>
        <v>-2.4250000000000001E-2</v>
        <stp/>
        <stp>THETA</stp>
        <stp>.SPY151219P218</stp>
        <tr r="S543" s="1"/>
      </tp>
      <tp t="s">
        <v>N/A</v>
        <stp/>
        <stp>THETA</stp>
        <stp>.SPY161216P214</stp>
        <tr r="S787" s="1"/>
      </tp>
      <tp t="s">
        <v>N/A</v>
        <stp/>
        <stp>THETA</stp>
        <stp>.SPY171215P216</stp>
        <tr r="S917" s="1"/>
      </tp>
      <tp>
        <v>-1.4930000000000001E-2</v>
        <stp/>
        <stp>THETA</stp>
        <stp>.SPY151219C219</stp>
        <tr r="H545" s="1"/>
      </tp>
      <tp>
        <v>-1.179E-2</v>
        <stp/>
        <stp>THETA</stp>
        <stp>.SPY161216C215</stp>
        <tr r="H789" s="1"/>
      </tp>
      <tp t="s">
        <v>N/A</v>
        <stp/>
        <stp>THETA</stp>
        <stp>.SPY171215C217</stp>
        <tr r="H919" s="1"/>
      </tp>
      <tp>
        <v>-2.3890000000000002E-2</v>
        <stp/>
        <stp>THETA</stp>
        <stp>.SPY151219P219</stp>
        <tr r="S545" s="1"/>
      </tp>
      <tp>
        <v>-1.8720000000000001E-2</v>
        <stp/>
        <stp>THETA</stp>
        <stp>.SPY161216P215</stp>
        <tr r="S789" s="1"/>
      </tp>
      <tp t="s">
        <v>N/A</v>
        <stp/>
        <stp>THETA</stp>
        <stp>.SPY171215P217</stp>
        <tr r="S919" s="1"/>
      </tp>
      <tp t="s">
        <v>N/A</v>
        <stp/>
        <stp>THETA</stp>
        <stp>.SPY161216C216</stp>
        <tr r="H791" s="1"/>
      </tp>
      <tp t="s">
        <v>N/A</v>
        <stp/>
        <stp>THETA</stp>
        <stp>.SPY171215C214</stp>
        <tr r="H913" s="1"/>
      </tp>
      <tp t="s">
        <v>N/A</v>
        <stp/>
        <stp>THETA</stp>
        <stp>.SPY161216P216</stp>
        <tr r="S791" s="1"/>
      </tp>
      <tp t="s">
        <v>N/A</v>
        <stp/>
        <stp>THETA</stp>
        <stp>.SPY171215P214</stp>
        <tr r="S913" s="1"/>
      </tp>
      <tp t="s">
        <v>N/A</v>
        <stp/>
        <stp>THETA</stp>
        <stp>.SPY161216C217</stp>
        <tr r="H793" s="1"/>
      </tp>
      <tp>
        <v>-9.9399999999999992E-3</v>
        <stp/>
        <stp>THETA</stp>
        <stp>.SPY171215C215</stp>
        <tr r="H915" s="1"/>
      </tp>
      <tp t="s">
        <v>N/A</v>
        <stp/>
        <stp>THETA</stp>
        <stp>.SPY161216P217</stp>
        <tr r="S793" s="1"/>
      </tp>
      <tp>
        <v>-1.5610000000000001E-2</v>
        <stp/>
        <stp>THETA</stp>
        <stp>.SPY171215P215</stp>
        <tr r="S915" s="1"/>
      </tp>
      <tp>
        <v>-1.21E-2</v>
        <stp/>
        <stp>THETA</stp>
        <stp>.SPY161216C210</stp>
        <tr r="H779" s="1"/>
      </tp>
      <tp t="s">
        <v>N/A</v>
        <stp/>
        <stp>THETA</stp>
        <stp>.SPY171215C212</stp>
        <tr r="H909" s="1"/>
      </tp>
      <tp>
        <v>-1.8970000000000001E-2</v>
        <stp/>
        <stp>THETA</stp>
        <stp>.SPY161216P210</stp>
        <tr r="S779" s="1"/>
      </tp>
      <tp t="s">
        <v>N/A</v>
        <stp/>
        <stp>THETA</stp>
        <stp>.SPY171215P212</stp>
        <tr r="S909" s="1"/>
      </tp>
      <tp t="s">
        <v>N/A</v>
        <stp/>
        <stp>THETA</stp>
        <stp>.SPY161216C211</stp>
        <tr r="H781" s="1"/>
      </tp>
      <tp t="s">
        <v>N/A</v>
        <stp/>
        <stp>THETA</stp>
        <stp>.SPY171215C213</stp>
        <tr r="H911" s="1"/>
      </tp>
      <tp t="s">
        <v>N/A</v>
        <stp/>
        <stp>THETA</stp>
        <stp>.SPY161216P211</stp>
        <tr r="S781" s="1"/>
      </tp>
      <tp t="s">
        <v>N/A</v>
        <stp/>
        <stp>THETA</stp>
        <stp>.SPY171215P213</stp>
        <tr r="S911" s="1"/>
      </tp>
      <tp t="s">
        <v>N/A</v>
        <stp/>
        <stp>THETA</stp>
        <stp>.SPY161216C212</stp>
        <tr r="H783" s="1"/>
      </tp>
      <tp>
        <v>-1.0030000000000001E-2</v>
        <stp/>
        <stp>THETA</stp>
        <stp>.SPY171215C210</stp>
        <tr r="H905" s="1"/>
      </tp>
      <tp t="s">
        <v>N/A</v>
        <stp/>
        <stp>THETA</stp>
        <stp>.SPY161216P212</stp>
        <tr r="S783" s="1"/>
      </tp>
      <tp>
        <v>-1.5769999999999999E-2</v>
        <stp/>
        <stp>THETA</stp>
        <stp>.SPY171215P210</stp>
        <tr r="S905" s="1"/>
      </tp>
      <tp t="s">
        <v>N/A</v>
        <stp/>
        <stp>THETA</stp>
        <stp>.SPY161216C213</stp>
        <tr r="H785" s="1"/>
      </tp>
      <tp t="s">
        <v>N/A</v>
        <stp/>
        <stp>THETA</stp>
        <stp>.SPY171215C211</stp>
        <tr r="H907" s="1"/>
      </tp>
      <tp t="s">
        <v>N/A</v>
        <stp/>
        <stp>THETA</stp>
        <stp>.SPY161216P213</stp>
        <tr r="S785" s="1"/>
      </tp>
      <tp t="s">
        <v>N/A</v>
        <stp/>
        <stp>THETA</stp>
        <stp>.SPY171215P211</stp>
        <tr r="S907" s="1"/>
      </tp>
      <tp>
        <v>-1.7639999999999999E-2</v>
        <stp/>
        <stp>THETA</stp>
        <stp>.SPY151219C210</stp>
        <tr r="H527" s="1"/>
      </tp>
      <tp>
        <v>-2.6030000000000001E-2</v>
        <stp/>
        <stp>THETA</stp>
        <stp>.SPY151219P210</stp>
        <tr r="S527" s="1"/>
      </tp>
      <tp>
        <v>-1.7420000000000001E-2</v>
        <stp/>
        <stp>THETA</stp>
        <stp>.SPY151219C211</stp>
        <tr r="H529" s="1"/>
      </tp>
      <tp>
        <v>-2.5930000000000002E-2</v>
        <stp/>
        <stp>THETA</stp>
        <stp>.SPY151219P211</stp>
        <tr r="S529" s="1"/>
      </tp>
      <tp>
        <v>-1.72E-2</v>
        <stp/>
        <stp>THETA</stp>
        <stp>.SPY151219C212</stp>
        <tr r="H531" s="1"/>
      </tp>
      <tp>
        <v>-2.5760000000000002E-2</v>
        <stp/>
        <stp>THETA</stp>
        <stp>.SPY151219P212</stp>
        <tr r="S531" s="1"/>
      </tp>
      <tp>
        <v>-1.702E-2</v>
        <stp/>
        <stp>THETA</stp>
        <stp>.SPY151219C213</stp>
        <tr r="H533" s="1"/>
      </tp>
      <tp>
        <v>-2.555E-2</v>
        <stp/>
        <stp>THETA</stp>
        <stp>.SPY151219P213</stp>
        <tr r="S533" s="1"/>
      </tp>
      <tp>
        <v>-1.669E-2</v>
        <stp/>
        <stp>THETA</stp>
        <stp>.SPY151219C214</stp>
        <tr r="H535" s="1"/>
      </tp>
      <tp t="s">
        <v>N/A</v>
        <stp/>
        <stp>THETA</stp>
        <stp>.SPY161216C218</stp>
        <tr r="H795" s="1"/>
      </tp>
      <tp>
        <v>-2.5340000000000001E-2</v>
        <stp/>
        <stp>THETA</stp>
        <stp>.SPY151219P214</stp>
        <tr r="S535" s="1"/>
      </tp>
      <tp t="s">
        <v>N/A</v>
        <stp/>
        <stp>THETA</stp>
        <stp>.SPY161216P218</stp>
        <tr r="S795" s="1"/>
      </tp>
      <tp>
        <v>-1.6490000000000001E-2</v>
        <stp/>
        <stp>THETA</stp>
        <stp>.SPY151219C215</stp>
        <tr r="H537" s="1"/>
      </tp>
      <tp t="s">
        <v>N/A</v>
        <stp/>
        <stp>THETA</stp>
        <stp>.SPY161216C219</stp>
        <tr r="H797" s="1"/>
      </tp>
      <tp>
        <v>-2.5260000000000001E-2</v>
        <stp/>
        <stp>THETA</stp>
        <stp>.SPY151219P215</stp>
        <tr r="S537" s="1"/>
      </tp>
      <tp t="s">
        <v>N/A</v>
        <stp/>
        <stp>THETA</stp>
        <stp>.SPY161216P219</stp>
        <tr r="S797" s="1"/>
      </tp>
      <tp>
        <v>-1.602E-2</v>
        <stp/>
        <stp>THETA</stp>
        <stp>.SPY151219C216</stp>
        <tr r="H539" s="1"/>
      </tp>
      <tp t="s">
        <v>N/A</v>
        <stp/>
        <stp>THETA</stp>
        <stp>.SPY171215C218</stp>
        <tr r="H921" s="1"/>
      </tp>
      <tp>
        <v>-2.4809999999999999E-2</v>
        <stp/>
        <stp>THETA</stp>
        <stp>.SPY151219P216</stp>
        <tr r="S539" s="1"/>
      </tp>
      <tp t="s">
        <v>N/A</v>
        <stp/>
        <stp>THETA</stp>
        <stp>.SPY171215P218</stp>
        <tr r="S921" s="1"/>
      </tp>
      <tp>
        <v>-1.567E-2</v>
        <stp/>
        <stp>THETA</stp>
        <stp>.SPY151219C217</stp>
        <tr r="H541" s="1"/>
      </tp>
      <tp t="s">
        <v>N/A</v>
        <stp/>
        <stp>THETA</stp>
        <stp>.SPY171215C219</stp>
        <tr r="H923" s="1"/>
      </tp>
      <tp>
        <v>-2.4469999999999999E-2</v>
        <stp/>
        <stp>THETA</stp>
        <stp>.SPY151219P217</stp>
        <tr r="S541" s="1"/>
      </tp>
      <tp t="s">
        <v>N/A</v>
        <stp/>
        <stp>THETA</stp>
        <stp>.SPY171215P219</stp>
        <tr r="S923" s="1"/>
      </tp>
      <tp t="s">
        <v>N/A</v>
        <stp/>
        <stp>VEGA</stp>
        <stp>.SPY170317C204.5</stp>
        <tr r="J852" s="1"/>
      </tp>
      <tp t="s">
        <v>N/A</v>
        <stp/>
        <stp>VEGA</stp>
        <stp>.SPY170317C214.5</stp>
        <tr r="J872" s="1"/>
      </tp>
      <tp t="s">
        <v>N/A</v>
        <stp/>
        <stp>VEGA</stp>
        <stp>.SPY160115C207.5</stp>
        <tr r="J606" s="1"/>
      </tp>
      <tp t="s">
        <v>N/A</v>
        <stp/>
        <stp>VEGA</stp>
        <stp>.SPY160115C217.5</stp>
        <tr r="J626" s="1"/>
      </tp>
      <tp t="s">
        <v>N/A</v>
        <stp/>
        <stp>VEGA</stp>
        <stp>.SPY170120C213.5</stp>
        <tr r="J828" s="1"/>
      </tp>
      <tp t="s">
        <v>N/A</v>
        <stp/>
        <stp>VEGA</stp>
        <stp>.SPY170120C203.5</stp>
        <tr r="J808" s="1"/>
      </tp>
      <tp t="s">
        <v>N/A</v>
        <stp/>
        <stp>VEGA</stp>
        <stp>.SPY150717C206.5</stp>
        <tr r="J394" s="1"/>
      </tp>
      <tp t="s">
        <v>N/A</v>
        <stp/>
        <stp>VEGA</stp>
        <stp>.SPY150717C216.5</stp>
        <tr r="J414" s="1"/>
      </tp>
      <tp t="s">
        <v>N/A</v>
        <stp/>
        <stp>VEGA</stp>
        <stp>.SPY150619C208.5</stp>
        <tr r="J314" s="1"/>
      </tp>
      <tp t="s">
        <v>N/A</v>
        <stp/>
        <stp>VEGA</stp>
        <stp>.SPY160617C205.5</stp>
        <tr r="J686" s="1"/>
      </tp>
      <tp t="s">
        <v>N/A</v>
        <stp/>
        <stp>VEGA</stp>
        <stp>.SPY150619C218.5</stp>
        <tr r="J334" s="1"/>
      </tp>
      <tp t="s">
        <v>N/A</v>
        <stp/>
        <stp>VEGA</stp>
        <stp>.SPY160617C215.5</stp>
        <tr r="J706" s="1"/>
      </tp>
      <tp t="s">
        <v>N/A</v>
        <stp/>
        <stp>VEGA</stp>
        <stp>.SPY150630C201.5</stp>
        <tr r="J342" s="1"/>
      </tp>
      <tp t="s">
        <v>N/A</v>
        <stp/>
        <stp>VEGA</stp>
        <stp>.SPY150630C211.5</stp>
        <tr r="J362" s="1"/>
      </tp>
      <tp t="s">
        <v>N/A</v>
        <stp/>
        <stp>VEGA</stp>
        <stp>.SPY150501C210.5</stp>
        <tr r="J108" s="1"/>
      </tp>
      <tp>
        <v>3.7799999999999999E-3</v>
        <stp/>
        <stp>VEGA</stp>
        <stp>.SPY150508C219.5</stp>
        <tr r="J168" s="1"/>
      </tp>
      <tp>
        <v>7.2349999999999998E-2</v>
        <stp/>
        <stp>VEGA</stp>
        <stp>.SPY150515C204.5</stp>
        <tr r="J180" s="1"/>
      </tp>
      <tp t="s">
        <v>N/A</v>
        <stp/>
        <stp>VEGA</stp>
        <stp>.SPY150501C200.5</stp>
        <tr r="J88" s="1"/>
      </tp>
      <tp>
        <v>7.9699999999999993E-2</v>
        <stp/>
        <stp>VEGA</stp>
        <stp>.SPY150508C209.5</stp>
        <tr r="J148" s="1"/>
      </tp>
      <tp>
        <v>0.10079</v>
        <stp/>
        <stp>VEGA</stp>
        <stp>.SPY150515C214.5</stp>
        <tr r="J200" s="1"/>
      </tp>
      <tp>
        <v>0.17346</v>
        <stp/>
        <stp>VEGA</stp>
        <stp>.SPY150522C213.5</stp>
        <tr r="J240" s="1"/>
      </tp>
      <tp>
        <v>7.0540000000000005E-2</v>
        <stp/>
        <stp>VEGA</stp>
        <stp>.SPY150529C218.5</stp>
        <tr r="J292" s="1"/>
      </tp>
      <tp>
        <v>0.10471</v>
        <stp/>
        <stp>VEGA</stp>
        <stp>.SPY150522C203.5</stp>
        <tr r="J220" s="1"/>
      </tp>
      <tp>
        <v>0.20651</v>
        <stp/>
        <stp>VEGA</stp>
        <stp>.SPY150529C208.5</stp>
        <tr r="J272" s="1"/>
      </tp>
      <tp t="s">
        <v>N/A</v>
        <stp/>
        <stp>VEGA</stp>
        <stp>.SPY150417C206.5</stp>
        <tr r="J16" s="1"/>
      </tp>
      <tp t="s">
        <v>N/A</v>
        <stp/>
        <stp>VEGA</stp>
        <stp>.SPY150417C216.5</stp>
        <tr r="J36" s="1"/>
      </tp>
      <tp t="s">
        <v>N/A</v>
        <stp/>
        <stp>VEGA</stp>
        <stp>.SPY150424C215.5</stp>
        <tr r="J76" s="1"/>
      </tp>
      <tp t="s">
        <v>N/A</v>
        <stp/>
        <stp>VEGA</stp>
        <stp>.SPY150424C205.5</stp>
        <tr r="J56" s="1"/>
      </tp>
      <tp t="s">
        <v>N/A</v>
        <stp/>
        <stp>VEGA</stp>
        <stp>.SPY150918C209.5</stp>
        <tr r="J442" s="1"/>
      </tp>
      <tp t="s">
        <v>N/A</v>
        <stp/>
        <stp>VEGA</stp>
        <stp>.SPY160916C204.5</stp>
        <tr r="J726" s="1"/>
      </tp>
      <tp t="s">
        <v>N/A</v>
        <stp/>
        <stp>VEGA</stp>
        <stp>.SPY150918C219.5</stp>
        <tr r="J462" s="1"/>
      </tp>
      <tp t="s">
        <v>N/A</v>
        <stp/>
        <stp>VEGA</stp>
        <stp>.SPY160916C214.5</stp>
        <tr r="J746" s="1"/>
      </tp>
      <tp t="s">
        <v>N/A</v>
        <stp/>
        <stp>VEGA</stp>
        <stp>.SPY150930C201.5</stp>
        <tr r="J468" s="1"/>
      </tp>
      <tp t="s">
        <v>N/A</v>
        <stp/>
        <stp>VEGA</stp>
        <stp>.SPY150930C211.5</stp>
        <tr r="J488" s="1"/>
      </tp>
      <tp t="s">
        <v>N/A</v>
        <stp/>
        <stp>VEGA</stp>
        <stp>.SPY151219C208.5</stp>
        <tr r="J524" s="1"/>
      </tp>
      <tp t="s">
        <v>N/A</v>
        <stp/>
        <stp>VEGA</stp>
        <stp>.SPY161216C204.5</stp>
        <tr r="J768" s="1"/>
      </tp>
      <tp t="s">
        <v>N/A</v>
        <stp/>
        <stp>VEGA</stp>
        <stp>.SPY171215C206.5</stp>
        <tr r="J898" s="1"/>
      </tp>
      <tp t="s">
        <v>N/A</v>
        <stp/>
        <stp>VEGA</stp>
        <stp>.SPY151219C218.5</stp>
        <tr r="J544" s="1"/>
      </tp>
      <tp t="s">
        <v>N/A</v>
        <stp/>
        <stp>VEGA</stp>
        <stp>.SPY161216C214.5</stp>
        <tr r="J788" s="1"/>
      </tp>
      <tp t="s">
        <v>N/A</v>
        <stp/>
        <stp>VEGA</stp>
        <stp>.SPY171215C216.5</stp>
        <tr r="J918" s="1"/>
      </tp>
      <tp t="s">
        <v>N/A</v>
        <stp/>
        <stp>VEGA</stp>
        <stp>.SPY151231C200.5</stp>
        <tr r="J550" s="1"/>
      </tp>
      <tp t="s">
        <v>N/A</v>
        <stp/>
        <stp>VEGA</stp>
        <stp>.SPY151231C210.5</stp>
        <tr r="J570" s="1"/>
      </tp>
      <tp t="s">
        <v>N/A</v>
        <stp/>
        <stp>VEGA</stp>
        <stp>.SPY151219P208.5</stp>
        <tr r="U524" s="1"/>
      </tp>
      <tp t="s">
        <v>N/A</v>
        <stp/>
        <stp>VEGA</stp>
        <stp>.SPY161216P204.5</stp>
        <tr r="U768" s="1"/>
      </tp>
      <tp t="s">
        <v>N/A</v>
        <stp/>
        <stp>VEGA</stp>
        <stp>.SPY171215P206.5</stp>
        <tr r="U898" s="1"/>
      </tp>
      <tp t="s">
        <v>N/A</v>
        <stp/>
        <stp>VEGA</stp>
        <stp>.SPY151219P218.5</stp>
        <tr r="U544" s="1"/>
      </tp>
      <tp t="s">
        <v>N/A</v>
        <stp/>
        <stp>VEGA</stp>
        <stp>.SPY161216P214.5</stp>
        <tr r="U788" s="1"/>
      </tp>
      <tp t="s">
        <v>N/A</v>
        <stp/>
        <stp>VEGA</stp>
        <stp>.SPY171215P216.5</stp>
        <tr r="U918" s="1"/>
      </tp>
      <tp t="s">
        <v>N/A</v>
        <stp/>
        <stp>VEGA</stp>
        <stp>.SPY151231P200.5</stp>
        <tr r="U550" s="1"/>
      </tp>
      <tp t="s">
        <v>N/A</v>
        <stp/>
        <stp>VEGA</stp>
        <stp>.SPY151231P210.5</stp>
        <tr r="U570" s="1"/>
      </tp>
      <tp t="s">
        <v>N/A</v>
        <stp/>
        <stp>VEGA</stp>
        <stp>.SPY170317P204.5</stp>
        <tr r="U852" s="1"/>
      </tp>
      <tp t="s">
        <v>N/A</v>
        <stp/>
        <stp>VEGA</stp>
        <stp>.SPY170317P214.5</stp>
        <tr r="U872" s="1"/>
      </tp>
      <tp t="s">
        <v>N/A</v>
        <stp/>
        <stp>VEGA</stp>
        <stp>.SPY160115P207.5</stp>
        <tr r="U606" s="1"/>
      </tp>
      <tp t="s">
        <v>N/A</v>
        <stp/>
        <stp>VEGA</stp>
        <stp>.SPY160115P217.5</stp>
        <tr r="U626" s="1"/>
      </tp>
      <tp t="s">
        <v>N/A</v>
        <stp/>
        <stp>VEGA</stp>
        <stp>.SPY170120P213.5</stp>
        <tr r="U828" s="1"/>
      </tp>
      <tp t="s">
        <v>N/A</v>
        <stp/>
        <stp>VEGA</stp>
        <stp>.SPY170120P203.5</stp>
        <tr r="U808" s="1"/>
      </tp>
      <tp t="s">
        <v>N/A</v>
        <stp/>
        <stp>VEGA</stp>
        <stp>.SPY150717P206.5</stp>
        <tr r="U394" s="1"/>
      </tp>
      <tp t="s">
        <v>N/A</v>
        <stp/>
        <stp>VEGA</stp>
        <stp>.SPY150717P216.5</stp>
        <tr r="U414" s="1"/>
      </tp>
      <tp t="s">
        <v>N/A</v>
        <stp/>
        <stp>VEGA</stp>
        <stp>.SPY150619P208.5</stp>
        <tr r="U314" s="1"/>
      </tp>
      <tp t="s">
        <v>N/A</v>
        <stp/>
        <stp>VEGA</stp>
        <stp>.SPY160617P205.5</stp>
        <tr r="U686" s="1"/>
      </tp>
      <tp t="s">
        <v>N/A</v>
        <stp/>
        <stp>VEGA</stp>
        <stp>.SPY150619P218.5</stp>
        <tr r="U334" s="1"/>
      </tp>
      <tp t="s">
        <v>N/A</v>
        <stp/>
        <stp>VEGA</stp>
        <stp>.SPY160617P215.5</stp>
        <tr r="U706" s="1"/>
      </tp>
      <tp t="s">
        <v>N/A</v>
        <stp/>
        <stp>VEGA</stp>
        <stp>.SPY150630P201.5</stp>
        <tr r="U342" s="1"/>
      </tp>
      <tp t="s">
        <v>N/A</v>
        <stp/>
        <stp>VEGA</stp>
        <stp>.SPY150630P211.5</stp>
        <tr r="U362" s="1"/>
      </tp>
      <tp t="s">
        <v>N/A</v>
        <stp/>
        <stp>VEGA</stp>
        <stp>.SPY150501P210.5</stp>
        <tr r="U108" s="1"/>
      </tp>
      <tp>
        <v>0</v>
        <stp/>
        <stp>VEGA</stp>
        <stp>.SPY150508P219.5</stp>
        <tr r="U168" s="1"/>
      </tp>
      <tp>
        <v>6.8409999999999999E-2</v>
        <stp/>
        <stp>VEGA</stp>
        <stp>.SPY150515P204.5</stp>
        <tr r="U180" s="1"/>
      </tp>
      <tp t="s">
        <v>N/A</v>
        <stp/>
        <stp>VEGA</stp>
        <stp>.SPY150501P200.5</stp>
        <tr r="U88" s="1"/>
      </tp>
      <tp>
        <v>7.8829999999999997E-2</v>
        <stp/>
        <stp>VEGA</stp>
        <stp>.SPY150508P209.5</stp>
        <tr r="U148" s="1"/>
      </tp>
      <tp>
        <v>9.1249999999999998E-2</v>
        <stp/>
        <stp>VEGA</stp>
        <stp>.SPY150515P214.5</stp>
        <tr r="U200" s="1"/>
      </tp>
      <tp>
        <v>0.16936999999999999</v>
        <stp/>
        <stp>VEGA</stp>
        <stp>.SPY150522P213.5</stp>
        <tr r="U240" s="1"/>
      </tp>
      <tp>
        <v>2.2616900000000002</v>
        <stp/>
        <stp>VEGA</stp>
        <stp>.SPY150529P218.5</stp>
        <tr r="U292" s="1"/>
      </tp>
      <tp>
        <v>9.6820000000000003E-2</v>
        <stp/>
        <stp>VEGA</stp>
        <stp>.SPY150522P203.5</stp>
        <tr r="U220" s="1"/>
      </tp>
      <tp>
        <v>0.20491999999999999</v>
        <stp/>
        <stp>VEGA</stp>
        <stp>.SPY150529P208.5</stp>
        <tr r="U272" s="1"/>
      </tp>
      <tp t="s">
        <v>N/A</v>
        <stp/>
        <stp>VEGA</stp>
        <stp>.SPY150417P206.5</stp>
        <tr r="U16" s="1"/>
      </tp>
      <tp t="s">
        <v>N/A</v>
        <stp/>
        <stp>VEGA</stp>
        <stp>.SPY150417P216.5</stp>
        <tr r="U36" s="1"/>
      </tp>
      <tp t="s">
        <v>N/A</v>
        <stp/>
        <stp>VEGA</stp>
        <stp>.SPY150424P215.5</stp>
        <tr r="U76" s="1"/>
      </tp>
      <tp t="s">
        <v>N/A</v>
        <stp/>
        <stp>VEGA</stp>
        <stp>.SPY150424P205.5</stp>
        <tr r="U56" s="1"/>
      </tp>
      <tp t="s">
        <v>N/A</v>
        <stp/>
        <stp>VEGA</stp>
        <stp>.SPY150918P209.5</stp>
        <tr r="U442" s="1"/>
      </tp>
      <tp t="s">
        <v>N/A</v>
        <stp/>
        <stp>VEGA</stp>
        <stp>.SPY160916P204.5</stp>
        <tr r="U726" s="1"/>
      </tp>
      <tp t="s">
        <v>N/A</v>
        <stp/>
        <stp>VEGA</stp>
        <stp>.SPY150918P219.5</stp>
        <tr r="U462" s="1"/>
      </tp>
      <tp t="s">
        <v>N/A</v>
        <stp/>
        <stp>VEGA</stp>
        <stp>.SPY160916P214.5</stp>
        <tr r="U746" s="1"/>
      </tp>
      <tp t="s">
        <v>N/A</v>
        <stp/>
        <stp>VEGA</stp>
        <stp>.SPY150930P201.5</stp>
        <tr r="U468" s="1"/>
      </tp>
      <tp t="s">
        <v>N/A</v>
        <stp/>
        <stp>VEGA</stp>
        <stp>.SPY150930P211.5</stp>
        <tr r="U488" s="1"/>
      </tp>
      <tp t="s">
        <v>N/A</v>
        <stp/>
        <stp>THETA</stp>
        <stp>.SPY170317C204</stp>
        <tr r="H851" s="1"/>
      </tp>
      <tp t="s">
        <v>N/A</v>
        <stp/>
        <stp>THETA</stp>
        <stp>.SPY170317P204</stp>
        <tr r="S851" s="1"/>
      </tp>
      <tp>
        <v>-1.158E-2</v>
        <stp/>
        <stp>THETA</stp>
        <stp>.SPY170317C205</stp>
        <tr r="H853" s="1"/>
      </tp>
      <tp>
        <v>-1.804E-2</v>
        <stp/>
        <stp>THETA</stp>
        <stp>.SPY170317P205</stp>
        <tr r="S853" s="1"/>
      </tp>
      <tp t="s">
        <v>N/A</v>
        <stp/>
        <stp>THETA</stp>
        <stp>.SPY160318C208</stp>
        <tr r="H649" s="1"/>
      </tp>
      <tp t="s">
        <v>N/A</v>
        <stp/>
        <stp>THETA</stp>
        <stp>.SPY170317C206</stp>
        <tr r="H855" s="1"/>
      </tp>
      <tp t="s">
        <v>N/A</v>
        <stp/>
        <stp>THETA</stp>
        <stp>.SPY160318P208</stp>
        <tr r="S649" s="1"/>
      </tp>
      <tp t="s">
        <v>N/A</v>
        <stp/>
        <stp>THETA</stp>
        <stp>.SPY170317P206</stp>
        <tr r="S855" s="1"/>
      </tp>
      <tp t="s">
        <v>N/A</v>
        <stp/>
        <stp>THETA</stp>
        <stp>.SPY160318C209</stp>
        <tr r="H651" s="1"/>
      </tp>
      <tp t="s">
        <v>N/A</v>
        <stp/>
        <stp>THETA</stp>
        <stp>.SPY170317C207</stp>
        <tr r="H857" s="1"/>
      </tp>
      <tp t="s">
        <v>N/A</v>
        <stp/>
        <stp>THETA</stp>
        <stp>.SPY160318P209</stp>
        <tr r="S651" s="1"/>
      </tp>
      <tp t="s">
        <v>N/A</v>
        <stp/>
        <stp>THETA</stp>
        <stp>.SPY170317P207</stp>
        <tr r="S857" s="1"/>
      </tp>
      <tp>
        <v>-1.153E-2</v>
        <stp/>
        <stp>THETA</stp>
        <stp>.SPY170317C200</stp>
        <tr r="H843" s="1"/>
      </tp>
      <tp>
        <v>-1.7950000000000001E-2</v>
        <stp/>
        <stp>THETA</stp>
        <stp>.SPY170317P200</stp>
        <tr r="S843" s="1"/>
      </tp>
      <tp t="s">
        <v>N/A</v>
        <stp/>
        <stp>THETA</stp>
        <stp>.SPY170317C201</stp>
        <tr r="H845" s="1"/>
      </tp>
      <tp t="s">
        <v>N/A</v>
        <stp/>
        <stp>THETA</stp>
        <stp>.SPY170317P201</stp>
        <tr r="S845" s="1"/>
      </tp>
      <tp t="s">
        <v>N/A</v>
        <stp/>
        <stp>THETA</stp>
        <stp>.SPY170317C202</stp>
        <tr r="H847" s="1"/>
      </tp>
      <tp t="s">
        <v>N/A</v>
        <stp/>
        <stp>THETA</stp>
        <stp>.SPY170317P202</stp>
        <tr r="S847" s="1"/>
      </tp>
      <tp t="s">
        <v>N/A</v>
        <stp/>
        <stp>THETA</stp>
        <stp>.SPY170317C203</stp>
        <tr r="H849" s="1"/>
      </tp>
      <tp t="s">
        <v>N/A</v>
        <stp/>
        <stp>THETA</stp>
        <stp>.SPY170317P203</stp>
        <tr r="S849" s="1"/>
      </tp>
      <tp t="s">
        <v>N/A</v>
        <stp/>
        <stp>THETA</stp>
        <stp>.SPY160318C202</stp>
        <tr r="H637" s="1"/>
      </tp>
      <tp t="s">
        <v>N/A</v>
        <stp/>
        <stp>THETA</stp>
        <stp>.SPY160318P202</stp>
        <tr r="S637" s="1"/>
      </tp>
      <tp t="s">
        <v>N/A</v>
        <stp/>
        <stp>THETA</stp>
        <stp>.SPY160318C203</stp>
        <tr r="H639" s="1"/>
      </tp>
      <tp t="s">
        <v>N/A</v>
        <stp/>
        <stp>THETA</stp>
        <stp>.SPY160318P203</stp>
        <tr r="S639" s="1"/>
      </tp>
      <tp>
        <v>-1.5779999999999999E-2</v>
        <stp/>
        <stp>THETA</stp>
        <stp>.SPY160318C200</stp>
        <tr r="H633" s="1"/>
      </tp>
      <tp>
        <v>-2.3369999999999998E-2</v>
        <stp/>
        <stp>THETA</stp>
        <stp>.SPY160318P200</stp>
        <tr r="S633" s="1"/>
      </tp>
      <tp t="s">
        <v>N/A</v>
        <stp/>
        <stp>THETA</stp>
        <stp>.SPY160318C201</stp>
        <tr r="H635" s="1"/>
      </tp>
      <tp t="s">
        <v>N/A</v>
        <stp/>
        <stp>THETA</stp>
        <stp>.SPY160318P201</stp>
        <tr r="S635" s="1"/>
      </tp>
      <tp t="s">
        <v>N/A</v>
        <stp/>
        <stp>THETA</stp>
        <stp>.SPY160318C206</stp>
        <tr r="H645" s="1"/>
      </tp>
      <tp t="s">
        <v>N/A</v>
        <stp/>
        <stp>THETA</stp>
        <stp>.SPY170317C208</stp>
        <tr r="H859" s="1"/>
      </tp>
      <tp t="s">
        <v>N/A</v>
        <stp/>
        <stp>THETA</stp>
        <stp>.SPY160318P206</stp>
        <tr r="S645" s="1"/>
      </tp>
      <tp t="s">
        <v>N/A</v>
        <stp/>
        <stp>THETA</stp>
        <stp>.SPY170317P208</stp>
        <tr r="S859" s="1"/>
      </tp>
      <tp t="s">
        <v>N/A</v>
        <stp/>
        <stp>THETA</stp>
        <stp>.SPY160318C207</stp>
        <tr r="H647" s="1"/>
      </tp>
      <tp t="s">
        <v>N/A</v>
        <stp/>
        <stp>THETA</stp>
        <stp>.SPY170317C209</stp>
        <tr r="H861" s="1"/>
      </tp>
      <tp t="s">
        <v>N/A</v>
        <stp/>
        <stp>THETA</stp>
        <stp>.SPY160318P207</stp>
        <tr r="S647" s="1"/>
      </tp>
      <tp t="s">
        <v>N/A</v>
        <stp/>
        <stp>THETA</stp>
        <stp>.SPY170317P209</stp>
        <tr r="S861" s="1"/>
      </tp>
      <tp t="s">
        <v>N/A</v>
        <stp/>
        <stp>THETA</stp>
        <stp>.SPY160318C204</stp>
        <tr r="H641" s="1"/>
      </tp>
      <tp t="s">
        <v>N/A</v>
        <stp/>
        <stp>THETA</stp>
        <stp>.SPY160318P204</stp>
        <tr r="S641" s="1"/>
      </tp>
      <tp>
        <v>-1.5879999999999998E-2</v>
        <stp/>
        <stp>THETA</stp>
        <stp>.SPY160318C205</stp>
        <tr r="H643" s="1"/>
      </tp>
      <tp>
        <v>-2.358E-2</v>
        <stp/>
        <stp>THETA</stp>
        <stp>.SPY160318P205</stp>
        <tr r="S643" s="1"/>
      </tp>
      <tp t="s">
        <v>N/A</v>
        <stp/>
        <stp>THETA</stp>
        <stp>.SPY170317C214</stp>
        <tr r="H871" s="1"/>
      </tp>
      <tp t="s">
        <v>N/A</v>
        <stp/>
        <stp>THETA</stp>
        <stp>.SPY170317P214</stp>
        <tr r="S871" s="1"/>
      </tp>
      <tp>
        <v>-1.1259999999999999E-2</v>
        <stp/>
        <stp>THETA</stp>
        <stp>.SPY170317C215</stp>
        <tr r="H873" s="1"/>
      </tp>
      <tp>
        <v>-1.7749999999999998E-2</v>
        <stp/>
        <stp>THETA</stp>
        <stp>.SPY170317P215</stp>
        <tr r="S873" s="1"/>
      </tp>
      <tp t="s">
        <v>N/A</v>
        <stp/>
        <stp>THETA</stp>
        <stp>.SPY160318C218</stp>
        <tr r="H669" s="1"/>
      </tp>
      <tp t="s">
        <v>N/A</v>
        <stp/>
        <stp>THETA</stp>
        <stp>.SPY170317C216</stp>
        <tr r="H875" s="1"/>
      </tp>
      <tp t="s">
        <v>N/A</v>
        <stp/>
        <stp>THETA</stp>
        <stp>.SPY160318P218</stp>
        <tr r="S669" s="1"/>
      </tp>
      <tp t="s">
        <v>N/A</v>
        <stp/>
        <stp>THETA</stp>
        <stp>.SPY170317P216</stp>
        <tr r="S875" s="1"/>
      </tp>
      <tp t="s">
        <v>N/A</v>
        <stp/>
        <stp>THETA</stp>
        <stp>.SPY160318C219</stp>
        <tr r="H671" s="1"/>
      </tp>
      <tp t="s">
        <v>N/A</v>
        <stp/>
        <stp>THETA</stp>
        <stp>.SPY170317C217</stp>
        <tr r="H877" s="1"/>
      </tp>
      <tp t="s">
        <v>N/A</v>
        <stp/>
        <stp>THETA</stp>
        <stp>.SPY160318P219</stp>
        <tr r="S671" s="1"/>
      </tp>
      <tp t="s">
        <v>N/A</v>
        <stp/>
        <stp>THETA</stp>
        <stp>.SPY170317P217</stp>
        <tr r="S877" s="1"/>
      </tp>
      <tp>
        <v>-1.1469999999999999E-2</v>
        <stp/>
        <stp>THETA</stp>
        <stp>.SPY170317C210</stp>
        <tr r="H863" s="1"/>
      </tp>
      <tp>
        <v>-1.7930000000000001E-2</v>
        <stp/>
        <stp>THETA</stp>
        <stp>.SPY170317P210</stp>
        <tr r="S863" s="1"/>
      </tp>
      <tp t="s">
        <v>N/A</v>
        <stp/>
        <stp>THETA</stp>
        <stp>.SPY170317C211</stp>
        <tr r="H865" s="1"/>
      </tp>
      <tp t="s">
        <v>N/A</v>
        <stp/>
        <stp>THETA</stp>
        <stp>.SPY170317P211</stp>
        <tr r="S865" s="1"/>
      </tp>
      <tp t="s">
        <v>N/A</v>
        <stp/>
        <stp>THETA</stp>
        <stp>.SPY170317C212</stp>
        <tr r="H867" s="1"/>
      </tp>
      <tp t="s">
        <v>N/A</v>
        <stp/>
        <stp>THETA</stp>
        <stp>.SPY170317P212</stp>
        <tr r="S867" s="1"/>
      </tp>
      <tp t="s">
        <v>N/A</v>
        <stp/>
        <stp>THETA</stp>
        <stp>.SPY170317C213</stp>
        <tr r="H869" s="1"/>
      </tp>
      <tp t="s">
        <v>N/A</v>
        <stp/>
        <stp>THETA</stp>
        <stp>.SPY170317P213</stp>
        <tr r="S869" s="1"/>
      </tp>
      <tp t="s">
        <v>N/A</v>
        <stp/>
        <stp>THETA</stp>
        <stp>.SPY160318C212</stp>
        <tr r="H657" s="1"/>
      </tp>
      <tp t="s">
        <v>N/A</v>
        <stp/>
        <stp>THETA</stp>
        <stp>.SPY160318P212</stp>
        <tr r="S657" s="1"/>
      </tp>
      <tp t="s">
        <v>N/A</v>
        <stp/>
        <stp>THETA</stp>
        <stp>.SPY160318C213</stp>
        <tr r="H659" s="1"/>
      </tp>
      <tp t="s">
        <v>N/A</v>
        <stp/>
        <stp>THETA</stp>
        <stp>.SPY160318P213</stp>
        <tr r="S659" s="1"/>
      </tp>
      <tp>
        <v>-1.5570000000000001E-2</v>
        <stp/>
        <stp>THETA</stp>
        <stp>.SPY160318C210</stp>
        <tr r="H653" s="1"/>
      </tp>
      <tp>
        <v>-2.3460000000000002E-2</v>
        <stp/>
        <stp>THETA</stp>
        <stp>.SPY160318P210</stp>
        <tr r="S653" s="1"/>
      </tp>
      <tp t="s">
        <v>N/A</v>
        <stp/>
        <stp>THETA</stp>
        <stp>.SPY160318C211</stp>
        <tr r="H655" s="1"/>
      </tp>
      <tp t="s">
        <v>N/A</v>
        <stp/>
        <stp>THETA</stp>
        <stp>.SPY160318P211</stp>
        <tr r="S655" s="1"/>
      </tp>
      <tp t="s">
        <v>N/A</v>
        <stp/>
        <stp>THETA</stp>
        <stp>.SPY160318C216</stp>
        <tr r="H665" s="1"/>
      </tp>
      <tp t="s">
        <v>N/A</v>
        <stp/>
        <stp>THETA</stp>
        <stp>.SPY170317C218</stp>
        <tr r="H879" s="1"/>
      </tp>
      <tp t="s">
        <v>N/A</v>
        <stp/>
        <stp>THETA</stp>
        <stp>.SPY160318P216</stp>
        <tr r="S665" s="1"/>
      </tp>
      <tp t="s">
        <v>N/A</v>
        <stp/>
        <stp>THETA</stp>
        <stp>.SPY170317P218</stp>
        <tr r="S879" s="1"/>
      </tp>
      <tp t="s">
        <v>N/A</v>
        <stp/>
        <stp>THETA</stp>
        <stp>.SPY160318C217</stp>
        <tr r="H667" s="1"/>
      </tp>
      <tp t="s">
        <v>N/A</v>
        <stp/>
        <stp>THETA</stp>
        <stp>.SPY170317C219</stp>
        <tr r="H881" s="1"/>
      </tp>
      <tp t="s">
        <v>N/A</v>
        <stp/>
        <stp>THETA</stp>
        <stp>.SPY160318P217</stp>
        <tr r="S667" s="1"/>
      </tp>
      <tp t="s">
        <v>N/A</v>
        <stp/>
        <stp>THETA</stp>
        <stp>.SPY170317P219</stp>
        <tr r="S881" s="1"/>
      </tp>
      <tp t="s">
        <v>N/A</v>
        <stp/>
        <stp>THETA</stp>
        <stp>.SPY160318C214</stp>
        <tr r="H661" s="1"/>
      </tp>
      <tp t="s">
        <v>N/A</v>
        <stp/>
        <stp>THETA</stp>
        <stp>.SPY160318P214</stp>
        <tr r="S661" s="1"/>
      </tp>
      <tp>
        <v>-1.481E-2</v>
        <stp/>
        <stp>THETA</stp>
        <stp>.SPY160318C215</stp>
        <tr r="H663" s="1"/>
      </tp>
      <tp>
        <v>-2.2839999999999999E-2</v>
        <stp/>
        <stp>THETA</stp>
        <stp>.SPY160318P215</stp>
        <tr r="S663" s="1"/>
      </tp>
      <tp t="s">
        <v>N/A</v>
        <stp/>
        <stp>VEGA</stp>
        <stp>.SPY160318C209.5</stp>
        <tr r="J652" s="1"/>
      </tp>
      <tp t="s">
        <v>N/A</v>
        <stp/>
        <stp>VEGA</stp>
        <stp>.SPY170317C207.5</stp>
        <tr r="J858" s="1"/>
      </tp>
      <tp t="s">
        <v>N/A</v>
        <stp/>
        <stp>VEGA</stp>
        <stp>.SPY160318C219.5</stp>
        <tr r="J672" s="1"/>
      </tp>
      <tp t="s">
        <v>N/A</v>
        <stp/>
        <stp>VEGA</stp>
        <stp>.SPY170317C217.5</stp>
        <tr r="J878" s="1"/>
      </tp>
      <tp t="s">
        <v>N/A</v>
        <stp/>
        <stp>VEGA</stp>
        <stp>.SPY160115C204.5</stp>
        <tr r="J600" s="1"/>
      </tp>
      <tp t="s">
        <v>N/A</v>
        <stp/>
        <stp>VEGA</stp>
        <stp>.SPY160115C214.5</stp>
        <tr r="J620" s="1"/>
      </tp>
      <tp t="s">
        <v>N/A</v>
        <stp/>
        <stp>VEGA</stp>
        <stp>.SPY170120C210.5</stp>
        <tr r="J822" s="1"/>
      </tp>
      <tp t="s">
        <v>N/A</v>
        <stp/>
        <stp>VEGA</stp>
        <stp>.SPY170120C200.5</stp>
        <tr r="J802" s="1"/>
      </tp>
      <tp t="s">
        <v>N/A</v>
        <stp/>
        <stp>VEGA</stp>
        <stp>.SPY150717C205.5</stp>
        <tr r="J392" s="1"/>
      </tp>
      <tp t="s">
        <v>N/A</v>
        <stp/>
        <stp>VEGA</stp>
        <stp>.SPY150717C215.5</stp>
        <tr r="J412" s="1"/>
      </tp>
      <tp t="s">
        <v>N/A</v>
        <stp/>
        <stp>VEGA</stp>
        <stp>.SPY160617C206.5</stp>
        <tr r="J688" s="1"/>
      </tp>
      <tp t="s">
        <v>N/A</v>
        <stp/>
        <stp>VEGA</stp>
        <stp>.SPY160617C216.5</stp>
        <tr r="J708" s="1"/>
      </tp>
      <tp t="s">
        <v>N/A</v>
        <stp/>
        <stp>VEGA</stp>
        <stp>.SPY150630C202.5</stp>
        <tr r="J344" s="1"/>
      </tp>
      <tp t="s">
        <v>N/A</v>
        <stp/>
        <stp>VEGA</stp>
        <stp>.SPY150630C212.5</stp>
        <tr r="J364" s="1"/>
      </tp>
      <tp t="s">
        <v>N/A</v>
        <stp/>
        <stp>VEGA</stp>
        <stp>.SPY150501C213.5</stp>
        <tr r="J114" s="1"/>
      </tp>
      <tp>
        <v>0.11133</v>
        <stp/>
        <stp>VEGA</stp>
        <stp>.SPY150515C207.5</stp>
        <tr r="J186" s="1"/>
      </tp>
      <tp t="s">
        <v>N/A</v>
        <stp/>
        <stp>VEGA</stp>
        <stp>.SPY150501C203.5</stp>
        <tr r="J94" s="1"/>
      </tp>
      <tp>
        <v>2.8039999999999999E-2</v>
        <stp/>
        <stp>VEGA</stp>
        <stp>.SPY150515C217.5</stp>
        <tr r="J206" s="1"/>
      </tp>
      <tp>
        <v>0.18967999999999999</v>
        <stp/>
        <stp>VEGA</stp>
        <stp>.SPY150522C210.5</stp>
        <tr r="J234" s="1"/>
      </tp>
      <tp>
        <v>7.5230000000000005E-2</v>
        <stp/>
        <stp>VEGA</stp>
        <stp>.SPY150522C200.5</stp>
        <tr r="J214" s="1"/>
      </tp>
      <tp t="s">
        <v>N/A</v>
        <stp/>
        <stp>VEGA</stp>
        <stp>.SPY150417C205.5</stp>
        <tr r="J14" s="1"/>
      </tp>
      <tp t="s">
        <v>N/A</v>
        <stp/>
        <stp>VEGA</stp>
        <stp>.SPY150417C215.5</stp>
        <tr r="J34" s="1"/>
      </tp>
      <tp t="s">
        <v>N/A</v>
        <stp/>
        <stp>VEGA</stp>
        <stp>.SPY150424C216.5</stp>
        <tr r="J78" s="1"/>
      </tp>
      <tp t="s">
        <v>N/A</v>
        <stp/>
        <stp>VEGA</stp>
        <stp>.SPY150424C206.5</stp>
        <tr r="J58" s="1"/>
      </tp>
      <tp t="s">
        <v>N/A</v>
        <stp/>
        <stp>VEGA</stp>
        <stp>.SPY160916C207.5</stp>
        <tr r="J732" s="1"/>
      </tp>
      <tp t="s">
        <v>N/A</v>
        <stp/>
        <stp>VEGA</stp>
        <stp>.SPY160916C217.5</stp>
        <tr r="J752" s="1"/>
      </tp>
      <tp t="s">
        <v>N/A</v>
        <stp/>
        <stp>VEGA</stp>
        <stp>.SPY150930C202.5</stp>
        <tr r="J470" s="1"/>
      </tp>
      <tp t="s">
        <v>N/A</v>
        <stp/>
        <stp>VEGA</stp>
        <stp>.SPY150930C212.5</stp>
        <tr r="J490" s="1"/>
      </tp>
      <tp t="s">
        <v>N/A</v>
        <stp/>
        <stp>VEGA</stp>
        <stp>.SPY161216C207.5</stp>
        <tr r="J774" s="1"/>
      </tp>
      <tp t="s">
        <v>N/A</v>
        <stp/>
        <stp>VEGA</stp>
        <stp>.SPY171215C205.5</stp>
        <tr r="J896" s="1"/>
      </tp>
      <tp t="s">
        <v>N/A</v>
        <stp/>
        <stp>VEGA</stp>
        <stp>.SPY161216C217.5</stp>
        <tr r="J794" s="1"/>
      </tp>
      <tp t="s">
        <v>N/A</v>
        <stp/>
        <stp>VEGA</stp>
        <stp>.SPY171215C215.5</stp>
        <tr r="J916" s="1"/>
      </tp>
      <tp t="s">
        <v>N/A</v>
        <stp/>
        <stp>VEGA</stp>
        <stp>.SPY151231C203.5</stp>
        <tr r="J556" s="1"/>
      </tp>
      <tp t="s">
        <v>N/A</v>
        <stp/>
        <stp>VEGA</stp>
        <stp>.SPY151231C213.5</stp>
        <tr r="J576" s="1"/>
      </tp>
      <tp t="s">
        <v>N/A</v>
        <stp/>
        <stp>VEGA</stp>
        <stp>.SPY161216P207.5</stp>
        <tr r="U774" s="1"/>
      </tp>
      <tp t="s">
        <v>N/A</v>
        <stp/>
        <stp>VEGA</stp>
        <stp>.SPY171215P205.5</stp>
        <tr r="U896" s="1"/>
      </tp>
      <tp t="s">
        <v>N/A</v>
        <stp/>
        <stp>VEGA</stp>
        <stp>.SPY161216P217.5</stp>
        <tr r="U794" s="1"/>
      </tp>
      <tp t="s">
        <v>N/A</v>
        <stp/>
        <stp>VEGA</stp>
        <stp>.SPY171215P215.5</stp>
        <tr r="U916" s="1"/>
      </tp>
      <tp t="s">
        <v>N/A</v>
        <stp/>
        <stp>VEGA</stp>
        <stp>.SPY151231P203.5</stp>
        <tr r="U556" s="1"/>
      </tp>
      <tp t="s">
        <v>N/A</v>
        <stp/>
        <stp>VEGA</stp>
        <stp>.SPY151231P213.5</stp>
        <tr r="U576" s="1"/>
      </tp>
      <tp t="s">
        <v>N/A</v>
        <stp/>
        <stp>VEGA</stp>
        <stp>.SPY160318P209.5</stp>
        <tr r="U652" s="1"/>
      </tp>
      <tp t="s">
        <v>N/A</v>
        <stp/>
        <stp>VEGA</stp>
        <stp>.SPY170317P207.5</stp>
        <tr r="U858" s="1"/>
      </tp>
      <tp t="s">
        <v>N/A</v>
        <stp/>
        <stp>VEGA</stp>
        <stp>.SPY160318P219.5</stp>
        <tr r="U672" s="1"/>
      </tp>
      <tp t="s">
        <v>N/A</v>
        <stp/>
        <stp>VEGA</stp>
        <stp>.SPY170317P217.5</stp>
        <tr r="U878" s="1"/>
      </tp>
      <tp t="s">
        <v>N/A</v>
        <stp/>
        <stp>VEGA</stp>
        <stp>.SPY160115P204.5</stp>
        <tr r="U600" s="1"/>
      </tp>
      <tp t="s">
        <v>N/A</v>
        <stp/>
        <stp>VEGA</stp>
        <stp>.SPY160115P214.5</stp>
        <tr r="U620" s="1"/>
      </tp>
      <tp t="s">
        <v>N/A</v>
        <stp/>
        <stp>VEGA</stp>
        <stp>.SPY170120P210.5</stp>
        <tr r="U822" s="1"/>
      </tp>
      <tp t="s">
        <v>N/A</v>
        <stp/>
        <stp>VEGA</stp>
        <stp>.SPY170120P200.5</stp>
        <tr r="U802" s="1"/>
      </tp>
      <tp t="s">
        <v>N/A</v>
        <stp/>
        <stp>VEGA</stp>
        <stp>.SPY150717P205.5</stp>
        <tr r="U392" s="1"/>
      </tp>
      <tp t="s">
        <v>N/A</v>
        <stp/>
        <stp>VEGA</stp>
        <stp>.SPY150717P215.5</stp>
        <tr r="U412" s="1"/>
      </tp>
      <tp t="s">
        <v>N/A</v>
        <stp/>
        <stp>VEGA</stp>
        <stp>.SPY160617P206.5</stp>
        <tr r="U688" s="1"/>
      </tp>
      <tp t="s">
        <v>N/A</v>
        <stp/>
        <stp>VEGA</stp>
        <stp>.SPY160617P216.5</stp>
        <tr r="U708" s="1"/>
      </tp>
      <tp t="s">
        <v>N/A</v>
        <stp/>
        <stp>VEGA</stp>
        <stp>.SPY150630P202.5</stp>
        <tr r="U344" s="1"/>
      </tp>
      <tp t="s">
        <v>N/A</v>
        <stp/>
        <stp>VEGA</stp>
        <stp>.SPY150630P212.5</stp>
        <tr r="U364" s="1"/>
      </tp>
      <tp t="s">
        <v>N/A</v>
        <stp/>
        <stp>VEGA</stp>
        <stp>.SPY150501P213.5</stp>
        <tr r="U114" s="1"/>
      </tp>
      <tp>
        <v>0.11001</v>
        <stp/>
        <stp>VEGA</stp>
        <stp>.SPY150515P207.5</stp>
        <tr r="U186" s="1"/>
      </tp>
      <tp t="s">
        <v>N/A</v>
        <stp/>
        <stp>VEGA</stp>
        <stp>.SPY150501P203.5</stp>
        <tr r="U94" s="1"/>
      </tp>
      <tp>
        <v>0</v>
        <stp/>
        <stp>VEGA</stp>
        <stp>.SPY150515P217.5</stp>
        <tr r="U206" s="1"/>
      </tp>
      <tp>
        <v>0.18959999999999999</v>
        <stp/>
        <stp>VEGA</stp>
        <stp>.SPY150522P210.5</stp>
        <tr r="U234" s="1"/>
      </tp>
      <tp>
        <v>6.4000000000000001E-2</v>
        <stp/>
        <stp>VEGA</stp>
        <stp>.SPY150522P200.5</stp>
        <tr r="U214" s="1"/>
      </tp>
      <tp t="s">
        <v>N/A</v>
        <stp/>
        <stp>VEGA</stp>
        <stp>.SPY150417P205.5</stp>
        <tr r="U14" s="1"/>
      </tp>
      <tp t="s">
        <v>N/A</v>
        <stp/>
        <stp>VEGA</stp>
        <stp>.SPY150417P215.5</stp>
        <tr r="U34" s="1"/>
      </tp>
      <tp t="s">
        <v>N/A</v>
        <stp/>
        <stp>VEGA</stp>
        <stp>.SPY150424P216.5</stp>
        <tr r="U78" s="1"/>
      </tp>
      <tp t="s">
        <v>N/A</v>
        <stp/>
        <stp>VEGA</stp>
        <stp>.SPY150424P206.5</stp>
        <tr r="U58" s="1"/>
      </tp>
      <tp t="s">
        <v>N/A</v>
        <stp/>
        <stp>VEGA</stp>
        <stp>.SPY160916P207.5</stp>
        <tr r="U732" s="1"/>
      </tp>
      <tp t="s">
        <v>N/A</v>
        <stp/>
        <stp>VEGA</stp>
        <stp>.SPY160916P217.5</stp>
        <tr r="U752" s="1"/>
      </tp>
      <tp t="s">
        <v>N/A</v>
        <stp/>
        <stp>VEGA</stp>
        <stp>.SPY150930P202.5</stp>
        <tr r="U470" s="1"/>
      </tp>
      <tp t="s">
        <v>N/A</v>
        <stp/>
        <stp>VEGA</stp>
        <stp>.SPY150930P212.5</stp>
        <tr r="U490" s="1"/>
      </tp>
      <tp>
        <v>1.9349999999999999E-2</v>
        <stp/>
        <stp>GAMMA</stp>
        <stp>.SPY150930P208</stp>
        <tr r="T481" s="1"/>
      </tp>
      <tp>
        <v>2.0400000000000001E-2</v>
        <stp/>
        <stp>GAMMA</stp>
        <stp>.SPY150930C208</stp>
        <tr r="I481" s="1"/>
      </tp>
      <tp>
        <v>1.9800000000000002E-2</v>
        <stp/>
        <stp>GAMMA</stp>
        <stp>.SPY150930P209</stp>
        <tr r="T483" s="1"/>
      </tp>
      <tp>
        <v>2.0879999999999999E-2</v>
        <stp/>
        <stp>GAMMA</stp>
        <stp>.SPY150930C209</stp>
        <tr r="I483" s="1"/>
      </tp>
      <tp>
        <v>1.5180000000000001E-2</v>
        <stp/>
        <stp>GAMMA</stp>
        <stp>.SPY150930P200</stp>
        <tr r="T465" s="1"/>
      </tp>
      <tp>
        <v>1.627E-2</v>
        <stp/>
        <stp>GAMMA</stp>
        <stp>.SPY150930C200</stp>
        <tr r="I465" s="1"/>
      </tp>
      <tp>
        <v>1.5709999999999998E-2</v>
        <stp/>
        <stp>GAMMA</stp>
        <stp>.SPY150930P201</stp>
        <tr r="T467" s="1"/>
      </tp>
      <tp>
        <v>1.6809999999999999E-2</v>
        <stp/>
        <stp>GAMMA</stp>
        <stp>.SPY150930C201</stp>
        <tr r="I467" s="1"/>
      </tp>
      <tp>
        <v>1.6240000000000001E-2</v>
        <stp/>
        <stp>GAMMA</stp>
        <stp>.SPY150930P202</stp>
        <tr r="T469" s="1"/>
      </tp>
      <tp>
        <v>1.736E-2</v>
        <stp/>
        <stp>GAMMA</stp>
        <stp>.SPY150930C202</stp>
        <tr r="I469" s="1"/>
      </tp>
      <tp>
        <v>1.678E-2</v>
        <stp/>
        <stp>GAMMA</stp>
        <stp>.SPY150930P203</stp>
        <tr r="T471" s="1"/>
      </tp>
      <tp>
        <v>1.7909999999999999E-2</v>
        <stp/>
        <stp>GAMMA</stp>
        <stp>.SPY150930C203</stp>
        <tr r="I471" s="1"/>
      </tp>
      <tp>
        <v>1.7309999999999999E-2</v>
        <stp/>
        <stp>GAMMA</stp>
        <stp>.SPY150930P204</stp>
        <tr r="T473" s="1"/>
      </tp>
      <tp>
        <v>1.8440000000000002E-2</v>
        <stp/>
        <stp>GAMMA</stp>
        <stp>.SPY150930C204</stp>
        <tr r="I473" s="1"/>
      </tp>
      <tp>
        <v>1.7840000000000002E-2</v>
        <stp/>
        <stp>GAMMA</stp>
        <stp>.SPY150930P205</stp>
        <tr r="T475" s="1"/>
      </tp>
      <tp>
        <v>1.898E-2</v>
        <stp/>
        <stp>GAMMA</stp>
        <stp>.SPY150930C205</stp>
        <tr r="I475" s="1"/>
      </tp>
      <tp>
        <v>1.8360000000000001E-2</v>
        <stp/>
        <stp>GAMMA</stp>
        <stp>.SPY150930P206</stp>
        <tr r="T477" s="1"/>
      </tp>
      <tp>
        <v>1.9369999999999998E-2</v>
        <stp/>
        <stp>GAMMA</stp>
        <stp>.SPY150930C206</stp>
        <tr r="I477" s="1"/>
      </tp>
      <tp>
        <v>1.8870000000000001E-2</v>
        <stp/>
        <stp>GAMMA</stp>
        <stp>.SPY150930P207</stp>
        <tr r="T479" s="1"/>
      </tp>
      <tp>
        <v>1.992E-2</v>
        <stp/>
        <stp>GAMMA</stp>
        <stp>.SPY150930C207</stp>
        <tr r="I479" s="1"/>
      </tp>
      <tp t="s">
        <v>N/A</v>
        <stp/>
        <stp>GAMMA</stp>
        <stp>.SPY150930P218</stp>
        <tr r="T501" s="1"/>
      </tp>
      <tp t="s">
        <v>N/A</v>
        <stp/>
        <stp>GAMMA</stp>
        <stp>.SPY150930C218</stp>
        <tr r="I501" s="1"/>
      </tp>
      <tp t="s">
        <v>N/A</v>
        <stp/>
        <stp>GAMMA</stp>
        <stp>.SPY150930P219</stp>
        <tr r="T503" s="1"/>
      </tp>
      <tp t="s">
        <v>N/A</v>
        <stp/>
        <stp>GAMMA</stp>
        <stp>.SPY150930C219</stp>
        <tr r="I503" s="1"/>
      </tp>
      <tp>
        <v>2.0279999999999999E-2</v>
        <stp/>
        <stp>GAMMA</stp>
        <stp>.SPY150930P210</stp>
        <tr r="T485" s="1"/>
      </tp>
      <tp>
        <v>2.1360000000000001E-2</v>
        <stp/>
        <stp>GAMMA</stp>
        <stp>.SPY150930C210</stp>
        <tr r="I485" s="1"/>
      </tp>
      <tp>
        <v>2.0639999999999999E-2</v>
        <stp/>
        <stp>GAMMA</stp>
        <stp>.SPY150930P211</stp>
        <tr r="T487" s="1"/>
      </tp>
      <tp>
        <v>2.172E-2</v>
        <stp/>
        <stp>GAMMA</stp>
        <stp>.SPY150930C211</stp>
        <tr r="I487" s="1"/>
      </tp>
      <tp>
        <v>2.0959999999999999E-2</v>
        <stp/>
        <stp>GAMMA</stp>
        <stp>.SPY150930P212</stp>
        <tr r="T489" s="1"/>
      </tp>
      <tp>
        <v>2.2020000000000001E-2</v>
        <stp/>
        <stp>GAMMA</stp>
        <stp>.SPY150930C212</stp>
        <tr r="I489" s="1"/>
      </tp>
      <tp>
        <v>2.1239999999999998E-2</v>
        <stp/>
        <stp>GAMMA</stp>
        <stp>.SPY150930P213</stp>
        <tr r="T491" s="1"/>
      </tp>
      <tp>
        <v>2.2280000000000001E-2</v>
        <stp/>
        <stp>GAMMA</stp>
        <stp>.SPY150930C213</stp>
        <tr r="I491" s="1"/>
      </tp>
      <tp>
        <v>2.1420000000000002E-2</v>
        <stp/>
        <stp>GAMMA</stp>
        <stp>.SPY150930P214</stp>
        <tr r="T493" s="1"/>
      </tp>
      <tp>
        <v>2.256E-2</v>
        <stp/>
        <stp>GAMMA</stp>
        <stp>.SPY150930C214</stp>
        <tr r="I493" s="1"/>
      </tp>
      <tp>
        <v>2.1559999999999999E-2</v>
        <stp/>
        <stp>GAMMA</stp>
        <stp>.SPY150930P215</stp>
        <tr r="T495" s="1"/>
      </tp>
      <tp>
        <v>2.2669999999999999E-2</v>
        <stp/>
        <stp>GAMMA</stp>
        <stp>.SPY150930C215</stp>
        <tr r="I495" s="1"/>
      </tp>
      <tp t="s">
        <v>N/A</v>
        <stp/>
        <stp>GAMMA</stp>
        <stp>.SPY150930P216</stp>
        <tr r="T497" s="1"/>
      </tp>
      <tp t="s">
        <v>N/A</v>
        <stp/>
        <stp>GAMMA</stp>
        <stp>.SPY150930C216</stp>
        <tr r="I497" s="1"/>
      </tp>
      <tp t="s">
        <v>N/A</v>
        <stp/>
        <stp>GAMMA</stp>
        <stp>.SPY150930P217</stp>
        <tr r="T499" s="1"/>
      </tp>
      <tp t="s">
        <v>N/A</v>
        <stp/>
        <stp>GAMMA</stp>
        <stp>.SPY150930C217</stp>
        <tr r="I499" s="1"/>
      </tp>
      <tp>
        <v>1.567E-2</v>
        <stp/>
        <stp>GAMMA</stp>
        <stp>.SPY150918P200</stp>
        <tr r="T423" s="1"/>
      </tp>
      <tp>
        <v>1.6570000000000001E-2</v>
        <stp/>
        <stp>GAMMA</stp>
        <stp>.SPY150918C200</stp>
        <tr r="I423" s="1"/>
      </tp>
      <tp>
        <v>1.6250000000000001E-2</v>
        <stp/>
        <stp>GAMMA</stp>
        <stp>.SPY150918P201</stp>
        <tr r="T425" s="1"/>
      </tp>
      <tp>
        <v>1.729E-2</v>
        <stp/>
        <stp>GAMMA</stp>
        <stp>.SPY150918C201</stp>
        <tr r="I425" s="1"/>
      </tp>
      <tp>
        <v>1.6840000000000001E-2</v>
        <stp/>
        <stp>GAMMA</stp>
        <stp>.SPY150918P202</stp>
        <tr r="T427" s="1"/>
      </tp>
      <tp>
        <v>1.787E-2</v>
        <stp/>
        <stp>GAMMA</stp>
        <stp>.SPY150918C202</stp>
        <tr r="I427" s="1"/>
      </tp>
      <tp>
        <v>1.7430000000000001E-2</v>
        <stp/>
        <stp>GAMMA</stp>
        <stp>.SPY150918P203</stp>
        <tr r="T429" s="1"/>
      </tp>
      <tp>
        <v>1.8350000000000002E-2</v>
        <stp/>
        <stp>GAMMA</stp>
        <stp>.SPY150918C203</stp>
        <tr r="I429" s="1"/>
      </tp>
      <tp>
        <v>1.8020000000000001E-2</v>
        <stp/>
        <stp>GAMMA</stp>
        <stp>.SPY150918P204</stp>
        <tr r="T431" s="1"/>
      </tp>
      <tp t="s">
        <v>N/A</v>
        <stp/>
        <stp>GAMMA</stp>
        <stp>.SPY160916P209</stp>
        <tr r="T735" s="1"/>
      </tp>
      <tp>
        <v>1.9099999999999999E-2</v>
        <stp/>
        <stp>GAMMA</stp>
        <stp>.SPY150918C204</stp>
        <tr r="I431" s="1"/>
      </tp>
      <tp t="s">
        <v>N/A</v>
        <stp/>
        <stp>GAMMA</stp>
        <stp>.SPY160916C209</stp>
        <tr r="I735" s="1"/>
      </tp>
      <tp>
        <v>1.8589999999999999E-2</v>
        <stp/>
        <stp>GAMMA</stp>
        <stp>.SPY150918P205</stp>
        <tr r="T433" s="1"/>
      </tp>
      <tp t="s">
        <v>N/A</v>
        <stp/>
        <stp>GAMMA</stp>
        <stp>.SPY160916P208</stp>
        <tr r="T733" s="1"/>
      </tp>
      <tp>
        <v>1.9699999999999999E-2</v>
        <stp/>
        <stp>GAMMA</stp>
        <stp>.SPY150918C205</stp>
        <tr r="I433" s="1"/>
      </tp>
      <tp t="s">
        <v>N/A</v>
        <stp/>
        <stp>GAMMA</stp>
        <stp>.SPY160916C208</stp>
        <tr r="I733" s="1"/>
      </tp>
      <tp>
        <v>1.917E-2</v>
        <stp/>
        <stp>GAMMA</stp>
        <stp>.SPY150918P206</stp>
        <tr r="T435" s="1"/>
      </tp>
      <tp>
        <v>2.026E-2</v>
        <stp/>
        <stp>GAMMA</stp>
        <stp>.SPY150918C206</stp>
        <tr r="I435" s="1"/>
      </tp>
      <tp>
        <v>1.9709999999999998E-2</v>
        <stp/>
        <stp>GAMMA</stp>
        <stp>.SPY150918P207</stp>
        <tr r="T437" s="1"/>
      </tp>
      <tp>
        <v>2.0740000000000001E-2</v>
        <stp/>
        <stp>GAMMA</stp>
        <stp>.SPY150918C207</stp>
        <tr r="I437" s="1"/>
      </tp>
      <tp>
        <v>2.0240000000000001E-2</v>
        <stp/>
        <stp>GAMMA</stp>
        <stp>.SPY150918P208</stp>
        <tr r="T439" s="1"/>
      </tp>
      <tp>
        <v>8.8599999999999998E-3</v>
        <stp/>
        <stp>GAMMA</stp>
        <stp>.SPY160916P205</stp>
        <tr r="T727" s="1"/>
      </tp>
      <tp>
        <v>2.1260000000000001E-2</v>
        <stp/>
        <stp>GAMMA</stp>
        <stp>.SPY150918C208</stp>
        <tr r="I439" s="1"/>
      </tp>
      <tp>
        <v>9.2800000000000001E-3</v>
        <stp/>
        <stp>GAMMA</stp>
        <stp>.SPY160916C205</stp>
        <tr r="I727" s="1"/>
      </tp>
      <tp>
        <v>2.0740000000000001E-2</v>
        <stp/>
        <stp>GAMMA</stp>
        <stp>.SPY150918P209</stp>
        <tr r="T441" s="1"/>
      </tp>
      <tp t="s">
        <v>N/A</v>
        <stp/>
        <stp>GAMMA</stp>
        <stp>.SPY160916P204</stp>
        <tr r="T725" s="1"/>
      </tp>
      <tp>
        <v>2.18E-2</v>
        <stp/>
        <stp>GAMMA</stp>
        <stp>.SPY150918C209</stp>
        <tr r="I441" s="1"/>
      </tp>
      <tp t="s">
        <v>N/A</v>
        <stp/>
        <stp>GAMMA</stp>
        <stp>.SPY160916C204</stp>
        <tr r="I725" s="1"/>
      </tp>
      <tp t="s">
        <v>N/A</v>
        <stp/>
        <stp>GAMMA</stp>
        <stp>.SPY160916P207</stp>
        <tr r="T731" s="1"/>
      </tp>
      <tp t="s">
        <v>N/A</v>
        <stp/>
        <stp>GAMMA</stp>
        <stp>.SPY160916C207</stp>
        <tr r="I731" s="1"/>
      </tp>
      <tp t="s">
        <v>N/A</v>
        <stp/>
        <stp>GAMMA</stp>
        <stp>.SPY160916P206</stp>
        <tr r="T729" s="1"/>
      </tp>
      <tp t="s">
        <v>N/A</v>
        <stp/>
        <stp>GAMMA</stp>
        <stp>.SPY160916C206</stp>
        <tr r="I729" s="1"/>
      </tp>
      <tp t="s">
        <v>N/A</v>
        <stp/>
        <stp>GAMMA</stp>
        <stp>.SPY160916P201</stp>
        <tr r="T719" s="1"/>
      </tp>
      <tp t="s">
        <v>N/A</v>
        <stp/>
        <stp>GAMMA</stp>
        <stp>.SPY160916C201</stp>
        <tr r="I719" s="1"/>
      </tp>
      <tp>
        <v>8.3000000000000001E-3</v>
        <stp/>
        <stp>GAMMA</stp>
        <stp>.SPY160916P200</stp>
        <tr r="T717" s="1"/>
      </tp>
      <tp>
        <v>8.7799999999999996E-3</v>
        <stp/>
        <stp>GAMMA</stp>
        <stp>.SPY160916C200</stp>
        <tr r="I717" s="1"/>
      </tp>
      <tp t="s">
        <v>N/A</v>
        <stp/>
        <stp>GAMMA</stp>
        <stp>.SPY160916P203</stp>
        <tr r="T723" s="1"/>
      </tp>
      <tp t="s">
        <v>N/A</v>
        <stp/>
        <stp>GAMMA</stp>
        <stp>.SPY160916C203</stp>
        <tr r="I723" s="1"/>
      </tp>
      <tp t="s">
        <v>N/A</v>
        <stp/>
        <stp>GAMMA</stp>
        <stp>.SPY160916P202</stp>
        <tr r="T721" s="1"/>
      </tp>
      <tp t="s">
        <v>N/A</v>
        <stp/>
        <stp>GAMMA</stp>
        <stp>.SPY160916C202</stp>
        <tr r="I721" s="1"/>
      </tp>
      <tp>
        <v>2.128E-2</v>
        <stp/>
        <stp>GAMMA</stp>
        <stp>.SPY150918P210</stp>
        <tr r="T443" s="1"/>
      </tp>
      <tp>
        <v>2.2360000000000001E-2</v>
        <stp/>
        <stp>GAMMA</stp>
        <stp>.SPY150918C210</stp>
        <tr r="I443" s="1"/>
      </tp>
      <tp>
        <v>2.1610000000000001E-2</v>
        <stp/>
        <stp>GAMMA</stp>
        <stp>.SPY150918P211</stp>
        <tr r="T445" s="1"/>
      </tp>
      <tp>
        <v>2.2790000000000001E-2</v>
        <stp/>
        <stp>GAMMA</stp>
        <stp>.SPY150918C211</stp>
        <tr r="I445" s="1"/>
      </tp>
      <tp>
        <v>2.1950000000000001E-2</v>
        <stp/>
        <stp>GAMMA</stp>
        <stp>.SPY150918P212</stp>
        <tr r="T447" s="1"/>
      </tp>
      <tp>
        <v>2.3140000000000001E-2</v>
        <stp/>
        <stp>GAMMA</stp>
        <stp>.SPY150918C212</stp>
        <tr r="I447" s="1"/>
      </tp>
      <tp>
        <v>2.2280000000000001E-2</v>
        <stp/>
        <stp>GAMMA</stp>
        <stp>.SPY150918P213</stp>
        <tr r="T449" s="1"/>
      </tp>
      <tp>
        <v>2.3460000000000002E-2</v>
        <stp/>
        <stp>GAMMA</stp>
        <stp>.SPY150918C213</stp>
        <tr r="I449" s="1"/>
      </tp>
      <tp>
        <v>2.249E-2</v>
        <stp/>
        <stp>GAMMA</stp>
        <stp>.SPY150918P214</stp>
        <tr r="T451" s="1"/>
      </tp>
      <tp t="s">
        <v>N/A</v>
        <stp/>
        <stp>GAMMA</stp>
        <stp>.SPY160916P219</stp>
        <tr r="T755" s="1"/>
      </tp>
      <tp>
        <v>2.368E-2</v>
        <stp/>
        <stp>GAMMA</stp>
        <stp>.SPY150918C214</stp>
        <tr r="I451" s="1"/>
      </tp>
      <tp t="s">
        <v>N/A</v>
        <stp/>
        <stp>GAMMA</stp>
        <stp>.SPY160916C219</stp>
        <tr r="I755" s="1"/>
      </tp>
      <tp>
        <v>2.2409999999999999E-2</v>
        <stp/>
        <stp>GAMMA</stp>
        <stp>.SPY150918P215</stp>
        <tr r="T453" s="1"/>
      </tp>
      <tp t="s">
        <v>N/A</v>
        <stp/>
        <stp>GAMMA</stp>
        <stp>.SPY160916P218</stp>
        <tr r="T753" s="1"/>
      </tp>
      <tp>
        <v>2.384E-2</v>
        <stp/>
        <stp>GAMMA</stp>
        <stp>.SPY150918C215</stp>
        <tr r="I453" s="1"/>
      </tp>
      <tp t="s">
        <v>N/A</v>
        <stp/>
        <stp>GAMMA</stp>
        <stp>.SPY160916C218</stp>
        <tr r="I753" s="1"/>
      </tp>
      <tp>
        <v>2.257E-2</v>
        <stp/>
        <stp>GAMMA</stp>
        <stp>.SPY150918P216</stp>
        <tr r="T455" s="1"/>
      </tp>
      <tp>
        <v>2.3810000000000001E-2</v>
        <stp/>
        <stp>GAMMA</stp>
        <stp>.SPY150918C216</stp>
        <tr r="I455" s="1"/>
      </tp>
      <tp>
        <v>2.248E-2</v>
        <stp/>
        <stp>GAMMA</stp>
        <stp>.SPY150918P217</stp>
        <tr r="T457" s="1"/>
      </tp>
      <tp>
        <v>2.3740000000000001E-2</v>
        <stp/>
        <stp>GAMMA</stp>
        <stp>.SPY150918C217</stp>
        <tr r="I457" s="1"/>
      </tp>
      <tp>
        <v>2.222E-2</v>
        <stp/>
        <stp>GAMMA</stp>
        <stp>.SPY150918P218</stp>
        <tr r="T459" s="1"/>
      </tp>
      <tp>
        <v>9.7000000000000003E-3</v>
        <stp/>
        <stp>GAMMA</stp>
        <stp>.SPY160916P215</stp>
        <tr r="T747" s="1"/>
      </tp>
      <tp>
        <v>2.35E-2</v>
        <stp/>
        <stp>GAMMA</stp>
        <stp>.SPY150918C218</stp>
        <tr r="I459" s="1"/>
      </tp>
      <tp>
        <v>9.9600000000000001E-3</v>
        <stp/>
        <stp>GAMMA</stp>
        <stp>.SPY160916C215</stp>
        <tr r="I747" s="1"/>
      </tp>
      <tp>
        <v>2.1870000000000001E-2</v>
        <stp/>
        <stp>GAMMA</stp>
        <stp>.SPY150918P219</stp>
        <tr r="T461" s="1"/>
      </tp>
      <tp t="s">
        <v>N/A</v>
        <stp/>
        <stp>GAMMA</stp>
        <stp>.SPY160916P214</stp>
        <tr r="T745" s="1"/>
      </tp>
      <tp>
        <v>2.3109999999999999E-2</v>
        <stp/>
        <stp>GAMMA</stp>
        <stp>.SPY150918C219</stp>
        <tr r="I461" s="1"/>
      </tp>
      <tp t="s">
        <v>N/A</v>
        <stp/>
        <stp>GAMMA</stp>
        <stp>.SPY160916C214</stp>
        <tr r="I745" s="1"/>
      </tp>
      <tp t="s">
        <v>N/A</v>
        <stp/>
        <stp>GAMMA</stp>
        <stp>.SPY160916P217</stp>
        <tr r="T751" s="1"/>
      </tp>
      <tp t="s">
        <v>N/A</v>
        <stp/>
        <stp>GAMMA</stp>
        <stp>.SPY160916C217</stp>
        <tr r="I751" s="1"/>
      </tp>
      <tp t="s">
        <v>N/A</v>
        <stp/>
        <stp>GAMMA</stp>
        <stp>.SPY160916P216</stp>
        <tr r="T749" s="1"/>
      </tp>
      <tp t="s">
        <v>N/A</v>
        <stp/>
        <stp>GAMMA</stp>
        <stp>.SPY160916C216</stp>
        <tr r="I749" s="1"/>
      </tp>
      <tp t="s">
        <v>N/A</v>
        <stp/>
        <stp>GAMMA</stp>
        <stp>.SPY160916P211</stp>
        <tr r="T739" s="1"/>
      </tp>
      <tp t="s">
        <v>N/A</v>
        <stp/>
        <stp>GAMMA</stp>
        <stp>.SPY160916C211</stp>
        <tr r="I739" s="1"/>
      </tp>
      <tp>
        <v>9.3500000000000007E-3</v>
        <stp/>
        <stp>GAMMA</stp>
        <stp>.SPY160916P210</stp>
        <tr r="T737" s="1"/>
      </tp>
      <tp>
        <v>9.6399999999999993E-3</v>
        <stp/>
        <stp>GAMMA</stp>
        <stp>.SPY160916C210</stp>
        <tr r="I737" s="1"/>
      </tp>
      <tp t="s">
        <v>N/A</v>
        <stp/>
        <stp>GAMMA</stp>
        <stp>.SPY160916P213</stp>
        <tr r="T743" s="1"/>
      </tp>
      <tp t="s">
        <v>N/A</v>
        <stp/>
        <stp>GAMMA</stp>
        <stp>.SPY160916C213</stp>
        <tr r="I743" s="1"/>
      </tp>
      <tp t="s">
        <v>N/A</v>
        <stp/>
        <stp>GAMMA</stp>
        <stp>.SPY160916P212</stp>
        <tr r="T741" s="1"/>
      </tp>
      <tp t="s">
        <v>N/A</v>
        <stp/>
        <stp>GAMMA</stp>
        <stp>.SPY160916C212</stp>
        <tr r="I741" s="1"/>
      </tp>
      <tp t="s">
        <v>N/A</v>
        <stp/>
        <stp>VEGA</stp>
        <stp>.SPY160318C208.5</stp>
        <tr r="J650" s="1"/>
      </tp>
      <tp t="s">
        <v>N/A</v>
        <stp/>
        <stp>VEGA</stp>
        <stp>.SPY170317C206.5</stp>
        <tr r="J856" s="1"/>
      </tp>
      <tp t="s">
        <v>N/A</v>
        <stp/>
        <stp>VEGA</stp>
        <stp>.SPY160318C218.5</stp>
        <tr r="J670" s="1"/>
      </tp>
      <tp t="s">
        <v>N/A</v>
        <stp/>
        <stp>VEGA</stp>
        <stp>.SPY170317C216.5</stp>
        <tr r="J876" s="1"/>
      </tp>
      <tp t="s">
        <v>N/A</v>
        <stp/>
        <stp>VEGA</stp>
        <stp>.SPY160115C205.5</stp>
        <tr r="J602" s="1"/>
      </tp>
      <tp t="s">
        <v>N/A</v>
        <stp/>
        <stp>VEGA</stp>
        <stp>.SPY160115C215.5</stp>
        <tr r="J622" s="1"/>
      </tp>
      <tp t="s">
        <v>N/A</v>
        <stp/>
        <stp>VEGA</stp>
        <stp>.SPY170120C211.5</stp>
        <tr r="J824" s="1"/>
      </tp>
      <tp t="s">
        <v>N/A</v>
        <stp/>
        <stp>VEGA</stp>
        <stp>.SPY170120C201.5</stp>
        <tr r="J804" s="1"/>
      </tp>
      <tp t="s">
        <v>N/A</v>
        <stp/>
        <stp>VEGA</stp>
        <stp>.SPY150717C204.5</stp>
        <tr r="J390" s="1"/>
      </tp>
      <tp t="s">
        <v>N/A</v>
        <stp/>
        <stp>VEGA</stp>
        <stp>.SPY150717C214.5</stp>
        <tr r="J410" s="1"/>
      </tp>
      <tp t="s">
        <v>N/A</v>
        <stp/>
        <stp>VEGA</stp>
        <stp>.SPY160617C207.5</stp>
        <tr r="J690" s="1"/>
      </tp>
      <tp t="s">
        <v>N/A</v>
        <stp/>
        <stp>VEGA</stp>
        <stp>.SPY160617C217.5</stp>
        <tr r="J710" s="1"/>
      </tp>
      <tp t="s">
        <v>N/A</v>
        <stp/>
        <stp>VEGA</stp>
        <stp>.SPY150630C203.5</stp>
        <tr r="J346" s="1"/>
      </tp>
      <tp t="s">
        <v>N/A</v>
        <stp/>
        <stp>VEGA</stp>
        <stp>.SPY150630C213.5</stp>
        <tr r="J366" s="1"/>
      </tp>
      <tp t="s">
        <v>N/A</v>
        <stp/>
        <stp>VEGA</stp>
        <stp>.SPY150501C212.5</stp>
        <tr r="J112" s="1"/>
      </tp>
      <tp>
        <v>9.8220000000000002E-2</v>
        <stp/>
        <stp>VEGA</stp>
        <stp>.SPY150515C206.5</stp>
        <tr r="J184" s="1"/>
      </tp>
      <tp t="s">
        <v>N/A</v>
        <stp/>
        <stp>VEGA</stp>
        <stp>.SPY150501C202.5</stp>
        <tr r="J92" s="1"/>
      </tp>
      <tp>
        <v>4.3770000000000003E-2</v>
        <stp/>
        <stp>VEGA</stp>
        <stp>.SPY150515C216.5</stp>
        <tr r="J204" s="1"/>
      </tp>
      <tp>
        <v>0.19212000000000001</v>
        <stp/>
        <stp>VEGA</stp>
        <stp>.SPY150522C211.5</stp>
        <tr r="J236" s="1"/>
      </tp>
      <tp>
        <v>8.3589999999999998E-2</v>
        <stp/>
        <stp>VEGA</stp>
        <stp>.SPY150522C201.5</stp>
        <tr r="J216" s="1"/>
      </tp>
      <tp t="s">
        <v>N/A</v>
        <stp/>
        <stp>VEGA</stp>
        <stp>.SPY150417C204.5</stp>
        <tr r="J12" s="1"/>
      </tp>
      <tp t="s">
        <v>N/A</v>
        <stp/>
        <stp>VEGA</stp>
        <stp>.SPY150417C214.5</stp>
        <tr r="J32" s="1"/>
      </tp>
      <tp t="s">
        <v>N/A</v>
        <stp/>
        <stp>VEGA</stp>
        <stp>.SPY150424C217.5</stp>
        <tr r="J80" s="1"/>
      </tp>
      <tp t="s">
        <v>N/A</v>
        <stp/>
        <stp>VEGA</stp>
        <stp>.SPY150424C207.5</stp>
        <tr r="J60" s="1"/>
      </tp>
      <tp t="s">
        <v>N/A</v>
        <stp/>
        <stp>VEGA</stp>
        <stp>.SPY160916C206.5</stp>
        <tr r="J730" s="1"/>
      </tp>
      <tp t="s">
        <v>N/A</v>
        <stp/>
        <stp>VEGA</stp>
        <stp>.SPY160916C216.5</stp>
        <tr r="J750" s="1"/>
      </tp>
      <tp t="s">
        <v>N/A</v>
        <stp/>
        <stp>VEGA</stp>
        <stp>.SPY150930C203.5</stp>
        <tr r="J472" s="1"/>
      </tp>
      <tp t="s">
        <v>N/A</v>
        <stp/>
        <stp>VEGA</stp>
        <stp>.SPY150930C213.5</stp>
        <tr r="J492" s="1"/>
      </tp>
      <tp t="s">
        <v>N/A</v>
        <stp/>
        <stp>VEGA</stp>
        <stp>.SPY161216C206.5</stp>
        <tr r="J772" s="1"/>
      </tp>
      <tp t="s">
        <v>N/A</v>
        <stp/>
        <stp>VEGA</stp>
        <stp>.SPY171215C204.5</stp>
        <tr r="J894" s="1"/>
      </tp>
      <tp t="s">
        <v>N/A</v>
        <stp/>
        <stp>VEGA</stp>
        <stp>.SPY161216C216.5</stp>
        <tr r="J792" s="1"/>
      </tp>
      <tp t="s">
        <v>N/A</v>
        <stp/>
        <stp>VEGA</stp>
        <stp>.SPY171215C214.5</stp>
        <tr r="J914" s="1"/>
      </tp>
      <tp t="s">
        <v>N/A</v>
        <stp/>
        <stp>VEGA</stp>
        <stp>.SPY151231C202.5</stp>
        <tr r="J554" s="1"/>
      </tp>
      <tp t="s">
        <v>N/A</v>
        <stp/>
        <stp>VEGA</stp>
        <stp>.SPY151231C212.5</stp>
        <tr r="J574" s="1"/>
      </tp>
      <tp t="s">
        <v>N/A</v>
        <stp/>
        <stp>VEGA</stp>
        <stp>.SPY161216P206.5</stp>
        <tr r="U772" s="1"/>
      </tp>
      <tp t="s">
        <v>N/A</v>
        <stp/>
        <stp>VEGA</stp>
        <stp>.SPY171215P204.5</stp>
        <tr r="U894" s="1"/>
      </tp>
      <tp t="s">
        <v>N/A</v>
        <stp/>
        <stp>VEGA</stp>
        <stp>.SPY161216P216.5</stp>
        <tr r="U792" s="1"/>
      </tp>
      <tp t="s">
        <v>N/A</v>
        <stp/>
        <stp>VEGA</stp>
        <stp>.SPY171215P214.5</stp>
        <tr r="U914" s="1"/>
      </tp>
      <tp t="s">
        <v>N/A</v>
        <stp/>
        <stp>VEGA</stp>
        <stp>.SPY151231P202.5</stp>
        <tr r="U554" s="1"/>
      </tp>
      <tp t="s">
        <v>N/A</v>
        <stp/>
        <stp>VEGA</stp>
        <stp>.SPY151231P212.5</stp>
        <tr r="U574" s="1"/>
      </tp>
      <tp t="s">
        <v>N/A</v>
        <stp/>
        <stp>VEGA</stp>
        <stp>.SPY160318P208.5</stp>
        <tr r="U650" s="1"/>
      </tp>
      <tp t="s">
        <v>N/A</v>
        <stp/>
        <stp>VEGA</stp>
        <stp>.SPY170317P206.5</stp>
        <tr r="U856" s="1"/>
      </tp>
      <tp t="s">
        <v>N/A</v>
        <stp/>
        <stp>VEGA</stp>
        <stp>.SPY160318P218.5</stp>
        <tr r="U670" s="1"/>
      </tp>
      <tp t="s">
        <v>N/A</v>
        <stp/>
        <stp>VEGA</stp>
        <stp>.SPY170317P216.5</stp>
        <tr r="U876" s="1"/>
      </tp>
      <tp t="s">
        <v>N/A</v>
        <stp/>
        <stp>VEGA</stp>
        <stp>.SPY160115P205.5</stp>
        <tr r="U602" s="1"/>
      </tp>
      <tp t="s">
        <v>N/A</v>
        <stp/>
        <stp>VEGA</stp>
        <stp>.SPY160115P215.5</stp>
        <tr r="U622" s="1"/>
      </tp>
      <tp t="s">
        <v>N/A</v>
        <stp/>
        <stp>VEGA</stp>
        <stp>.SPY170120P211.5</stp>
        <tr r="U824" s="1"/>
      </tp>
      <tp t="s">
        <v>N/A</v>
        <stp/>
        <stp>VEGA</stp>
        <stp>.SPY170120P201.5</stp>
        <tr r="U804" s="1"/>
      </tp>
      <tp t="s">
        <v>N/A</v>
        <stp/>
        <stp>VEGA</stp>
        <stp>.SPY150717P204.5</stp>
        <tr r="U390" s="1"/>
      </tp>
      <tp t="s">
        <v>N/A</v>
        <stp/>
        <stp>VEGA</stp>
        <stp>.SPY150717P214.5</stp>
        <tr r="U410" s="1"/>
      </tp>
      <tp t="s">
        <v>N/A</v>
        <stp/>
        <stp>VEGA</stp>
        <stp>.SPY160617P207.5</stp>
        <tr r="U690" s="1"/>
      </tp>
      <tp t="s">
        <v>N/A</v>
        <stp/>
        <stp>VEGA</stp>
        <stp>.SPY160617P217.5</stp>
        <tr r="U710" s="1"/>
      </tp>
      <tp t="s">
        <v>N/A</v>
        <stp/>
        <stp>VEGA</stp>
        <stp>.SPY150630P203.5</stp>
        <tr r="U346" s="1"/>
      </tp>
      <tp t="s">
        <v>N/A</v>
        <stp/>
        <stp>VEGA</stp>
        <stp>.SPY150630P213.5</stp>
        <tr r="U366" s="1"/>
      </tp>
      <tp t="s">
        <v>N/A</v>
        <stp/>
        <stp>VEGA</stp>
        <stp>.SPY150501P212.5</stp>
        <tr r="U112" s="1"/>
      </tp>
      <tp>
        <v>9.4979999999999995E-2</v>
        <stp/>
        <stp>VEGA</stp>
        <stp>.SPY150515P206.5</stp>
        <tr r="U184" s="1"/>
      </tp>
      <tp t="s">
        <v>N/A</v>
        <stp/>
        <stp>VEGA</stp>
        <stp>.SPY150501P202.5</stp>
        <tr r="U92" s="1"/>
      </tp>
      <tp>
        <v>0</v>
        <stp/>
        <stp>VEGA</stp>
        <stp>.SPY150515P216.5</stp>
        <tr r="U204" s="1"/>
      </tp>
      <tp>
        <v>0.19214000000000001</v>
        <stp/>
        <stp>VEGA</stp>
        <stp>.SPY150522P211.5</stp>
        <tr r="U236" s="1"/>
      </tp>
      <tp>
        <v>7.3319999999999996E-2</v>
        <stp/>
        <stp>VEGA</stp>
        <stp>.SPY150522P201.5</stp>
        <tr r="U216" s="1"/>
      </tp>
      <tp t="s">
        <v>N/A</v>
        <stp/>
        <stp>VEGA</stp>
        <stp>.SPY150417P204.5</stp>
        <tr r="U12" s="1"/>
      </tp>
      <tp t="s">
        <v>N/A</v>
        <stp/>
        <stp>VEGA</stp>
        <stp>.SPY150417P214.5</stp>
        <tr r="U32" s="1"/>
      </tp>
      <tp t="s">
        <v>N/A</v>
        <stp/>
        <stp>VEGA</stp>
        <stp>.SPY150424P217.5</stp>
        <tr r="U80" s="1"/>
      </tp>
      <tp t="s">
        <v>N/A</v>
        <stp/>
        <stp>VEGA</stp>
        <stp>.SPY150424P207.5</stp>
        <tr r="U60" s="1"/>
      </tp>
      <tp t="s">
        <v>N/A</v>
        <stp/>
        <stp>VEGA</stp>
        <stp>.SPY160916P206.5</stp>
        <tr r="U730" s="1"/>
      </tp>
      <tp t="s">
        <v>N/A</v>
        <stp/>
        <stp>VEGA</stp>
        <stp>.SPY160916P216.5</stp>
        <tr r="U750" s="1"/>
      </tp>
      <tp t="s">
        <v>N/A</v>
        <stp/>
        <stp>VEGA</stp>
        <stp>.SPY150930P203.5</stp>
        <tr r="U472" s="1"/>
      </tp>
      <tp t="s">
        <v>N/A</v>
        <stp/>
        <stp>VEGA</stp>
        <stp>.SPY150930P213.5</stp>
        <tr r="U492" s="1"/>
      </tp>
      <tp t="s">
        <v>N/A</v>
        <stp/>
        <stp>THETA</stp>
        <stp>.SPY170120C213</stp>
        <tr r="H827" s="1"/>
      </tp>
      <tp t="s">
        <v>N/A</v>
        <stp/>
        <stp>THETA</stp>
        <stp>.SPY170120P213</stp>
        <tr r="S827" s="1"/>
      </tp>
      <tp t="s">
        <v>N/A</v>
        <stp/>
        <stp>THETA</stp>
        <stp>.SPY170120C212</stp>
        <tr r="H825" s="1"/>
      </tp>
      <tp t="s">
        <v>N/A</v>
        <stp/>
        <stp>THETA</stp>
        <stp>.SPY170120P212</stp>
        <tr r="S825" s="1"/>
      </tp>
      <tp t="s">
        <v>N/A</v>
        <stp/>
        <stp>THETA</stp>
        <stp>.SPY170120C211</stp>
        <tr r="H823" s="1"/>
      </tp>
      <tp t="s">
        <v>N/A</v>
        <stp/>
        <stp>THETA</stp>
        <stp>.SPY170120P211</stp>
        <tr r="S823" s="1"/>
      </tp>
      <tp>
        <v>-1.1730000000000001E-2</v>
        <stp/>
        <stp>THETA</stp>
        <stp>.SPY170120C210</stp>
        <tr r="H821" s="1"/>
      </tp>
      <tp>
        <v>-1.8450000000000001E-2</v>
        <stp/>
        <stp>THETA</stp>
        <stp>.SPY170120P210</stp>
        <tr r="S821" s="1"/>
      </tp>
      <tp t="s">
        <v>N/A</v>
        <stp/>
        <stp>THETA</stp>
        <stp>.SPY170120C217</stp>
        <tr r="H835" s="1"/>
      </tp>
      <tp t="s">
        <v>N/A</v>
        <stp/>
        <stp>THETA</stp>
        <stp>.SPY170120P217</stp>
        <tr r="S835" s="1"/>
      </tp>
      <tp t="s">
        <v>N/A</v>
        <stp/>
        <stp>THETA</stp>
        <stp>.SPY170120C216</stp>
        <tr r="H833" s="1"/>
      </tp>
      <tp t="s">
        <v>N/A</v>
        <stp/>
        <stp>THETA</stp>
        <stp>.SPY170120P216</stp>
        <tr r="S833" s="1"/>
      </tp>
      <tp>
        <v>-1.146E-2</v>
        <stp/>
        <stp>THETA</stp>
        <stp>.SPY170120C215</stp>
        <tr r="H831" s="1"/>
      </tp>
      <tp>
        <v>-1.822E-2</v>
        <stp/>
        <stp>THETA</stp>
        <stp>.SPY170120P215</stp>
        <tr r="S831" s="1"/>
      </tp>
      <tp t="s">
        <v>N/A</v>
        <stp/>
        <stp>THETA</stp>
        <stp>.SPY170120C214</stp>
        <tr r="H829" s="1"/>
      </tp>
      <tp t="s">
        <v>N/A</v>
        <stp/>
        <stp>THETA</stp>
        <stp>.SPY170120P214</stp>
        <tr r="S829" s="1"/>
      </tp>
      <tp t="s">
        <v>N/A</v>
        <stp/>
        <stp>THETA</stp>
        <stp>.SPY170120C219</stp>
        <tr r="H839" s="1"/>
      </tp>
      <tp t="s">
        <v>N/A</v>
        <stp/>
        <stp>THETA</stp>
        <stp>.SPY170120P219</stp>
        <tr r="S839" s="1"/>
      </tp>
      <tp t="s">
        <v>N/A</v>
        <stp/>
        <stp>THETA</stp>
        <stp>.SPY170120C218</stp>
        <tr r="H837" s="1"/>
      </tp>
      <tp t="s">
        <v>N/A</v>
        <stp/>
        <stp>THETA</stp>
        <stp>.SPY170120P218</stp>
        <tr r="S837" s="1"/>
      </tp>
      <tp t="s">
        <v>N/A</v>
        <stp/>
        <stp>THETA</stp>
        <stp>.SPY170120C203</stp>
        <tr r="H807" s="1"/>
      </tp>
      <tp t="s">
        <v>N/A</v>
        <stp/>
        <stp>THETA</stp>
        <stp>.SPY170120P203</stp>
        <tr r="S807" s="1"/>
      </tp>
      <tp t="s">
        <v>N/A</v>
        <stp/>
        <stp>THETA</stp>
        <stp>.SPY170120C202</stp>
        <tr r="H805" s="1"/>
      </tp>
      <tp t="s">
        <v>N/A</v>
        <stp/>
        <stp>THETA</stp>
        <stp>.SPY170120P202</stp>
        <tr r="S805" s="1"/>
      </tp>
      <tp t="s">
        <v>N/A</v>
        <stp/>
        <stp>THETA</stp>
        <stp>.SPY170120C201</stp>
        <tr r="H803" s="1"/>
      </tp>
      <tp t="s">
        <v>N/A</v>
        <stp/>
        <stp>THETA</stp>
        <stp>.SPY170120P201</stp>
        <tr r="S803" s="1"/>
      </tp>
      <tp>
        <v>-1.197E-2</v>
        <stp/>
        <stp>THETA</stp>
        <stp>.SPY170120C200</stp>
        <tr r="H801" s="1"/>
      </tp>
      <tp>
        <v>-1.865E-2</v>
        <stp/>
        <stp>THETA</stp>
        <stp>.SPY170120P200</stp>
        <tr r="S801" s="1"/>
      </tp>
      <tp t="s">
        <v>N/A</v>
        <stp/>
        <stp>THETA</stp>
        <stp>.SPY170120C207</stp>
        <tr r="H815" s="1"/>
      </tp>
      <tp t="s">
        <v>N/A</v>
        <stp/>
        <stp>THETA</stp>
        <stp>.SPY170120P207</stp>
        <tr r="S815" s="1"/>
      </tp>
      <tp t="s">
        <v>N/A</v>
        <stp/>
        <stp>THETA</stp>
        <stp>.SPY170120C206</stp>
        <tr r="H813" s="1"/>
      </tp>
      <tp t="s">
        <v>N/A</v>
        <stp/>
        <stp>THETA</stp>
        <stp>.SPY170120P206</stp>
        <tr r="S813" s="1"/>
      </tp>
      <tp>
        <v>-1.1849999999999999E-2</v>
        <stp/>
        <stp>THETA</stp>
        <stp>.SPY170120C205</stp>
        <tr r="H811" s="1"/>
      </tp>
      <tp>
        <v>-1.8620000000000001E-2</v>
        <stp/>
        <stp>THETA</stp>
        <stp>.SPY170120P205</stp>
        <tr r="S811" s="1"/>
      </tp>
      <tp t="s">
        <v>N/A</v>
        <stp/>
        <stp>THETA</stp>
        <stp>.SPY170120C204</stp>
        <tr r="H809" s="1"/>
      </tp>
      <tp t="s">
        <v>N/A</v>
        <stp/>
        <stp>THETA</stp>
        <stp>.SPY170120P204</stp>
        <tr r="S809" s="1"/>
      </tp>
      <tp t="s">
        <v>N/A</v>
        <stp/>
        <stp>THETA</stp>
        <stp>.SPY170120C209</stp>
        <tr r="H819" s="1"/>
      </tp>
      <tp t="s">
        <v>N/A</v>
        <stp/>
        <stp>THETA</stp>
        <stp>.SPY170120P209</stp>
        <tr r="S819" s="1"/>
      </tp>
      <tp t="s">
        <v>N/A</v>
        <stp/>
        <stp>THETA</stp>
        <stp>.SPY170120C208</stp>
        <tr r="H817" s="1"/>
      </tp>
      <tp t="s">
        <v>N/A</v>
        <stp/>
        <stp>THETA</stp>
        <stp>.SPY170120P208</stp>
        <tr r="S817" s="1"/>
      </tp>
      <tp>
        <v>-1.695E-2</v>
        <stp/>
        <stp>THETA</stp>
        <stp>.SPY160115C207</stp>
        <tr r="H605" s="1"/>
      </tp>
      <tp>
        <v>-2.4979999999999999E-2</v>
        <stp/>
        <stp>THETA</stp>
        <stp>.SPY160115P207</stp>
        <tr r="S605" s="1"/>
      </tp>
      <tp>
        <v>-1.7049999999999999E-2</v>
        <stp/>
        <stp>THETA</stp>
        <stp>.SPY160115C206</stp>
        <tr r="H603" s="1"/>
      </tp>
      <tp>
        <v>-2.4969999999999999E-2</v>
        <stp/>
        <stp>THETA</stp>
        <stp>.SPY160115P206</stp>
        <tr r="S603" s="1"/>
      </tp>
      <tp>
        <v>-1.7160000000000002E-2</v>
        <stp/>
        <stp>THETA</stp>
        <stp>.SPY160115C205</stp>
        <tr r="H601" s="1"/>
      </tp>
      <tp>
        <v>-2.4979999999999999E-2</v>
        <stp/>
        <stp>THETA</stp>
        <stp>.SPY160115P205</stp>
        <tr r="S601" s="1"/>
      </tp>
      <tp>
        <v>-1.7100000000000001E-2</v>
        <stp/>
        <stp>THETA</stp>
        <stp>.SPY160115C204</stp>
        <tr r="H599" s="1"/>
      </tp>
      <tp>
        <v>-2.494E-2</v>
        <stp/>
        <stp>THETA</stp>
        <stp>.SPY160115P204</stp>
        <tr r="S599" s="1"/>
      </tp>
      <tp>
        <v>-1.7090000000000001E-2</v>
        <stp/>
        <stp>THETA</stp>
        <stp>.SPY160115C203</stp>
        <tr r="H597" s="1"/>
      </tp>
      <tp>
        <v>-2.4889999999999999E-2</v>
        <stp/>
        <stp>THETA</stp>
        <stp>.SPY160115P203</stp>
        <tr r="S597" s="1"/>
      </tp>
      <tp>
        <v>-1.703E-2</v>
        <stp/>
        <stp>THETA</stp>
        <stp>.SPY160115C202</stp>
        <tr r="H595" s="1"/>
      </tp>
      <tp>
        <v>-2.479E-2</v>
        <stp/>
        <stp>THETA</stp>
        <stp>.SPY160115P202</stp>
        <tr r="S595" s="1"/>
      </tp>
      <tp>
        <v>-1.6990000000000002E-2</v>
        <stp/>
        <stp>THETA</stp>
        <stp>.SPY160115C201</stp>
        <tr r="H593" s="1"/>
      </tp>
      <tp>
        <v>-2.4729999999999999E-2</v>
        <stp/>
        <stp>THETA</stp>
        <stp>.SPY160115P201</stp>
        <tr r="S593" s="1"/>
      </tp>
      <tp>
        <v>-1.6910000000000001E-2</v>
        <stp/>
        <stp>THETA</stp>
        <stp>.SPY160115C200</stp>
        <tr r="H591" s="1"/>
      </tp>
      <tp>
        <v>-2.462E-2</v>
        <stp/>
        <stp>THETA</stp>
        <stp>.SPY160115P200</stp>
        <tr r="S591" s="1"/>
      </tp>
      <tp>
        <v>-1.678E-2</v>
        <stp/>
        <stp>THETA</stp>
        <stp>.SPY160115C209</stp>
        <tr r="H609" s="1"/>
      </tp>
      <tp>
        <v>-2.4910000000000002E-2</v>
        <stp/>
        <stp>THETA</stp>
        <stp>.SPY160115P209</stp>
        <tr r="S609" s="1"/>
      </tp>
      <tp>
        <v>-1.6889999999999999E-2</v>
        <stp/>
        <stp>THETA</stp>
        <stp>.SPY160115C208</stp>
        <tr r="H607" s="1"/>
      </tp>
      <tp>
        <v>-2.494E-2</v>
        <stp/>
        <stp>THETA</stp>
        <stp>.SPY160115P208</stp>
        <tr r="S607" s="1"/>
      </tp>
      <tp>
        <v>-1.494E-2</v>
        <stp/>
        <stp>THETA</stp>
        <stp>.SPY160115C217</stp>
        <tr r="H625" s="1"/>
      </tp>
      <tp>
        <v>-2.3470000000000001E-2</v>
        <stp/>
        <stp>THETA</stp>
        <stp>.SPY160115P217</stp>
        <tr r="S625" s="1"/>
      </tp>
      <tp>
        <v>-1.537E-2</v>
        <stp/>
        <stp>THETA</stp>
        <stp>.SPY160115C216</stp>
        <tr r="H623" s="1"/>
      </tp>
      <tp>
        <v>-2.3630000000000002E-2</v>
        <stp/>
        <stp>THETA</stp>
        <stp>.SPY160115P216</stp>
        <tr r="S623" s="1"/>
      </tp>
      <tp>
        <v>-1.5570000000000001E-2</v>
        <stp/>
        <stp>THETA</stp>
        <stp>.SPY160115C215</stp>
        <tr r="H621" s="1"/>
      </tp>
      <tp>
        <v>-2.4080000000000001E-2</v>
        <stp/>
        <stp>THETA</stp>
        <stp>.SPY160115P215</stp>
        <tr r="S621" s="1"/>
      </tp>
      <tp>
        <v>-1.5890000000000001E-2</v>
        <stp/>
        <stp>THETA</stp>
        <stp>.SPY160115C214</stp>
        <tr r="H619" s="1"/>
      </tp>
      <tp>
        <v>-2.4150000000000001E-2</v>
        <stp/>
        <stp>THETA</stp>
        <stp>.SPY160115P214</stp>
        <tr r="S619" s="1"/>
      </tp>
      <tp>
        <v>-1.6160000000000001E-2</v>
        <stp/>
        <stp>THETA</stp>
        <stp>.SPY160115C213</stp>
        <tr r="H617" s="1"/>
      </tp>
      <tp>
        <v>-2.4379999999999999E-2</v>
        <stp/>
        <stp>THETA</stp>
        <stp>.SPY160115P213</stp>
        <tr r="S617" s="1"/>
      </tp>
      <tp>
        <v>-1.6299999999999999E-2</v>
        <stp/>
        <stp>THETA</stp>
        <stp>.SPY160115C212</stp>
        <tr r="H615" s="1"/>
      </tp>
      <tp>
        <v>-2.4510000000000001E-2</v>
        <stp/>
        <stp>THETA</stp>
        <stp>.SPY160115P212</stp>
        <tr r="S615" s="1"/>
      </tp>
      <tp>
        <v>-1.6480000000000002E-2</v>
        <stp/>
        <stp>THETA</stp>
        <stp>.SPY160115C211</stp>
        <tr r="H613" s="1"/>
      </tp>
      <tp>
        <v>-2.4709999999999999E-2</v>
        <stp/>
        <stp>THETA</stp>
        <stp>.SPY160115P211</stp>
        <tr r="S613" s="1"/>
      </tp>
      <tp>
        <v>-1.67E-2</v>
        <stp/>
        <stp>THETA</stp>
        <stp>.SPY160115C210</stp>
        <tr r="H611" s="1"/>
      </tp>
      <tp>
        <v>-2.4830000000000001E-2</v>
        <stp/>
        <stp>THETA</stp>
        <stp>.SPY160115P210</stp>
        <tr r="S611" s="1"/>
      </tp>
      <tp t="s">
        <v>N/A</v>
        <stp/>
        <stp>THETA</stp>
        <stp>.SPY160115C219</stp>
        <tr r="H629" s="1"/>
      </tp>
      <tp t="s">
        <v>N/A</v>
        <stp/>
        <stp>THETA</stp>
        <stp>.SPY160115P219</stp>
        <tr r="S629" s="1"/>
      </tp>
      <tp>
        <v>-1.4590000000000001E-2</v>
        <stp/>
        <stp>THETA</stp>
        <stp>.SPY160115C218</stp>
        <tr r="H627" s="1"/>
      </tp>
      <tp>
        <v>-2.3179999999999999E-2</v>
        <stp/>
        <stp>THETA</stp>
        <stp>.SPY160115P218</stp>
        <tr r="S627" s="1"/>
      </tp>
      <tp t="s">
        <v>N/A</v>
        <stp/>
        <stp>VEGA</stp>
        <stp>.SPY170317C201.5</stp>
        <tr r="J846" s="1"/>
      </tp>
      <tp t="s">
        <v>N/A</v>
        <stp/>
        <stp>VEGA</stp>
        <stp>.SPY170317C211.5</stp>
        <tr r="J866" s="1"/>
      </tp>
      <tp t="s">
        <v>N/A</v>
        <stp/>
        <stp>VEGA</stp>
        <stp>.SPY160115C202.5</stp>
        <tr r="J596" s="1"/>
      </tp>
      <tp t="s">
        <v>N/A</v>
        <stp/>
        <stp>VEGA</stp>
        <stp>.SPY160115C212.5</stp>
        <tr r="J616" s="1"/>
      </tp>
      <tp t="s">
        <v>N/A</v>
        <stp/>
        <stp>VEGA</stp>
        <stp>.SPY170120C216.5</stp>
        <tr r="J834" s="1"/>
      </tp>
      <tp t="s">
        <v>N/A</v>
        <stp/>
        <stp>VEGA</stp>
        <stp>.SPY170120C206.5</stp>
        <tr r="J814" s="1"/>
      </tp>
      <tp t="s">
        <v>N/A</v>
        <stp/>
        <stp>VEGA</stp>
        <stp>.SPY150717C203.5</stp>
        <tr r="J388" s="1"/>
      </tp>
      <tp t="s">
        <v>N/A</v>
        <stp/>
        <stp>VEGA</stp>
        <stp>.SPY150717C213.5</stp>
        <tr r="J408" s="1"/>
      </tp>
      <tp t="s">
        <v>N/A</v>
        <stp/>
        <stp>VEGA</stp>
        <stp>.SPY160617C200.5</stp>
        <tr r="J676" s="1"/>
      </tp>
      <tp t="s">
        <v>N/A</v>
        <stp/>
        <stp>VEGA</stp>
        <stp>.SPY160617C210.5</stp>
        <tr r="J696" s="1"/>
      </tp>
      <tp t="s">
        <v>N/A</v>
        <stp/>
        <stp>VEGA</stp>
        <stp>.SPY150630C204.5</stp>
        <tr r="J348" s="1"/>
      </tp>
      <tp t="s">
        <v>N/A</v>
        <stp/>
        <stp>VEGA</stp>
        <stp>.SPY150630C214.5</stp>
        <tr r="J368" s="1"/>
      </tp>
      <tp t="s">
        <v>N/A</v>
        <stp/>
        <stp>VEGA</stp>
        <stp>.SPY150501C215.5</stp>
        <tr r="J118" s="1"/>
      </tp>
      <tp>
        <v>4.7620000000000003E-2</v>
        <stp/>
        <stp>VEGA</stp>
        <stp>.SPY150515C201.5</stp>
        <tr r="J174" s="1"/>
      </tp>
      <tp t="s">
        <v>N/A</v>
        <stp/>
        <stp>VEGA</stp>
        <stp>.SPY150501C205.5</stp>
        <tr r="J98" s="1"/>
      </tp>
      <tp>
        <v>0.15275</v>
        <stp/>
        <stp>VEGA</stp>
        <stp>.SPY150515C211.5</stp>
        <tr r="J194" s="1"/>
      </tp>
      <tp>
        <v>8.6999999999999994E-2</v>
        <stp/>
        <stp>VEGA</stp>
        <stp>.SPY150522C216.5</stp>
        <tr r="J246" s="1"/>
      </tp>
      <tp>
        <v>0.14482</v>
        <stp/>
        <stp>VEGA</stp>
        <stp>.SPY150522C206.5</stp>
        <tr r="J226" s="1"/>
      </tp>
      <tp t="s">
        <v>N/A</v>
        <stp/>
        <stp>VEGA</stp>
        <stp>.SPY150417C203.5</stp>
        <tr r="J10" s="1"/>
      </tp>
      <tp t="s">
        <v>N/A</v>
        <stp/>
        <stp>VEGA</stp>
        <stp>.SPY150417C213.5</stp>
        <tr r="J30" s="1"/>
      </tp>
      <tp t="s">
        <v>N/A</v>
        <stp/>
        <stp>VEGA</stp>
        <stp>.SPY150424C210.5</stp>
        <tr r="J66" s="1"/>
      </tp>
      <tp t="s">
        <v>N/A</v>
        <stp/>
        <stp>VEGA</stp>
        <stp>.SPY150424C200.5</stp>
        <tr r="J46" s="1"/>
      </tp>
      <tp t="s">
        <v>N/A</v>
        <stp/>
        <stp>VEGA</stp>
        <stp>.SPY160916C201.5</stp>
        <tr r="J720" s="1"/>
      </tp>
      <tp t="s">
        <v>N/A</v>
        <stp/>
        <stp>VEGA</stp>
        <stp>.SPY160916C211.5</stp>
        <tr r="J740" s="1"/>
      </tp>
      <tp t="s">
        <v>N/A</v>
        <stp/>
        <stp>VEGA</stp>
        <stp>.SPY150930C204.5</stp>
        <tr r="J474" s="1"/>
      </tp>
      <tp t="s">
        <v>N/A</v>
        <stp/>
        <stp>VEGA</stp>
        <stp>.SPY150930C214.5</stp>
        <tr r="J494" s="1"/>
      </tp>
      <tp t="s">
        <v>N/A</v>
        <stp/>
        <stp>VEGA</stp>
        <stp>.SPY161216C201.5</stp>
        <tr r="J762" s="1"/>
      </tp>
      <tp t="s">
        <v>N/A</v>
        <stp/>
        <stp>VEGA</stp>
        <stp>.SPY171215C203.5</stp>
        <tr r="J892" s="1"/>
      </tp>
      <tp t="s">
        <v>N/A</v>
        <stp/>
        <stp>VEGA</stp>
        <stp>.SPY161216C211.5</stp>
        <tr r="J782" s="1"/>
      </tp>
      <tp t="s">
        <v>N/A</v>
        <stp/>
        <stp>VEGA</stp>
        <stp>.SPY171215C213.5</stp>
        <tr r="J912" s="1"/>
      </tp>
      <tp t="s">
        <v>N/A</v>
        <stp/>
        <stp>VEGA</stp>
        <stp>.SPY151231C205.5</stp>
        <tr r="J560" s="1"/>
      </tp>
      <tp t="s">
        <v>N/A</v>
        <stp/>
        <stp>VEGA</stp>
        <stp>.SPY151231C215.5</stp>
        <tr r="J580" s="1"/>
      </tp>
      <tp t="s">
        <v>N/A</v>
        <stp/>
        <stp>VEGA</stp>
        <stp>.SPY161216P201.5</stp>
        <tr r="U762" s="1"/>
      </tp>
      <tp t="s">
        <v>N/A</v>
        <stp/>
        <stp>VEGA</stp>
        <stp>.SPY171215P203.5</stp>
        <tr r="U892" s="1"/>
      </tp>
      <tp t="s">
        <v>N/A</v>
        <stp/>
        <stp>VEGA</stp>
        <stp>.SPY161216P211.5</stp>
        <tr r="U782" s="1"/>
      </tp>
      <tp t="s">
        <v>N/A</v>
        <stp/>
        <stp>VEGA</stp>
        <stp>.SPY171215P213.5</stp>
        <tr r="U912" s="1"/>
      </tp>
      <tp t="s">
        <v>N/A</v>
        <stp/>
        <stp>VEGA</stp>
        <stp>.SPY151231P205.5</stp>
        <tr r="U560" s="1"/>
      </tp>
      <tp t="s">
        <v>N/A</v>
        <stp/>
        <stp>VEGA</stp>
        <stp>.SPY151231P215.5</stp>
        <tr r="U580" s="1"/>
      </tp>
      <tp t="s">
        <v>N/A</v>
        <stp/>
        <stp>VEGA</stp>
        <stp>.SPY170317P201.5</stp>
        <tr r="U846" s="1"/>
      </tp>
      <tp t="s">
        <v>N/A</v>
        <stp/>
        <stp>VEGA</stp>
        <stp>.SPY170317P211.5</stp>
        <tr r="U866" s="1"/>
      </tp>
      <tp t="s">
        <v>N/A</v>
        <stp/>
        <stp>VEGA</stp>
        <stp>.SPY160115P202.5</stp>
        <tr r="U596" s="1"/>
      </tp>
      <tp t="s">
        <v>N/A</v>
        <stp/>
        <stp>VEGA</stp>
        <stp>.SPY160115P212.5</stp>
        <tr r="U616" s="1"/>
      </tp>
      <tp t="s">
        <v>N/A</v>
        <stp/>
        <stp>VEGA</stp>
        <stp>.SPY170120P216.5</stp>
        <tr r="U834" s="1"/>
      </tp>
      <tp t="s">
        <v>N/A</v>
        <stp/>
        <stp>VEGA</stp>
        <stp>.SPY170120P206.5</stp>
        <tr r="U814" s="1"/>
      </tp>
      <tp t="s">
        <v>N/A</v>
        <stp/>
        <stp>VEGA</stp>
        <stp>.SPY150717P203.5</stp>
        <tr r="U388" s="1"/>
      </tp>
      <tp t="s">
        <v>N/A</v>
        <stp/>
        <stp>VEGA</stp>
        <stp>.SPY150717P213.5</stp>
        <tr r="U408" s="1"/>
      </tp>
      <tp t="s">
        <v>N/A</v>
        <stp/>
        <stp>VEGA</stp>
        <stp>.SPY160617P200.5</stp>
        <tr r="U676" s="1"/>
      </tp>
      <tp t="s">
        <v>N/A</v>
        <stp/>
        <stp>VEGA</stp>
        <stp>.SPY160617P210.5</stp>
        <tr r="U696" s="1"/>
      </tp>
      <tp t="s">
        <v>N/A</v>
        <stp/>
        <stp>VEGA</stp>
        <stp>.SPY150630P204.5</stp>
        <tr r="U348" s="1"/>
      </tp>
      <tp t="s">
        <v>N/A</v>
        <stp/>
        <stp>VEGA</stp>
        <stp>.SPY150630P214.5</stp>
        <tr r="U368" s="1"/>
      </tp>
      <tp t="s">
        <v>N/A</v>
        <stp/>
        <stp>VEGA</stp>
        <stp>.SPY150501P215.5</stp>
        <tr r="U118" s="1"/>
      </tp>
      <tp>
        <v>3.9710000000000002E-2</v>
        <stp/>
        <stp>VEGA</stp>
        <stp>.SPY150515P201.5</stp>
        <tr r="U174" s="1"/>
      </tp>
      <tp t="s">
        <v>N/A</v>
        <stp/>
        <stp>VEGA</stp>
        <stp>.SPY150501P205.5</stp>
        <tr r="U98" s="1"/>
      </tp>
      <tp>
        <v>0.15276000000000001</v>
        <stp/>
        <stp>VEGA</stp>
        <stp>.SPY150515P211.5</stp>
        <tr r="U194" s="1"/>
      </tp>
      <tp>
        <v>3.2770000000000001E-2</v>
        <stp/>
        <stp>VEGA</stp>
        <stp>.SPY150522P216.5</stp>
        <tr r="U246" s="1"/>
      </tp>
      <tp>
        <v>0.14004</v>
        <stp/>
        <stp>VEGA</stp>
        <stp>.SPY150522P206.5</stp>
        <tr r="U226" s="1"/>
      </tp>
      <tp t="s">
        <v>N/A</v>
        <stp/>
        <stp>VEGA</stp>
        <stp>.SPY150417P203.5</stp>
        <tr r="U10" s="1"/>
      </tp>
      <tp t="s">
        <v>N/A</v>
        <stp/>
        <stp>VEGA</stp>
        <stp>.SPY150417P213.5</stp>
        <tr r="U30" s="1"/>
      </tp>
      <tp t="s">
        <v>N/A</v>
        <stp/>
        <stp>VEGA</stp>
        <stp>.SPY150424P210.5</stp>
        <tr r="U66" s="1"/>
      </tp>
      <tp t="s">
        <v>N/A</v>
        <stp/>
        <stp>VEGA</stp>
        <stp>.SPY150424P200.5</stp>
        <tr r="U46" s="1"/>
      </tp>
      <tp t="s">
        <v>N/A</v>
        <stp/>
        <stp>VEGA</stp>
        <stp>.SPY160916P201.5</stp>
        <tr r="U720" s="1"/>
      </tp>
      <tp t="s">
        <v>N/A</v>
        <stp/>
        <stp>VEGA</stp>
        <stp>.SPY160916P211.5</stp>
        <tr r="U740" s="1"/>
      </tp>
      <tp t="s">
        <v>N/A</v>
        <stp/>
        <stp>VEGA</stp>
        <stp>.SPY150930P204.5</stp>
        <tr r="U474" s="1"/>
      </tp>
      <tp t="s">
        <v>N/A</v>
        <stp/>
        <stp>VEGA</stp>
        <stp>.SPY150930P214.5</stp>
        <tr r="U494" s="1"/>
      </tp>
      <tp>
        <v>-2.8850000000000001E-2</v>
        <stp/>
        <stp>THETA</stp>
        <stp>.SPY150630C201</stp>
        <tr r="H341" s="1"/>
      </tp>
      <tp>
        <v>-3.5770000000000003E-2</v>
        <stp/>
        <stp>THETA</stp>
        <stp>.SPY150630P201</stp>
        <tr r="S341" s="1"/>
      </tp>
      <tp>
        <v>-2.792E-2</v>
        <stp/>
        <stp>THETA</stp>
        <stp>.SPY150630C200</stp>
        <tr r="H339" s="1"/>
      </tp>
      <tp>
        <v>-3.449E-2</v>
        <stp/>
        <stp>THETA</stp>
        <stp>.SPY150630P200</stp>
        <tr r="S339" s="1"/>
      </tp>
      <tp>
        <v>-3.039E-2</v>
        <stp/>
        <stp>THETA</stp>
        <stp>.SPY150630C203</stp>
        <tr r="H345" s="1"/>
      </tp>
      <tp>
        <v>-3.7929999999999998E-2</v>
        <stp/>
        <stp>THETA</stp>
        <stp>.SPY150630P203</stp>
        <tr r="S345" s="1"/>
      </tp>
      <tp>
        <v>-2.9690000000000001E-2</v>
        <stp/>
        <stp>THETA</stp>
        <stp>.SPY150630C202</stp>
        <tr r="H343" s="1"/>
      </tp>
      <tp>
        <v>-3.6859999999999997E-2</v>
        <stp/>
        <stp>THETA</stp>
        <stp>.SPY150630P202</stp>
        <tr r="S343" s="1"/>
      </tp>
      <tp>
        <v>-3.1530000000000002E-2</v>
        <stp/>
        <stp>THETA</stp>
        <stp>.SPY150630C205</stp>
        <tr r="H349" s="1"/>
      </tp>
      <tp>
        <v>-3.9820000000000001E-2</v>
        <stp/>
        <stp>THETA</stp>
        <stp>.SPY150630P205</stp>
        <tr r="S349" s="1"/>
      </tp>
      <tp>
        <v>-3.0890000000000001E-2</v>
        <stp/>
        <stp>THETA</stp>
        <stp>.SPY150630C204</stp>
        <tr r="H347" s="1"/>
      </tp>
      <tp>
        <v>-3.8989999999999997E-2</v>
        <stp/>
        <stp>THETA</stp>
        <stp>.SPY150630P204</stp>
        <tr r="S347" s="1"/>
      </tp>
      <tp>
        <v>-3.2190000000000003E-2</v>
        <stp/>
        <stp>THETA</stp>
        <stp>.SPY150630C207</stp>
        <tr r="H353" s="1"/>
      </tp>
      <tp>
        <v>-4.1050000000000003E-2</v>
        <stp/>
        <stp>THETA</stp>
        <stp>.SPY150630P207</stp>
        <tr r="S353" s="1"/>
      </tp>
      <tp>
        <v>-3.1980000000000001E-2</v>
        <stp/>
        <stp>THETA</stp>
        <stp>.SPY150630C206</stp>
        <tr r="H351" s="1"/>
      </tp>
      <tp>
        <v>-4.0489999999999998E-2</v>
        <stp/>
        <stp>THETA</stp>
        <stp>.SPY150630P206</stp>
        <tr r="S351" s="1"/>
      </tp>
      <tp>
        <v>-3.2050000000000002E-2</v>
        <stp/>
        <stp>THETA</stp>
        <stp>.SPY150630C209</stp>
        <tr r="H357" s="1"/>
      </tp>
      <tp>
        <v>-4.1450000000000001E-2</v>
        <stp/>
        <stp>THETA</stp>
        <stp>.SPY150630P209</stp>
        <tr r="S357" s="1"/>
      </tp>
      <tp>
        <v>-3.2079999999999997E-2</v>
        <stp/>
        <stp>THETA</stp>
        <stp>.SPY150630C208</stp>
        <tr r="H355" s="1"/>
      </tp>
      <tp>
        <v>-4.1369999999999997E-2</v>
        <stp/>
        <stp>THETA</stp>
        <stp>.SPY150630P208</stp>
        <tr r="S355" s="1"/>
      </tp>
      <tp>
        <v>-3.116E-2</v>
        <stp/>
        <stp>THETA</stp>
        <stp>.SPY150630C211</stp>
        <tr r="H361" s="1"/>
      </tp>
      <tp>
        <v>-4.0869999999999997E-2</v>
        <stp/>
        <stp>THETA</stp>
        <stp>.SPY150630P211</stp>
        <tr r="S361" s="1"/>
      </tp>
      <tp>
        <v>-3.1469999999999998E-2</v>
        <stp/>
        <stp>THETA</stp>
        <stp>.SPY150630C210</stp>
        <tr r="H359" s="1"/>
      </tp>
      <tp>
        <v>-4.129E-2</v>
        <stp/>
        <stp>THETA</stp>
        <stp>.SPY150630P210</stp>
        <tr r="S359" s="1"/>
      </tp>
      <tp>
        <v>-2.8729999999999999E-2</v>
        <stp/>
        <stp>THETA</stp>
        <stp>.SPY150630C213</stp>
        <tr r="H365" s="1"/>
      </tp>
      <tp>
        <v>-3.9219999999999998E-2</v>
        <stp/>
        <stp>THETA</stp>
        <stp>.SPY150630P213</stp>
        <tr r="S365" s="1"/>
      </tp>
      <tp>
        <v>-3.0079999999999999E-2</v>
        <stp/>
        <stp>THETA</stp>
        <stp>.SPY150630C212</stp>
        <tr r="H363" s="1"/>
      </tp>
      <tp>
        <v>-4.0280000000000003E-2</v>
        <stp/>
        <stp>THETA</stp>
        <stp>.SPY150630P212</stp>
        <tr r="S363" s="1"/>
      </tp>
      <tp>
        <v>-2.5000000000000001E-2</v>
        <stp/>
        <stp>THETA</stp>
        <stp>.SPY150630C215</stp>
        <tr r="H369" s="1"/>
      </tp>
      <tp>
        <v>-3.6420000000000001E-2</v>
        <stp/>
        <stp>THETA</stp>
        <stp>.SPY150630P215</stp>
        <tr r="S369" s="1"/>
      </tp>
      <tp>
        <v>-2.699E-2</v>
        <stp/>
        <stp>THETA</stp>
        <stp>.SPY150630C214</stp>
        <tr r="H367" s="1"/>
      </tp>
      <tp>
        <v>-3.7960000000000001E-2</v>
        <stp/>
        <stp>THETA</stp>
        <stp>.SPY150630P214</stp>
        <tr r="S367" s="1"/>
      </tp>
      <tp>
        <v>-2.0219999999999998E-2</v>
        <stp/>
        <stp>THETA</stp>
        <stp>.SPY150630C217</stp>
        <tr r="H373" s="1"/>
      </tp>
      <tp>
        <v>-3.304E-2</v>
        <stp/>
        <stp>THETA</stp>
        <stp>.SPY150630P217</stp>
        <tr r="S373" s="1"/>
      </tp>
      <tp>
        <v>-2.2749999999999999E-2</v>
        <stp/>
        <stp>THETA</stp>
        <stp>.SPY150630C216</stp>
        <tr r="H371" s="1"/>
      </tp>
      <tp>
        <v>-3.4709999999999998E-2</v>
        <stp/>
        <stp>THETA</stp>
        <stp>.SPY150630P216</stp>
        <tr r="S371" s="1"/>
      </tp>
      <tp>
        <v>-1.4959999999999999E-2</v>
        <stp/>
        <stp>THETA</stp>
        <stp>.SPY150630C219</stp>
        <tr r="H377" s="1"/>
      </tp>
      <tp>
        <v>-2.945E-2</v>
        <stp/>
        <stp>THETA</stp>
        <stp>.SPY150630P219</stp>
        <tr r="S377" s="1"/>
      </tp>
      <tp>
        <v>-1.7569999999999999E-2</v>
        <stp/>
        <stp>THETA</stp>
        <stp>.SPY150630C218</stp>
        <tr r="H375" s="1"/>
      </tp>
      <tp>
        <v>-3.1E-2</v>
        <stp/>
        <stp>THETA</stp>
        <stp>.SPY150630P218</stp>
        <tr r="S375" s="1"/>
      </tp>
      <tp>
        <v>-3.6970000000000003E-2</v>
        <stp/>
        <stp>THETA</stp>
        <stp>.SPY150619C208</stp>
        <tr r="H313" s="1"/>
      </tp>
      <tp>
        <v>-1.4460000000000001E-2</v>
        <stp/>
        <stp>THETA</stp>
        <stp>.SPY160617C205</stp>
        <tr r="H685" s="1"/>
      </tp>
      <tp>
        <v>-4.5319999999999999E-2</v>
        <stp/>
        <stp>THETA</stp>
        <stp>.SPY150619P208</stp>
        <tr r="S313" s="1"/>
      </tp>
      <tp>
        <v>-2.181E-2</v>
        <stp/>
        <stp>THETA</stp>
        <stp>.SPY160617P205</stp>
        <tr r="S685" s="1"/>
      </tp>
      <tp>
        <v>-3.6760000000000001E-2</v>
        <stp/>
        <stp>THETA</stp>
        <stp>.SPY150619C209</stp>
        <tr r="H315" s="1"/>
      </tp>
      <tp t="s">
        <v>N/A</v>
        <stp/>
        <stp>THETA</stp>
        <stp>.SPY160617C204</stp>
        <tr r="H683" s="1"/>
      </tp>
      <tp>
        <v>-4.5650000000000003E-2</v>
        <stp/>
        <stp>THETA</stp>
        <stp>.SPY150619P209</stp>
        <tr r="S315" s="1"/>
      </tp>
      <tp t="s">
        <v>N/A</v>
        <stp/>
        <stp>THETA</stp>
        <stp>.SPY160617P204</stp>
        <tr r="S683" s="1"/>
      </tp>
      <tp t="s">
        <v>N/A</v>
        <stp/>
        <stp>THETA</stp>
        <stp>.SPY160617C207</stp>
        <tr r="H689" s="1"/>
      </tp>
      <tp t="s">
        <v>N/A</v>
        <stp/>
        <stp>THETA</stp>
        <stp>.SPY160617P207</stp>
        <tr r="S689" s="1"/>
      </tp>
      <tp t="s">
        <v>N/A</v>
        <stp/>
        <stp>THETA</stp>
        <stp>.SPY160617C206</stp>
        <tr r="H687" s="1"/>
      </tp>
      <tp t="s">
        <v>N/A</v>
        <stp/>
        <stp>THETA</stp>
        <stp>.SPY160617P206</stp>
        <tr r="S687" s="1"/>
      </tp>
      <tp t="s">
        <v>N/A</v>
        <stp/>
        <stp>THETA</stp>
        <stp>.SPY160617C201</stp>
        <tr r="H677" s="1"/>
      </tp>
      <tp t="s">
        <v>N/A</v>
        <stp/>
        <stp>THETA</stp>
        <stp>.SPY160617P201</stp>
        <tr r="S677" s="1"/>
      </tp>
      <tp>
        <v>-1.44E-2</v>
        <stp/>
        <stp>THETA</stp>
        <stp>.SPY160617C200</stp>
        <tr r="H675" s="1"/>
      </tp>
      <tp>
        <v>-2.171E-2</v>
        <stp/>
        <stp>THETA</stp>
        <stp>.SPY160617P200</stp>
        <tr r="S675" s="1"/>
      </tp>
      <tp t="s">
        <v>N/A</v>
        <stp/>
        <stp>THETA</stp>
        <stp>.SPY160617C203</stp>
        <tr r="H681" s="1"/>
      </tp>
      <tp t="s">
        <v>N/A</v>
        <stp/>
        <stp>THETA</stp>
        <stp>.SPY160617P203</stp>
        <tr r="S681" s="1"/>
      </tp>
      <tp t="s">
        <v>N/A</v>
        <stp/>
        <stp>THETA</stp>
        <stp>.SPY160617C202</stp>
        <tr r="H679" s="1"/>
      </tp>
      <tp t="s">
        <v>N/A</v>
        <stp/>
        <stp>THETA</stp>
        <stp>.SPY160617P202</stp>
        <tr r="S679" s="1"/>
      </tp>
      <tp>
        <v>-3.0689999999999999E-2</v>
        <stp/>
        <stp>THETA</stp>
        <stp>.SPY150619C200</stp>
        <tr r="H297" s="1"/>
      </tp>
      <tp>
        <v>-3.5310000000000001E-2</v>
        <stp/>
        <stp>THETA</stp>
        <stp>.SPY150619P200</stp>
        <tr r="S297" s="1"/>
      </tp>
      <tp>
        <v>-3.1829999999999997E-2</v>
        <stp/>
        <stp>THETA</stp>
        <stp>.SPY150619C201</stp>
        <tr r="H299" s="1"/>
      </tp>
      <tp>
        <v>-3.703E-2</v>
        <stp/>
        <stp>THETA</stp>
        <stp>.SPY150619P201</stp>
        <tr r="S299" s="1"/>
      </tp>
      <tp>
        <v>-3.2960000000000003E-2</v>
        <stp/>
        <stp>THETA</stp>
        <stp>.SPY150619C202</stp>
        <tr r="H301" s="1"/>
      </tp>
      <tp>
        <v>-3.8609999999999998E-2</v>
        <stp/>
        <stp>THETA</stp>
        <stp>.SPY150619P202</stp>
        <tr r="S301" s="1"/>
      </tp>
      <tp>
        <v>-3.3700000000000001E-2</v>
        <stp/>
        <stp>THETA</stp>
        <stp>.SPY150619C203</stp>
        <tr r="H303" s="1"/>
      </tp>
      <tp>
        <v>-4.0160000000000001E-2</v>
        <stp/>
        <stp>THETA</stp>
        <stp>.SPY150619P203</stp>
        <tr r="S303" s="1"/>
      </tp>
      <tp>
        <v>-3.4660000000000003E-2</v>
        <stp/>
        <stp>THETA</stp>
        <stp>.SPY150619C204</stp>
        <tr r="H305" s="1"/>
      </tp>
      <tp t="s">
        <v>N/A</v>
        <stp/>
        <stp>THETA</stp>
        <stp>.SPY160617C209</stp>
        <tr r="H693" s="1"/>
      </tp>
      <tp>
        <v>-4.1540000000000001E-2</v>
        <stp/>
        <stp>THETA</stp>
        <stp>.SPY150619P204</stp>
        <tr r="S305" s="1"/>
      </tp>
      <tp t="s">
        <v>N/A</v>
        <stp/>
        <stp>THETA</stp>
        <stp>.SPY160617P209</stp>
        <tr r="S693" s="1"/>
      </tp>
      <tp>
        <v>-3.5369999999999999E-2</v>
        <stp/>
        <stp>THETA</stp>
        <stp>.SPY150619C205</stp>
        <tr r="H307" s="1"/>
      </tp>
      <tp t="s">
        <v>N/A</v>
        <stp/>
        <stp>THETA</stp>
        <stp>.SPY160617C208</stp>
        <tr r="H691" s="1"/>
      </tp>
      <tp>
        <v>-4.2779999999999999E-2</v>
        <stp/>
        <stp>THETA</stp>
        <stp>.SPY150619P205</stp>
        <tr r="S307" s="1"/>
      </tp>
      <tp t="s">
        <v>N/A</v>
        <stp/>
        <stp>THETA</stp>
        <stp>.SPY160617P208</stp>
        <tr r="S691" s="1"/>
      </tp>
      <tp>
        <v>-3.6450000000000003E-2</v>
        <stp/>
        <stp>THETA</stp>
        <stp>.SPY150619C206</stp>
        <tr r="H309" s="1"/>
      </tp>
      <tp>
        <v>-4.3810000000000002E-2</v>
        <stp/>
        <stp>THETA</stp>
        <stp>.SPY150619P206</stp>
        <tr r="S309" s="1"/>
      </tp>
      <tp>
        <v>-3.644E-2</v>
        <stp/>
        <stp>THETA</stp>
        <stp>.SPY150619C207</stp>
        <tr r="H311" s="1"/>
      </tp>
      <tp>
        <v>-4.4740000000000002E-2</v>
        <stp/>
        <stp>THETA</stp>
        <stp>.SPY150619P207</stp>
        <tr r="S311" s="1"/>
      </tp>
      <tp>
        <v>-1.8620000000000001E-2</v>
        <stp/>
        <stp>THETA</stp>
        <stp>.SPY150619C218</stp>
        <tr r="H333" s="1"/>
      </tp>
      <tp>
        <v>-1.3679999999999999E-2</v>
        <stp/>
        <stp>THETA</stp>
        <stp>.SPY160617C215</stp>
        <tr r="H705" s="1"/>
      </tp>
      <tp>
        <v>-3.4479999999999997E-2</v>
        <stp/>
        <stp>THETA</stp>
        <stp>.SPY150619P218</stp>
        <tr r="S333" s="1"/>
      </tp>
      <tp>
        <v>-2.1239999999999998E-2</v>
        <stp/>
        <stp>THETA</stp>
        <stp>.SPY160617P215</stp>
        <tr r="S705" s="1"/>
      </tp>
      <tp>
        <v>-1.5610000000000001E-2</v>
        <stp/>
        <stp>THETA</stp>
        <stp>.SPY150619C219</stp>
        <tr r="H335" s="1"/>
      </tp>
      <tp t="s">
        <v>N/A</v>
        <stp/>
        <stp>THETA</stp>
        <stp>.SPY160617C214</stp>
        <tr r="H703" s="1"/>
      </tp>
      <tp>
        <v>-3.295E-2</v>
        <stp/>
        <stp>THETA</stp>
        <stp>.SPY150619P219</stp>
        <tr r="S335" s="1"/>
      </tp>
      <tp t="s">
        <v>N/A</v>
        <stp/>
        <stp>THETA</stp>
        <stp>.SPY160617P214</stp>
        <tr r="S703" s="1"/>
      </tp>
      <tp t="s">
        <v>N/A</v>
        <stp/>
        <stp>THETA</stp>
        <stp>.SPY160617C217</stp>
        <tr r="H709" s="1"/>
      </tp>
      <tp t="s">
        <v>N/A</v>
        <stp/>
        <stp>THETA</stp>
        <stp>.SPY160617P217</stp>
        <tr r="S709" s="1"/>
      </tp>
      <tp t="s">
        <v>N/A</v>
        <stp/>
        <stp>THETA</stp>
        <stp>.SPY160617C216</stp>
        <tr r="H707" s="1"/>
      </tp>
      <tp t="s">
        <v>N/A</v>
        <stp/>
        <stp>THETA</stp>
        <stp>.SPY160617P216</stp>
        <tr r="S707" s="1"/>
      </tp>
      <tp t="s">
        <v>N/A</v>
        <stp/>
        <stp>THETA</stp>
        <stp>.SPY160617C211</stp>
        <tr r="H697" s="1"/>
      </tp>
      <tp t="s">
        <v>N/A</v>
        <stp/>
        <stp>THETA</stp>
        <stp>.SPY160617P211</stp>
        <tr r="S697" s="1"/>
      </tp>
      <tp>
        <v>-1.43E-2</v>
        <stp/>
        <stp>THETA</stp>
        <stp>.SPY160617C210</stp>
        <tr r="H695" s="1"/>
      </tp>
      <tp>
        <v>-2.1749999999999999E-2</v>
        <stp/>
        <stp>THETA</stp>
        <stp>.SPY160617P210</stp>
        <tr r="S695" s="1"/>
      </tp>
      <tp t="s">
        <v>N/A</v>
        <stp/>
        <stp>THETA</stp>
        <stp>.SPY160617C213</stp>
        <tr r="H701" s="1"/>
      </tp>
      <tp t="s">
        <v>N/A</v>
        <stp/>
        <stp>THETA</stp>
        <stp>.SPY160617P213</stp>
        <tr r="S701" s="1"/>
      </tp>
      <tp t="s">
        <v>N/A</v>
        <stp/>
        <stp>THETA</stp>
        <stp>.SPY160617C212</stp>
        <tr r="H699" s="1"/>
      </tp>
      <tp t="s">
        <v>N/A</v>
        <stp/>
        <stp>THETA</stp>
        <stp>.SPY160617P212</stp>
        <tr r="S699" s="1"/>
      </tp>
      <tp>
        <v>-3.6380000000000003E-2</v>
        <stp/>
        <stp>THETA</stp>
        <stp>.SPY150619C210</stp>
        <tr r="H317" s="1"/>
      </tp>
      <tp>
        <v>-4.5679999999999998E-2</v>
        <stp/>
        <stp>THETA</stp>
        <stp>.SPY150619P210</stp>
        <tr r="S317" s="1"/>
      </tp>
      <tp>
        <v>-3.5580000000000001E-2</v>
        <stp/>
        <stp>THETA</stp>
        <stp>.SPY150619C211</stp>
        <tr r="H319" s="1"/>
      </tp>
      <tp>
        <v>-4.5130000000000003E-2</v>
        <stp/>
        <stp>THETA</stp>
        <stp>.SPY150619P211</stp>
        <tr r="S319" s="1"/>
      </tp>
      <tp>
        <v>-3.4349999999999999E-2</v>
        <stp/>
        <stp>THETA</stp>
        <stp>.SPY150619C212</stp>
        <tr r="H321" s="1"/>
      </tp>
      <tp>
        <v>-4.4659999999999998E-2</v>
        <stp/>
        <stp>THETA</stp>
        <stp>.SPY150619P212</stp>
        <tr r="S321" s="1"/>
      </tp>
      <tp>
        <v>-3.2500000000000001E-2</v>
        <stp/>
        <stp>THETA</stp>
        <stp>.SPY150619C213</stp>
        <tr r="H323" s="1"/>
      </tp>
      <tp>
        <v>-4.3639999999999998E-2</v>
        <stp/>
        <stp>THETA</stp>
        <stp>.SPY150619P213</stp>
        <tr r="S323" s="1"/>
      </tp>
      <tp>
        <v>-3.0380000000000001E-2</v>
        <stp/>
        <stp>THETA</stp>
        <stp>.SPY150619C214</stp>
        <tr r="H325" s="1"/>
      </tp>
      <tp t="s">
        <v>N/A</v>
        <stp/>
        <stp>THETA</stp>
        <stp>.SPY160617C219</stp>
        <tr r="H713" s="1"/>
      </tp>
      <tp>
        <v>-4.181E-2</v>
        <stp/>
        <stp>THETA</stp>
        <stp>.SPY150619P214</stp>
        <tr r="S325" s="1"/>
      </tp>
      <tp t="s">
        <v>N/A</v>
        <stp/>
        <stp>THETA</stp>
        <stp>.SPY160617P219</stp>
        <tr r="S713" s="1"/>
      </tp>
      <tp>
        <v>-2.7879999999999999E-2</v>
        <stp/>
        <stp>THETA</stp>
        <stp>.SPY150619C215</stp>
        <tr r="H327" s="1"/>
      </tp>
      <tp t="s">
        <v>N/A</v>
        <stp/>
        <stp>THETA</stp>
        <stp>.SPY160617C218</stp>
        <tr r="H711" s="1"/>
      </tp>
      <tp>
        <v>-4.0320000000000002E-2</v>
        <stp/>
        <stp>THETA</stp>
        <stp>.SPY150619P215</stp>
        <tr r="S327" s="1"/>
      </tp>
      <tp t="s">
        <v>N/A</v>
        <stp/>
        <stp>THETA</stp>
        <stp>.SPY160617P218</stp>
        <tr r="S711" s="1"/>
      </tp>
      <tp>
        <v>-2.4969999999999999E-2</v>
        <stp/>
        <stp>THETA</stp>
        <stp>.SPY150619C216</stp>
        <tr r="H329" s="1"/>
      </tp>
      <tp>
        <v>-3.8249999999999999E-2</v>
        <stp/>
        <stp>THETA</stp>
        <stp>.SPY150619P216</stp>
        <tr r="S329" s="1"/>
      </tp>
      <tp>
        <v>-2.1819999999999999E-2</v>
        <stp/>
        <stp>THETA</stp>
        <stp>.SPY150619C217</stp>
        <tr r="H331" s="1"/>
      </tp>
      <tp>
        <v>-3.6299999999999999E-2</v>
        <stp/>
        <stp>THETA</stp>
        <stp>.SPY150619P217</stp>
        <tr r="S331" s="1"/>
      </tp>
      <tp t="s">
        <v>N/A</v>
        <stp/>
        <stp>VEGA</stp>
        <stp>.SPY170317C200.5</stp>
        <tr r="J844" s="1"/>
      </tp>
      <tp t="s">
        <v>N/A</v>
        <stp/>
        <stp>VEGA</stp>
        <stp>.SPY170317C210.5</stp>
        <tr r="J864" s="1"/>
      </tp>
      <tp t="s">
        <v>N/A</v>
        <stp/>
        <stp>VEGA</stp>
        <stp>.SPY160115C203.5</stp>
        <tr r="J598" s="1"/>
      </tp>
      <tp t="s">
        <v>N/A</v>
        <stp/>
        <stp>VEGA</stp>
        <stp>.SPY160115C213.5</stp>
        <tr r="J618" s="1"/>
      </tp>
      <tp t="s">
        <v>N/A</v>
        <stp/>
        <stp>VEGA</stp>
        <stp>.SPY170120C217.5</stp>
        <tr r="J836" s="1"/>
      </tp>
      <tp t="s">
        <v>N/A</v>
        <stp/>
        <stp>VEGA</stp>
        <stp>.SPY170120C207.5</stp>
        <tr r="J816" s="1"/>
      </tp>
      <tp t="s">
        <v>N/A</v>
        <stp/>
        <stp>VEGA</stp>
        <stp>.SPY150717C202.5</stp>
        <tr r="J386" s="1"/>
      </tp>
      <tp t="s">
        <v>N/A</v>
        <stp/>
        <stp>VEGA</stp>
        <stp>.SPY150717C212.5</stp>
        <tr r="J406" s="1"/>
      </tp>
      <tp t="s">
        <v>N/A</v>
        <stp/>
        <stp>VEGA</stp>
        <stp>.SPY160617C201.5</stp>
        <tr r="J678" s="1"/>
      </tp>
      <tp t="s">
        <v>N/A</v>
        <stp/>
        <stp>VEGA</stp>
        <stp>.SPY160617C211.5</stp>
        <tr r="J698" s="1"/>
      </tp>
      <tp t="s">
        <v>N/A</v>
        <stp/>
        <stp>VEGA</stp>
        <stp>.SPY150630C205.5</stp>
        <tr r="J350" s="1"/>
      </tp>
      <tp t="s">
        <v>N/A</v>
        <stp/>
        <stp>VEGA</stp>
        <stp>.SPY150630C215.5</stp>
        <tr r="J370" s="1"/>
      </tp>
      <tp t="s">
        <v>N/A</v>
        <stp/>
        <stp>VEGA</stp>
        <stp>.SPY150501C214.5</stp>
        <tr r="J116" s="1"/>
      </tp>
      <tp>
        <v>4.4690000000000001E-2</v>
        <stp/>
        <stp>VEGA</stp>
        <stp>.SPY150515C200.5</stp>
        <tr r="J172" s="1"/>
      </tp>
      <tp t="s">
        <v>N/A</v>
        <stp/>
        <stp>VEGA</stp>
        <stp>.SPY150501C204.5</stp>
        <tr r="J96" s="1"/>
      </tp>
      <tp>
        <v>0.14949000000000001</v>
        <stp/>
        <stp>VEGA</stp>
        <stp>.SPY150515C210.5</stp>
        <tr r="J192" s="1"/>
      </tp>
      <tp>
        <v>5.9659999999999998E-2</v>
        <stp/>
        <stp>VEGA</stp>
        <stp>.SPY150522C217.5</stp>
        <tr r="J248" s="1"/>
      </tp>
      <tp>
        <v>0.15839</v>
        <stp/>
        <stp>VEGA</stp>
        <stp>.SPY150522C207.5</stp>
        <tr r="J228" s="1"/>
      </tp>
      <tp t="s">
        <v>N/A</v>
        <stp/>
        <stp>VEGA</stp>
        <stp>.SPY150417C202.5</stp>
        <tr r="J8" s="1"/>
      </tp>
      <tp t="s">
        <v>N/A</v>
        <stp/>
        <stp>VEGA</stp>
        <stp>.SPY150417C212.5</stp>
        <tr r="J28" s="1"/>
      </tp>
      <tp t="s">
        <v>N/A</v>
        <stp/>
        <stp>VEGA</stp>
        <stp>.SPY150424C211.5</stp>
        <tr r="J68" s="1"/>
      </tp>
      <tp t="s">
        <v>N/A</v>
        <stp/>
        <stp>VEGA</stp>
        <stp>.SPY150424C201.5</stp>
        <tr r="J48" s="1"/>
      </tp>
      <tp t="s">
        <v>N/A</v>
        <stp/>
        <stp>VEGA</stp>
        <stp>.SPY160916C200.5</stp>
        <tr r="J718" s="1"/>
      </tp>
      <tp t="s">
        <v>N/A</v>
        <stp/>
        <stp>VEGA</stp>
        <stp>.SPY160916C210.5</stp>
        <tr r="J738" s="1"/>
      </tp>
      <tp t="s">
        <v>N/A</v>
        <stp/>
        <stp>VEGA</stp>
        <stp>.SPY150930C205.5</stp>
        <tr r="J476" s="1"/>
      </tp>
      <tp t="s">
        <v>N/A</v>
        <stp/>
        <stp>VEGA</stp>
        <stp>.SPY150930C215.5</stp>
        <tr r="J496" s="1"/>
      </tp>
      <tp t="s">
        <v>N/A</v>
        <stp/>
        <stp>VEGA</stp>
        <stp>.SPY161216C200.5</stp>
        <tr r="J760" s="1"/>
      </tp>
      <tp t="s">
        <v>N/A</v>
        <stp/>
        <stp>VEGA</stp>
        <stp>.SPY171215C202.5</stp>
        <tr r="J890" s="1"/>
      </tp>
      <tp t="s">
        <v>N/A</v>
        <stp/>
        <stp>VEGA</stp>
        <stp>.SPY161216C210.5</stp>
        <tr r="J780" s="1"/>
      </tp>
      <tp t="s">
        <v>N/A</v>
        <stp/>
        <stp>VEGA</stp>
        <stp>.SPY171215C212.5</stp>
        <tr r="J910" s="1"/>
      </tp>
      <tp t="s">
        <v>N/A</v>
        <stp/>
        <stp>VEGA</stp>
        <stp>.SPY151231C204.5</stp>
        <tr r="J558" s="1"/>
      </tp>
      <tp t="s">
        <v>N/A</v>
        <stp/>
        <stp>VEGA</stp>
        <stp>.SPY151231C214.5</stp>
        <tr r="J578" s="1"/>
      </tp>
      <tp t="s">
        <v>N/A</v>
        <stp/>
        <stp>VEGA</stp>
        <stp>.SPY161216P200.5</stp>
        <tr r="U760" s="1"/>
      </tp>
      <tp t="s">
        <v>N/A</v>
        <stp/>
        <stp>VEGA</stp>
        <stp>.SPY171215P202.5</stp>
        <tr r="U890" s="1"/>
      </tp>
      <tp t="s">
        <v>N/A</v>
        <stp/>
        <stp>VEGA</stp>
        <stp>.SPY161216P210.5</stp>
        <tr r="U780" s="1"/>
      </tp>
      <tp t="s">
        <v>N/A</v>
        <stp/>
        <stp>VEGA</stp>
        <stp>.SPY171215P212.5</stp>
        <tr r="U910" s="1"/>
      </tp>
      <tp t="s">
        <v>N/A</v>
        <stp/>
        <stp>VEGA</stp>
        <stp>.SPY151231P204.5</stp>
        <tr r="U558" s="1"/>
      </tp>
      <tp t="s">
        <v>N/A</v>
        <stp/>
        <stp>VEGA</stp>
        <stp>.SPY151231P214.5</stp>
        <tr r="U578" s="1"/>
      </tp>
      <tp t="s">
        <v>N/A</v>
        <stp/>
        <stp>VEGA</stp>
        <stp>.SPY170317P200.5</stp>
        <tr r="U844" s="1"/>
      </tp>
      <tp t="s">
        <v>N/A</v>
        <stp/>
        <stp>VEGA</stp>
        <stp>.SPY170317P210.5</stp>
        <tr r="U864" s="1"/>
      </tp>
      <tp t="s">
        <v>N/A</v>
        <stp/>
        <stp>VEGA</stp>
        <stp>.SPY160115P203.5</stp>
        <tr r="U598" s="1"/>
      </tp>
      <tp t="s">
        <v>N/A</v>
        <stp/>
        <stp>VEGA</stp>
        <stp>.SPY160115P213.5</stp>
        <tr r="U618" s="1"/>
      </tp>
      <tp t="s">
        <v>N/A</v>
        <stp/>
        <stp>VEGA</stp>
        <stp>.SPY170120P217.5</stp>
        <tr r="U836" s="1"/>
      </tp>
      <tp t="s">
        <v>N/A</v>
        <stp/>
        <stp>VEGA</stp>
        <stp>.SPY170120P207.5</stp>
        <tr r="U816" s="1"/>
      </tp>
      <tp t="s">
        <v>N/A</v>
        <stp/>
        <stp>VEGA</stp>
        <stp>.SPY150717P202.5</stp>
        <tr r="U386" s="1"/>
      </tp>
      <tp t="s">
        <v>N/A</v>
        <stp/>
        <stp>VEGA</stp>
        <stp>.SPY150717P212.5</stp>
        <tr r="U406" s="1"/>
      </tp>
      <tp t="s">
        <v>N/A</v>
        <stp/>
        <stp>VEGA</stp>
        <stp>.SPY160617P201.5</stp>
        <tr r="U678" s="1"/>
      </tp>
      <tp t="s">
        <v>N/A</v>
        <stp/>
        <stp>VEGA</stp>
        <stp>.SPY160617P211.5</stp>
        <tr r="U698" s="1"/>
      </tp>
      <tp t="s">
        <v>N/A</v>
        <stp/>
        <stp>VEGA</stp>
        <stp>.SPY150630P205.5</stp>
        <tr r="U350" s="1"/>
      </tp>
      <tp t="s">
        <v>N/A</v>
        <stp/>
        <stp>VEGA</stp>
        <stp>.SPY150630P215.5</stp>
        <tr r="U370" s="1"/>
      </tp>
      <tp t="s">
        <v>N/A</v>
        <stp/>
        <stp>VEGA</stp>
        <stp>.SPY150501P214.5</stp>
        <tr r="U116" s="1"/>
      </tp>
      <tp>
        <v>3.4229999999999997E-2</v>
        <stp/>
        <stp>VEGA</stp>
        <stp>.SPY150515P200.5</stp>
        <tr r="U172" s="1"/>
      </tp>
      <tp t="s">
        <v>N/A</v>
        <stp/>
        <stp>VEGA</stp>
        <stp>.SPY150501P204.5</stp>
        <tr r="U96" s="1"/>
      </tp>
      <tp>
        <v>0.14932000000000001</v>
        <stp/>
        <stp>VEGA</stp>
        <stp>.SPY150515P210.5</stp>
        <tr r="U192" s="1"/>
      </tp>
      <tp>
        <v>0</v>
        <stp/>
        <stp>VEGA</stp>
        <stp>.SPY150522P217.5</stp>
        <tr r="U248" s="1"/>
      </tp>
      <tp>
        <v>0.15509000000000001</v>
        <stp/>
        <stp>VEGA</stp>
        <stp>.SPY150522P207.5</stp>
        <tr r="U228" s="1"/>
      </tp>
      <tp t="s">
        <v>N/A</v>
        <stp/>
        <stp>VEGA</stp>
        <stp>.SPY150417P202.5</stp>
        <tr r="U8" s="1"/>
      </tp>
      <tp t="s">
        <v>N/A</v>
        <stp/>
        <stp>VEGA</stp>
        <stp>.SPY150417P212.5</stp>
        <tr r="U28" s="1"/>
      </tp>
      <tp t="s">
        <v>N/A</v>
        <stp/>
        <stp>VEGA</stp>
        <stp>.SPY150424P211.5</stp>
        <tr r="U68" s="1"/>
      </tp>
      <tp t="s">
        <v>N/A</v>
        <stp/>
        <stp>VEGA</stp>
        <stp>.SPY150424P201.5</stp>
        <tr r="U48" s="1"/>
      </tp>
      <tp t="s">
        <v>N/A</v>
        <stp/>
        <stp>VEGA</stp>
        <stp>.SPY160916P200.5</stp>
        <tr r="U718" s="1"/>
      </tp>
      <tp t="s">
        <v>N/A</v>
        <stp/>
        <stp>VEGA</stp>
        <stp>.SPY160916P210.5</stp>
        <tr r="U738" s="1"/>
      </tp>
      <tp t="s">
        <v>N/A</v>
        <stp/>
        <stp>VEGA</stp>
        <stp>.SPY150930P205.5</stp>
        <tr r="U476" s="1"/>
      </tp>
      <tp t="s">
        <v>N/A</v>
        <stp/>
        <stp>VEGA</stp>
        <stp>.SPY150930P215.5</stp>
        <tr r="U496" s="1"/>
      </tp>
      <tp>
        <v>-2.8549999999999999E-2</v>
        <stp/>
        <stp>THETA</stp>
        <stp>.SPY150717C206</stp>
        <tr r="H393" s="1"/>
      </tp>
      <tp>
        <v>-3.7339999999999998E-2</v>
        <stp/>
        <stp>THETA</stp>
        <stp>.SPY150717P206</stp>
        <tr r="S393" s="1"/>
      </tp>
      <tp>
        <v>-2.8639999999999999E-2</v>
        <stp/>
        <stp>THETA</stp>
        <stp>.SPY150717C207</stp>
        <tr r="H395" s="1"/>
      </tp>
      <tp>
        <v>-3.7569999999999999E-2</v>
        <stp/>
        <stp>THETA</stp>
        <stp>.SPY150717P207</stp>
        <tr r="S395" s="1"/>
      </tp>
      <tp>
        <v>-2.7959999999999999E-2</v>
        <stp/>
        <stp>THETA</stp>
        <stp>.SPY150717C204</stp>
        <tr r="H389" s="1"/>
      </tp>
      <tp>
        <v>-3.6450000000000003E-2</v>
        <stp/>
        <stp>THETA</stp>
        <stp>.SPY150717P204</stp>
        <tr r="S389" s="1"/>
      </tp>
      <tp>
        <v>-2.8289999999999999E-2</v>
        <stp/>
        <stp>THETA</stp>
        <stp>.SPY150717C205</stp>
        <tr r="H391" s="1"/>
      </tp>
      <tp>
        <v>-3.6929999999999998E-2</v>
        <stp/>
        <stp>THETA</stp>
        <stp>.SPY150717P205</stp>
        <tr r="S391" s="1"/>
      </tp>
      <tp>
        <v>-2.7289999999999998E-2</v>
        <stp/>
        <stp>THETA</stp>
        <stp>.SPY150717C202</stp>
        <tr r="H385" s="1"/>
      </tp>
      <tp>
        <v>-3.517E-2</v>
        <stp/>
        <stp>THETA</stp>
        <stp>.SPY150717P202</stp>
        <tr r="S385" s="1"/>
      </tp>
      <tp>
        <v>-2.785E-2</v>
        <stp/>
        <stp>THETA</stp>
        <stp>.SPY150717C203</stp>
        <tr r="H387" s="1"/>
      </tp>
      <tp>
        <v>-3.5860000000000003E-2</v>
        <stp/>
        <stp>THETA</stp>
        <stp>.SPY150717P203</stp>
        <tr r="S387" s="1"/>
      </tp>
      <tp>
        <v>-2.5839999999999998E-2</v>
        <stp/>
        <stp>THETA</stp>
        <stp>.SPY150717C200</stp>
        <tr r="H381" s="1"/>
      </tp>
      <tp>
        <v>-3.3550000000000003E-2</v>
        <stp/>
        <stp>THETA</stp>
        <stp>.SPY150717P200</stp>
        <tr r="S381" s="1"/>
      </tp>
      <tp>
        <v>-2.6450000000000001E-2</v>
        <stp/>
        <stp>THETA</stp>
        <stp>.SPY150717C201</stp>
        <tr r="H383" s="1"/>
      </tp>
      <tp>
        <v>-3.4410000000000003E-2</v>
        <stp/>
        <stp>THETA</stp>
        <stp>.SPY150717P201</stp>
        <tr r="S383" s="1"/>
      </tp>
      <tp>
        <v>-2.8680000000000001E-2</v>
        <stp/>
        <stp>THETA</stp>
        <stp>.SPY150717C208</stp>
        <tr r="H397" s="1"/>
      </tp>
      <tp>
        <v>-3.7690000000000001E-2</v>
        <stp/>
        <stp>THETA</stp>
        <stp>.SPY150717P208</stp>
        <tr r="S397" s="1"/>
      </tp>
      <tp>
        <v>-2.8549999999999999E-2</v>
        <stp/>
        <stp>THETA</stp>
        <stp>.SPY150717C209</stp>
        <tr r="H399" s="1"/>
      </tp>
      <tp>
        <v>-3.7620000000000001E-2</v>
        <stp/>
        <stp>THETA</stp>
        <stp>.SPY150717P209</stp>
        <tr r="S399" s="1"/>
      </tp>
      <tp>
        <v>-2.163E-2</v>
        <stp/>
        <stp>THETA</stp>
        <stp>.SPY150717C216</stp>
        <tr r="H413" s="1"/>
      </tp>
      <tp>
        <v>-3.1829999999999997E-2</v>
        <stp/>
        <stp>THETA</stp>
        <stp>.SPY150717P216</stp>
        <tr r="S413" s="1"/>
      </tp>
      <tp>
        <v>-1.9779999999999999E-2</v>
        <stp/>
        <stp>THETA</stp>
        <stp>.SPY150717C217</stp>
        <tr r="H415" s="1"/>
      </tp>
      <tp>
        <v>-3.0259999999999999E-2</v>
        <stp/>
        <stp>THETA</stp>
        <stp>.SPY150717P217</stp>
        <tr r="S415" s="1"/>
      </tp>
      <tp>
        <v>-2.47E-2</v>
        <stp/>
        <stp>THETA</stp>
        <stp>.SPY150717C214</stp>
        <tr r="H409" s="1"/>
      </tp>
      <tp>
        <v>-3.4430000000000002E-2</v>
        <stp/>
        <stp>THETA</stp>
        <stp>.SPY150717P214</stp>
        <tr r="S409" s="1"/>
      </tp>
      <tp>
        <v>-2.3259999999999999E-2</v>
        <stp/>
        <stp>THETA</stp>
        <stp>.SPY150717C215</stp>
        <tr r="H411" s="1"/>
      </tp>
      <tp>
        <v>-3.3279999999999997E-2</v>
        <stp/>
        <stp>THETA</stp>
        <stp>.SPY150717P215</stp>
        <tr r="S411" s="1"/>
      </tp>
      <tp>
        <v>-2.69E-2</v>
        <stp/>
        <stp>THETA</stp>
        <stp>.SPY150717C212</stp>
        <tr r="H405" s="1"/>
      </tp>
      <tp>
        <v>-3.6380000000000003E-2</v>
        <stp/>
        <stp>THETA</stp>
        <stp>.SPY150717P212</stp>
        <tr r="S405" s="1"/>
      </tp>
      <tp>
        <v>-2.588E-2</v>
        <stp/>
        <stp>THETA</stp>
        <stp>.SPY150717C213</stp>
        <tr r="H407" s="1"/>
      </tp>
      <tp>
        <v>-3.5659999999999997E-2</v>
        <stp/>
        <stp>THETA</stp>
        <stp>.SPY150717P213</stp>
        <tr r="S407" s="1"/>
      </tp>
      <tp>
        <v>-2.8139999999999998E-2</v>
        <stp/>
        <stp>THETA</stp>
        <stp>.SPY150717C210</stp>
        <tr r="H401" s="1"/>
      </tp>
      <tp>
        <v>-3.7359999999999997E-2</v>
        <stp/>
        <stp>THETA</stp>
        <stp>.SPY150717P210</stp>
        <tr r="S401" s="1"/>
      </tp>
      <tp>
        <v>-2.7699999999999999E-2</v>
        <stp/>
        <stp>THETA</stp>
        <stp>.SPY150717C211</stp>
        <tr r="H403" s="1"/>
      </tp>
      <tp>
        <v>-3.6929999999999998E-2</v>
        <stp/>
        <stp>THETA</stp>
        <stp>.SPY150717P211</stp>
        <tr r="S403" s="1"/>
      </tp>
      <tp>
        <v>-1.7729999999999999E-2</v>
        <stp/>
        <stp>THETA</stp>
        <stp>.SPY150717C218</stp>
        <tr r="H417" s="1"/>
      </tp>
      <tp>
        <v>-2.87E-2</v>
        <stp/>
        <stp>THETA</stp>
        <stp>.SPY150717P218</stp>
        <tr r="S417" s="1"/>
      </tp>
      <tp>
        <v>-1.5769999999999999E-2</v>
        <stp/>
        <stp>THETA</stp>
        <stp>.SPY150717C219</stp>
        <tr r="H419" s="1"/>
      </tp>
      <tp>
        <v>-2.707E-2</v>
        <stp/>
        <stp>THETA</stp>
        <stp>.SPY150717P219</stp>
        <tr r="S419" s="1"/>
      </tp>
      <tp t="s">
        <v>N/A</v>
        <stp/>
        <stp>VEGA</stp>
        <stp>.SPY170317C203.5</stp>
        <tr r="J850" s="1"/>
      </tp>
      <tp t="s">
        <v>N/A</v>
        <stp/>
        <stp>VEGA</stp>
        <stp>.SPY170317C213.5</stp>
        <tr r="J870" s="1"/>
      </tp>
      <tp t="s">
        <v>N/A</v>
        <stp/>
        <stp>VEGA</stp>
        <stp>.SPY160115C200.5</stp>
        <tr r="J592" s="1"/>
      </tp>
      <tp t="s">
        <v>N/A</v>
        <stp/>
        <stp>VEGA</stp>
        <stp>.SPY160115C210.5</stp>
        <tr r="J612" s="1"/>
      </tp>
      <tp t="s">
        <v>N/A</v>
        <stp/>
        <stp>VEGA</stp>
        <stp>.SPY170120C214.5</stp>
        <tr r="J830" s="1"/>
      </tp>
      <tp t="s">
        <v>N/A</v>
        <stp/>
        <stp>VEGA</stp>
        <stp>.SPY170120C204.5</stp>
        <tr r="J810" s="1"/>
      </tp>
      <tp t="s">
        <v>N/A</v>
        <stp/>
        <stp>VEGA</stp>
        <stp>.SPY150717C201.5</stp>
        <tr r="J384" s="1"/>
      </tp>
      <tp t="s">
        <v>N/A</v>
        <stp/>
        <stp>VEGA</stp>
        <stp>.SPY150717C211.5</stp>
        <tr r="J404" s="1"/>
      </tp>
      <tp t="s">
        <v>N/A</v>
        <stp/>
        <stp>VEGA</stp>
        <stp>.SPY160617C202.5</stp>
        <tr r="J680" s="1"/>
      </tp>
      <tp t="s">
        <v>N/A</v>
        <stp/>
        <stp>VEGA</stp>
        <stp>.SPY160617C212.5</stp>
        <tr r="J700" s="1"/>
      </tp>
      <tp t="s">
        <v>N/A</v>
        <stp/>
        <stp>VEGA</stp>
        <stp>.SPY150630C206.5</stp>
        <tr r="J352" s="1"/>
      </tp>
      <tp t="s">
        <v>N/A</v>
        <stp/>
        <stp>VEGA</stp>
        <stp>.SPY150630C216.5</stp>
        <tr r="J372" s="1"/>
      </tp>
      <tp t="s">
        <v>N/A</v>
        <stp/>
        <stp>VEGA</stp>
        <stp>.SPY150501C217.5</stp>
        <tr r="J122" s="1"/>
      </tp>
      <tp>
        <v>6.1850000000000002E-2</v>
        <stp/>
        <stp>VEGA</stp>
        <stp>.SPY150515C203.5</stp>
        <tr r="J178" s="1"/>
      </tp>
      <tp t="s">
        <v>N/A</v>
        <stp/>
        <stp>VEGA</stp>
        <stp>.SPY150501C207.5</stp>
        <tr r="J102" s="1"/>
      </tp>
      <tp>
        <v>0.12939999999999999</v>
        <stp/>
        <stp>VEGA</stp>
        <stp>.SPY150515C213.5</stp>
        <tr r="J198" s="1"/>
      </tp>
      <tp>
        <v>0.15021999999999999</v>
        <stp/>
        <stp>VEGA</stp>
        <stp>.SPY150522C214.5</stp>
        <tr r="J242" s="1"/>
      </tp>
      <tp>
        <v>0.11749999999999999</v>
        <stp/>
        <stp>VEGA</stp>
        <stp>.SPY150522C204.5</stp>
        <tr r="J222" s="1"/>
      </tp>
      <tp t="s">
        <v>N/A</v>
        <stp/>
        <stp>VEGA</stp>
        <stp>.SPY150417C201.5</stp>
        <tr r="J6" s="1"/>
      </tp>
      <tp t="s">
        <v>N/A</v>
        <stp/>
        <stp>VEGA</stp>
        <stp>.SPY150417C211.5</stp>
        <tr r="J26" s="1"/>
      </tp>
      <tp t="s">
        <v>N/A</v>
        <stp/>
        <stp>VEGA</stp>
        <stp>.SPY150424C212.5</stp>
        <tr r="J70" s="1"/>
      </tp>
      <tp t="s">
        <v>N/A</v>
        <stp/>
        <stp>VEGA</stp>
        <stp>.SPY150424C202.5</stp>
        <tr r="J50" s="1"/>
      </tp>
      <tp t="s">
        <v>N/A</v>
        <stp/>
        <stp>VEGA</stp>
        <stp>.SPY160916C203.5</stp>
        <tr r="J724" s="1"/>
      </tp>
      <tp t="s">
        <v>N/A</v>
        <stp/>
        <stp>VEGA</stp>
        <stp>.SPY160916C213.5</stp>
        <tr r="J744" s="1"/>
      </tp>
      <tp t="s">
        <v>N/A</v>
        <stp/>
        <stp>VEGA</stp>
        <stp>.SPY150930C206.5</stp>
        <tr r="J478" s="1"/>
      </tp>
      <tp t="s">
        <v>N/A</v>
        <stp/>
        <stp>VEGA</stp>
        <stp>.SPY150930C216.5</stp>
        <tr r="J498" s="1"/>
      </tp>
      <tp t="s">
        <v>N/A</v>
        <stp/>
        <stp>VEGA</stp>
        <stp>.SPY161216C203.5</stp>
        <tr r="J766" s="1"/>
      </tp>
      <tp t="s">
        <v>N/A</v>
        <stp/>
        <stp>VEGA</stp>
        <stp>.SPY171215C201.5</stp>
        <tr r="J888" s="1"/>
      </tp>
      <tp t="s">
        <v>N/A</v>
        <stp/>
        <stp>VEGA</stp>
        <stp>.SPY161216C213.5</stp>
        <tr r="J786" s="1"/>
      </tp>
      <tp t="s">
        <v>N/A</v>
        <stp/>
        <stp>VEGA</stp>
        <stp>.SPY171215C211.5</stp>
        <tr r="J908" s="1"/>
      </tp>
      <tp t="s">
        <v>N/A</v>
        <stp/>
        <stp>VEGA</stp>
        <stp>.SPY151231C207.5</stp>
        <tr r="J564" s="1"/>
      </tp>
      <tp t="s">
        <v>N/A</v>
        <stp/>
        <stp>VEGA</stp>
        <stp>.SPY151231C217.5</stp>
        <tr r="J584" s="1"/>
      </tp>
      <tp t="s">
        <v>N/A</v>
        <stp/>
        <stp>VEGA</stp>
        <stp>.SPY161216P203.5</stp>
        <tr r="U766" s="1"/>
      </tp>
      <tp t="s">
        <v>N/A</v>
        <stp/>
        <stp>VEGA</stp>
        <stp>.SPY171215P201.5</stp>
        <tr r="U888" s="1"/>
      </tp>
      <tp t="s">
        <v>N/A</v>
        <stp/>
        <stp>VEGA</stp>
        <stp>.SPY161216P213.5</stp>
        <tr r="U786" s="1"/>
      </tp>
      <tp t="s">
        <v>N/A</v>
        <stp/>
        <stp>VEGA</stp>
        <stp>.SPY171215P211.5</stp>
        <tr r="U908" s="1"/>
      </tp>
      <tp t="s">
        <v>N/A</v>
        <stp/>
        <stp>VEGA</stp>
        <stp>.SPY151231P207.5</stp>
        <tr r="U564" s="1"/>
      </tp>
      <tp t="s">
        <v>N/A</v>
        <stp/>
        <stp>VEGA</stp>
        <stp>.SPY151231P217.5</stp>
        <tr r="U584" s="1"/>
      </tp>
      <tp t="s">
        <v>N/A</v>
        <stp/>
        <stp>VEGA</stp>
        <stp>.SPY170317P203.5</stp>
        <tr r="U850" s="1"/>
      </tp>
      <tp t="s">
        <v>N/A</v>
        <stp/>
        <stp>VEGA</stp>
        <stp>.SPY170317P213.5</stp>
        <tr r="U870" s="1"/>
      </tp>
      <tp t="s">
        <v>N/A</v>
        <stp/>
        <stp>VEGA</stp>
        <stp>.SPY160115P200.5</stp>
        <tr r="U592" s="1"/>
      </tp>
      <tp t="s">
        <v>N/A</v>
        <stp/>
        <stp>VEGA</stp>
        <stp>.SPY160115P210.5</stp>
        <tr r="U612" s="1"/>
      </tp>
      <tp t="s">
        <v>N/A</v>
        <stp/>
        <stp>VEGA</stp>
        <stp>.SPY170120P214.5</stp>
        <tr r="U830" s="1"/>
      </tp>
      <tp t="s">
        <v>N/A</v>
        <stp/>
        <stp>VEGA</stp>
        <stp>.SPY170120P204.5</stp>
        <tr r="U810" s="1"/>
      </tp>
      <tp t="s">
        <v>N/A</v>
        <stp/>
        <stp>VEGA</stp>
        <stp>.SPY150717P201.5</stp>
        <tr r="U384" s="1"/>
      </tp>
      <tp t="s">
        <v>N/A</v>
        <stp/>
        <stp>VEGA</stp>
        <stp>.SPY150717P211.5</stp>
        <tr r="U404" s="1"/>
      </tp>
      <tp t="s">
        <v>N/A</v>
        <stp/>
        <stp>VEGA</stp>
        <stp>.SPY160617P202.5</stp>
        <tr r="U680" s="1"/>
      </tp>
      <tp t="s">
        <v>N/A</v>
        <stp/>
        <stp>VEGA</stp>
        <stp>.SPY160617P212.5</stp>
        <tr r="U700" s="1"/>
      </tp>
      <tp t="s">
        <v>N/A</v>
        <stp/>
        <stp>VEGA</stp>
        <stp>.SPY150630P206.5</stp>
        <tr r="U352" s="1"/>
      </tp>
      <tp t="s">
        <v>N/A</v>
        <stp/>
        <stp>VEGA</stp>
        <stp>.SPY150630P216.5</stp>
        <tr r="U372" s="1"/>
      </tp>
      <tp t="s">
        <v>N/A</v>
        <stp/>
        <stp>VEGA</stp>
        <stp>.SPY150501P217.5</stp>
        <tr r="U122" s="1"/>
      </tp>
      <tp>
        <v>5.7239999999999999E-2</v>
        <stp/>
        <stp>VEGA</stp>
        <stp>.SPY150515P203.5</stp>
        <tr r="U178" s="1"/>
      </tp>
      <tp t="s">
        <v>N/A</v>
        <stp/>
        <stp>VEGA</stp>
        <stp>.SPY150501P207.5</stp>
        <tr r="U102" s="1"/>
      </tp>
      <tp>
        <v>0.12570000000000001</v>
        <stp/>
        <stp>VEGA</stp>
        <stp>.SPY150515P213.5</stp>
        <tr r="U198" s="1"/>
      </tp>
      <tp>
        <v>0.1394</v>
        <stp/>
        <stp>VEGA</stp>
        <stp>.SPY150522P214.5</stp>
        <tr r="U242" s="1"/>
      </tp>
      <tp>
        <v>0.11065</v>
        <stp/>
        <stp>VEGA</stp>
        <stp>.SPY150522P204.5</stp>
        <tr r="U222" s="1"/>
      </tp>
      <tp t="s">
        <v>N/A</v>
        <stp/>
        <stp>VEGA</stp>
        <stp>.SPY150417P201.5</stp>
        <tr r="U6" s="1"/>
      </tp>
      <tp t="s">
        <v>N/A</v>
        <stp/>
        <stp>VEGA</stp>
        <stp>.SPY150417P211.5</stp>
        <tr r="U26" s="1"/>
      </tp>
      <tp t="s">
        <v>N/A</v>
        <stp/>
        <stp>VEGA</stp>
        <stp>.SPY150424P212.5</stp>
        <tr r="U70" s="1"/>
      </tp>
      <tp t="s">
        <v>N/A</v>
        <stp/>
        <stp>VEGA</stp>
        <stp>.SPY150424P202.5</stp>
        <tr r="U50" s="1"/>
      </tp>
      <tp t="s">
        <v>N/A</v>
        <stp/>
        <stp>VEGA</stp>
        <stp>.SPY160916P203.5</stp>
        <tr r="U724" s="1"/>
      </tp>
      <tp t="s">
        <v>N/A</v>
        <stp/>
        <stp>VEGA</stp>
        <stp>.SPY160916P213.5</stp>
        <tr r="U744" s="1"/>
      </tp>
      <tp t="s">
        <v>N/A</v>
        <stp/>
        <stp>VEGA</stp>
        <stp>.SPY150930P206.5</stp>
        <tr r="U478" s="1"/>
      </tp>
      <tp t="s">
        <v>N/A</v>
        <stp/>
        <stp>VEGA</stp>
        <stp>.SPY150930P216.5</stp>
        <tr r="U498" s="1"/>
      </tp>
      <tp t="s">
        <v>N/A</v>
        <stp/>
        <stp>THETA</stp>
        <stp>.SPY150424C215</stp>
        <tr r="H75" s="1"/>
      </tp>
      <tp t="s">
        <v>N/A</v>
        <stp/>
        <stp>THETA</stp>
        <stp>.SPY150424P215</stp>
        <tr r="S75" s="1"/>
      </tp>
      <tp t="s">
        <v>N/A</v>
        <stp/>
        <stp>THETA</stp>
        <stp>.SPY150424C214</stp>
        <tr r="H73" s="1"/>
      </tp>
      <tp t="s">
        <v>N/A</v>
        <stp/>
        <stp>THETA</stp>
        <stp>.SPY150424P214</stp>
        <tr r="S73" s="1"/>
      </tp>
      <tp t="s">
        <v>N/A</v>
        <stp/>
        <stp>THETA</stp>
        <stp>.SPY150424C217</stp>
        <tr r="H79" s="1"/>
      </tp>
      <tp t="s">
        <v>N/A</v>
        <stp/>
        <stp>THETA</stp>
        <stp>.SPY150424P217</stp>
        <tr r="S79" s="1"/>
      </tp>
      <tp t="s">
        <v>N/A</v>
        <stp/>
        <stp>THETA</stp>
        <stp>.SPY150424C216</stp>
        <tr r="H77" s="1"/>
      </tp>
      <tp t="s">
        <v>N/A</v>
        <stp/>
        <stp>THETA</stp>
        <stp>.SPY150424P216</stp>
        <tr r="S77" s="1"/>
      </tp>
      <tp t="s">
        <v>N/A</v>
        <stp/>
        <stp>THETA</stp>
        <stp>.SPY150424C211</stp>
        <tr r="H67" s="1"/>
      </tp>
      <tp t="s">
        <v>N/A</v>
        <stp/>
        <stp>THETA</stp>
        <stp>.SPY150424P211</stp>
        <tr r="S67" s="1"/>
      </tp>
      <tp t="s">
        <v>N/A</v>
        <stp/>
        <stp>THETA</stp>
        <stp>.SPY150424C210</stp>
        <tr r="H65" s="1"/>
      </tp>
      <tp t="s">
        <v>N/A</v>
        <stp/>
        <stp>THETA</stp>
        <stp>.SPY150424P210</stp>
        <tr r="S65" s="1"/>
      </tp>
      <tp t="s">
        <v>N/A</v>
        <stp/>
        <stp>THETA</stp>
        <stp>.SPY150424C213</stp>
        <tr r="H71" s="1"/>
      </tp>
      <tp t="s">
        <v>N/A</v>
        <stp/>
        <stp>THETA</stp>
        <stp>.SPY150424P213</stp>
        <tr r="S71" s="1"/>
      </tp>
      <tp t="s">
        <v>N/A</v>
        <stp/>
        <stp>THETA</stp>
        <stp>.SPY150424C212</stp>
        <tr r="H69" s="1"/>
      </tp>
      <tp t="s">
        <v>N/A</v>
        <stp/>
        <stp>THETA</stp>
        <stp>.SPY150424P212</stp>
        <tr r="S69" s="1"/>
      </tp>
      <tp t="s">
        <v>N/A</v>
        <stp/>
        <stp>THETA</stp>
        <stp>.SPY150424C219</stp>
        <tr r="H83" s="1"/>
      </tp>
      <tp t="s">
        <v>N/A</v>
        <stp/>
        <stp>THETA</stp>
        <stp>.SPY150424P219</stp>
        <tr r="S83" s="1"/>
      </tp>
      <tp t="s">
        <v>N/A</v>
        <stp/>
        <stp>THETA</stp>
        <stp>.SPY150424C218</stp>
        <tr r="H81" s="1"/>
      </tp>
      <tp t="s">
        <v>N/A</v>
        <stp/>
        <stp>THETA</stp>
        <stp>.SPY150424P218</stp>
        <tr r="S81" s="1"/>
      </tp>
      <tp t="s">
        <v>N/A</v>
        <stp/>
        <stp>THETA</stp>
        <stp>.SPY150424C205</stp>
        <tr r="H55" s="1"/>
      </tp>
      <tp t="s">
        <v>N/A</v>
        <stp/>
        <stp>THETA</stp>
        <stp>.SPY150424P205</stp>
        <tr r="S55" s="1"/>
      </tp>
      <tp t="s">
        <v>N/A</v>
        <stp/>
        <stp>THETA</stp>
        <stp>.SPY150424C204</stp>
        <tr r="H53" s="1"/>
      </tp>
      <tp t="s">
        <v>N/A</v>
        <stp/>
        <stp>THETA</stp>
        <stp>.SPY150424P204</stp>
        <tr r="S53" s="1"/>
      </tp>
      <tp t="s">
        <v>N/A</v>
        <stp/>
        <stp>THETA</stp>
        <stp>.SPY150424C207</stp>
        <tr r="H59" s="1"/>
      </tp>
      <tp t="s">
        <v>N/A</v>
        <stp/>
        <stp>THETA</stp>
        <stp>.SPY150424P207</stp>
        <tr r="S59" s="1"/>
      </tp>
      <tp t="s">
        <v>N/A</v>
        <stp/>
        <stp>THETA</stp>
        <stp>.SPY150424C206</stp>
        <tr r="H57" s="1"/>
      </tp>
      <tp t="s">
        <v>N/A</v>
        <stp/>
        <stp>THETA</stp>
        <stp>.SPY150424P206</stp>
        <tr r="S57" s="1"/>
      </tp>
      <tp t="s">
        <v>N/A</v>
        <stp/>
        <stp>THETA</stp>
        <stp>.SPY150424C201</stp>
        <tr r="H47" s="1"/>
      </tp>
      <tp t="s">
        <v>N/A</v>
        <stp/>
        <stp>THETA</stp>
        <stp>.SPY150424P201</stp>
        <tr r="S47" s="1"/>
      </tp>
      <tp t="s">
        <v>N/A</v>
        <stp/>
        <stp>THETA</stp>
        <stp>.SPY150424C200</stp>
        <tr r="H45" s="1"/>
      </tp>
      <tp t="s">
        <v>N/A</v>
        <stp/>
        <stp>THETA</stp>
        <stp>.SPY150424P200</stp>
        <tr r="S45" s="1"/>
      </tp>
      <tp t="s">
        <v>N/A</v>
        <stp/>
        <stp>THETA</stp>
        <stp>.SPY150424C203</stp>
        <tr r="H51" s="1"/>
      </tp>
      <tp t="s">
        <v>N/A</v>
        <stp/>
        <stp>THETA</stp>
        <stp>.SPY150424P203</stp>
        <tr r="S51" s="1"/>
      </tp>
      <tp t="s">
        <v>N/A</v>
        <stp/>
        <stp>THETA</stp>
        <stp>.SPY150424C202</stp>
        <tr r="H49" s="1"/>
      </tp>
      <tp t="s">
        <v>N/A</v>
        <stp/>
        <stp>THETA</stp>
        <stp>.SPY150424P202</stp>
        <tr r="S49" s="1"/>
      </tp>
      <tp t="s">
        <v>N/A</v>
        <stp/>
        <stp>THETA</stp>
        <stp>.SPY150424C209</stp>
        <tr r="H63" s="1"/>
      </tp>
      <tp t="s">
        <v>N/A</v>
        <stp/>
        <stp>THETA</stp>
        <stp>.SPY150424P209</stp>
        <tr r="S63" s="1"/>
      </tp>
      <tp t="s">
        <v>N/A</v>
        <stp/>
        <stp>THETA</stp>
        <stp>.SPY150424C208</stp>
        <tr r="H61" s="1"/>
      </tp>
      <tp t="s">
        <v>N/A</v>
        <stp/>
        <stp>THETA</stp>
        <stp>.SPY150424P208</stp>
        <tr r="S61" s="1"/>
      </tp>
      <tp t="s">
        <v>N/A</v>
        <stp/>
        <stp>THETA</stp>
        <stp>.SPY150417C206</stp>
        <tr r="H15" s="1"/>
      </tp>
      <tp t="s">
        <v>N/A</v>
        <stp/>
        <stp>THETA</stp>
        <stp>.SPY150417P206</stp>
        <tr r="S15" s="1"/>
      </tp>
      <tp t="s">
        <v>N/A</v>
        <stp/>
        <stp>THETA</stp>
        <stp>.SPY150417C207</stp>
        <tr r="H17" s="1"/>
      </tp>
      <tp t="s">
        <v>N/A</v>
        <stp/>
        <stp>THETA</stp>
        <stp>.SPY150417P207</stp>
        <tr r="S17" s="1"/>
      </tp>
      <tp t="s">
        <v>N/A</v>
        <stp/>
        <stp>THETA</stp>
        <stp>.SPY150417C204</stp>
        <tr r="H11" s="1"/>
      </tp>
      <tp t="s">
        <v>N/A</v>
        <stp/>
        <stp>THETA</stp>
        <stp>.SPY150417P204</stp>
        <tr r="S11" s="1"/>
      </tp>
      <tp t="s">
        <v>N/A</v>
        <stp/>
        <stp>THETA</stp>
        <stp>.SPY150417C205</stp>
        <tr r="H13" s="1"/>
      </tp>
      <tp t="s">
        <v>N/A</v>
        <stp/>
        <stp>THETA</stp>
        <stp>.SPY150417P205</stp>
        <tr r="S13" s="1"/>
      </tp>
      <tp t="s">
        <v>N/A</v>
        <stp/>
        <stp>THETA</stp>
        <stp>.SPY150417C202</stp>
        <tr r="H7" s="1"/>
      </tp>
      <tp t="s">
        <v>N/A</v>
        <stp/>
        <stp>THETA</stp>
        <stp>.SPY150417P202</stp>
        <tr r="S7" s="1"/>
      </tp>
      <tp t="s">
        <v>N/A</v>
        <stp/>
        <stp>THETA</stp>
        <stp>.SPY150417C203</stp>
        <tr r="H9" s="1"/>
      </tp>
      <tp t="s">
        <v>N/A</v>
        <stp/>
        <stp>THETA</stp>
        <stp>.SPY150417P203</stp>
        <tr r="S9" s="1"/>
      </tp>
      <tp t="s">
        <v>N/A</v>
        <stp/>
        <stp>THETA</stp>
        <stp>.SPY150417C200</stp>
        <tr r="H3" s="1"/>
      </tp>
      <tp t="s">
        <v>N/A</v>
        <stp/>
        <stp>THETA</stp>
        <stp>.SPY150417P200</stp>
        <tr r="S3" s="1"/>
      </tp>
      <tp t="s">
        <v>N/A</v>
        <stp/>
        <stp>THETA</stp>
        <stp>.SPY150417C201</stp>
        <tr r="H5" s="1"/>
      </tp>
      <tp t="s">
        <v>N/A</v>
        <stp/>
        <stp>THETA</stp>
        <stp>.SPY150417P201</stp>
        <tr r="S5" s="1"/>
      </tp>
      <tp t="s">
        <v>N/A</v>
        <stp/>
        <stp>THETA</stp>
        <stp>.SPY150417C208</stp>
        <tr r="H19" s="1"/>
      </tp>
      <tp t="s">
        <v>N/A</v>
        <stp/>
        <stp>THETA</stp>
        <stp>.SPY150417P208</stp>
        <tr r="S19" s="1"/>
      </tp>
      <tp t="s">
        <v>N/A</v>
        <stp/>
        <stp>THETA</stp>
        <stp>.SPY150417C209</stp>
        <tr r="H21" s="1"/>
      </tp>
      <tp t="s">
        <v>N/A</v>
        <stp/>
        <stp>THETA</stp>
        <stp>.SPY150417P209</stp>
        <tr r="S21" s="1"/>
      </tp>
      <tp t="s">
        <v>N/A</v>
        <stp/>
        <stp>THETA</stp>
        <stp>.SPY150417C216</stp>
        <tr r="H35" s="1"/>
      </tp>
      <tp t="s">
        <v>N/A</v>
        <stp/>
        <stp>THETA</stp>
        <stp>.SPY150417P216</stp>
        <tr r="S35" s="1"/>
      </tp>
      <tp t="s">
        <v>N/A</v>
        <stp/>
        <stp>THETA</stp>
        <stp>.SPY150417C217</stp>
        <tr r="H37" s="1"/>
      </tp>
      <tp t="s">
        <v>N/A</v>
        <stp/>
        <stp>THETA</stp>
        <stp>.SPY150417P217</stp>
        <tr r="S37" s="1"/>
      </tp>
      <tp t="s">
        <v>N/A</v>
        <stp/>
        <stp>THETA</stp>
        <stp>.SPY150417C214</stp>
        <tr r="H31" s="1"/>
      </tp>
      <tp t="s">
        <v>N/A</v>
        <stp/>
        <stp>THETA</stp>
        <stp>.SPY150417P214</stp>
        <tr r="S31" s="1"/>
      </tp>
      <tp t="s">
        <v>N/A</v>
        <stp/>
        <stp>THETA</stp>
        <stp>.SPY150417C215</stp>
        <tr r="H33" s="1"/>
      </tp>
      <tp t="s">
        <v>N/A</v>
        <stp/>
        <stp>THETA</stp>
        <stp>.SPY150417P215</stp>
        <tr r="S33" s="1"/>
      </tp>
      <tp t="s">
        <v>N/A</v>
        <stp/>
        <stp>THETA</stp>
        <stp>.SPY150417C212</stp>
        <tr r="H27" s="1"/>
      </tp>
      <tp t="s">
        <v>N/A</v>
        <stp/>
        <stp>THETA</stp>
        <stp>.SPY150417P212</stp>
        <tr r="S27" s="1"/>
      </tp>
      <tp t="s">
        <v>N/A</v>
        <stp/>
        <stp>THETA</stp>
        <stp>.SPY150417C213</stp>
        <tr r="H29" s="1"/>
      </tp>
      <tp t="s">
        <v>N/A</v>
        <stp/>
        <stp>THETA</stp>
        <stp>.SPY150417P213</stp>
        <tr r="S29" s="1"/>
      </tp>
      <tp t="s">
        <v>N/A</v>
        <stp/>
        <stp>THETA</stp>
        <stp>.SPY150417C210</stp>
        <tr r="H23" s="1"/>
      </tp>
      <tp t="s">
        <v>N/A</v>
        <stp/>
        <stp>THETA</stp>
        <stp>.SPY150417P210</stp>
        <tr r="S23" s="1"/>
      </tp>
      <tp t="s">
        <v>N/A</v>
        <stp/>
        <stp>THETA</stp>
        <stp>.SPY150417C211</stp>
        <tr r="H25" s="1"/>
      </tp>
      <tp t="s">
        <v>N/A</v>
        <stp/>
        <stp>THETA</stp>
        <stp>.SPY150417P211</stp>
        <tr r="S25" s="1"/>
      </tp>
      <tp t="s">
        <v>N/A</v>
        <stp/>
        <stp>THETA</stp>
        <stp>.SPY150417C218</stp>
        <tr r="H39" s="1"/>
      </tp>
      <tp t="s">
        <v>N/A</v>
        <stp/>
        <stp>THETA</stp>
        <stp>.SPY150417P218</stp>
        <tr r="S39" s="1"/>
      </tp>
      <tp t="s">
        <v>N/A</v>
        <stp/>
        <stp>THETA</stp>
        <stp>.SPY150417C219</stp>
        <tr r="H41" s="1"/>
      </tp>
      <tp t="s">
        <v>N/A</v>
        <stp/>
        <stp>THETA</stp>
        <stp>.SPY150417P219</stp>
        <tr r="S41" s="1"/>
      </tp>
      <tp>
        <v>-0.49591000000000002</v>
        <stp/>
        <stp>DELTA</stp>
        <stp>.SPY150930P211</stp>
        <tr r="R487" s="1"/>
      </tp>
      <tp>
        <v>0.50287000000000004</v>
        <stp/>
        <stp>DELTA</stp>
        <stp>.SPY150930C211</stp>
        <tr r="G487" s="1"/>
      </tp>
      <tp>
        <v>-0.47491</v>
        <stp/>
        <stp>DELTA</stp>
        <stp>.SPY150930P210</stp>
        <tr r="R485" s="1"/>
      </tp>
      <tp>
        <v>0.52485000000000004</v>
        <stp/>
        <stp>DELTA</stp>
        <stp>.SPY150930C210</stp>
        <tr r="G485" s="1"/>
      </tp>
      <tp>
        <v>-0.53973000000000004</v>
        <stp/>
        <stp>DELTA</stp>
        <stp>.SPY150930P213</stp>
        <tr r="R491" s="1"/>
      </tp>
      <tp>
        <v>0.45707999999999999</v>
        <stp/>
        <stp>DELTA</stp>
        <stp>.SPY150930C213</stp>
        <tr r="G491" s="1"/>
      </tp>
      <tp>
        <v>-0.51756000000000002</v>
        <stp/>
        <stp>DELTA</stp>
        <stp>.SPY150930P212</stp>
        <tr r="R489" s="1"/>
      </tp>
      <tp>
        <v>0.48026999999999997</v>
        <stp/>
        <stp>DELTA</stp>
        <stp>.SPY150930C212</stp>
        <tr r="G489" s="1"/>
      </tp>
      <tp>
        <v>-0.58548</v>
        <stp/>
        <stp>DELTA</stp>
        <stp>.SPY150930P215</stp>
        <tr r="R495" s="1"/>
      </tp>
      <tp>
        <v>0.40848000000000001</v>
        <stp/>
        <stp>DELTA</stp>
        <stp>.SPY150930C215</stp>
        <tr r="G495" s="1"/>
      </tp>
      <tp>
        <v>-0.56232000000000004</v>
        <stp/>
        <stp>DELTA</stp>
        <stp>.SPY150930P214</stp>
        <tr r="R493" s="1"/>
      </tp>
      <tp>
        <v>0.43290000000000001</v>
        <stp/>
        <stp>DELTA</stp>
        <stp>.SPY150930C214</stp>
        <tr r="G493" s="1"/>
      </tp>
      <tp t="s">
        <v>N/A</v>
        <stp/>
        <stp>DELTA</stp>
        <stp>.SPY150930P217</stp>
        <tr r="R499" s="1"/>
      </tp>
      <tp t="s">
        <v>N/A</v>
        <stp/>
        <stp>DELTA</stp>
        <stp>.SPY150930C217</stp>
        <tr r="G499" s="1"/>
      </tp>
      <tp t="s">
        <v>N/A</v>
        <stp/>
        <stp>DELTA</stp>
        <stp>.SPY150930P216</stp>
        <tr r="R497" s="1"/>
      </tp>
      <tp t="s">
        <v>N/A</v>
        <stp/>
        <stp>DELTA</stp>
        <stp>.SPY150930C216</stp>
        <tr r="G497" s="1"/>
      </tp>
      <tp t="s">
        <v>N/A</v>
        <stp/>
        <stp>DELTA</stp>
        <stp>.SPY150930P219</stp>
        <tr r="R503" s="1"/>
      </tp>
      <tp t="s">
        <v>N/A</v>
        <stp/>
        <stp>DELTA</stp>
        <stp>.SPY150930C219</stp>
        <tr r="G503" s="1"/>
      </tp>
      <tp t="s">
        <v>N/A</v>
        <stp/>
        <stp>DELTA</stp>
        <stp>.SPY150930P218</stp>
        <tr r="R501" s="1"/>
      </tp>
      <tp t="s">
        <v>N/A</v>
        <stp/>
        <stp>DELTA</stp>
        <stp>.SPY150930C218</stp>
        <tr r="G501" s="1"/>
      </tp>
      <tp>
        <v>-0.31666</v>
        <stp/>
        <stp>DELTA</stp>
        <stp>.SPY150930P201</stp>
        <tr r="R467" s="1"/>
      </tp>
      <tp>
        <v>0.69033999999999995</v>
        <stp/>
        <stp>DELTA</stp>
        <stp>.SPY150930C201</stp>
        <tr r="G467" s="1"/>
      </tp>
      <tp>
        <v>-0.30231999999999998</v>
        <stp/>
        <stp>DELTA</stp>
        <stp>.SPY150930P200</stp>
        <tr r="R465" s="1"/>
      </tp>
      <tp>
        <v>0.70533999999999997</v>
        <stp/>
        <stp>DELTA</stp>
        <stp>.SPY150930C200</stp>
        <tr r="G465" s="1"/>
      </tp>
      <tp>
        <v>-0.34716999999999998</v>
        <stp/>
        <stp>DELTA</stp>
        <stp>.SPY150930P203</stp>
        <tr r="R471" s="1"/>
      </tp>
      <tp>
        <v>0.65851999999999999</v>
        <stp/>
        <stp>DELTA</stp>
        <stp>.SPY150930C203</stp>
        <tr r="G471" s="1"/>
      </tp>
      <tp>
        <v>-0.33165</v>
        <stp/>
        <stp>DELTA</stp>
        <stp>.SPY150930P202</stp>
        <tr r="R469" s="1"/>
      </tp>
      <tp>
        <v>0.67474000000000001</v>
        <stp/>
        <stp>DELTA</stp>
        <stp>.SPY150930C202</stp>
        <tr r="G469" s="1"/>
      </tp>
      <tp>
        <v>-0.38028000000000001</v>
        <stp/>
        <stp>DELTA</stp>
        <stp>.SPY150930P205</stp>
        <tr r="R475" s="1"/>
      </tp>
      <tp>
        <v>0.62388999999999994</v>
        <stp/>
        <stp>DELTA</stp>
        <stp>.SPY150930C205</stp>
        <tr r="G475" s="1"/>
      </tp>
      <tp>
        <v>-0.36341000000000001</v>
        <stp/>
        <stp>DELTA</stp>
        <stp>.SPY150930P204</stp>
        <tr r="R473" s="1"/>
      </tp>
      <tp>
        <v>0.64151999999999998</v>
        <stp/>
        <stp>DELTA</stp>
        <stp>.SPY150930C204</stp>
        <tr r="G473" s="1"/>
      </tp>
      <tp>
        <v>-0.41602</v>
        <stp/>
        <stp>DELTA</stp>
        <stp>.SPY150930P207</stp>
        <tr r="R479" s="1"/>
      </tp>
      <tp>
        <v>0.58623999999999998</v>
        <stp/>
        <stp>DELTA</stp>
        <stp>.SPY150930C207</stp>
        <tr r="G479" s="1"/>
      </tp>
      <tp>
        <v>-0.39778999999999998</v>
        <stp/>
        <stp>DELTA</stp>
        <stp>.SPY150930P206</stp>
        <tr r="R477" s="1"/>
      </tp>
      <tp>
        <v>0.60507</v>
        <stp/>
        <stp>DELTA</stp>
        <stp>.SPY150930C206</stp>
        <tr r="G477" s="1"/>
      </tp>
      <tp>
        <v>-0.45457999999999998</v>
        <stp/>
        <stp>DELTA</stp>
        <stp>.SPY150930P209</stp>
        <tr r="R483" s="1"/>
      </tp>
      <tp>
        <v>0.54608999999999996</v>
        <stp/>
        <stp>DELTA</stp>
        <stp>.SPY150930C209</stp>
        <tr r="G483" s="1"/>
      </tp>
      <tp>
        <v>-0.43496000000000001</v>
        <stp/>
        <stp>DELTA</stp>
        <stp>.SPY150930P208</stp>
        <tr r="R481" s="1"/>
      </tp>
      <tp>
        <v>0.56650999999999996</v>
        <stp/>
        <stp>DELTA</stp>
        <stp>.SPY150930C208</stp>
        <tr r="G481" s="1"/>
      </tp>
      <tp>
        <v>-0.68718999999999997</v>
        <stp/>
        <stp>DELTA</stp>
        <stp>.SPY150918P219</stp>
        <tr r="R461" s="1"/>
      </tp>
      <tp t="s">
        <v>N/A</v>
        <stp/>
        <stp>DELTA</stp>
        <stp>.SPY160916P214</stp>
        <tr r="R745" s="1"/>
      </tp>
      <tp>
        <v>0.29696</v>
        <stp/>
        <stp>DELTA</stp>
        <stp>.SPY150918C219</stp>
        <tr r="G461" s="1"/>
      </tp>
      <tp t="s">
        <v>N/A</v>
        <stp/>
        <stp>DELTA</stp>
        <stp>.SPY160916C214</stp>
        <tr r="G745" s="1"/>
      </tp>
      <tp>
        <v>-0.66276999999999997</v>
        <stp/>
        <stp>DELTA</stp>
        <stp>.SPY150918P218</stp>
        <tr r="R459" s="1"/>
      </tp>
      <tp>
        <v>-0.52832000000000001</v>
        <stp/>
        <stp>DELTA</stp>
        <stp>.SPY160916P215</stp>
        <tr r="R747" s="1"/>
      </tp>
      <tp>
        <v>0.32406000000000001</v>
        <stp/>
        <stp>DELTA</stp>
        <stp>.SPY150918C218</stp>
        <tr r="G459" s="1"/>
      </tp>
      <tp>
        <v>0.46516000000000002</v>
        <stp/>
        <stp>DELTA</stp>
        <stp>.SPY160916C215</stp>
        <tr r="G747" s="1"/>
      </tp>
      <tp t="s">
        <v>N/A</v>
        <stp/>
        <stp>DELTA</stp>
        <stp>.SPY160916P216</stp>
        <tr r="R749" s="1"/>
      </tp>
      <tp t="s">
        <v>N/A</v>
        <stp/>
        <stp>DELTA</stp>
        <stp>.SPY160916C216</stp>
        <tr r="G749" s="1"/>
      </tp>
      <tp t="s">
        <v>N/A</v>
        <stp/>
        <stp>DELTA</stp>
        <stp>.SPY160916P217</stp>
        <tr r="R751" s="1"/>
      </tp>
      <tp t="s">
        <v>N/A</v>
        <stp/>
        <stp>DELTA</stp>
        <stp>.SPY160916C217</stp>
        <tr r="G751" s="1"/>
      </tp>
      <tp>
        <v>-0.47699999999999998</v>
        <stp/>
        <stp>DELTA</stp>
        <stp>.SPY160916P210</stp>
        <tr r="R737" s="1"/>
      </tp>
      <tp>
        <v>0.51737999999999995</v>
        <stp/>
        <stp>DELTA</stp>
        <stp>.SPY160916C210</stp>
        <tr r="G737" s="1"/>
      </tp>
      <tp t="s">
        <v>N/A</v>
        <stp/>
        <stp>DELTA</stp>
        <stp>.SPY160916P211</stp>
        <tr r="R739" s="1"/>
      </tp>
      <tp t="s">
        <v>N/A</v>
        <stp/>
        <stp>DELTA</stp>
        <stp>.SPY160916C211</stp>
        <tr r="G739" s="1"/>
      </tp>
      <tp t="s">
        <v>N/A</v>
        <stp/>
        <stp>DELTA</stp>
        <stp>.SPY160916P212</stp>
        <tr r="R741" s="1"/>
      </tp>
      <tp t="s">
        <v>N/A</v>
        <stp/>
        <stp>DELTA</stp>
        <stp>.SPY160916C212</stp>
        <tr r="G741" s="1"/>
      </tp>
      <tp t="s">
        <v>N/A</v>
        <stp/>
        <stp>DELTA</stp>
        <stp>.SPY160916P213</stp>
        <tr r="R743" s="1"/>
      </tp>
      <tp t="s">
        <v>N/A</v>
        <stp/>
        <stp>DELTA</stp>
        <stp>.SPY160916C213</stp>
        <tr r="G743" s="1"/>
      </tp>
      <tp>
        <v>-0.49551000000000001</v>
        <stp/>
        <stp>DELTA</stp>
        <stp>.SPY150918P211</stp>
        <tr r="R445" s="1"/>
      </tp>
      <tp>
        <v>0.50334000000000001</v>
        <stp/>
        <stp>DELTA</stp>
        <stp>.SPY150918C211</stp>
        <tr r="G445" s="1"/>
      </tp>
      <tp>
        <v>-0.47365000000000002</v>
        <stp/>
        <stp>DELTA</stp>
        <stp>.SPY150918P210</stp>
        <tr r="R443" s="1"/>
      </tp>
      <tp>
        <v>0.52634000000000003</v>
        <stp/>
        <stp>DELTA</stp>
        <stp>.SPY150918C210</stp>
        <tr r="G443" s="1"/>
      </tp>
      <tp>
        <v>-0.54144999999999999</v>
        <stp/>
        <stp>DELTA</stp>
        <stp>.SPY150918P213</stp>
        <tr r="R449" s="1"/>
      </tp>
      <tp>
        <v>0.45511000000000001</v>
        <stp/>
        <stp>DELTA</stp>
        <stp>.SPY150918C213</stp>
        <tr r="G449" s="1"/>
      </tp>
      <tp>
        <v>-0.51814000000000004</v>
        <stp/>
        <stp>DELTA</stp>
        <stp>.SPY150918P212</stp>
        <tr r="R447" s="1"/>
      </tp>
      <tp>
        <v>0.47960000000000003</v>
        <stp/>
        <stp>DELTA</stp>
        <stp>.SPY150918C212</stp>
        <tr r="G447" s="1"/>
      </tp>
      <tp>
        <v>-0.58831</v>
        <stp/>
        <stp>DELTA</stp>
        <stp>.SPY150918P215</stp>
        <tr r="R453" s="1"/>
      </tp>
      <tp t="s">
        <v>N/A</v>
        <stp/>
        <stp>DELTA</stp>
        <stp>.SPY160916P218</stp>
        <tr r="R753" s="1"/>
      </tp>
      <tp>
        <v>0.40400999999999998</v>
        <stp/>
        <stp>DELTA</stp>
        <stp>.SPY150918C215</stp>
        <tr r="G453" s="1"/>
      </tp>
      <tp t="s">
        <v>N/A</v>
        <stp/>
        <stp>DELTA</stp>
        <stp>.SPY160916C218</stp>
        <tr r="G753" s="1"/>
      </tp>
      <tp>
        <v>-0.56523000000000001</v>
        <stp/>
        <stp>DELTA</stp>
        <stp>.SPY150918P214</stp>
        <tr r="R451" s="1"/>
      </tp>
      <tp t="s">
        <v>N/A</v>
        <stp/>
        <stp>DELTA</stp>
        <stp>.SPY160916P219</stp>
        <tr r="R755" s="1"/>
      </tp>
      <tp>
        <v>0.42997000000000002</v>
        <stp/>
        <stp>DELTA</stp>
        <stp>.SPY150918C214</stp>
        <tr r="G451" s="1"/>
      </tp>
      <tp t="s">
        <v>N/A</v>
        <stp/>
        <stp>DELTA</stp>
        <stp>.SPY160916C219</stp>
        <tr r="G755" s="1"/>
      </tp>
      <tp>
        <v>-0.63841999999999999</v>
        <stp/>
        <stp>DELTA</stp>
        <stp>.SPY150918P217</stp>
        <tr r="R457" s="1"/>
      </tp>
      <tp>
        <v>0.35106999999999999</v>
        <stp/>
        <stp>DELTA</stp>
        <stp>.SPY150918C217</stp>
        <tr r="G457" s="1"/>
      </tp>
      <tp>
        <v>-0.61365000000000003</v>
        <stp/>
        <stp>DELTA</stp>
        <stp>.SPY150918P216</stp>
        <tr r="R455" s="1"/>
      </tp>
      <tp>
        <v>0.37801000000000001</v>
        <stp/>
        <stp>DELTA</stp>
        <stp>.SPY150918C216</stp>
        <tr r="G455" s="1"/>
      </tp>
      <tp>
        <v>-0.45240999999999998</v>
        <stp/>
        <stp>DELTA</stp>
        <stp>.SPY150918P209</stp>
        <tr r="R441" s="1"/>
      </tp>
      <tp t="s">
        <v>N/A</v>
        <stp/>
        <stp>DELTA</stp>
        <stp>.SPY160916P204</stp>
        <tr r="R725" s="1"/>
      </tp>
      <tp>
        <v>0.54845999999999995</v>
        <stp/>
        <stp>DELTA</stp>
        <stp>.SPY150918C209</stp>
        <tr r="G441" s="1"/>
      </tp>
      <tp t="s">
        <v>N/A</v>
        <stp/>
        <stp>DELTA</stp>
        <stp>.SPY160916C204</stp>
        <tr r="G725" s="1"/>
      </tp>
      <tp>
        <v>-0.43193999999999999</v>
        <stp/>
        <stp>DELTA</stp>
        <stp>.SPY150918P208</stp>
        <tr r="R439" s="1"/>
      </tp>
      <tp>
        <v>-0.42877999999999999</v>
        <stp/>
        <stp>DELTA</stp>
        <stp>.SPY160916P205</stp>
        <tr r="R727" s="1"/>
      </tp>
      <tp>
        <v>0.56967999999999996</v>
        <stp/>
        <stp>DELTA</stp>
        <stp>.SPY150918C208</stp>
        <tr r="G439" s="1"/>
      </tp>
      <tp>
        <v>0.56654000000000004</v>
        <stp/>
        <stp>DELTA</stp>
        <stp>.SPY160916C205</stp>
        <tr r="G727" s="1"/>
      </tp>
      <tp t="s">
        <v>N/A</v>
        <stp/>
        <stp>DELTA</stp>
        <stp>.SPY160916P206</stp>
        <tr r="R729" s="1"/>
      </tp>
      <tp t="s">
        <v>N/A</v>
        <stp/>
        <stp>DELTA</stp>
        <stp>.SPY160916C206</stp>
        <tr r="G729" s="1"/>
      </tp>
      <tp t="s">
        <v>N/A</v>
        <stp/>
        <stp>DELTA</stp>
        <stp>.SPY160916P207</stp>
        <tr r="R731" s="1"/>
      </tp>
      <tp t="s">
        <v>N/A</v>
        <stp/>
        <stp>DELTA</stp>
        <stp>.SPY160916C207</stp>
        <tr r="G731" s="1"/>
      </tp>
      <tp>
        <v>-0.38400000000000001</v>
        <stp/>
        <stp>DELTA</stp>
        <stp>.SPY160916P200</stp>
        <tr r="R717" s="1"/>
      </tp>
      <tp>
        <v>0.61275999999999997</v>
        <stp/>
        <stp>DELTA</stp>
        <stp>.SPY160916C200</stp>
        <tr r="G717" s="1"/>
      </tp>
      <tp t="s">
        <v>N/A</v>
        <stp/>
        <stp>DELTA</stp>
        <stp>.SPY160916P201</stp>
        <tr r="R719" s="1"/>
      </tp>
      <tp t="s">
        <v>N/A</v>
        <stp/>
        <stp>DELTA</stp>
        <stp>.SPY160916C201</stp>
        <tr r="G719" s="1"/>
      </tp>
      <tp t="s">
        <v>N/A</v>
        <stp/>
        <stp>DELTA</stp>
        <stp>.SPY160916P202</stp>
        <tr r="R721" s="1"/>
      </tp>
      <tp t="s">
        <v>N/A</v>
        <stp/>
        <stp>DELTA</stp>
        <stp>.SPY160916C202</stp>
        <tr r="G721" s="1"/>
      </tp>
      <tp t="s">
        <v>N/A</v>
        <stp/>
        <stp>DELTA</stp>
        <stp>.SPY160916P203</stp>
        <tr r="R723" s="1"/>
      </tp>
      <tp t="s">
        <v>N/A</v>
        <stp/>
        <stp>DELTA</stp>
        <stp>.SPY160916C203</stp>
        <tr r="G723" s="1"/>
      </tp>
      <tp>
        <v>-0.30941000000000002</v>
        <stp/>
        <stp>DELTA</stp>
        <stp>.SPY150918P201</stp>
        <tr r="R425" s="1"/>
      </tp>
      <tp>
        <v>0.69718000000000002</v>
        <stp/>
        <stp>DELTA</stp>
        <stp>.SPY150918C201</stp>
        <tr r="G425" s="1"/>
      </tp>
      <tp>
        <v>-0.29457</v>
        <stp/>
        <stp>DELTA</stp>
        <stp>.SPY150918P200</stp>
        <tr r="R423" s="1"/>
      </tp>
      <tp>
        <v>0.71089999999999998</v>
        <stp/>
        <stp>DELTA</stp>
        <stp>.SPY150918C200</stp>
        <tr r="G423" s="1"/>
      </tp>
      <tp>
        <v>-0.34078000000000003</v>
        <stp/>
        <stp>DELTA</stp>
        <stp>.SPY150918P203</stp>
        <tr r="R429" s="1"/>
      </tp>
      <tp>
        <v>0.66352</v>
        <stp/>
        <stp>DELTA</stp>
        <stp>.SPY150918C203</stp>
        <tr r="G429" s="1"/>
      </tp>
      <tp>
        <v>-0.32478000000000001</v>
        <stp/>
        <stp>DELTA</stp>
        <stp>.SPY150918P202</stp>
        <tr r="R427" s="1"/>
      </tp>
      <tp>
        <v>0.68101</v>
        <stp/>
        <stp>DELTA</stp>
        <stp>.SPY150918C202</stp>
        <tr r="G427" s="1"/>
      </tp>
      <tp>
        <v>-0.37504999999999999</v>
        <stp/>
        <stp>DELTA</stp>
        <stp>.SPY150918P205</stp>
        <tr r="R433" s="1"/>
      </tp>
      <tp t="s">
        <v>N/A</v>
        <stp/>
        <stp>DELTA</stp>
        <stp>.SPY160916P208</stp>
        <tr r="R733" s="1"/>
      </tp>
      <tp>
        <v>0.62914999999999999</v>
        <stp/>
        <stp>DELTA</stp>
        <stp>.SPY150918C205</stp>
        <tr r="G433" s="1"/>
      </tp>
      <tp t="s">
        <v>N/A</v>
        <stp/>
        <stp>DELTA</stp>
        <stp>.SPY160916C208</stp>
        <tr r="G733" s="1"/>
      </tp>
      <tp>
        <v>-0.35752</v>
        <stp/>
        <stp>DELTA</stp>
        <stp>.SPY150918P204</stp>
        <tr r="R431" s="1"/>
      </tp>
      <tp t="s">
        <v>N/A</v>
        <stp/>
        <stp>DELTA</stp>
        <stp>.SPY160916P209</stp>
        <tr r="R735" s="1"/>
      </tp>
      <tp>
        <v>0.64725999999999995</v>
        <stp/>
        <stp>DELTA</stp>
        <stp>.SPY150918C204</stp>
        <tr r="G431" s="1"/>
      </tp>
      <tp t="s">
        <v>N/A</v>
        <stp/>
        <stp>DELTA</stp>
        <stp>.SPY160916C209</stp>
        <tr r="G735" s="1"/>
      </tp>
      <tp>
        <v>-0.41222999999999999</v>
        <stp/>
        <stp>DELTA</stp>
        <stp>.SPY150918P207</stp>
        <tr r="R437" s="1"/>
      </tp>
      <tp>
        <v>0.59018000000000004</v>
        <stp/>
        <stp>DELTA</stp>
        <stp>.SPY150918C207</stp>
        <tr r="G437" s="1"/>
      </tp>
      <tp>
        <v>-0.39324999999999999</v>
        <stp/>
        <stp>DELTA</stp>
        <stp>.SPY150918P206</stp>
        <tr r="R435" s="1"/>
      </tp>
      <tp>
        <v>0.61014999999999997</v>
        <stp/>
        <stp>DELTA</stp>
        <stp>.SPY150918C206</stp>
        <tr r="G435" s="1"/>
      </tp>
      <tp t="s">
        <v>N/A</v>
        <stp/>
        <stp>VEGA</stp>
        <stp>.SPY170317C202.5</stp>
        <tr r="J848" s="1"/>
      </tp>
      <tp t="s">
        <v>N/A</v>
        <stp/>
        <stp>VEGA</stp>
        <stp>.SPY170317C212.5</stp>
        <tr r="J868" s="1"/>
      </tp>
      <tp t="s">
        <v>N/A</v>
        <stp/>
        <stp>VEGA</stp>
        <stp>.SPY160115C201.5</stp>
        <tr r="J594" s="1"/>
      </tp>
      <tp t="s">
        <v>N/A</v>
        <stp/>
        <stp>VEGA</stp>
        <stp>.SPY160115C211.5</stp>
        <tr r="J614" s="1"/>
      </tp>
      <tp t="s">
        <v>N/A</v>
        <stp/>
        <stp>VEGA</stp>
        <stp>.SPY170120C215.5</stp>
        <tr r="J832" s="1"/>
      </tp>
      <tp t="s">
        <v>N/A</v>
        <stp/>
        <stp>VEGA</stp>
        <stp>.SPY170120C205.5</stp>
        <tr r="J812" s="1"/>
      </tp>
      <tp t="s">
        <v>N/A</v>
        <stp/>
        <stp>VEGA</stp>
        <stp>.SPY150717C200.5</stp>
        <tr r="J382" s="1"/>
      </tp>
      <tp t="s">
        <v>N/A</v>
        <stp/>
        <stp>VEGA</stp>
        <stp>.SPY150717C210.5</stp>
        <tr r="J402" s="1"/>
      </tp>
      <tp t="s">
        <v>N/A</v>
        <stp/>
        <stp>VEGA</stp>
        <stp>.SPY160617C203.5</stp>
        <tr r="J682" s="1"/>
      </tp>
      <tp t="s">
        <v>N/A</v>
        <stp/>
        <stp>VEGA</stp>
        <stp>.SPY160617C213.5</stp>
        <tr r="J702" s="1"/>
      </tp>
      <tp t="s">
        <v>N/A</v>
        <stp/>
        <stp>VEGA</stp>
        <stp>.SPY150630C207.5</stp>
        <tr r="J354" s="1"/>
      </tp>
      <tp t="s">
        <v>N/A</v>
        <stp/>
        <stp>VEGA</stp>
        <stp>.SPY150630C217.5</stp>
        <tr r="J374" s="1"/>
      </tp>
      <tp t="s">
        <v>N/A</v>
        <stp/>
        <stp>VEGA</stp>
        <stp>.SPY150501C216.5</stp>
        <tr r="J120" s="1"/>
      </tp>
      <tp>
        <v>5.3879999999999997E-2</v>
        <stp/>
        <stp>VEGA</stp>
        <stp>.SPY150515C202.5</stp>
        <tr r="J176" s="1"/>
      </tp>
      <tp t="s">
        <v>N/A</v>
        <stp/>
        <stp>VEGA</stp>
        <stp>.SPY150501C206.5</stp>
        <tr r="J100" s="1"/>
      </tp>
      <tp>
        <v>0.14687</v>
        <stp/>
        <stp>VEGA</stp>
        <stp>.SPY150515C212.5</stp>
        <tr r="J196" s="1"/>
      </tp>
      <tp>
        <v>0.11898</v>
        <stp/>
        <stp>VEGA</stp>
        <stp>.SPY150522C215.5</stp>
        <tr r="J244" s="1"/>
      </tp>
      <tp>
        <v>0.13067999999999999</v>
        <stp/>
        <stp>VEGA</stp>
        <stp>.SPY150522C205.5</stp>
        <tr r="J224" s="1"/>
      </tp>
      <tp t="s">
        <v>N/A</v>
        <stp/>
        <stp>VEGA</stp>
        <stp>.SPY150417C200.5</stp>
        <tr r="J4" s="1"/>
      </tp>
      <tp t="s">
        <v>N/A</v>
        <stp/>
        <stp>VEGA</stp>
        <stp>.SPY150417C210.5</stp>
        <tr r="J24" s="1"/>
      </tp>
      <tp t="s">
        <v>N/A</v>
        <stp/>
        <stp>VEGA</stp>
        <stp>.SPY150424C213.5</stp>
        <tr r="J72" s="1"/>
      </tp>
      <tp t="s">
        <v>N/A</v>
        <stp/>
        <stp>VEGA</stp>
        <stp>.SPY150424C203.5</stp>
        <tr r="J52" s="1"/>
      </tp>
      <tp t="s">
        <v>N/A</v>
        <stp/>
        <stp>VEGA</stp>
        <stp>.SPY160916C202.5</stp>
        <tr r="J722" s="1"/>
      </tp>
      <tp t="s">
        <v>N/A</v>
        <stp/>
        <stp>VEGA</stp>
        <stp>.SPY160916C212.5</stp>
        <tr r="J742" s="1"/>
      </tp>
      <tp t="s">
        <v>N/A</v>
        <stp/>
        <stp>VEGA</stp>
        <stp>.SPY150930C207.5</stp>
        <tr r="J480" s="1"/>
      </tp>
      <tp t="s">
        <v>N/A</v>
        <stp/>
        <stp>VEGA</stp>
        <stp>.SPY150930C217.5</stp>
        <tr r="J500" s="1"/>
      </tp>
      <tp t="s">
        <v>N/A</v>
        <stp/>
        <stp>VEGA</stp>
        <stp>.SPY161216C202.5</stp>
        <tr r="J764" s="1"/>
      </tp>
      <tp t="s">
        <v>N/A</v>
        <stp/>
        <stp>VEGA</stp>
        <stp>.SPY171215C200.5</stp>
        <tr r="J886" s="1"/>
      </tp>
      <tp t="s">
        <v>N/A</v>
        <stp/>
        <stp>VEGA</stp>
        <stp>.SPY161216C212.5</stp>
        <tr r="J784" s="1"/>
      </tp>
      <tp t="s">
        <v>N/A</v>
        <stp/>
        <stp>VEGA</stp>
        <stp>.SPY171215C210.5</stp>
        <tr r="J906" s="1"/>
      </tp>
      <tp t="s">
        <v>N/A</v>
        <stp/>
        <stp>VEGA</stp>
        <stp>.SPY151231C206.5</stp>
        <tr r="J562" s="1"/>
      </tp>
      <tp t="s">
        <v>N/A</v>
        <stp/>
        <stp>VEGA</stp>
        <stp>.SPY151231C216.5</stp>
        <tr r="J582" s="1"/>
      </tp>
      <tp t="s">
        <v>N/A</v>
        <stp/>
        <stp>VEGA</stp>
        <stp>.SPY161216P202.5</stp>
        <tr r="U764" s="1"/>
      </tp>
      <tp t="s">
        <v>N/A</v>
        <stp/>
        <stp>VEGA</stp>
        <stp>.SPY171215P200.5</stp>
        <tr r="U886" s="1"/>
      </tp>
      <tp t="s">
        <v>N/A</v>
        <stp/>
        <stp>VEGA</stp>
        <stp>.SPY161216P212.5</stp>
        <tr r="U784" s="1"/>
      </tp>
      <tp t="s">
        <v>N/A</v>
        <stp/>
        <stp>VEGA</stp>
        <stp>.SPY171215P210.5</stp>
        <tr r="U906" s="1"/>
      </tp>
      <tp t="s">
        <v>N/A</v>
        <stp/>
        <stp>VEGA</stp>
        <stp>.SPY151231P206.5</stp>
        <tr r="U562" s="1"/>
      </tp>
      <tp t="s">
        <v>N/A</v>
        <stp/>
        <stp>VEGA</stp>
        <stp>.SPY151231P216.5</stp>
        <tr r="U582" s="1"/>
      </tp>
      <tp t="s">
        <v>N/A</v>
        <stp/>
        <stp>VEGA</stp>
        <stp>.SPY170317P202.5</stp>
        <tr r="U848" s="1"/>
      </tp>
      <tp t="s">
        <v>N/A</v>
        <stp/>
        <stp>VEGA</stp>
        <stp>.SPY170317P212.5</stp>
        <tr r="U868" s="1"/>
      </tp>
      <tp t="s">
        <v>N/A</v>
        <stp/>
        <stp>VEGA</stp>
        <stp>.SPY160115P201.5</stp>
        <tr r="U594" s="1"/>
      </tp>
      <tp t="s">
        <v>N/A</v>
        <stp/>
        <stp>VEGA</stp>
        <stp>.SPY160115P211.5</stp>
        <tr r="U614" s="1"/>
      </tp>
      <tp t="s">
        <v>N/A</v>
        <stp/>
        <stp>VEGA</stp>
        <stp>.SPY170120P215.5</stp>
        <tr r="U832" s="1"/>
      </tp>
      <tp t="s">
        <v>N/A</v>
        <stp/>
        <stp>VEGA</stp>
        <stp>.SPY170120P205.5</stp>
        <tr r="U812" s="1"/>
      </tp>
      <tp t="s">
        <v>N/A</v>
        <stp/>
        <stp>VEGA</stp>
        <stp>.SPY150717P200.5</stp>
        <tr r="U382" s="1"/>
      </tp>
      <tp t="s">
        <v>N/A</v>
        <stp/>
        <stp>VEGA</stp>
        <stp>.SPY150717P210.5</stp>
        <tr r="U402" s="1"/>
      </tp>
      <tp t="s">
        <v>N/A</v>
        <stp/>
        <stp>VEGA</stp>
        <stp>.SPY160617P203.5</stp>
        <tr r="U682" s="1"/>
      </tp>
      <tp t="s">
        <v>N/A</v>
        <stp/>
        <stp>VEGA</stp>
        <stp>.SPY160617P213.5</stp>
        <tr r="U702" s="1"/>
      </tp>
      <tp t="s">
        <v>N/A</v>
        <stp/>
        <stp>VEGA</stp>
        <stp>.SPY150630P207.5</stp>
        <tr r="U354" s="1"/>
      </tp>
      <tp t="s">
        <v>N/A</v>
        <stp/>
        <stp>VEGA</stp>
        <stp>.SPY150630P217.5</stp>
        <tr r="U374" s="1"/>
      </tp>
      <tp t="s">
        <v>N/A</v>
        <stp/>
        <stp>VEGA</stp>
        <stp>.SPY150501P216.5</stp>
        <tr r="U120" s="1"/>
      </tp>
      <tp>
        <v>4.9259999999999998E-2</v>
        <stp/>
        <stp>VEGA</stp>
        <stp>.SPY150515P202.5</stp>
        <tr r="U176" s="1"/>
      </tp>
      <tp t="s">
        <v>N/A</v>
        <stp/>
        <stp>VEGA</stp>
        <stp>.SPY150501P206.5</stp>
        <tr r="U100" s="1"/>
      </tp>
      <tp>
        <v>0.1459</v>
        <stp/>
        <stp>VEGA</stp>
        <stp>.SPY150515P212.5</stp>
        <tr r="U196" s="1"/>
      </tp>
      <tp>
        <v>9.6930000000000002E-2</v>
        <stp/>
        <stp>VEGA</stp>
        <stp>.SPY150522P215.5</stp>
        <tr r="U244" s="1"/>
      </tp>
      <tp>
        <v>0.12522</v>
        <stp/>
        <stp>VEGA</stp>
        <stp>.SPY150522P205.5</stp>
        <tr r="U224" s="1"/>
      </tp>
      <tp t="s">
        <v>N/A</v>
        <stp/>
        <stp>VEGA</stp>
        <stp>.SPY150417P200.5</stp>
        <tr r="U4" s="1"/>
      </tp>
      <tp t="s">
        <v>N/A</v>
        <stp/>
        <stp>VEGA</stp>
        <stp>.SPY150417P210.5</stp>
        <tr r="U24" s="1"/>
      </tp>
      <tp t="s">
        <v>N/A</v>
        <stp/>
        <stp>VEGA</stp>
        <stp>.SPY150424P213.5</stp>
        <tr r="U72" s="1"/>
      </tp>
      <tp t="s">
        <v>N/A</v>
        <stp/>
        <stp>VEGA</stp>
        <stp>.SPY150424P203.5</stp>
        <tr r="U52" s="1"/>
      </tp>
      <tp t="s">
        <v>N/A</v>
        <stp/>
        <stp>VEGA</stp>
        <stp>.SPY160916P202.5</stp>
        <tr r="U722" s="1"/>
      </tp>
      <tp t="s">
        <v>N/A</v>
        <stp/>
        <stp>VEGA</stp>
        <stp>.SPY160916P212.5</stp>
        <tr r="U742" s="1"/>
      </tp>
      <tp t="s">
        <v>N/A</v>
        <stp/>
        <stp>VEGA</stp>
        <stp>.SPY150930P207.5</stp>
        <tr r="U480" s="1"/>
      </tp>
      <tp t="s">
        <v>N/A</v>
        <stp/>
        <stp>VEGA</stp>
        <stp>.SPY150930P217.5</stp>
        <tr r="U500" s="1"/>
      </tp>
      <tp>
        <v>-4.4150000000000002E-2</v>
        <stp/>
        <stp>THETA</stp>
        <stp>.SPY150522C213</stp>
        <tr r="H239" s="1"/>
      </tp>
      <tp>
        <v>-1.264E-2</v>
        <stp/>
        <stp>THETA</stp>
        <stp>.SPY150529C218</stp>
        <tr r="H291" s="1"/>
      </tp>
      <tp>
        <v>-4.8320000000000002E-2</v>
        <stp/>
        <stp>THETA</stp>
        <stp>.SPY150522P213</stp>
        <tr r="S239" s="1"/>
      </tp>
      <tp>
        <v>-8.6999999999999994E-3</v>
        <stp/>
        <stp>THETA</stp>
        <stp>.SPY150529P218</stp>
        <tr r="S291" s="1"/>
      </tp>
      <tp>
        <v>-4.9119999999999997E-2</v>
        <stp/>
        <stp>THETA</stp>
        <stp>.SPY150522C212</stp>
        <tr r="H237" s="1"/>
      </tp>
      <tp>
        <v>-9.1400000000000006E-3</v>
        <stp/>
        <stp>THETA</stp>
        <stp>.SPY150529C219</stp>
        <tr r="H293" s="1"/>
      </tp>
      <tp>
        <v>-5.3019999999999998E-2</v>
        <stp/>
        <stp>THETA</stp>
        <stp>.SPY150522P212</stp>
        <tr r="S237" s="1"/>
      </tp>
      <tp>
        <v>-8.6899999999999998E-3</v>
        <stp/>
        <stp>THETA</stp>
        <stp>.SPY150529P219</stp>
        <tr r="S293" s="1"/>
      </tp>
      <tp>
        <v>-5.194E-2</v>
        <stp/>
        <stp>THETA</stp>
        <stp>.SPY150522C211</stp>
        <tr r="H235" s="1"/>
      </tp>
      <tp>
        <v>-5.5690000000000003E-2</v>
        <stp/>
        <stp>THETA</stp>
        <stp>.SPY150522P211</stp>
        <tr r="S235" s="1"/>
      </tp>
      <tp>
        <v>-5.2819999999999999E-2</v>
        <stp/>
        <stp>THETA</stp>
        <stp>.SPY150522C210</stp>
        <tr r="H233" s="1"/>
      </tp>
      <tp>
        <v>-5.6430000000000001E-2</v>
        <stp/>
        <stp>THETA</stp>
        <stp>.SPY150522P210</stp>
        <tr r="S233" s="1"/>
      </tp>
      <tp>
        <v>-1.5180000000000001E-2</v>
        <stp/>
        <stp>THETA</stp>
        <stp>.SPY150522C217</stp>
        <tr r="H247" s="1"/>
      </tp>
      <tp>
        <v>0</v>
        <stp/>
        <stp>THETA</stp>
        <stp>.SPY150522P217</stp>
        <tr r="S247" s="1"/>
      </tp>
      <tp>
        <v>-2.1739999999999999E-2</v>
        <stp/>
        <stp>THETA</stp>
        <stp>.SPY150522C216</stp>
        <tr r="H245" s="1"/>
      </tp>
      <tp>
        <v>-1.917E-2</v>
        <stp/>
        <stp>THETA</stp>
        <stp>.SPY150522P216</stp>
        <tr r="S245" s="1"/>
      </tp>
      <tp>
        <v>-2.98E-2</v>
        <stp/>
        <stp>THETA</stp>
        <stp>.SPY150522C215</stp>
        <tr r="H243" s="1"/>
      </tp>
      <tp>
        <v>-3.0890000000000001E-2</v>
        <stp/>
        <stp>THETA</stp>
        <stp>.SPY150522P215</stp>
        <tr r="S243" s="1"/>
      </tp>
      <tp>
        <v>-3.7780000000000001E-2</v>
        <stp/>
        <stp>THETA</stp>
        <stp>.SPY150522C214</stp>
        <tr r="H241" s="1"/>
      </tp>
      <tp>
        <v>-4.07E-2</v>
        <stp/>
        <stp>THETA</stp>
        <stp>.SPY150522P214</stp>
        <tr r="S241" s="1"/>
      </tp>
      <tp>
        <v>-4.5260000000000002E-2</v>
        <stp/>
        <stp>THETA</stp>
        <stp>.SPY150529C210</stp>
        <tr r="H275" s="1"/>
      </tp>
      <tp>
        <v>-4.9730000000000003E-2</v>
        <stp/>
        <stp>THETA</stp>
        <stp>.SPY150529P210</stp>
        <tr r="S275" s="1"/>
      </tp>
      <tp>
        <v>-4.4249999999999998E-2</v>
        <stp/>
        <stp>THETA</stp>
        <stp>.SPY150529C211</stp>
        <tr r="H277" s="1"/>
      </tp>
      <tp>
        <v>-4.8410000000000002E-2</v>
        <stp/>
        <stp>THETA</stp>
        <stp>.SPY150529P211</stp>
        <tr r="S277" s="1"/>
      </tp>
      <tp>
        <v>-7.0299999999999998E-3</v>
        <stp/>
        <stp>THETA</stp>
        <stp>.SPY150522C219</stp>
        <tr r="H251" s="1"/>
      </tp>
      <tp>
        <v>-4.2209999999999998E-2</v>
        <stp/>
        <stp>THETA</stp>
        <stp>.SPY150529C212</stp>
        <tr r="H279" s="1"/>
      </tp>
      <tp>
        <v>-8.6899999999999998E-3</v>
        <stp/>
        <stp>THETA</stp>
        <stp>.SPY150522P219</stp>
        <tr r="S251" s="1"/>
      </tp>
      <tp>
        <v>-4.6390000000000001E-2</v>
        <stp/>
        <stp>THETA</stp>
        <stp>.SPY150529P212</stp>
        <tr r="S279" s="1"/>
      </tp>
      <tp>
        <v>-1.034E-2</v>
        <stp/>
        <stp>THETA</stp>
        <stp>.SPY150522C218</stp>
        <tr r="H249" s="1"/>
      </tp>
      <tp>
        <v>-3.8879999999999998E-2</v>
        <stp/>
        <stp>THETA</stp>
        <stp>.SPY150529C213</stp>
        <tr r="H281" s="1"/>
      </tp>
      <tp>
        <v>-0.17396</v>
        <stp/>
        <stp>THETA</stp>
        <stp>.SPY150522P218</stp>
        <tr r="S249" s="1"/>
      </tp>
      <tp>
        <v>-4.2450000000000002E-2</v>
        <stp/>
        <stp>THETA</stp>
        <stp>.SPY150529P213</stp>
        <tr r="S281" s="1"/>
      </tp>
      <tp>
        <v>-3.4270000000000002E-2</v>
        <stp/>
        <stp>THETA</stp>
        <stp>.SPY150529C214</stp>
        <tr r="H283" s="1"/>
      </tp>
      <tp>
        <v>-3.7339999999999998E-2</v>
        <stp/>
        <stp>THETA</stp>
        <stp>.SPY150529P214</stp>
        <tr r="S283" s="1"/>
      </tp>
      <tp>
        <v>-2.9080000000000002E-2</v>
        <stp/>
        <stp>THETA</stp>
        <stp>.SPY150529C215</stp>
        <tr r="H285" s="1"/>
      </tp>
      <tp>
        <v>-3.057E-2</v>
        <stp/>
        <stp>THETA</stp>
        <stp>.SPY150529P215</stp>
        <tr r="S285" s="1"/>
      </tp>
      <tp>
        <v>-2.281E-2</v>
        <stp/>
        <stp>THETA</stp>
        <stp>.SPY150529C216</stp>
        <tr r="H287" s="1"/>
      </tp>
      <tp>
        <v>-2.257E-2</v>
        <stp/>
        <stp>THETA</stp>
        <stp>.SPY150529P216</stp>
        <tr r="S287" s="1"/>
      </tp>
      <tp>
        <v>-1.72E-2</v>
        <stp/>
        <stp>THETA</stp>
        <stp>.SPY150529C217</stp>
        <tr r="H289" s="1"/>
      </tp>
      <tp>
        <v>-1.2370000000000001E-2</v>
        <stp/>
        <stp>THETA</stp>
        <stp>.SPY150529P217</stp>
        <tr r="S289" s="1"/>
      </tp>
      <tp>
        <v>-3.6470000000000002E-2</v>
        <stp/>
        <stp>THETA</stp>
        <stp>.SPY150522C203</stp>
        <tr r="H219" s="1"/>
      </tp>
      <tp>
        <v>-4.487E-2</v>
        <stp/>
        <stp>THETA</stp>
        <stp>.SPY150529C208</stp>
        <tr r="H271" s="1"/>
      </tp>
      <tp>
        <v>-3.5720000000000002E-2</v>
        <stp/>
        <stp>THETA</stp>
        <stp>.SPY150522P203</stp>
        <tr r="S219" s="1"/>
      </tp>
      <tp>
        <v>-4.7969999999999999E-2</v>
        <stp/>
        <stp>THETA</stp>
        <stp>.SPY150529P208</stp>
        <tr r="S271" s="1"/>
      </tp>
      <tp>
        <v>-3.3790000000000001E-2</v>
        <stp/>
        <stp>THETA</stp>
        <stp>.SPY150522C202</stp>
        <tr r="H217" s="1"/>
      </tp>
      <tp>
        <v>-4.5199999999999997E-2</v>
        <stp/>
        <stp>THETA</stp>
        <stp>.SPY150529C209</stp>
        <tr r="H273" s="1"/>
      </tp>
      <tp>
        <v>-3.2230000000000002E-2</v>
        <stp/>
        <stp>THETA</stp>
        <stp>.SPY150522P202</stp>
        <tr r="S217" s="1"/>
      </tp>
      <tp>
        <v>-4.9160000000000002E-2</v>
        <stp/>
        <stp>THETA</stp>
        <stp>.SPY150529P209</stp>
        <tr r="S273" s="1"/>
      </tp>
      <tp>
        <v>-3.0880000000000001E-2</v>
        <stp/>
        <stp>THETA</stp>
        <stp>.SPY150522C201</stp>
        <tr r="H215" s="1"/>
      </tp>
      <tp>
        <v>-2.8500000000000001E-2</v>
        <stp/>
        <stp>THETA</stp>
        <stp>.SPY150522P201</stp>
        <tr r="S215" s="1"/>
      </tp>
      <tp>
        <v>-2.9420000000000002E-2</v>
        <stp/>
        <stp>THETA</stp>
        <stp>.SPY150522C200</stp>
        <tr r="H213" s="1"/>
      </tp>
      <tp>
        <v>-2.5770000000000001E-2</v>
        <stp/>
        <stp>THETA</stp>
        <stp>.SPY150522P200</stp>
        <tr r="S213" s="1"/>
      </tp>
      <tp>
        <v>-4.827E-2</v>
        <stp/>
        <stp>THETA</stp>
        <stp>.SPY150522C207</stp>
        <tr r="H227" s="1"/>
      </tp>
      <tp>
        <v>-5.0529999999999999E-2</v>
        <stp/>
        <stp>THETA</stp>
        <stp>.SPY150522P207</stp>
        <tr r="S227" s="1"/>
      </tp>
      <tp>
        <v>-4.5519999999999998E-2</v>
        <stp/>
        <stp>THETA</stp>
        <stp>.SPY150522C206</stp>
        <tr r="H225" s="1"/>
      </tp>
      <tp>
        <v>-4.7129999999999998E-2</v>
        <stp/>
        <stp>THETA</stp>
        <stp>.SPY150522P206</stp>
        <tr r="S225" s="1"/>
      </tp>
      <tp>
        <v>-4.1930000000000002E-2</v>
        <stp/>
        <stp>THETA</stp>
        <stp>.SPY150522C205</stp>
        <tr r="H223" s="1"/>
      </tp>
      <tp>
        <v>-4.3099999999999999E-2</v>
        <stp/>
        <stp>THETA</stp>
        <stp>.SPY150522P205</stp>
        <tr r="S223" s="1"/>
      </tp>
      <tp>
        <v>-3.9899999999999998E-2</v>
        <stp/>
        <stp>THETA</stp>
        <stp>.SPY150522C204</stp>
        <tr r="H221" s="1"/>
      </tp>
      <tp>
        <v>-3.9600000000000003E-2</v>
        <stp/>
        <stp>THETA</stp>
        <stp>.SPY150522P204</stp>
        <tr r="S221" s="1"/>
      </tp>
      <tp>
        <v>-2.929E-2</v>
        <stp/>
        <stp>THETA</stp>
        <stp>.SPY150529C200</stp>
        <tr r="H255" s="1"/>
      </tp>
      <tp>
        <v>-2.717E-2</v>
        <stp/>
        <stp>THETA</stp>
        <stp>.SPY150529P200</stp>
        <tr r="S255" s="1"/>
      </tp>
      <tp>
        <v>-3.1099999999999999E-2</v>
        <stp/>
        <stp>THETA</stp>
        <stp>.SPY150529C201</stp>
        <tr r="H257" s="1"/>
      </tp>
      <tp>
        <v>-2.9870000000000001E-2</v>
        <stp/>
        <stp>THETA</stp>
        <stp>.SPY150529P201</stp>
        <tr r="S257" s="1"/>
      </tp>
      <tp>
        <v>-5.1869999999999999E-2</v>
        <stp/>
        <stp>THETA</stp>
        <stp>.SPY150522C209</stp>
        <tr r="H231" s="1"/>
      </tp>
      <tp>
        <v>-3.2980000000000002E-2</v>
        <stp/>
        <stp>THETA</stp>
        <stp>.SPY150529C202</stp>
        <tr r="H259" s="1"/>
      </tp>
      <tp>
        <v>-5.561E-2</v>
        <stp/>
        <stp>THETA</stp>
        <stp>.SPY150522P209</stp>
        <tr r="S231" s="1"/>
      </tp>
      <tp>
        <v>-3.2349999999999997E-2</v>
        <stp/>
        <stp>THETA</stp>
        <stp>.SPY150529P202</stp>
        <tr r="S259" s="1"/>
      </tp>
      <tp>
        <v>-5.0599999999999999E-2</v>
        <stp/>
        <stp>THETA</stp>
        <stp>.SPY150522C208</stp>
        <tr r="H229" s="1"/>
      </tp>
      <tp>
        <v>-3.5810000000000002E-2</v>
        <stp/>
        <stp>THETA</stp>
        <stp>.SPY150529C203</stp>
        <tr r="H261" s="1"/>
      </tp>
      <tp>
        <v>-5.3490000000000003E-2</v>
        <stp/>
        <stp>THETA</stp>
        <stp>.SPY150522P208</stp>
        <tr r="S229" s="1"/>
      </tp>
      <tp>
        <v>-3.5639999999999998E-2</v>
        <stp/>
        <stp>THETA</stp>
        <stp>.SPY150529P203</stp>
        <tr r="S261" s="1"/>
      </tp>
      <tp>
        <v>-3.7429999999999998E-2</v>
        <stp/>
        <stp>THETA</stp>
        <stp>.SPY150529C204</stp>
        <tr r="H263" s="1"/>
      </tp>
      <tp>
        <v>-3.8559999999999997E-2</v>
        <stp/>
        <stp>THETA</stp>
        <stp>.SPY150529P204</stp>
        <tr r="S263" s="1"/>
      </tp>
      <tp>
        <v>-3.9739999999999998E-2</v>
        <stp/>
        <stp>THETA</stp>
        <stp>.SPY150529C205</stp>
        <tr r="H265" s="1"/>
      </tp>
      <tp>
        <v>-4.1270000000000001E-2</v>
        <stp/>
        <stp>THETA</stp>
        <stp>.SPY150529P205</stp>
        <tr r="S265" s="1"/>
      </tp>
      <tp>
        <v>-4.1790000000000001E-2</v>
        <stp/>
        <stp>THETA</stp>
        <stp>.SPY150529C206</stp>
        <tr r="H267" s="1"/>
      </tp>
      <tp>
        <v>-4.3860000000000003E-2</v>
        <stp/>
        <stp>THETA</stp>
        <stp>.SPY150529P206</stp>
        <tr r="S267" s="1"/>
      </tp>
      <tp>
        <v>-4.3619999999999999E-2</v>
        <stp/>
        <stp>THETA</stp>
        <stp>.SPY150529C207</stp>
        <tr r="H269" s="1"/>
      </tp>
      <tp>
        <v>-4.6100000000000002E-2</v>
        <stp/>
        <stp>THETA</stp>
        <stp>.SPY150529P207</stp>
        <tr r="S269" s="1"/>
      </tp>
      <tp t="s">
        <v>N/A</v>
        <stp/>
        <stp>THETA</stp>
        <stp>.SPY150501C210</stp>
        <tr r="H107" s="1"/>
      </tp>
      <tp>
        <v>-5.7400000000000003E-3</v>
        <stp/>
        <stp>THETA</stp>
        <stp>.SPY150508C219</stp>
        <tr r="H167" s="1"/>
      </tp>
      <tp>
        <v>-3.9370000000000002E-2</v>
        <stp/>
        <stp>THETA</stp>
        <stp>.SPY150515C204</stp>
        <tr r="H179" s="1"/>
      </tp>
      <tp t="s">
        <v>N/A</v>
        <stp/>
        <stp>THETA</stp>
        <stp>.SPY150501P210</stp>
        <tr r="S107" s="1"/>
      </tp>
      <tp>
        <v>-5.2170000000000001E-2</v>
        <stp/>
        <stp>THETA</stp>
        <stp>.SPY150508P219</stp>
        <tr r="S167" s="1"/>
      </tp>
      <tp>
        <v>-3.9269999999999999E-2</v>
        <stp/>
        <stp>THETA</stp>
        <stp>.SPY150515P204</stp>
        <tr r="S179" s="1"/>
      </tp>
      <tp t="s">
        <v>N/A</v>
        <stp/>
        <stp>THETA</stp>
        <stp>.SPY150501C211</stp>
        <tr r="H109" s="1"/>
      </tp>
      <tp>
        <v>-5.5300000000000002E-3</v>
        <stp/>
        <stp>THETA</stp>
        <stp>.SPY150508C218</stp>
        <tr r="H165" s="1"/>
      </tp>
      <tp>
        <v>-4.3810000000000002E-2</v>
        <stp/>
        <stp>THETA</stp>
        <stp>.SPY150515C205</stp>
        <tr r="H181" s="1"/>
      </tp>
      <tp t="s">
        <v>N/A</v>
        <stp/>
        <stp>THETA</stp>
        <stp>.SPY150501P211</stp>
        <tr r="S109" s="1"/>
      </tp>
      <tp>
        <v>0</v>
        <stp/>
        <stp>THETA</stp>
        <stp>.SPY150508P218</stp>
        <tr r="S165" s="1"/>
      </tp>
      <tp>
        <v>-4.4569999999999999E-2</v>
        <stp/>
        <stp>THETA</stp>
        <stp>.SPY150515P205</stp>
        <tr r="S181" s="1"/>
      </tp>
      <tp t="s">
        <v>N/A</v>
        <stp/>
        <stp>THETA</stp>
        <stp>.SPY150501C212</stp>
        <tr r="H111" s="1"/>
      </tp>
      <tp>
        <v>-4.9000000000000002E-2</v>
        <stp/>
        <stp>THETA</stp>
        <stp>.SPY150515C206</stp>
        <tr r="H183" s="1"/>
      </tp>
      <tp t="s">
        <v>N/A</v>
        <stp/>
        <stp>THETA</stp>
        <stp>.SPY150501P212</stp>
        <tr r="S111" s="1"/>
      </tp>
      <tp>
        <v>-5.0630000000000001E-2</v>
        <stp/>
        <stp>THETA</stp>
        <stp>.SPY150515P206</stp>
        <tr r="S183" s="1"/>
      </tp>
      <tp t="s">
        <v>N/A</v>
        <stp/>
        <stp>THETA</stp>
        <stp>.SPY150501C213</stp>
        <tr r="H113" s="1"/>
      </tp>
      <tp>
        <v>-5.3409999999999999E-2</v>
        <stp/>
        <stp>THETA</stp>
        <stp>.SPY150515C207</stp>
        <tr r="H185" s="1"/>
      </tp>
      <tp t="s">
        <v>N/A</v>
        <stp/>
        <stp>THETA</stp>
        <stp>.SPY150501P213</stp>
        <tr r="S113" s="1"/>
      </tp>
      <tp>
        <v>-5.6509999999999998E-2</v>
        <stp/>
        <stp>THETA</stp>
        <stp>.SPY150515P207</stp>
        <tr r="S185" s="1"/>
      </tp>
      <tp t="s">
        <v>N/A</v>
        <stp/>
        <stp>THETA</stp>
        <stp>.SPY150501C214</stp>
        <tr r="H115" s="1"/>
      </tp>
      <tp>
        <v>-3.0939999999999999E-2</v>
        <stp/>
        <stp>THETA</stp>
        <stp>.SPY150515C200</stp>
        <tr r="H171" s="1"/>
      </tp>
      <tp t="s">
        <v>N/A</v>
        <stp/>
        <stp>THETA</stp>
        <stp>.SPY150501P214</stp>
        <tr r="S115" s="1"/>
      </tp>
      <tp>
        <v>-2.3820000000000001E-2</v>
        <stp/>
        <stp>THETA</stp>
        <stp>.SPY150515P200</stp>
        <tr r="S171" s="1"/>
      </tp>
      <tp t="s">
        <v>N/A</v>
        <stp/>
        <stp>THETA</stp>
        <stp>.SPY150501C215</stp>
        <tr r="H117" s="1"/>
      </tp>
      <tp>
        <v>-3.2620000000000003E-2</v>
        <stp/>
        <stp>THETA</stp>
        <stp>.SPY150515C201</stp>
        <tr r="H173" s="1"/>
      </tp>
      <tp t="s">
        <v>N/A</v>
        <stp/>
        <stp>THETA</stp>
        <stp>.SPY150501P215</stp>
        <tr r="S117" s="1"/>
      </tp>
      <tp>
        <v>-2.6610000000000002E-2</v>
        <stp/>
        <stp>THETA</stp>
        <stp>.SPY150515P201</stp>
        <tr r="S173" s="1"/>
      </tp>
      <tp t="s">
        <v>N/A</v>
        <stp/>
        <stp>THETA</stp>
        <stp>.SPY150501C216</stp>
        <tr r="H119" s="1"/>
      </tp>
      <tp>
        <v>-3.2870000000000003E-2</v>
        <stp/>
        <stp>THETA</stp>
        <stp>.SPY150515C202</stp>
        <tr r="H175" s="1"/>
      </tp>
      <tp t="s">
        <v>N/A</v>
        <stp/>
        <stp>THETA</stp>
        <stp>.SPY150501P216</stp>
        <tr r="S119" s="1"/>
      </tp>
      <tp>
        <v>-3.048E-2</v>
        <stp/>
        <stp>THETA</stp>
        <stp>.SPY150515P202</stp>
        <tr r="S175" s="1"/>
      </tp>
      <tp t="s">
        <v>N/A</v>
        <stp/>
        <stp>THETA</stp>
        <stp>.SPY150501C217</stp>
        <tr r="H121" s="1"/>
      </tp>
      <tp>
        <v>-3.4950000000000002E-2</v>
        <stp/>
        <stp>THETA</stp>
        <stp>.SPY150515C203</stp>
        <tr r="H177" s="1"/>
      </tp>
      <tp t="s">
        <v>N/A</v>
        <stp/>
        <stp>THETA</stp>
        <stp>.SPY150501P217</stp>
        <tr r="S121" s="1"/>
      </tp>
      <tp>
        <v>-3.4410000000000003E-2</v>
        <stp/>
        <stp>THETA</stp>
        <stp>.SPY150515P203</stp>
        <tr r="S177" s="1"/>
      </tp>
      <tp t="s">
        <v>N/A</v>
        <stp/>
        <stp>THETA</stp>
        <stp>.SPY150501C218</stp>
        <tr r="H123" s="1"/>
      </tp>
      <tp>
        <v>-9.4159999999999994E-2</v>
        <stp/>
        <stp>THETA</stp>
        <stp>.SPY150508C211</stp>
        <tr r="H151" s="1"/>
      </tp>
      <tp t="s">
        <v>N/A</v>
        <stp/>
        <stp>THETA</stp>
        <stp>.SPY150501P218</stp>
        <tr r="S123" s="1"/>
      </tp>
      <tp>
        <v>-0.10049</v>
        <stp/>
        <stp>THETA</stp>
        <stp>.SPY150508P211</stp>
        <tr r="S151" s="1"/>
      </tp>
      <tp t="s">
        <v>N/A</v>
        <stp/>
        <stp>THETA</stp>
        <stp>.SPY150501C219</stp>
        <tr r="H125" s="1"/>
      </tp>
      <tp>
        <v>-9.2480000000000007E-2</v>
        <stp/>
        <stp>THETA</stp>
        <stp>.SPY150508C210</stp>
        <tr r="H149" s="1"/>
      </tp>
      <tp t="s">
        <v>N/A</v>
        <stp/>
        <stp>THETA</stp>
        <stp>.SPY150501P219</stp>
        <tr r="S125" s="1"/>
      </tp>
      <tp>
        <v>-9.6589999999999995E-2</v>
        <stp/>
        <stp>THETA</stp>
        <stp>.SPY150508P210</stp>
        <tr r="S149" s="1"/>
      </tp>
      <tp>
        <v>-6.0490000000000002E-2</v>
        <stp/>
        <stp>THETA</stp>
        <stp>.SPY150508C213</stp>
        <tr r="H155" s="1"/>
      </tp>
      <tp>
        <v>-6.5740000000000007E-2</v>
        <stp/>
        <stp>THETA</stp>
        <stp>.SPY150508P213</stp>
        <tr r="S155" s="1"/>
      </tp>
      <tp>
        <v>-8.4529999999999994E-2</v>
        <stp/>
        <stp>THETA</stp>
        <stp>.SPY150508C212</stp>
        <tr r="H153" s="1"/>
      </tp>
      <tp>
        <v>-9.1319999999999998E-2</v>
        <stp/>
        <stp>THETA</stp>
        <stp>.SPY150508P212</stp>
        <tr r="S153" s="1"/>
      </tp>
      <tp>
        <v>-1.967E-2</v>
        <stp/>
        <stp>THETA</stp>
        <stp>.SPY150508C215</stp>
        <tr r="H159" s="1"/>
      </tp>
      <tp>
        <v>-5.7959999999999998E-2</v>
        <stp/>
        <stp>THETA</stp>
        <stp>.SPY150515C208</stp>
        <tr r="H187" s="1"/>
      </tp>
      <tp>
        <v>-2.8910000000000002E-2</v>
        <stp/>
        <stp>THETA</stp>
        <stp>.SPY150508P215</stp>
        <tr r="S159" s="1"/>
      </tp>
      <tp>
        <v>-6.2309999999999997E-2</v>
        <stp/>
        <stp>THETA</stp>
        <stp>.SPY150515P208</stp>
        <tr r="S187" s="1"/>
      </tp>
      <tp>
        <v>-3.5159999999999997E-2</v>
        <stp/>
        <stp>THETA</stp>
        <stp>.SPY150508C214</stp>
        <tr r="H157" s="1"/>
      </tp>
      <tp>
        <v>-6.2170000000000003E-2</v>
        <stp/>
        <stp>THETA</stp>
        <stp>.SPY150515C209</stp>
        <tr r="H189" s="1"/>
      </tp>
      <tp>
        <v>-4.4209999999999999E-2</v>
        <stp/>
        <stp>THETA</stp>
        <stp>.SPY150508P214</stp>
        <tr r="S157" s="1"/>
      </tp>
      <tp>
        <v>-6.6750000000000004E-2</v>
        <stp/>
        <stp>THETA</stp>
        <stp>.SPY150515P209</stp>
        <tr r="S189" s="1"/>
      </tp>
      <tp>
        <v>-1.2200000000000001E-2</v>
        <stp/>
        <stp>THETA</stp>
        <stp>.SPY150508C217</stp>
        <tr r="H163" s="1"/>
      </tp>
      <tp>
        <v>-8.7100000000000007E-3</v>
        <stp/>
        <stp>THETA</stp>
        <stp>.SPY150508P217</stp>
        <tr r="S163" s="1"/>
      </tp>
      <tp>
        <v>-1.1520000000000001E-2</v>
        <stp/>
        <stp>THETA</stp>
        <stp>.SPY150508C216</stp>
        <tr r="H161" s="1"/>
      </tp>
      <tp>
        <v>-8.7200000000000003E-3</v>
        <stp/>
        <stp>THETA</stp>
        <stp>.SPY150508P216</stp>
        <tr r="S161" s="1"/>
      </tp>
      <tp t="s">
        <v>N/A</v>
        <stp/>
        <stp>THETA</stp>
        <stp>.SPY150501C200</stp>
        <tr r="H87" s="1"/>
      </tp>
      <tp>
        <v>-7.5700000000000003E-2</v>
        <stp/>
        <stp>THETA</stp>
        <stp>.SPY150508C209</stp>
        <tr r="H147" s="1"/>
      </tp>
      <tp>
        <v>-4.07E-2</v>
        <stp/>
        <stp>THETA</stp>
        <stp>.SPY150515C214</stp>
        <tr r="H199" s="1"/>
      </tp>
      <tp t="s">
        <v>N/A</v>
        <stp/>
        <stp>THETA</stp>
        <stp>.SPY150501P200</stp>
        <tr r="S87" s="1"/>
      </tp>
      <tp>
        <v>-8.6620000000000003E-2</v>
        <stp/>
        <stp>THETA</stp>
        <stp>.SPY150508P209</stp>
        <tr r="S147" s="1"/>
      </tp>
      <tp>
        <v>-4.4269999999999997E-2</v>
        <stp/>
        <stp>THETA</stp>
        <stp>.SPY150515P214</stp>
        <tr r="S199" s="1"/>
      </tp>
      <tp t="s">
        <v>N/A</v>
        <stp/>
        <stp>THETA</stp>
        <stp>.SPY150501C201</stp>
        <tr r="H89" s="1"/>
      </tp>
      <tp>
        <v>-6.3130000000000006E-2</v>
        <stp/>
        <stp>THETA</stp>
        <stp>.SPY150508C208</stp>
        <tr r="H145" s="1"/>
      </tp>
      <tp>
        <v>-2.9139999999999999E-2</v>
        <stp/>
        <stp>THETA</stp>
        <stp>.SPY150515C215</stp>
        <tr r="H201" s="1"/>
      </tp>
      <tp t="s">
        <v>N/A</v>
        <stp/>
        <stp>THETA</stp>
        <stp>.SPY150501P201</stp>
        <tr r="S89" s="1"/>
      </tp>
      <tp>
        <v>-7.3130000000000001E-2</v>
        <stp/>
        <stp>THETA</stp>
        <stp>.SPY150508P208</stp>
        <tr r="S145" s="1"/>
      </tp>
      <tp>
        <v>-2.836E-2</v>
        <stp/>
        <stp>THETA</stp>
        <stp>.SPY150515P215</stp>
        <tr r="S201" s="1"/>
      </tp>
      <tp t="s">
        <v>N/A</v>
        <stp/>
        <stp>THETA</stp>
        <stp>.SPY150501C202</stp>
        <tr r="H91" s="1"/>
      </tp>
      <tp>
        <v>-1.8890000000000001E-2</v>
        <stp/>
        <stp>THETA</stp>
        <stp>.SPY150515C216</stp>
        <tr r="H203" s="1"/>
      </tp>
      <tp t="s">
        <v>N/A</v>
        <stp/>
        <stp>THETA</stp>
        <stp>.SPY150501P202</stp>
        <tr r="S91" s="1"/>
      </tp>
      <tp>
        <v>-8.7200000000000003E-3</v>
        <stp/>
        <stp>THETA</stp>
        <stp>.SPY150515P216</stp>
        <tr r="S203" s="1"/>
      </tp>
      <tp t="s">
        <v>N/A</v>
        <stp/>
        <stp>THETA</stp>
        <stp>.SPY150501C203</stp>
        <tr r="H93" s="1"/>
      </tp>
      <tp>
        <v>-1.2160000000000001E-2</v>
        <stp/>
        <stp>THETA</stp>
        <stp>.SPY150515C217</stp>
        <tr r="H205" s="1"/>
      </tp>
      <tp t="s">
        <v>N/A</v>
        <stp/>
        <stp>THETA</stp>
        <stp>.SPY150501P203</stp>
        <tr r="S93" s="1"/>
      </tp>
      <tp>
        <v>0</v>
        <stp/>
        <stp>THETA</stp>
        <stp>.SPY150515P217</stp>
        <tr r="S205" s="1"/>
      </tp>
      <tp t="s">
        <v>N/A</v>
        <stp/>
        <stp>THETA</stp>
        <stp>.SPY150501C204</stp>
        <tr r="H95" s="1"/>
      </tp>
      <tp>
        <v>-6.6040000000000001E-2</v>
        <stp/>
        <stp>THETA</stp>
        <stp>.SPY150515C210</stp>
        <tr r="H191" s="1"/>
      </tp>
      <tp t="s">
        <v>N/A</v>
        <stp/>
        <stp>THETA</stp>
        <stp>.SPY150501P204</stp>
        <tr r="S95" s="1"/>
      </tp>
      <tp>
        <v>-6.9970000000000004E-2</v>
        <stp/>
        <stp>THETA</stp>
        <stp>.SPY150515P210</stp>
        <tr r="S191" s="1"/>
      </tp>
      <tp t="s">
        <v>N/A</v>
        <stp/>
        <stp>THETA</stp>
        <stp>.SPY150501C205</stp>
        <tr r="H97" s="1"/>
      </tp>
      <tp>
        <v>-6.5500000000000003E-2</v>
        <stp/>
        <stp>THETA</stp>
        <stp>.SPY150515C211</stp>
        <tr r="H193" s="1"/>
      </tp>
      <tp t="s">
        <v>N/A</v>
        <stp/>
        <stp>THETA</stp>
        <stp>.SPY150501P205</stp>
        <tr r="S97" s="1"/>
      </tp>
      <tp>
        <v>-6.9389999999999993E-2</v>
        <stp/>
        <stp>THETA</stp>
        <stp>.SPY150515P211</stp>
        <tr r="S193" s="1"/>
      </tp>
      <tp t="s">
        <v>N/A</v>
        <stp/>
        <stp>THETA</stp>
        <stp>.SPY150501C206</stp>
        <tr r="H99" s="1"/>
      </tp>
      <tp>
        <v>-6.1409999999999999E-2</v>
        <stp/>
        <stp>THETA</stp>
        <stp>.SPY150515C212</stp>
        <tr r="H195" s="1"/>
      </tp>
      <tp t="s">
        <v>N/A</v>
        <stp/>
        <stp>THETA</stp>
        <stp>.SPY150501P206</stp>
        <tr r="S99" s="1"/>
      </tp>
      <tp>
        <v>-6.5110000000000001E-2</v>
        <stp/>
        <stp>THETA</stp>
        <stp>.SPY150515P212</stp>
        <tr r="S195" s="1"/>
      </tp>
      <tp t="s">
        <v>N/A</v>
        <stp/>
        <stp>THETA</stp>
        <stp>.SPY150501C207</stp>
        <tr r="H101" s="1"/>
      </tp>
      <tp>
        <v>-5.2780000000000001E-2</v>
        <stp/>
        <stp>THETA</stp>
        <stp>.SPY150515C213</stp>
        <tr r="H197" s="1"/>
      </tp>
      <tp t="s">
        <v>N/A</v>
        <stp/>
        <stp>THETA</stp>
        <stp>.SPY150501P207</stp>
        <tr r="S101" s="1"/>
      </tp>
      <tp>
        <v>-5.8819999999999997E-2</v>
        <stp/>
        <stp>THETA</stp>
        <stp>.SPY150515P213</stp>
        <tr r="S197" s="1"/>
      </tp>
      <tp t="s">
        <v>N/A</v>
        <stp/>
        <stp>THETA</stp>
        <stp>.SPY150501C208</stp>
        <tr r="H103" s="1"/>
      </tp>
      <tp>
        <v>-4.9889999999999997E-2</v>
        <stp/>
        <stp>THETA</stp>
        <stp>.SPY150508C201</stp>
        <tr r="H131" s="1"/>
      </tp>
      <tp t="s">
        <v>N/A</v>
        <stp/>
        <stp>THETA</stp>
        <stp>.SPY150501P208</stp>
        <tr r="S103" s="1"/>
      </tp>
      <tp>
        <v>-2.102E-2</v>
        <stp/>
        <stp>THETA</stp>
        <stp>.SPY150508P201</stp>
        <tr r="S131" s="1"/>
      </tp>
      <tp t="s">
        <v>N/A</v>
        <stp/>
        <stp>THETA</stp>
        <stp>.SPY150501C209</stp>
        <tr r="H105" s="1"/>
      </tp>
      <tp>
        <v>-5.382E-2</v>
        <stp/>
        <stp>THETA</stp>
        <stp>.SPY150508C200</stp>
        <tr r="H129" s="1"/>
      </tp>
      <tp t="s">
        <v>N/A</v>
        <stp/>
        <stp>THETA</stp>
        <stp>.SPY150501P209</stp>
        <tr r="S105" s="1"/>
      </tp>
      <tp>
        <v>-2.155E-2</v>
        <stp/>
        <stp>THETA</stp>
        <stp>.SPY150508P200</stp>
        <tr r="S129" s="1"/>
      </tp>
      <tp>
        <v>-4.2860000000000002E-2</v>
        <stp/>
        <stp>THETA</stp>
        <stp>.SPY150508C203</stp>
        <tr r="H135" s="1"/>
      </tp>
      <tp>
        <v>-2.5839999999999998E-2</v>
        <stp/>
        <stp>THETA</stp>
        <stp>.SPY150508P203</stp>
        <tr r="S135" s="1"/>
      </tp>
      <tp>
        <v>-4.7719999999999999E-2</v>
        <stp/>
        <stp>THETA</stp>
        <stp>.SPY150508C202</stp>
        <tr r="H133" s="1"/>
      </tp>
      <tp>
        <v>-2.6450000000000001E-2</v>
        <stp/>
        <stp>THETA</stp>
        <stp>.SPY150508P202</stp>
        <tr r="S133" s="1"/>
      </tp>
      <tp>
        <v>-3.3759999999999998E-2</v>
        <stp/>
        <stp>THETA</stp>
        <stp>.SPY150508C205</stp>
        <tr r="H139" s="1"/>
      </tp>
      <tp>
        <v>-8.0700000000000008E-3</v>
        <stp/>
        <stp>THETA</stp>
        <stp>.SPY150515C218</stp>
        <tr r="H207" s="1"/>
      </tp>
      <tp>
        <v>-4.1419999999999998E-2</v>
        <stp/>
        <stp>THETA</stp>
        <stp>.SPY150508P205</stp>
        <tr r="S139" s="1"/>
      </tp>
      <tp>
        <v>-8.6999999999999994E-3</v>
        <stp/>
        <stp>THETA</stp>
        <stp>.SPY150515P218</stp>
        <tr r="S207" s="1"/>
      </tp>
      <tp>
        <v>-3.4939999999999999E-2</v>
        <stp/>
        <stp>THETA</stp>
        <stp>.SPY150508C204</stp>
        <tr r="H137" s="1"/>
      </tp>
      <tp>
        <v>-7.2700000000000004E-3</v>
        <stp/>
        <stp>THETA</stp>
        <stp>.SPY150515C219</stp>
        <tr r="H209" s="1"/>
      </tp>
      <tp>
        <v>-3.4819999999999997E-2</v>
        <stp/>
        <stp>THETA</stp>
        <stp>.SPY150508P204</stp>
        <tr r="S137" s="1"/>
      </tp>
      <tp>
        <v>-8.6999999999999994E-3</v>
        <stp/>
        <stp>THETA</stp>
        <stp>.SPY150515P219</stp>
        <tr r="S209" s="1"/>
      </tp>
      <tp>
        <v>-5.0659999999999997E-2</v>
        <stp/>
        <stp>THETA</stp>
        <stp>.SPY150508C207</stp>
        <tr r="H143" s="1"/>
      </tp>
      <tp>
        <v>-5.969E-2</v>
        <stp/>
        <stp>THETA</stp>
        <stp>.SPY150508P207</stp>
        <tr r="S143" s="1"/>
      </tp>
      <tp>
        <v>-4.2979999999999997E-2</v>
        <stp/>
        <stp>THETA</stp>
        <stp>.SPY150508C206</stp>
        <tr r="H141" s="1"/>
      </tp>
      <tp>
        <v>-4.9779999999999998E-2</v>
        <stp/>
        <stp>THETA</stp>
        <stp>.SPY150508P206</stp>
        <tr r="S141" s="1"/>
      </tp>
      <tp>
        <v>0.43820999999999999</v>
        <stp/>
        <stp>VEGA</stp>
        <stp>.SPY150918C200</stp>
        <tr r="J423" s="1"/>
      </tp>
      <tp>
        <v>0.44691999999999998</v>
        <stp/>
        <stp>VEGA</stp>
        <stp>.SPY150918P200</stp>
        <tr r="U423" s="1"/>
      </tp>
      <tp>
        <v>0.44786999999999999</v>
        <stp/>
        <stp>VEGA</stp>
        <stp>.SPY150918C201</stp>
        <tr r="J425" s="1"/>
      </tp>
      <tp>
        <v>0.45677000000000001</v>
        <stp/>
        <stp>VEGA</stp>
        <stp>.SPY150918P201</stp>
        <tr r="U425" s="1"/>
      </tp>
      <tp>
        <v>0.45840999999999998</v>
        <stp/>
        <stp>VEGA</stp>
        <stp>.SPY150918C202</stp>
        <tr r="J427" s="1"/>
      </tp>
      <tp>
        <v>0.46611999999999998</v>
        <stp/>
        <stp>VEGA</stp>
        <stp>.SPY150918P202</stp>
        <tr r="U427" s="1"/>
      </tp>
      <tp>
        <v>0.46875</v>
        <stp/>
        <stp>VEGA</stp>
        <stp>.SPY150918C203</stp>
        <tr r="J429" s="1"/>
      </tp>
      <tp>
        <v>0.47493999999999997</v>
        <stp/>
        <stp>VEGA</stp>
        <stp>.SPY150918P203</stp>
        <tr r="U429" s="1"/>
      </tp>
      <tp>
        <v>0.47731000000000001</v>
        <stp/>
        <stp>VEGA</stp>
        <stp>.SPY150918C204</stp>
        <tr r="J431" s="1"/>
      </tp>
      <tp t="s">
        <v>N/A</v>
        <stp/>
        <stp>VEGA</stp>
        <stp>.SPY160916C209</stp>
        <tr r="J735" s="1"/>
      </tp>
      <tp>
        <v>0.48319000000000001</v>
        <stp/>
        <stp>VEGA</stp>
        <stp>.SPY150918P204</stp>
        <tr r="U431" s="1"/>
      </tp>
      <tp t="s">
        <v>N/A</v>
        <stp/>
        <stp>VEGA</stp>
        <stp>.SPY160916P209</stp>
        <tr r="U735" s="1"/>
      </tp>
      <tp>
        <v>0.48580000000000001</v>
        <stp/>
        <stp>VEGA</stp>
        <stp>.SPY150918C205</stp>
        <tr r="J433" s="1"/>
      </tp>
      <tp t="s">
        <v>N/A</v>
        <stp/>
        <stp>VEGA</stp>
        <stp>.SPY160916C208</stp>
        <tr r="J733" s="1"/>
      </tp>
      <tp>
        <v>0.49079</v>
        <stp/>
        <stp>VEGA</stp>
        <stp>.SPY150918P205</stp>
        <tr r="U433" s="1"/>
      </tp>
      <tp t="s">
        <v>N/A</v>
        <stp/>
        <stp>VEGA</stp>
        <stp>.SPY160916P208</stp>
        <tr r="U733" s="1"/>
      </tp>
      <tp>
        <v>0.49351</v>
        <stp/>
        <stp>VEGA</stp>
        <stp>.SPY150918C206</stp>
        <tr r="J435" s="1"/>
      </tp>
      <tp>
        <v>0.49757000000000001</v>
        <stp/>
        <stp>VEGA</stp>
        <stp>.SPY150918P206</stp>
        <tr r="U435" s="1"/>
      </tp>
      <tp>
        <v>0.50029999999999997</v>
        <stp/>
        <stp>VEGA</stp>
        <stp>.SPY150918C207</stp>
        <tr r="J437" s="1"/>
      </tp>
      <tp>
        <v>0.50344</v>
        <stp/>
        <stp>VEGA</stp>
        <stp>.SPY150918P207</stp>
        <tr r="U437" s="1"/>
      </tp>
      <tp>
        <v>0.50588</v>
        <stp/>
        <stp>VEGA</stp>
        <stp>.SPY150918C208</stp>
        <tr r="J439" s="1"/>
      </tp>
      <tp>
        <v>0.94845999999999997</v>
        <stp/>
        <stp>VEGA</stp>
        <stp>.SPY160916C205</stp>
        <tr r="J727" s="1"/>
      </tp>
      <tp>
        <v>0.50826000000000005</v>
        <stp/>
        <stp>VEGA</stp>
        <stp>.SPY150918P208</stp>
        <tr r="U439" s="1"/>
      </tp>
      <tp>
        <v>0.95413999999999999</v>
        <stp/>
        <stp>VEGA</stp>
        <stp>.SPY160916P205</stp>
        <tr r="U727" s="1"/>
      </tp>
      <tp>
        <v>0.51017999999999997</v>
        <stp/>
        <stp>VEGA</stp>
        <stp>.SPY150918C209</stp>
        <tr r="J441" s="1"/>
      </tp>
      <tp t="s">
        <v>N/A</v>
        <stp/>
        <stp>VEGA</stp>
        <stp>.SPY160916C204</stp>
        <tr r="J725" s="1"/>
      </tp>
      <tp>
        <v>0.51190999999999998</v>
        <stp/>
        <stp>VEGA</stp>
        <stp>.SPY150918P209</stp>
        <tr r="U441" s="1"/>
      </tp>
      <tp t="s">
        <v>N/A</v>
        <stp/>
        <stp>VEGA</stp>
        <stp>.SPY160916P204</stp>
        <tr r="U725" s="1"/>
      </tp>
      <tp t="s">
        <v>N/A</v>
        <stp/>
        <stp>VEGA</stp>
        <stp>.SPY160916C207</stp>
        <tr r="J731" s="1"/>
      </tp>
      <tp t="s">
        <v>N/A</v>
        <stp/>
        <stp>VEGA</stp>
        <stp>.SPY160916P207</stp>
        <tr r="U731" s="1"/>
      </tp>
      <tp t="s">
        <v>N/A</v>
        <stp/>
        <stp>VEGA</stp>
        <stp>.SPY160916C206</stp>
        <tr r="J729" s="1"/>
      </tp>
      <tp t="s">
        <v>N/A</v>
        <stp/>
        <stp>VEGA</stp>
        <stp>.SPY160916P206</stp>
        <tr r="U729" s="1"/>
      </tp>
      <tp t="s">
        <v>N/A</v>
        <stp/>
        <stp>VEGA</stp>
        <stp>.SPY160916C201</stp>
        <tr r="J719" s="1"/>
      </tp>
      <tp t="s">
        <v>N/A</v>
        <stp/>
        <stp>VEGA</stp>
        <stp>.SPY160916P201</stp>
        <tr r="U719" s="1"/>
      </tp>
      <tp>
        <v>0.91990000000000005</v>
        <stp/>
        <stp>VEGA</stp>
        <stp>.SPY160916C200</stp>
        <tr r="J717" s="1"/>
      </tp>
      <tp>
        <v>0.93074999999999997</v>
        <stp/>
        <stp>VEGA</stp>
        <stp>.SPY160916P200</stp>
        <tr r="U717" s="1"/>
      </tp>
      <tp t="s">
        <v>N/A</v>
        <stp/>
        <stp>VEGA</stp>
        <stp>.SPY160916C203</stp>
        <tr r="J723" s="1"/>
      </tp>
      <tp t="s">
        <v>N/A</v>
        <stp/>
        <stp>VEGA</stp>
        <stp>.SPY160916P203</stp>
        <tr r="U723" s="1"/>
      </tp>
      <tp t="s">
        <v>N/A</v>
        <stp/>
        <stp>VEGA</stp>
        <stp>.SPY160916C202</stp>
        <tr r="J721" s="1"/>
      </tp>
      <tp t="s">
        <v>N/A</v>
        <stp/>
        <stp>VEGA</stp>
        <stp>.SPY160916P202</stp>
        <tr r="U721" s="1"/>
      </tp>
      <tp>
        <v>0.5131</v>
        <stp/>
        <stp>VEGA</stp>
        <stp>.SPY150918C210</stp>
        <tr r="J443" s="1"/>
      </tp>
      <tp>
        <v>0.51424000000000003</v>
        <stp/>
        <stp>VEGA</stp>
        <stp>.SPY150918P210</stp>
        <tr r="U443" s="1"/>
      </tp>
      <tp>
        <v>0.51444000000000001</v>
        <stp/>
        <stp>VEGA</stp>
        <stp>.SPY150918C211</stp>
        <tr r="J445" s="1"/>
      </tp>
      <tp>
        <v>0.5151</v>
        <stp/>
        <stp>VEGA</stp>
        <stp>.SPY150918P211</stp>
        <tr r="U445" s="1"/>
      </tp>
      <tp>
        <v>0.51404000000000005</v>
        <stp/>
        <stp>VEGA</stp>
        <stp>.SPY150918C212</stp>
        <tr r="J447" s="1"/>
      </tp>
      <tp>
        <v>0.51436000000000004</v>
        <stp/>
        <stp>VEGA</stp>
        <stp>.SPY150918P212</stp>
        <tr r="U447" s="1"/>
      </tp>
      <tp>
        <v>0.51171</v>
        <stp/>
        <stp>VEGA</stp>
        <stp>.SPY150918C213</stp>
        <tr r="J449" s="1"/>
      </tp>
      <tp>
        <v>0.51183999999999996</v>
        <stp/>
        <stp>VEGA</stp>
        <stp>.SPY150918P213</stp>
        <tr r="U449" s="1"/>
      </tp>
      <tp>
        <v>0.50729000000000002</v>
        <stp/>
        <stp>VEGA</stp>
        <stp>.SPY150918C214</stp>
        <tr r="J451" s="1"/>
      </tp>
      <tp t="s">
        <v>N/A</v>
        <stp/>
        <stp>VEGA</stp>
        <stp>.SPY160916C219</stp>
        <tr r="J755" s="1"/>
      </tp>
      <tp>
        <v>0.50744</v>
        <stp/>
        <stp>VEGA</stp>
        <stp>.SPY150918P214</stp>
        <tr r="U451" s="1"/>
      </tp>
      <tp t="s">
        <v>N/A</v>
        <stp/>
        <stp>VEGA</stp>
        <stp>.SPY160916P219</stp>
        <tr r="U755" s="1"/>
      </tp>
      <tp>
        <v>0.50053000000000003</v>
        <stp/>
        <stp>VEGA</stp>
        <stp>.SPY150918C215</stp>
        <tr r="J453" s="1"/>
      </tp>
      <tp t="s">
        <v>N/A</v>
        <stp/>
        <stp>VEGA</stp>
        <stp>.SPY160916C218</stp>
        <tr r="J753" s="1"/>
      </tp>
      <tp>
        <v>0.50138000000000005</v>
        <stp/>
        <stp>VEGA</stp>
        <stp>.SPY150918P215</stp>
        <tr r="U453" s="1"/>
      </tp>
      <tp t="s">
        <v>N/A</v>
        <stp/>
        <stp>VEGA</stp>
        <stp>.SPY160916P218</stp>
        <tr r="U753" s="1"/>
      </tp>
      <tp>
        <v>0.49151</v>
        <stp/>
        <stp>VEGA</stp>
        <stp>.SPY150918C216</stp>
        <tr r="J455" s="1"/>
      </tp>
      <tp>
        <v>0.49267</v>
        <stp/>
        <stp>VEGA</stp>
        <stp>.SPY150918P216</stp>
        <tr r="U455" s="1"/>
      </tp>
      <tp>
        <v>0.47972999999999999</v>
        <stp/>
        <stp>VEGA</stp>
        <stp>.SPY150918C217</stp>
        <tr r="J457" s="1"/>
      </tp>
      <tp>
        <v>0.48204999999999998</v>
        <stp/>
        <stp>VEGA</stp>
        <stp>.SPY150918P217</stp>
        <tr r="U457" s="1"/>
      </tp>
      <tp>
        <v>0.46539000000000003</v>
        <stp/>
        <stp>VEGA</stp>
        <stp>.SPY150918C218</stp>
        <tr r="J459" s="1"/>
      </tp>
      <tp>
        <v>0.96411000000000002</v>
        <stp/>
        <stp>VEGA</stp>
        <stp>.SPY160916C215</stp>
        <tr r="J747" s="1"/>
      </tp>
      <tp>
        <v>0.46951999999999999</v>
        <stp/>
        <stp>VEGA</stp>
        <stp>.SPY150918P218</stp>
        <tr r="U459" s="1"/>
      </tp>
      <tp>
        <v>0.96025000000000005</v>
        <stp/>
        <stp>VEGA</stp>
        <stp>.SPY160916P215</stp>
        <tr r="U747" s="1"/>
      </tp>
      <tp>
        <v>0.44835000000000003</v>
        <stp/>
        <stp>VEGA</stp>
        <stp>.SPY150918C219</stp>
        <tr r="J461" s="1"/>
      </tp>
      <tp t="s">
        <v>N/A</v>
        <stp/>
        <stp>VEGA</stp>
        <stp>.SPY160916C214</stp>
        <tr r="J745" s="1"/>
      </tp>
      <tp>
        <v>0.45483000000000001</v>
        <stp/>
        <stp>VEGA</stp>
        <stp>.SPY150918P219</stp>
        <tr r="U461" s="1"/>
      </tp>
      <tp t="s">
        <v>N/A</v>
        <stp/>
        <stp>VEGA</stp>
        <stp>.SPY160916P214</stp>
        <tr r="U745" s="1"/>
      </tp>
      <tp t="s">
        <v>N/A</v>
        <stp/>
        <stp>VEGA</stp>
        <stp>.SPY160916C217</stp>
        <tr r="J751" s="1"/>
      </tp>
      <tp t="s">
        <v>N/A</v>
        <stp/>
        <stp>VEGA</stp>
        <stp>.SPY160916P217</stp>
        <tr r="U751" s="1"/>
      </tp>
      <tp t="s">
        <v>N/A</v>
        <stp/>
        <stp>VEGA</stp>
        <stp>.SPY160916C216</stp>
        <tr r="J749" s="1"/>
      </tp>
      <tp t="s">
        <v>N/A</v>
        <stp/>
        <stp>VEGA</stp>
        <stp>.SPY160916P216</stp>
        <tr r="U749" s="1"/>
      </tp>
      <tp t="s">
        <v>N/A</v>
        <stp/>
        <stp>VEGA</stp>
        <stp>.SPY160916C211</stp>
        <tr r="J739" s="1"/>
      </tp>
      <tp t="s">
        <v>N/A</v>
        <stp/>
        <stp>VEGA</stp>
        <stp>.SPY160916P211</stp>
        <tr r="U739" s="1"/>
      </tp>
      <tp>
        <v>0.96406999999999998</v>
        <stp/>
        <stp>VEGA</stp>
        <stp>.SPY160916C210</stp>
        <tr r="J737" s="1"/>
      </tp>
      <tp>
        <v>0.96494000000000002</v>
        <stp/>
        <stp>VEGA</stp>
        <stp>.SPY160916P210</stp>
        <tr r="U737" s="1"/>
      </tp>
      <tp t="s">
        <v>N/A</v>
        <stp/>
        <stp>VEGA</stp>
        <stp>.SPY160916C213</stp>
        <tr r="J743" s="1"/>
      </tp>
      <tp t="s">
        <v>N/A</v>
        <stp/>
        <stp>VEGA</stp>
        <stp>.SPY160916P213</stp>
        <tr r="U743" s="1"/>
      </tp>
      <tp t="s">
        <v>N/A</v>
        <stp/>
        <stp>VEGA</stp>
        <stp>.SPY160916C212</stp>
        <tr r="J741" s="1"/>
      </tp>
      <tp t="s">
        <v>N/A</v>
        <stp/>
        <stp>VEGA</stp>
        <stp>.SPY160916P212</stp>
        <tr r="U741" s="1"/>
      </tp>
      <tp>
        <v>0.52778000000000003</v>
        <stp/>
        <stp>VEGA</stp>
        <stp>.SPY150930C208</stp>
        <tr r="J481" s="1"/>
      </tp>
      <tp>
        <v>0.53029000000000004</v>
        <stp/>
        <stp>VEGA</stp>
        <stp>.SPY150930P208</stp>
        <tr r="U481" s="1"/>
      </tp>
      <tp>
        <v>0.53191999999999995</v>
        <stp/>
        <stp>VEGA</stp>
        <stp>.SPY150930C209</stp>
        <tr r="J483" s="1"/>
      </tp>
      <tp>
        <v>0.53374999999999995</v>
        <stp/>
        <stp>VEGA</stp>
        <stp>.SPY150930P209</stp>
        <tr r="U483" s="1"/>
      </tp>
      <tp>
        <v>0.46049000000000001</v>
        <stp/>
        <stp>VEGA</stp>
        <stp>.SPY150930C200</stp>
        <tr r="J465" s="1"/>
      </tp>
      <tp>
        <v>0.47126000000000001</v>
        <stp/>
        <stp>VEGA</stp>
        <stp>.SPY150930P200</stp>
        <tr r="U465" s="1"/>
      </tp>
      <tp>
        <v>0.47119</v>
        <stp/>
        <stp>VEGA</stp>
        <stp>.SPY150930C201</stp>
        <tr r="J467" s="1"/>
      </tp>
      <tp>
        <v>0.48076000000000002</v>
        <stp/>
        <stp>VEGA</stp>
        <stp>.SPY150930P201</stp>
        <tr r="U467" s="1"/>
      </tp>
      <tp>
        <v>0.48139999999999999</v>
        <stp/>
        <stp>VEGA</stp>
        <stp>.SPY150930C202</stp>
        <tr r="J469" s="1"/>
      </tp>
      <tp>
        <v>0.48985000000000001</v>
        <stp/>
        <stp>VEGA</stp>
        <stp>.SPY150930P202</stp>
        <tr r="U469" s="1"/>
      </tp>
      <tp>
        <v>0.49103999999999998</v>
        <stp/>
        <stp>VEGA</stp>
        <stp>.SPY150930C203</stp>
        <tr r="J471" s="1"/>
      </tp>
      <tp>
        <v>0.49836999999999998</v>
        <stp/>
        <stp>VEGA</stp>
        <stp>.SPY150930P203</stp>
        <tr r="U471" s="1"/>
      </tp>
      <tp>
        <v>0.50009999999999999</v>
        <stp/>
        <stp>VEGA</stp>
        <stp>.SPY150930C204</stp>
        <tr r="J473" s="1"/>
      </tp>
      <tp>
        <v>0.50634999999999997</v>
        <stp/>
        <stp>VEGA</stp>
        <stp>.SPY150930P204</stp>
        <tr r="U473" s="1"/>
      </tp>
      <tp>
        <v>0.50839000000000001</v>
        <stp/>
        <stp>VEGA</stp>
        <stp>.SPY150930C205</stp>
        <tr r="J475" s="1"/>
      </tp>
      <tp>
        <v>0.51361999999999997</v>
        <stp/>
        <stp>VEGA</stp>
        <stp>.SPY150930P205</stp>
        <tr r="U475" s="1"/>
      </tp>
      <tp>
        <v>0.51604000000000005</v>
        <stp/>
        <stp>VEGA</stp>
        <stp>.SPY150930C206</stp>
        <tr r="J477" s="1"/>
      </tp>
      <tp>
        <v>0.52010000000000001</v>
        <stp/>
        <stp>VEGA</stp>
        <stp>.SPY150930P206</stp>
        <tr r="U477" s="1"/>
      </tp>
      <tp>
        <v>0.52242</v>
        <stp/>
        <stp>VEGA</stp>
        <stp>.SPY150930C207</stp>
        <tr r="J479" s="1"/>
      </tp>
      <tp>
        <v>0.52569999999999995</v>
        <stp/>
        <stp>VEGA</stp>
        <stp>.SPY150930P207</stp>
        <tr r="U479" s="1"/>
      </tp>
      <tp t="s">
        <v>N/A</v>
        <stp/>
        <stp>VEGA</stp>
        <stp>.SPY150930C218</stp>
        <tr r="J501" s="1"/>
      </tp>
      <tp t="s">
        <v>N/A</v>
        <stp/>
        <stp>VEGA</stp>
        <stp>.SPY150930P218</stp>
        <tr r="U501" s="1"/>
      </tp>
      <tp t="s">
        <v>N/A</v>
        <stp/>
        <stp>VEGA</stp>
        <stp>.SPY150930C219</stp>
        <tr r="J503" s="1"/>
      </tp>
      <tp t="s">
        <v>N/A</v>
        <stp/>
        <stp>VEGA</stp>
        <stp>.SPY150930P219</stp>
        <tr r="U503" s="1"/>
      </tp>
      <tp>
        <v>0.53473000000000004</v>
        <stp/>
        <stp>VEGA</stp>
        <stp>.SPY150930C210</stp>
        <tr r="J485" s="1"/>
      </tp>
      <tp>
        <v>0.53593999999999997</v>
        <stp/>
        <stp>VEGA</stp>
        <stp>.SPY150930P210</stp>
        <tr r="U485" s="1"/>
      </tp>
      <tp>
        <v>0.53600999999999999</v>
        <stp/>
        <stp>VEGA</stp>
        <stp>.SPY150930C211</stp>
        <tr r="J487" s="1"/>
      </tp>
      <tp>
        <v>0.53671999999999997</v>
        <stp/>
        <stp>VEGA</stp>
        <stp>.SPY150930P211</stp>
        <tr r="U487" s="1"/>
      </tp>
      <tp>
        <v>0.53564999999999996</v>
        <stp/>
        <stp>VEGA</stp>
        <stp>.SPY150930C212</stp>
        <tr r="J489" s="1"/>
      </tp>
      <tp>
        <v>0.53595999999999999</v>
        <stp/>
        <stp>VEGA</stp>
        <stp>.SPY150930P212</stp>
        <tr r="U489" s="1"/>
      </tp>
      <tp>
        <v>0.53347</v>
        <stp/>
        <stp>VEGA</stp>
        <stp>.SPY150930C213</stp>
        <tr r="J491" s="1"/>
      </tp>
      <tp>
        <v>0.53352999999999995</v>
        <stp/>
        <stp>VEGA</stp>
        <stp>.SPY150930P213</stp>
        <tr r="U491" s="1"/>
      </tp>
      <tp>
        <v>0.52925</v>
        <stp/>
        <stp>VEGA</stp>
        <stp>.SPY150930C214</stp>
        <tr r="J493" s="1"/>
      </tp>
      <tp>
        <v>0.52932999999999997</v>
        <stp/>
        <stp>VEGA</stp>
        <stp>.SPY150930P214</stp>
        <tr r="U493" s="1"/>
      </tp>
      <tp>
        <v>0.52295999999999998</v>
        <stp/>
        <stp>VEGA</stp>
        <stp>.SPY150930C215</stp>
        <tr r="J495" s="1"/>
      </tp>
      <tp>
        <v>0.5232</v>
        <stp/>
        <stp>VEGA</stp>
        <stp>.SPY150930P215</stp>
        <tr r="U495" s="1"/>
      </tp>
      <tp t="s">
        <v>N/A</v>
        <stp/>
        <stp>VEGA</stp>
        <stp>.SPY150930C216</stp>
        <tr r="J497" s="1"/>
      </tp>
      <tp t="s">
        <v>N/A</v>
        <stp/>
        <stp>VEGA</stp>
        <stp>.SPY150930P216</stp>
        <tr r="U497" s="1"/>
      </tp>
      <tp t="s">
        <v>N/A</v>
        <stp/>
        <stp>VEGA</stp>
        <stp>.SPY150930C217</stp>
        <tr r="J499" s="1"/>
      </tp>
      <tp t="s">
        <v>N/A</v>
        <stp/>
        <stp>VEGA</stp>
        <stp>.SPY150930P217</stp>
        <tr r="U499" s="1"/>
      </tp>
      <tp>
        <v>0.69159999999999999</v>
        <stp/>
        <stp>VEGA</stp>
        <stp>.SPY160115C208</stp>
        <tr r="J607" s="1"/>
      </tp>
      <tp>
        <v>0.69467999999999996</v>
        <stp/>
        <stp>VEGA</stp>
        <stp>.SPY160115P208</stp>
        <tr r="U607" s="1"/>
      </tp>
      <tp>
        <v>0.69476000000000004</v>
        <stp/>
        <stp>VEGA</stp>
        <stp>.SPY160115C209</stp>
        <tr r="J609" s="1"/>
      </tp>
      <tp>
        <v>0.69706000000000001</v>
        <stp/>
        <stp>VEGA</stp>
        <stp>.SPY160115P209</stp>
        <tr r="U609" s="1"/>
      </tp>
      <tp>
        <v>0.68255999999999994</v>
        <stp/>
        <stp>VEGA</stp>
        <stp>.SPY160115C206</stp>
        <tr r="J603" s="1"/>
      </tp>
      <tp>
        <v>0.68735000000000002</v>
        <stp/>
        <stp>VEGA</stp>
        <stp>.SPY160115P206</stp>
        <tr r="U603" s="1"/>
      </tp>
      <tp>
        <v>0.68749000000000005</v>
        <stp/>
        <stp>VEGA</stp>
        <stp>.SPY160115C207</stp>
        <tr r="J605" s="1"/>
      </tp>
      <tp>
        <v>0.69142999999999999</v>
        <stp/>
        <stp>VEGA</stp>
        <stp>.SPY160115P207</stp>
        <tr r="U605" s="1"/>
      </tp>
      <tp>
        <v>0.67032999999999998</v>
        <stp/>
        <stp>VEGA</stp>
        <stp>.SPY160115C204</stp>
        <tr r="J599" s="1"/>
      </tp>
      <tp>
        <v>0.67701999999999996</v>
        <stp/>
        <stp>VEGA</stp>
        <stp>.SPY160115P204</stp>
        <tr r="U599" s="1"/>
      </tp>
      <tp>
        <v>0.67691000000000001</v>
        <stp/>
        <stp>VEGA</stp>
        <stp>.SPY160115C205</stp>
        <tr r="J601" s="1"/>
      </tp>
      <tp>
        <v>0.68254000000000004</v>
        <stp/>
        <stp>VEGA</stp>
        <stp>.SPY160115P205</stp>
        <tr r="U601" s="1"/>
      </tp>
      <tp>
        <v>0.65529000000000004</v>
        <stp/>
        <stp>VEGA</stp>
        <stp>.SPY160115C202</stp>
        <tr r="J595" s="1"/>
      </tp>
      <tp>
        <v>0.66408999999999996</v>
        <stp/>
        <stp>VEGA</stp>
        <stp>.SPY160115P202</stp>
        <tr r="U595" s="1"/>
      </tp>
      <tp>
        <v>0.66317000000000004</v>
        <stp/>
        <stp>VEGA</stp>
        <stp>.SPY160115C203</stp>
        <tr r="J597" s="1"/>
      </tp>
      <tp>
        <v>0.67086000000000001</v>
        <stp/>
        <stp>VEGA</stp>
        <stp>.SPY160115P203</stp>
        <tr r="U597" s="1"/>
      </tp>
      <tp>
        <v>0.63810999999999996</v>
        <stp/>
        <stp>VEGA</stp>
        <stp>.SPY160115C200</stp>
        <tr r="J591" s="1"/>
      </tp>
      <tp>
        <v>0.64914000000000005</v>
        <stp/>
        <stp>VEGA</stp>
        <stp>.SPY160115P200</stp>
        <tr r="U591" s="1"/>
      </tp>
      <tp>
        <v>0.64698999999999995</v>
        <stp/>
        <stp>VEGA</stp>
        <stp>.SPY160115C201</stp>
        <tr r="J593" s="1"/>
      </tp>
      <tp>
        <v>0.65686999999999995</v>
        <stp/>
        <stp>VEGA</stp>
        <stp>.SPY160115P201</stp>
        <tr r="U593" s="1"/>
      </tp>
      <tp>
        <v>0.66954999999999998</v>
        <stp/>
        <stp>VEGA</stp>
        <stp>.SPY160115C218</stp>
        <tr r="J627" s="1"/>
      </tp>
      <tp>
        <v>0.66908000000000001</v>
        <stp/>
        <stp>VEGA</stp>
        <stp>.SPY160115P218</stp>
        <tr r="U627" s="1"/>
      </tp>
      <tp t="s">
        <v>N/A</v>
        <stp/>
        <stp>VEGA</stp>
        <stp>.SPY160115C219</stp>
        <tr r="J629" s="1"/>
      </tp>
      <tp t="s">
        <v>N/A</v>
        <stp/>
        <stp>VEGA</stp>
        <stp>.SPY160115P219</stp>
        <tr r="U629" s="1"/>
      </tp>
      <tp>
        <v>0.68496999999999997</v>
        <stp/>
        <stp>VEGA</stp>
        <stp>.SPY160115C216</stp>
        <tr r="J623" s="1"/>
      </tp>
      <tp>
        <v>0.68366000000000005</v>
        <stp/>
        <stp>VEGA</stp>
        <stp>.SPY160115P216</stp>
        <tr r="U623" s="1"/>
      </tp>
      <tp>
        <v>0.67788000000000004</v>
        <stp/>
        <stp>VEGA</stp>
        <stp>.SPY160115C217</stp>
        <tr r="J625" s="1"/>
      </tp>
      <tp>
        <v>0.67717000000000005</v>
        <stp/>
        <stp>VEGA</stp>
        <stp>.SPY160115P217</stp>
        <tr r="U625" s="1"/>
      </tp>
      <tp>
        <v>0.69408000000000003</v>
        <stp/>
        <stp>VEGA</stp>
        <stp>.SPY160115C214</stp>
        <tr r="J619" s="1"/>
      </tp>
      <tp>
        <v>0.69350999999999996</v>
        <stp/>
        <stp>VEGA</stp>
        <stp>.SPY160115P214</stp>
        <tr r="U619" s="1"/>
      </tp>
      <tp>
        <v>0.69008000000000003</v>
        <stp/>
        <stp>VEGA</stp>
        <stp>.SPY160115C215</stp>
        <tr r="J621" s="1"/>
      </tp>
      <tp>
        <v>0.68955</v>
        <stp/>
        <stp>VEGA</stp>
        <stp>.SPY160115P215</stp>
        <tr r="U621" s="1"/>
      </tp>
      <tp>
        <v>0.69791000000000003</v>
        <stp/>
        <stp>VEGA</stp>
        <stp>.SPY160115C212</stp>
        <tr r="J615" s="1"/>
      </tp>
      <tp>
        <v>0.69826999999999995</v>
        <stp/>
        <stp>VEGA</stp>
        <stp>.SPY160115P212</stp>
        <tr r="U615" s="1"/>
      </tp>
      <tp>
        <v>0.69667999999999997</v>
        <stp/>
        <stp>VEGA</stp>
        <stp>.SPY160115C213</stp>
        <tr r="J617" s="1"/>
      </tp>
      <tp>
        <v>0.69650000000000001</v>
        <stp/>
        <stp>VEGA</stp>
        <stp>.SPY160115P213</stp>
        <tr r="U617" s="1"/>
      </tp>
      <tp>
        <v>0.69693000000000005</v>
        <stp/>
        <stp>VEGA</stp>
        <stp>.SPY160115C210</stp>
        <tr r="J611" s="1"/>
      </tp>
      <tp>
        <v>0.69849000000000006</v>
        <stp/>
        <stp>VEGA</stp>
        <stp>.SPY160115P210</stp>
        <tr r="U611" s="1"/>
      </tp>
      <tp>
        <v>0.69799</v>
        <stp/>
        <stp>VEGA</stp>
        <stp>.SPY160115C211</stp>
        <tr r="J613" s="1"/>
      </tp>
      <tp>
        <v>0.69891000000000003</v>
        <stp/>
        <stp>VEGA</stp>
        <stp>.SPY160115P211</stp>
        <tr r="U613" s="1"/>
      </tp>
      <tp t="s">
        <v>N/A</v>
        <stp/>
        <stp>VEGA</stp>
        <stp>.SPY170120C218</stp>
        <tr r="J837" s="1"/>
      </tp>
      <tp t="s">
        <v>N/A</v>
        <stp/>
        <stp>VEGA</stp>
        <stp>.SPY170120P218</stp>
        <tr r="U837" s="1"/>
      </tp>
      <tp t="s">
        <v>N/A</v>
        <stp/>
        <stp>VEGA</stp>
        <stp>.SPY170120C219</stp>
        <tr r="J839" s="1"/>
      </tp>
      <tp t="s">
        <v>N/A</v>
        <stp/>
        <stp>VEGA</stp>
        <stp>.SPY170120P219</stp>
        <tr r="U839" s="1"/>
      </tp>
      <tp t="s">
        <v>N/A</v>
        <stp/>
        <stp>VEGA</stp>
        <stp>.SPY170120C212</stp>
        <tr r="J825" s="1"/>
      </tp>
      <tp t="s">
        <v>N/A</v>
        <stp/>
        <stp>VEGA</stp>
        <stp>.SPY170120P212</stp>
        <tr r="U825" s="1"/>
      </tp>
      <tp t="s">
        <v>N/A</v>
        <stp/>
        <stp>VEGA</stp>
        <stp>.SPY170120C213</stp>
        <tr r="J827" s="1"/>
      </tp>
      <tp t="s">
        <v>N/A</v>
        <stp/>
        <stp>VEGA</stp>
        <stp>.SPY170120P213</stp>
        <tr r="U827" s="1"/>
      </tp>
      <tp>
        <v>1.0723800000000001</v>
        <stp/>
        <stp>VEGA</stp>
        <stp>.SPY170120C210</stp>
        <tr r="J821" s="1"/>
      </tp>
      <tp>
        <v>1.07283</v>
        <stp/>
        <stp>VEGA</stp>
        <stp>.SPY170120P210</stp>
        <tr r="U821" s="1"/>
      </tp>
      <tp t="s">
        <v>N/A</v>
        <stp/>
        <stp>VEGA</stp>
        <stp>.SPY170120C211</stp>
        <tr r="J823" s="1"/>
      </tp>
      <tp t="s">
        <v>N/A</v>
        <stp/>
        <stp>VEGA</stp>
        <stp>.SPY170120P211</stp>
        <tr r="U823" s="1"/>
      </tp>
      <tp t="s">
        <v>N/A</v>
        <stp/>
        <stp>VEGA</stp>
        <stp>.SPY170120C216</stp>
        <tr r="J833" s="1"/>
      </tp>
      <tp t="s">
        <v>N/A</v>
        <stp/>
        <stp>VEGA</stp>
        <stp>.SPY170120P216</stp>
        <tr r="U833" s="1"/>
      </tp>
      <tp t="s">
        <v>N/A</v>
        <stp/>
        <stp>VEGA</stp>
        <stp>.SPY170120C217</stp>
        <tr r="J835" s="1"/>
      </tp>
      <tp t="s">
        <v>N/A</v>
        <stp/>
        <stp>VEGA</stp>
        <stp>.SPY170120P217</stp>
        <tr r="U835" s="1"/>
      </tp>
      <tp t="s">
        <v>N/A</v>
        <stp/>
        <stp>VEGA</stp>
        <stp>.SPY170120C214</stp>
        <tr r="J829" s="1"/>
      </tp>
      <tp t="s">
        <v>N/A</v>
        <stp/>
        <stp>VEGA</stp>
        <stp>.SPY170120P214</stp>
        <tr r="U829" s="1"/>
      </tp>
      <tp>
        <v>1.0743400000000001</v>
        <stp/>
        <stp>VEGA</stp>
        <stp>.SPY170120C215</stp>
        <tr r="J831" s="1"/>
      </tp>
      <tp>
        <v>1.0685800000000001</v>
        <stp/>
        <stp>VEGA</stp>
        <stp>.SPY170120P215</stp>
        <tr r="U831" s="1"/>
      </tp>
      <tp t="s">
        <v>N/A</v>
        <stp/>
        <stp>VEGA</stp>
        <stp>.SPY170120C208</stp>
        <tr r="J817" s="1"/>
      </tp>
      <tp t="s">
        <v>N/A</v>
        <stp/>
        <stp>VEGA</stp>
        <stp>.SPY170120P208</stp>
        <tr r="U817" s="1"/>
      </tp>
      <tp t="s">
        <v>N/A</v>
        <stp/>
        <stp>VEGA</stp>
        <stp>.SPY170120C209</stp>
        <tr r="J819" s="1"/>
      </tp>
      <tp t="s">
        <v>N/A</v>
        <stp/>
        <stp>VEGA</stp>
        <stp>.SPY170120P209</stp>
        <tr r="U819" s="1"/>
      </tp>
      <tp t="s">
        <v>N/A</v>
        <stp/>
        <stp>VEGA</stp>
        <stp>.SPY170120C202</stp>
        <tr r="J805" s="1"/>
      </tp>
      <tp t="s">
        <v>N/A</v>
        <stp/>
        <stp>VEGA</stp>
        <stp>.SPY170120P202</stp>
        <tr r="U805" s="1"/>
      </tp>
      <tp t="s">
        <v>N/A</v>
        <stp/>
        <stp>VEGA</stp>
        <stp>.SPY170120C203</stp>
        <tr r="J807" s="1"/>
      </tp>
      <tp t="s">
        <v>N/A</v>
        <stp/>
        <stp>VEGA</stp>
        <stp>.SPY170120P203</stp>
        <tr r="U807" s="1"/>
      </tp>
      <tp>
        <v>1.03051</v>
        <stp/>
        <stp>VEGA</stp>
        <stp>.SPY170120C200</stp>
        <tr r="J801" s="1"/>
      </tp>
      <tp>
        <v>1.0417400000000001</v>
        <stp/>
        <stp>VEGA</stp>
        <stp>.SPY170120P200</stp>
        <tr r="U801" s="1"/>
      </tp>
      <tp t="s">
        <v>N/A</v>
        <stp/>
        <stp>VEGA</stp>
        <stp>.SPY170120C201</stp>
        <tr r="J803" s="1"/>
      </tp>
      <tp t="s">
        <v>N/A</v>
        <stp/>
        <stp>VEGA</stp>
        <stp>.SPY170120P201</stp>
        <tr r="U803" s="1"/>
      </tp>
      <tp t="s">
        <v>N/A</v>
        <stp/>
        <stp>VEGA</stp>
        <stp>.SPY170120C206</stp>
        <tr r="J813" s="1"/>
      </tp>
      <tp t="s">
        <v>N/A</v>
        <stp/>
        <stp>VEGA</stp>
        <stp>.SPY170120P206</stp>
        <tr r="U813" s="1"/>
      </tp>
      <tp t="s">
        <v>N/A</v>
        <stp/>
        <stp>VEGA</stp>
        <stp>.SPY170120C207</stp>
        <tr r="J815" s="1"/>
      </tp>
      <tp t="s">
        <v>N/A</v>
        <stp/>
        <stp>VEGA</stp>
        <stp>.SPY170120P207</stp>
        <tr r="U815" s="1"/>
      </tp>
      <tp t="s">
        <v>N/A</v>
        <stp/>
        <stp>VEGA</stp>
        <stp>.SPY170120C204</stp>
        <tr r="J809" s="1"/>
      </tp>
      <tp t="s">
        <v>N/A</v>
        <stp/>
        <stp>VEGA</stp>
        <stp>.SPY170120P204</stp>
        <tr r="U809" s="1"/>
      </tp>
      <tp>
        <v>1.05708</v>
        <stp/>
        <stp>VEGA</stp>
        <stp>.SPY170120C205</stp>
        <tr r="J811" s="1"/>
      </tp>
      <tp>
        <v>1.0630200000000001</v>
        <stp/>
        <stp>VEGA</stp>
        <stp>.SPY170120P205</stp>
        <tr r="U811" s="1"/>
      </tp>
      <tp>
        <v>0.60794000000000004</v>
        <stp/>
        <stp>VEGA</stp>
        <stp>.SPY151219C201</stp>
        <tr r="J509" s="1"/>
      </tp>
      <tp>
        <v>0.61807000000000001</v>
        <stp/>
        <stp>VEGA</stp>
        <stp>.SPY151219P201</stp>
        <tr r="U509" s="1"/>
      </tp>
      <tp>
        <v>0.59870999999999996</v>
        <stp/>
        <stp>VEGA</stp>
        <stp>.SPY151219C200</stp>
        <tr r="J507" s="1"/>
      </tp>
      <tp>
        <v>0.61019000000000001</v>
        <stp/>
        <stp>VEGA</stp>
        <stp>.SPY151219P200</stp>
        <tr r="U507" s="1"/>
      </tp>
      <tp>
        <v>0.62483</v>
        <stp/>
        <stp>VEGA</stp>
        <stp>.SPY151219C203</stp>
        <tr r="J513" s="1"/>
      </tp>
      <tp>
        <v>0.63254999999999995</v>
        <stp/>
        <stp>VEGA</stp>
        <stp>.SPY151219P203</stp>
        <tr r="U513" s="1"/>
      </tp>
      <tp>
        <v>0.61665000000000003</v>
        <stp/>
        <stp>VEGA</stp>
        <stp>.SPY151219C202</stp>
        <tr r="J511" s="1"/>
      </tp>
      <tp>
        <v>0.62548000000000004</v>
        <stp/>
        <stp>VEGA</stp>
        <stp>.SPY151219P202</stp>
        <tr r="U511" s="1"/>
      </tp>
      <tp>
        <v>0.63902000000000003</v>
        <stp/>
        <stp>VEGA</stp>
        <stp>.SPY151219C205</stp>
        <tr r="J517" s="1"/>
      </tp>
      <tp t="s">
        <v>N/A</v>
        <stp/>
        <stp>VEGA</stp>
        <stp>.SPY161216C209</stp>
        <tr r="J777" s="1"/>
      </tp>
      <tp>
        <v>0.64468999999999999</v>
        <stp/>
        <stp>VEGA</stp>
        <stp>.SPY151219P205</stp>
        <tr r="U517" s="1"/>
      </tp>
      <tp t="s">
        <v>N/A</v>
        <stp/>
        <stp>VEGA</stp>
        <stp>.SPY161216P209</stp>
        <tr r="U777" s="1"/>
      </tp>
      <tp>
        <v>0.63222999999999996</v>
        <stp/>
        <stp>VEGA</stp>
        <stp>.SPY151219C204</stp>
        <tr r="J515" s="1"/>
      </tp>
      <tp t="s">
        <v>N/A</v>
        <stp/>
        <stp>VEGA</stp>
        <stp>.SPY161216C208</stp>
        <tr r="J775" s="1"/>
      </tp>
      <tp>
        <v>0.63888999999999996</v>
        <stp/>
        <stp>VEGA</stp>
        <stp>.SPY151219P204</stp>
        <tr r="U515" s="1"/>
      </tp>
      <tp t="s">
        <v>N/A</v>
        <stp/>
        <stp>VEGA</stp>
        <stp>.SPY161216P208</stp>
        <tr r="U775" s="1"/>
      </tp>
      <tp>
        <v>0.65020999999999995</v>
        <stp/>
        <stp>VEGA</stp>
        <stp>.SPY151219C207</stp>
        <tr r="J521" s="1"/>
      </tp>
      <tp t="s">
        <v>N/A</v>
        <stp/>
        <stp>VEGA</stp>
        <stp>.SPY171215C209</stp>
        <tr r="J903" s="1"/>
      </tp>
      <tp>
        <v>0.65400000000000003</v>
        <stp/>
        <stp>VEGA</stp>
        <stp>.SPY151219P207</stp>
        <tr r="U521" s="1"/>
      </tp>
      <tp t="s">
        <v>N/A</v>
        <stp/>
        <stp>VEGA</stp>
        <stp>.SPY171215P209</stp>
        <tr r="U903" s="1"/>
      </tp>
      <tp>
        <v>0.64500999999999997</v>
        <stp/>
        <stp>VEGA</stp>
        <stp>.SPY151219C206</stp>
        <tr r="J519" s="1"/>
      </tp>
      <tp t="s">
        <v>N/A</v>
        <stp/>
        <stp>VEGA</stp>
        <stp>.SPY171215C208</stp>
        <tr r="J901" s="1"/>
      </tp>
      <tp>
        <v>0.64970000000000006</v>
        <stp/>
        <stp>VEGA</stp>
        <stp>.SPY151219P206</stp>
        <tr r="U519" s="1"/>
      </tp>
      <tp t="s">
        <v>N/A</v>
        <stp/>
        <stp>VEGA</stp>
        <stp>.SPY171215P208</stp>
        <tr r="U901" s="1"/>
      </tp>
      <tp>
        <v>0.65783000000000003</v>
        <stp/>
        <stp>VEGA</stp>
        <stp>.SPY151219C209</stp>
        <tr r="J525" s="1"/>
      </tp>
      <tp>
        <v>1.02834</v>
        <stp/>
        <stp>VEGA</stp>
        <stp>.SPY161216C205</stp>
        <tr r="J769" s="1"/>
      </tp>
      <tp t="s">
        <v>N/A</v>
        <stp/>
        <stp>VEGA</stp>
        <stp>.SPY171215C207</stp>
        <tr r="J899" s="1"/>
      </tp>
      <tp>
        <v>0.65996999999999995</v>
        <stp/>
        <stp>VEGA</stp>
        <stp>.SPY151219P209</stp>
        <tr r="U525" s="1"/>
      </tp>
      <tp>
        <v>1.0342</v>
        <stp/>
        <stp>VEGA</stp>
        <stp>.SPY161216P205</stp>
        <tr r="U769" s="1"/>
      </tp>
      <tp t="s">
        <v>N/A</v>
        <stp/>
        <stp>VEGA</stp>
        <stp>.SPY171215P207</stp>
        <tr r="U899" s="1"/>
      </tp>
      <tp>
        <v>0.65449999999999997</v>
        <stp/>
        <stp>VEGA</stp>
        <stp>.SPY151219C208</stp>
        <tr r="J523" s="1"/>
      </tp>
      <tp t="s">
        <v>N/A</v>
        <stp/>
        <stp>VEGA</stp>
        <stp>.SPY161216C204</stp>
        <tr r="J767" s="1"/>
      </tp>
      <tp t="s">
        <v>N/A</v>
        <stp/>
        <stp>VEGA</stp>
        <stp>.SPY171215C206</stp>
        <tr r="J897" s="1"/>
      </tp>
      <tp>
        <v>0.65742999999999996</v>
        <stp/>
        <stp>VEGA</stp>
        <stp>.SPY151219P208</stp>
        <tr r="U523" s="1"/>
      </tp>
      <tp t="s">
        <v>N/A</v>
        <stp/>
        <stp>VEGA</stp>
        <stp>.SPY161216P204</stp>
        <tr r="U767" s="1"/>
      </tp>
      <tp t="s">
        <v>N/A</v>
        <stp/>
        <stp>VEGA</stp>
        <stp>.SPY171215P206</stp>
        <tr r="U897" s="1"/>
      </tp>
      <tp t="s">
        <v>N/A</v>
        <stp/>
        <stp>VEGA</stp>
        <stp>.SPY161216C207</stp>
        <tr r="J773" s="1"/>
      </tp>
      <tp>
        <v>1.2893600000000001</v>
        <stp/>
        <stp>VEGA</stp>
        <stp>.SPY171215C205</stp>
        <tr r="J895" s="1"/>
      </tp>
      <tp t="s">
        <v>N/A</v>
        <stp/>
        <stp>VEGA</stp>
        <stp>.SPY161216P207</stp>
        <tr r="U773" s="1"/>
      </tp>
      <tp>
        <v>1.29497</v>
        <stp/>
        <stp>VEGA</stp>
        <stp>.SPY171215P205</stp>
        <tr r="U895" s="1"/>
      </tp>
      <tp t="s">
        <v>N/A</v>
        <stp/>
        <stp>VEGA</stp>
        <stp>.SPY161216C206</stp>
        <tr r="J771" s="1"/>
      </tp>
      <tp t="s">
        <v>N/A</v>
        <stp/>
        <stp>VEGA</stp>
        <stp>.SPY171215C204</stp>
        <tr r="J893" s="1"/>
      </tp>
      <tp t="s">
        <v>N/A</v>
        <stp/>
        <stp>VEGA</stp>
        <stp>.SPY161216P206</stp>
        <tr r="U771" s="1"/>
      </tp>
      <tp t="s">
        <v>N/A</v>
        <stp/>
        <stp>VEGA</stp>
        <stp>.SPY171215P204</stp>
        <tr r="U893" s="1"/>
      </tp>
      <tp t="s">
        <v>N/A</v>
        <stp/>
        <stp>VEGA</stp>
        <stp>.SPY161216C201</stp>
        <tr r="J761" s="1"/>
      </tp>
      <tp t="s">
        <v>N/A</v>
        <stp/>
        <stp>VEGA</stp>
        <stp>.SPY171215C203</stp>
        <tr r="J891" s="1"/>
      </tp>
      <tp t="s">
        <v>N/A</v>
        <stp/>
        <stp>VEGA</stp>
        <stp>.SPY161216P201</stp>
        <tr r="U761" s="1"/>
      </tp>
      <tp t="s">
        <v>N/A</v>
        <stp/>
        <stp>VEGA</stp>
        <stp>.SPY171215P203</stp>
        <tr r="U891" s="1"/>
      </tp>
      <tp>
        <v>1.0013099999999999</v>
        <stp/>
        <stp>VEGA</stp>
        <stp>.SPY161216C200</stp>
        <tr r="J759" s="1"/>
      </tp>
      <tp t="s">
        <v>N/A</v>
        <stp/>
        <stp>VEGA</stp>
        <stp>.SPY171215C202</stp>
        <tr r="J889" s="1"/>
      </tp>
      <tp>
        <v>1.01244</v>
        <stp/>
        <stp>VEGA</stp>
        <stp>.SPY161216P200</stp>
        <tr r="U759" s="1"/>
      </tp>
      <tp t="s">
        <v>N/A</v>
        <stp/>
        <stp>VEGA</stp>
        <stp>.SPY171215P202</stp>
        <tr r="U889" s="1"/>
      </tp>
      <tp t="s">
        <v>N/A</v>
        <stp/>
        <stp>VEGA</stp>
        <stp>.SPY161216C203</stp>
        <tr r="J765" s="1"/>
      </tp>
      <tp t="s">
        <v>N/A</v>
        <stp/>
        <stp>VEGA</stp>
        <stp>.SPY171215C201</stp>
        <tr r="J887" s="1"/>
      </tp>
      <tp t="s">
        <v>N/A</v>
        <stp/>
        <stp>VEGA</stp>
        <stp>.SPY161216P203</stp>
        <tr r="U765" s="1"/>
      </tp>
      <tp t="s">
        <v>N/A</v>
        <stp/>
        <stp>VEGA</stp>
        <stp>.SPY171215P201</stp>
        <tr r="U887" s="1"/>
      </tp>
      <tp t="s">
        <v>N/A</v>
        <stp/>
        <stp>VEGA</stp>
        <stp>.SPY161216C202</stp>
        <tr r="J763" s="1"/>
      </tp>
      <tp>
        <v>1.2647900000000001</v>
        <stp/>
        <stp>VEGA</stp>
        <stp>.SPY171215C200</stp>
        <tr r="J885" s="1"/>
      </tp>
      <tp t="s">
        <v>N/A</v>
        <stp/>
        <stp>VEGA</stp>
        <stp>.SPY161216P202</stp>
        <tr r="U763" s="1"/>
      </tp>
      <tp>
        <v>1.2769900000000001</v>
        <stp/>
        <stp>VEGA</stp>
        <stp>.SPY171215P200</stp>
        <tr r="U885" s="1"/>
      </tp>
      <tp>
        <v>0.66117999999999999</v>
        <stp/>
        <stp>VEGA</stp>
        <stp>.SPY151219C211</stp>
        <tr r="J529" s="1"/>
      </tp>
      <tp>
        <v>0.66205000000000003</v>
        <stp/>
        <stp>VEGA</stp>
        <stp>.SPY151219P211</stp>
        <tr r="U529" s="1"/>
      </tp>
      <tp>
        <v>0.66008999999999995</v>
        <stp/>
        <stp>VEGA</stp>
        <stp>.SPY151219C210</stp>
        <tr r="J527" s="1"/>
      </tp>
      <tp>
        <v>0.66154000000000002</v>
        <stp/>
        <stp>VEGA</stp>
        <stp>.SPY151219P210</stp>
        <tr r="U527" s="1"/>
      </tp>
      <tp>
        <v>0.65964999999999996</v>
        <stp/>
        <stp>VEGA</stp>
        <stp>.SPY151219C213</stp>
        <tr r="J533" s="1"/>
      </tp>
      <tp>
        <v>0.65964999999999996</v>
        <stp/>
        <stp>VEGA</stp>
        <stp>.SPY151219P213</stp>
        <tr r="U533" s="1"/>
      </tp>
      <tp>
        <v>0.66103999999999996</v>
        <stp/>
        <stp>VEGA</stp>
        <stp>.SPY151219C212</stp>
        <tr r="J531" s="1"/>
      </tp>
      <tp>
        <v>0.66144000000000003</v>
        <stp/>
        <stp>VEGA</stp>
        <stp>.SPY151219P212</stp>
        <tr r="U531" s="1"/>
      </tp>
      <tp>
        <v>0.65266999999999997</v>
        <stp/>
        <stp>VEGA</stp>
        <stp>.SPY151219C215</stp>
        <tr r="J537" s="1"/>
      </tp>
      <tp t="s">
        <v>N/A</v>
        <stp/>
        <stp>VEGA</stp>
        <stp>.SPY161216C219</stp>
        <tr r="J797" s="1"/>
      </tp>
      <tp>
        <v>0.65254999999999996</v>
        <stp/>
        <stp>VEGA</stp>
        <stp>.SPY151219P215</stp>
        <tr r="U537" s="1"/>
      </tp>
      <tp t="s">
        <v>N/A</v>
        <stp/>
        <stp>VEGA</stp>
        <stp>.SPY161216P219</stp>
        <tr r="U797" s="1"/>
      </tp>
      <tp>
        <v>0.65676999999999996</v>
        <stp/>
        <stp>VEGA</stp>
        <stp>.SPY151219C214</stp>
        <tr r="J535" s="1"/>
      </tp>
      <tp t="s">
        <v>N/A</v>
        <stp/>
        <stp>VEGA</stp>
        <stp>.SPY161216C218</stp>
        <tr r="J795" s="1"/>
      </tp>
      <tp>
        <v>0.65661999999999998</v>
        <stp/>
        <stp>VEGA</stp>
        <stp>.SPY151219P214</stp>
        <tr r="U535" s="1"/>
      </tp>
      <tp t="s">
        <v>N/A</v>
        <stp/>
        <stp>VEGA</stp>
        <stp>.SPY161216P218</stp>
        <tr r="U795" s="1"/>
      </tp>
      <tp>
        <v>0.63927</v>
        <stp/>
        <stp>VEGA</stp>
        <stp>.SPY151219C217</stp>
        <tr r="J541" s="1"/>
      </tp>
      <tp t="s">
        <v>N/A</v>
        <stp/>
        <stp>VEGA</stp>
        <stp>.SPY171215C219</stp>
        <tr r="J923" s="1"/>
      </tp>
      <tp>
        <v>0.63946999999999998</v>
        <stp/>
        <stp>VEGA</stp>
        <stp>.SPY151219P217</stp>
        <tr r="U541" s="1"/>
      </tp>
      <tp t="s">
        <v>N/A</v>
        <stp/>
        <stp>VEGA</stp>
        <stp>.SPY171215P219</stp>
        <tr r="U923" s="1"/>
      </tp>
      <tp>
        <v>0.64659999999999995</v>
        <stp/>
        <stp>VEGA</stp>
        <stp>.SPY151219C216</stp>
        <tr r="J539" s="1"/>
      </tp>
      <tp t="s">
        <v>N/A</v>
        <stp/>
        <stp>VEGA</stp>
        <stp>.SPY171215C218</stp>
        <tr r="J921" s="1"/>
      </tp>
      <tp>
        <v>0.64659999999999995</v>
        <stp/>
        <stp>VEGA</stp>
        <stp>.SPY151219P216</stp>
        <tr r="U539" s="1"/>
      </tp>
      <tp t="s">
        <v>N/A</v>
        <stp/>
        <stp>VEGA</stp>
        <stp>.SPY171215P218</stp>
        <tr r="U921" s="1"/>
      </tp>
      <tp>
        <v>0.62014000000000002</v>
        <stp/>
        <stp>VEGA</stp>
        <stp>.SPY151219C219</stp>
        <tr r="J545" s="1"/>
      </tp>
      <tp>
        <v>1.0451900000000001</v>
        <stp/>
        <stp>VEGA</stp>
        <stp>.SPY161216C215</stp>
        <tr r="J789" s="1"/>
      </tp>
      <tp t="s">
        <v>N/A</v>
        <stp/>
        <stp>VEGA</stp>
        <stp>.SPY171215C217</stp>
        <tr r="J919" s="1"/>
      </tp>
      <tp>
        <v>0.62173</v>
        <stp/>
        <stp>VEGA</stp>
        <stp>.SPY151219P219</stp>
        <tr r="U545" s="1"/>
      </tp>
      <tp>
        <v>1.0400799999999999</v>
        <stp/>
        <stp>VEGA</stp>
        <stp>.SPY161216P215</stp>
        <tr r="U789" s="1"/>
      </tp>
      <tp t="s">
        <v>N/A</v>
        <stp/>
        <stp>VEGA</stp>
        <stp>.SPY171215P217</stp>
        <tr r="U919" s="1"/>
      </tp>
      <tp>
        <v>0.63032999999999995</v>
        <stp/>
        <stp>VEGA</stp>
        <stp>.SPY151219C218</stp>
        <tr r="J543" s="1"/>
      </tp>
      <tp t="s">
        <v>N/A</v>
        <stp/>
        <stp>VEGA</stp>
        <stp>.SPY161216C214</stp>
        <tr r="J787" s="1"/>
      </tp>
      <tp t="s">
        <v>N/A</v>
        <stp/>
        <stp>VEGA</stp>
        <stp>.SPY171215C216</stp>
        <tr r="J917" s="1"/>
      </tp>
      <tp>
        <v>0.63144999999999996</v>
        <stp/>
        <stp>VEGA</stp>
        <stp>.SPY151219P218</stp>
        <tr r="U543" s="1"/>
      </tp>
      <tp t="s">
        <v>N/A</v>
        <stp/>
        <stp>VEGA</stp>
        <stp>.SPY161216P214</stp>
        <tr r="U787" s="1"/>
      </tp>
      <tp t="s">
        <v>N/A</v>
        <stp/>
        <stp>VEGA</stp>
        <stp>.SPY171215P216</stp>
        <tr r="U917" s="1"/>
      </tp>
      <tp t="s">
        <v>N/A</v>
        <stp/>
        <stp>VEGA</stp>
        <stp>.SPY161216C217</stp>
        <tr r="J793" s="1"/>
      </tp>
      <tp>
        <v>1.31199</v>
        <stp/>
        <stp>VEGA</stp>
        <stp>.SPY171215C215</stp>
        <tr r="J915" s="1"/>
      </tp>
      <tp t="s">
        <v>N/A</v>
        <stp/>
        <stp>VEGA</stp>
        <stp>.SPY161216P217</stp>
        <tr r="U793" s="1"/>
      </tp>
      <tp>
        <v>1.3006899999999999</v>
        <stp/>
        <stp>VEGA</stp>
        <stp>.SPY171215P215</stp>
        <tr r="U915" s="1"/>
      </tp>
      <tp t="s">
        <v>N/A</v>
        <stp/>
        <stp>VEGA</stp>
        <stp>.SPY161216C216</stp>
        <tr r="J791" s="1"/>
      </tp>
      <tp t="s">
        <v>N/A</v>
        <stp/>
        <stp>VEGA</stp>
        <stp>.SPY171215C214</stp>
        <tr r="J913" s="1"/>
      </tp>
      <tp t="s">
        <v>N/A</v>
        <stp/>
        <stp>VEGA</stp>
        <stp>.SPY161216P216</stp>
        <tr r="U791" s="1"/>
      </tp>
      <tp t="s">
        <v>N/A</v>
        <stp/>
        <stp>VEGA</stp>
        <stp>.SPY171215P214</stp>
        <tr r="U913" s="1"/>
      </tp>
      <tp t="s">
        <v>N/A</v>
        <stp/>
        <stp>VEGA</stp>
        <stp>.SPY161216C211</stp>
        <tr r="J781" s="1"/>
      </tp>
      <tp t="s">
        <v>N/A</v>
        <stp/>
        <stp>VEGA</stp>
        <stp>.SPY171215C213</stp>
        <tr r="J911" s="1"/>
      </tp>
      <tp t="s">
        <v>N/A</v>
        <stp/>
        <stp>VEGA</stp>
        <stp>.SPY161216P211</stp>
        <tr r="U781" s="1"/>
      </tp>
      <tp t="s">
        <v>N/A</v>
        <stp/>
        <stp>VEGA</stp>
        <stp>.SPY171215P213</stp>
        <tr r="U911" s="1"/>
      </tp>
      <tp>
        <v>1.0436700000000001</v>
        <stp/>
        <stp>VEGA</stp>
        <stp>.SPY161216C210</stp>
        <tr r="J779" s="1"/>
      </tp>
      <tp t="s">
        <v>N/A</v>
        <stp/>
        <stp>VEGA</stp>
        <stp>.SPY171215C212</stp>
        <tr r="J909" s="1"/>
      </tp>
      <tp>
        <v>1.0442100000000001</v>
        <stp/>
        <stp>VEGA</stp>
        <stp>.SPY161216P210</stp>
        <tr r="U779" s="1"/>
      </tp>
      <tp t="s">
        <v>N/A</v>
        <stp/>
        <stp>VEGA</stp>
        <stp>.SPY171215P212</stp>
        <tr r="U909" s="1"/>
      </tp>
      <tp t="s">
        <v>N/A</v>
        <stp/>
        <stp>VEGA</stp>
        <stp>.SPY161216C213</stp>
        <tr r="J785" s="1"/>
      </tp>
      <tp t="s">
        <v>N/A</v>
        <stp/>
        <stp>VEGA</stp>
        <stp>.SPY171215C211</stp>
        <tr r="J907" s="1"/>
      </tp>
      <tp t="s">
        <v>N/A</v>
        <stp/>
        <stp>VEGA</stp>
        <stp>.SPY161216P213</stp>
        <tr r="U785" s="1"/>
      </tp>
      <tp t="s">
        <v>N/A</v>
        <stp/>
        <stp>VEGA</stp>
        <stp>.SPY171215P211</stp>
        <tr r="U907" s="1"/>
      </tp>
      <tp t="s">
        <v>N/A</v>
        <stp/>
        <stp>VEGA</stp>
        <stp>.SPY161216C212</stp>
        <tr r="J783" s="1"/>
      </tp>
      <tp>
        <v>1.3052699999999999</v>
        <stp/>
        <stp>VEGA</stp>
        <stp>.SPY171215C210</stp>
        <tr r="J905" s="1"/>
      </tp>
      <tp t="s">
        <v>N/A</v>
        <stp/>
        <stp>VEGA</stp>
        <stp>.SPY161216P212</stp>
        <tr r="U783" s="1"/>
      </tp>
      <tp>
        <v>1.3035000000000001</v>
        <stp/>
        <stp>VEGA</stp>
        <stp>.SPY171215P210</stp>
        <tr r="U905" s="1"/>
      </tp>
      <tp>
        <v>0.67452000000000001</v>
        <stp/>
        <stp>VEGA</stp>
        <stp>.SPY151231C209</stp>
        <tr r="J567" s="1"/>
      </tp>
      <tp>
        <v>0.67673000000000005</v>
        <stp/>
        <stp>VEGA</stp>
        <stp>.SPY151231P209</stp>
        <tr r="U567" s="1"/>
      </tp>
      <tp>
        <v>0.67127000000000003</v>
        <stp/>
        <stp>VEGA</stp>
        <stp>.SPY151231C208</stp>
        <tr r="J565" s="1"/>
      </tp>
      <tp>
        <v>0.67427000000000004</v>
        <stp/>
        <stp>VEGA</stp>
        <stp>.SPY151231P208</stp>
        <tr r="U565" s="1"/>
      </tp>
      <tp>
        <v>0.62556999999999996</v>
        <stp/>
        <stp>VEGA</stp>
        <stp>.SPY151231C201</stp>
        <tr r="J551" s="1"/>
      </tp>
      <tp>
        <v>0.63571</v>
        <stp/>
        <stp>VEGA</stp>
        <stp>.SPY151231P201</stp>
        <tr r="U551" s="1"/>
      </tp>
      <tp>
        <v>0.61636000000000002</v>
        <stp/>
        <stp>VEGA</stp>
        <stp>.SPY151231C200</stp>
        <tr r="J549" s="1"/>
      </tp>
      <tp>
        <v>0.62787000000000004</v>
        <stp/>
        <stp>VEGA</stp>
        <stp>.SPY151231P200</stp>
        <tr r="U549" s="1"/>
      </tp>
      <tp>
        <v>0.6421</v>
        <stp/>
        <stp>VEGA</stp>
        <stp>.SPY151231C203</stp>
        <tr r="J555" s="1"/>
      </tp>
      <tp>
        <v>0.64973999999999998</v>
        <stp/>
        <stp>VEGA</stp>
        <stp>.SPY151231P203</stp>
        <tr r="U555" s="1"/>
      </tp>
      <tp>
        <v>0.63407000000000002</v>
        <stp/>
        <stp>VEGA</stp>
        <stp>.SPY151231C202</stp>
        <tr r="J553" s="1"/>
      </tp>
      <tp>
        <v>0.64293999999999996</v>
        <stp/>
        <stp>VEGA</stp>
        <stp>.SPY151231P202</stp>
        <tr r="U553" s="1"/>
      </tp>
      <tp>
        <v>0.65612999999999999</v>
        <stp/>
        <stp>VEGA</stp>
        <stp>.SPY151231C205</stp>
        <tr r="J559" s="1"/>
      </tp>
      <tp>
        <v>0.66176999999999997</v>
        <stp/>
        <stp>VEGA</stp>
        <stp>.SPY151231P205</stp>
        <tr r="U559" s="1"/>
      </tp>
      <tp>
        <v>0.64942999999999995</v>
        <stp/>
        <stp>VEGA</stp>
        <stp>.SPY151231C204</stp>
        <tr r="J557" s="1"/>
      </tp>
      <tp>
        <v>0.65613999999999995</v>
        <stp/>
        <stp>VEGA</stp>
        <stp>.SPY151231P204</stp>
        <tr r="U557" s="1"/>
      </tp>
      <tp>
        <v>0.66710000000000003</v>
        <stp/>
        <stp>VEGA</stp>
        <stp>.SPY151231C207</stp>
        <tr r="J563" s="1"/>
      </tp>
      <tp>
        <v>0.67091999999999996</v>
        <stp/>
        <stp>VEGA</stp>
        <stp>.SPY151231P207</stp>
        <tr r="U563" s="1"/>
      </tp>
      <tp>
        <v>0.66198000000000001</v>
        <stp/>
        <stp>VEGA</stp>
        <stp>.SPY151231C206</stp>
        <tr r="J561" s="1"/>
      </tp>
      <tp>
        <v>0.66671999999999998</v>
        <stp/>
        <stp>VEGA</stp>
        <stp>.SPY151231P206</stp>
        <tr r="U561" s="1"/>
      </tp>
      <tp>
        <v>0.63807999999999998</v>
        <stp/>
        <stp>VEGA</stp>
        <stp>.SPY151231C219</stp>
        <tr r="J587" s="1"/>
      </tp>
      <tp>
        <v>0.63888999999999996</v>
        <stp/>
        <stp>VEGA</stp>
        <stp>.SPY151231P219</stp>
        <tr r="U587" s="1"/>
      </tp>
      <tp>
        <v>0.64825999999999995</v>
        <stp/>
        <stp>VEGA</stp>
        <stp>.SPY151231C218</stp>
        <tr r="J585" s="1"/>
      </tp>
      <tp>
        <v>0.64851999999999999</v>
        <stp/>
        <stp>VEGA</stp>
        <stp>.SPY151231P218</stp>
        <tr r="U585" s="1"/>
      </tp>
      <tp>
        <v>0.67781999999999998</v>
        <stp/>
        <stp>VEGA</stp>
        <stp>.SPY151231C211</stp>
        <tr r="J571" s="1"/>
      </tp>
      <tp>
        <v>0.67869999999999997</v>
        <stp/>
        <stp>VEGA</stp>
        <stp>.SPY151231P211</stp>
        <tr r="U571" s="1"/>
      </tp>
      <tp>
        <v>0.67671999999999999</v>
        <stp/>
        <stp>VEGA</stp>
        <stp>.SPY151231C210</stp>
        <tr r="J569" s="1"/>
      </tp>
      <tp>
        <v>0.67823</v>
        <stp/>
        <stp>VEGA</stp>
        <stp>.SPY151231P210</stp>
        <tr r="U569" s="1"/>
      </tp>
      <tp>
        <v>0.6764</v>
        <stp/>
        <stp>VEGA</stp>
        <stp>.SPY151231C213</stp>
        <tr r="J575" s="1"/>
      </tp>
      <tp>
        <v>0.67635000000000001</v>
        <stp/>
        <stp>VEGA</stp>
        <stp>.SPY151231P213</stp>
        <tr r="U575" s="1"/>
      </tp>
      <tp>
        <v>0.67771999999999999</v>
        <stp/>
        <stp>VEGA</stp>
        <stp>.SPY151231C212</stp>
        <tr r="J573" s="1"/>
      </tp>
      <tp>
        <v>0.67808000000000002</v>
        <stp/>
        <stp>VEGA</stp>
        <stp>.SPY151231P212</stp>
        <tr r="U573" s="1"/>
      </tp>
      <tp>
        <v>0.66949000000000003</v>
        <stp/>
        <stp>VEGA</stp>
        <stp>.SPY151231C215</stp>
        <tr r="J579" s="1"/>
      </tp>
      <tp>
        <v>0.66907000000000005</v>
        <stp/>
        <stp>VEGA</stp>
        <stp>.SPY151231P215</stp>
        <tr r="U579" s="1"/>
      </tp>
      <tp>
        <v>0.67362999999999995</v>
        <stp/>
        <stp>VEGA</stp>
        <stp>.SPY151231C214</stp>
        <tr r="J577" s="1"/>
      </tp>
      <tp>
        <v>0.67332000000000003</v>
        <stp/>
        <stp>VEGA</stp>
        <stp>.SPY151231P214</stp>
        <tr r="U577" s="1"/>
      </tp>
      <tp>
        <v>0.65668000000000004</v>
        <stp/>
        <stp>VEGA</stp>
        <stp>.SPY151231C217</stp>
        <tr r="J583" s="1"/>
      </tp>
      <tp>
        <v>0.65642</v>
        <stp/>
        <stp>VEGA</stp>
        <stp>.SPY151231P217</stp>
        <tr r="U583" s="1"/>
      </tp>
      <tp>
        <v>0.66385000000000005</v>
        <stp/>
        <stp>VEGA</stp>
        <stp>.SPY151231C216</stp>
        <tr r="J581" s="1"/>
      </tp>
      <tp>
        <v>0.66332000000000002</v>
        <stp/>
        <stp>VEGA</stp>
        <stp>.SPY151231P216</stp>
        <tr r="U581" s="1"/>
      </tp>
      <tp t="s">
        <v>N/A</v>
        <stp/>
        <stp>VEGA</stp>
        <stp>.SPY160318C203</stp>
        <tr r="J639" s="1"/>
      </tp>
      <tp t="s">
        <v>N/A</v>
        <stp/>
        <stp>VEGA</stp>
        <stp>.SPY160318P203</stp>
        <tr r="U639" s="1"/>
      </tp>
      <tp t="s">
        <v>N/A</v>
        <stp/>
        <stp>VEGA</stp>
        <stp>.SPY160318C202</stp>
        <tr r="J637" s="1"/>
      </tp>
      <tp t="s">
        <v>N/A</v>
        <stp/>
        <stp>VEGA</stp>
        <stp>.SPY160318P202</stp>
        <tr r="U637" s="1"/>
      </tp>
      <tp t="s">
        <v>N/A</v>
        <stp/>
        <stp>VEGA</stp>
        <stp>.SPY160318C201</stp>
        <tr r="J635" s="1"/>
      </tp>
      <tp t="s">
        <v>N/A</v>
        <stp/>
        <stp>VEGA</stp>
        <stp>.SPY160318P201</stp>
        <tr r="U635" s="1"/>
      </tp>
      <tp>
        <v>0.72326999999999997</v>
        <stp/>
        <stp>VEGA</stp>
        <stp>.SPY160318C200</stp>
        <tr r="J633" s="1"/>
      </tp>
      <tp>
        <v>0.73416000000000003</v>
        <stp/>
        <stp>VEGA</stp>
        <stp>.SPY160318P200</stp>
        <tr r="U633" s="1"/>
      </tp>
      <tp t="s">
        <v>N/A</v>
        <stp/>
        <stp>VEGA</stp>
        <stp>.SPY160318C207</stp>
        <tr r="J647" s="1"/>
      </tp>
      <tp t="s">
        <v>N/A</v>
        <stp/>
        <stp>VEGA</stp>
        <stp>.SPY170317C209</stp>
        <tr r="J861" s="1"/>
      </tp>
      <tp t="s">
        <v>N/A</v>
        <stp/>
        <stp>VEGA</stp>
        <stp>.SPY160318P207</stp>
        <tr r="U647" s="1"/>
      </tp>
      <tp t="s">
        <v>N/A</v>
        <stp/>
        <stp>VEGA</stp>
        <stp>.SPY170317P209</stp>
        <tr r="U861" s="1"/>
      </tp>
      <tp t="s">
        <v>N/A</v>
        <stp/>
        <stp>VEGA</stp>
        <stp>.SPY160318C206</stp>
        <tr r="J645" s="1"/>
      </tp>
      <tp t="s">
        <v>N/A</v>
        <stp/>
        <stp>VEGA</stp>
        <stp>.SPY170317C208</stp>
        <tr r="J859" s="1"/>
      </tp>
      <tp t="s">
        <v>N/A</v>
        <stp/>
        <stp>VEGA</stp>
        <stp>.SPY160318P206</stp>
        <tr r="U645" s="1"/>
      </tp>
      <tp t="s">
        <v>N/A</v>
        <stp/>
        <stp>VEGA</stp>
        <stp>.SPY170317P208</stp>
        <tr r="U859" s="1"/>
      </tp>
      <tp>
        <v>0.75777000000000005</v>
        <stp/>
        <stp>VEGA</stp>
        <stp>.SPY160318C205</stp>
        <tr r="J643" s="1"/>
      </tp>
      <tp>
        <v>0.76337999999999995</v>
        <stp/>
        <stp>VEGA</stp>
        <stp>.SPY160318P205</stp>
        <tr r="U643" s="1"/>
      </tp>
      <tp t="s">
        <v>N/A</v>
        <stp/>
        <stp>VEGA</stp>
        <stp>.SPY160318C204</stp>
        <tr r="J641" s="1"/>
      </tp>
      <tp t="s">
        <v>N/A</v>
        <stp/>
        <stp>VEGA</stp>
        <stp>.SPY160318P204</stp>
        <tr r="U641" s="1"/>
      </tp>
      <tp>
        <v>1.10134</v>
        <stp/>
        <stp>VEGA</stp>
        <stp>.SPY170317C205</stp>
        <tr r="J853" s="1"/>
      </tp>
      <tp>
        <v>1.1071299999999999</v>
        <stp/>
        <stp>VEGA</stp>
        <stp>.SPY170317P205</stp>
        <tr r="U853" s="1"/>
      </tp>
      <tp t="s">
        <v>N/A</v>
        <stp/>
        <stp>VEGA</stp>
        <stp>.SPY170317C204</stp>
        <tr r="J851" s="1"/>
      </tp>
      <tp t="s">
        <v>N/A</v>
        <stp/>
        <stp>VEGA</stp>
        <stp>.SPY170317P204</stp>
        <tr r="U851" s="1"/>
      </tp>
      <tp t="s">
        <v>N/A</v>
        <stp/>
        <stp>VEGA</stp>
        <stp>.SPY160318C209</stp>
        <tr r="J651" s="1"/>
      </tp>
      <tp t="s">
        <v>N/A</v>
        <stp/>
        <stp>VEGA</stp>
        <stp>.SPY170317C207</stp>
        <tr r="J857" s="1"/>
      </tp>
      <tp t="s">
        <v>N/A</v>
        <stp/>
        <stp>VEGA</stp>
        <stp>.SPY160318P209</stp>
        <tr r="U651" s="1"/>
      </tp>
      <tp t="s">
        <v>N/A</v>
        <stp/>
        <stp>VEGA</stp>
        <stp>.SPY170317P207</stp>
        <tr r="U857" s="1"/>
      </tp>
      <tp t="s">
        <v>N/A</v>
        <stp/>
        <stp>VEGA</stp>
        <stp>.SPY160318C208</stp>
        <tr r="J649" s="1"/>
      </tp>
      <tp t="s">
        <v>N/A</v>
        <stp/>
        <stp>VEGA</stp>
        <stp>.SPY170317C206</stp>
        <tr r="J855" s="1"/>
      </tp>
      <tp t="s">
        <v>N/A</v>
        <stp/>
        <stp>VEGA</stp>
        <stp>.SPY160318P208</stp>
        <tr r="U649" s="1"/>
      </tp>
      <tp t="s">
        <v>N/A</v>
        <stp/>
        <stp>VEGA</stp>
        <stp>.SPY170317P206</stp>
        <tr r="U855" s="1"/>
      </tp>
      <tp t="s">
        <v>N/A</v>
        <stp/>
        <stp>VEGA</stp>
        <stp>.SPY170317C201</stp>
        <tr r="J845" s="1"/>
      </tp>
      <tp t="s">
        <v>N/A</v>
        <stp/>
        <stp>VEGA</stp>
        <stp>.SPY170317P201</stp>
        <tr r="U845" s="1"/>
      </tp>
      <tp>
        <v>1.0752299999999999</v>
        <stp/>
        <stp>VEGA</stp>
        <stp>.SPY170317C200</stp>
        <tr r="J843" s="1"/>
      </tp>
      <tp>
        <v>1.0866100000000001</v>
        <stp/>
        <stp>VEGA</stp>
        <stp>.SPY170317P200</stp>
        <tr r="U843" s="1"/>
      </tp>
      <tp t="s">
        <v>N/A</v>
        <stp/>
        <stp>VEGA</stp>
        <stp>.SPY170317C203</stp>
        <tr r="J849" s="1"/>
      </tp>
      <tp t="s">
        <v>N/A</v>
        <stp/>
        <stp>VEGA</stp>
        <stp>.SPY170317P203</stp>
        <tr r="U849" s="1"/>
      </tp>
      <tp t="s">
        <v>N/A</v>
        <stp/>
        <stp>VEGA</stp>
        <stp>.SPY170317C202</stp>
        <tr r="J847" s="1"/>
      </tp>
      <tp t="s">
        <v>N/A</v>
        <stp/>
        <stp>VEGA</stp>
        <stp>.SPY170317P202</stp>
        <tr r="U847" s="1"/>
      </tp>
      <tp t="s">
        <v>N/A</v>
        <stp/>
        <stp>VEGA</stp>
        <stp>.SPY160318C213</stp>
        <tr r="J659" s="1"/>
      </tp>
      <tp t="s">
        <v>N/A</v>
        <stp/>
        <stp>VEGA</stp>
        <stp>.SPY160318P213</stp>
        <tr r="U659" s="1"/>
      </tp>
      <tp t="s">
        <v>N/A</v>
        <stp/>
        <stp>VEGA</stp>
        <stp>.SPY160318C212</stp>
        <tr r="J657" s="1"/>
      </tp>
      <tp t="s">
        <v>N/A</v>
        <stp/>
        <stp>VEGA</stp>
        <stp>.SPY160318P212</stp>
        <tr r="U657" s="1"/>
      </tp>
      <tp t="s">
        <v>N/A</v>
        <stp/>
        <stp>VEGA</stp>
        <stp>.SPY160318C211</stp>
        <tr r="J655" s="1"/>
      </tp>
      <tp t="s">
        <v>N/A</v>
        <stp/>
        <stp>VEGA</stp>
        <stp>.SPY160318P211</stp>
        <tr r="U655" s="1"/>
      </tp>
      <tp>
        <v>0.77568999999999999</v>
        <stp/>
        <stp>VEGA</stp>
        <stp>.SPY160318C210</stp>
        <tr r="J653" s="1"/>
      </tp>
      <tp>
        <v>0.77712000000000003</v>
        <stp/>
        <stp>VEGA</stp>
        <stp>.SPY160318P210</stp>
        <tr r="U653" s="1"/>
      </tp>
      <tp t="s">
        <v>N/A</v>
        <stp/>
        <stp>VEGA</stp>
        <stp>.SPY160318C217</stp>
        <tr r="J667" s="1"/>
      </tp>
      <tp t="s">
        <v>N/A</v>
        <stp/>
        <stp>VEGA</stp>
        <stp>.SPY170317C219</stp>
        <tr r="J881" s="1"/>
      </tp>
      <tp t="s">
        <v>N/A</v>
        <stp/>
        <stp>VEGA</stp>
        <stp>.SPY160318P217</stp>
        <tr r="U667" s="1"/>
      </tp>
      <tp t="s">
        <v>N/A</v>
        <stp/>
        <stp>VEGA</stp>
        <stp>.SPY170317P219</stp>
        <tr r="U881" s="1"/>
      </tp>
      <tp t="s">
        <v>N/A</v>
        <stp/>
        <stp>VEGA</stp>
        <stp>.SPY160318C216</stp>
        <tr r="J665" s="1"/>
      </tp>
      <tp t="s">
        <v>N/A</v>
        <stp/>
        <stp>VEGA</stp>
        <stp>.SPY170317C218</stp>
        <tr r="J879" s="1"/>
      </tp>
      <tp t="s">
        <v>N/A</v>
        <stp/>
        <stp>VEGA</stp>
        <stp>.SPY160318P216</stp>
        <tr r="U665" s="1"/>
      </tp>
      <tp t="s">
        <v>N/A</v>
        <stp/>
        <stp>VEGA</stp>
        <stp>.SPY170317P218</stp>
        <tr r="U879" s="1"/>
      </tp>
      <tp>
        <v>0.77153000000000005</v>
        <stp/>
        <stp>VEGA</stp>
        <stp>.SPY160318C215</stp>
        <tr r="J663" s="1"/>
      </tp>
      <tp>
        <v>0.77</v>
        <stp/>
        <stp>VEGA</stp>
        <stp>.SPY160318P215</stp>
        <tr r="U663" s="1"/>
      </tp>
      <tp t="s">
        <v>N/A</v>
        <stp/>
        <stp>VEGA</stp>
        <stp>.SPY160318C214</stp>
        <tr r="J661" s="1"/>
      </tp>
      <tp t="s">
        <v>N/A</v>
        <stp/>
        <stp>VEGA</stp>
        <stp>.SPY160318P214</stp>
        <tr r="U661" s="1"/>
      </tp>
      <tp>
        <v>1.11965</v>
        <stp/>
        <stp>VEGA</stp>
        <stp>.SPY170317C215</stp>
        <tr r="J873" s="1"/>
      </tp>
      <tp>
        <v>1.11287</v>
        <stp/>
        <stp>VEGA</stp>
        <stp>.SPY170317P215</stp>
        <tr r="U873" s="1"/>
      </tp>
      <tp t="s">
        <v>N/A</v>
        <stp/>
        <stp>VEGA</stp>
        <stp>.SPY170317C214</stp>
        <tr r="J871" s="1"/>
      </tp>
      <tp t="s">
        <v>N/A</v>
        <stp/>
        <stp>VEGA</stp>
        <stp>.SPY170317P214</stp>
        <tr r="U871" s="1"/>
      </tp>
      <tp t="s">
        <v>N/A</v>
        <stp/>
        <stp>VEGA</stp>
        <stp>.SPY160318C219</stp>
        <tr r="J671" s="1"/>
      </tp>
      <tp t="s">
        <v>N/A</v>
        <stp/>
        <stp>VEGA</stp>
        <stp>.SPY170317C217</stp>
        <tr r="J877" s="1"/>
      </tp>
      <tp t="s">
        <v>N/A</v>
        <stp/>
        <stp>VEGA</stp>
        <stp>.SPY160318P219</stp>
        <tr r="U671" s="1"/>
      </tp>
      <tp t="s">
        <v>N/A</v>
        <stp/>
        <stp>VEGA</stp>
        <stp>.SPY170317P217</stp>
        <tr r="U877" s="1"/>
      </tp>
      <tp t="s">
        <v>N/A</v>
        <stp/>
        <stp>VEGA</stp>
        <stp>.SPY160318C218</stp>
        <tr r="J669" s="1"/>
      </tp>
      <tp t="s">
        <v>N/A</v>
        <stp/>
        <stp>VEGA</stp>
        <stp>.SPY170317C216</stp>
        <tr r="J875" s="1"/>
      </tp>
      <tp t="s">
        <v>N/A</v>
        <stp/>
        <stp>VEGA</stp>
        <stp>.SPY160318P218</stp>
        <tr r="U669" s="1"/>
      </tp>
      <tp t="s">
        <v>N/A</v>
        <stp/>
        <stp>VEGA</stp>
        <stp>.SPY170317P216</stp>
        <tr r="U875" s="1"/>
      </tp>
      <tp t="s">
        <v>N/A</v>
        <stp/>
        <stp>VEGA</stp>
        <stp>.SPY170317C211</stp>
        <tr r="J865" s="1"/>
      </tp>
      <tp t="s">
        <v>N/A</v>
        <stp/>
        <stp>VEGA</stp>
        <stp>.SPY170317P211</stp>
        <tr r="U865" s="1"/>
      </tp>
      <tp>
        <v>1.1165799999999999</v>
        <stp/>
        <stp>VEGA</stp>
        <stp>.SPY170317C210</stp>
        <tr r="J863" s="1"/>
      </tp>
      <tp>
        <v>1.1166</v>
        <stp/>
        <stp>VEGA</stp>
        <stp>.SPY170317P210</stp>
        <tr r="U863" s="1"/>
      </tp>
      <tp t="s">
        <v>N/A</v>
        <stp/>
        <stp>VEGA</stp>
        <stp>.SPY170317C213</stp>
        <tr r="J869" s="1"/>
      </tp>
      <tp t="s">
        <v>N/A</v>
        <stp/>
        <stp>VEGA</stp>
        <stp>.SPY170317P213</stp>
        <tr r="U869" s="1"/>
      </tp>
      <tp t="s">
        <v>N/A</v>
        <stp/>
        <stp>VEGA</stp>
        <stp>.SPY170317C212</stp>
        <tr r="J867" s="1"/>
      </tp>
      <tp t="s">
        <v>N/A</v>
        <stp/>
        <stp>VEGA</stp>
        <stp>.SPY170317P212</stp>
        <tr r="U867" s="1"/>
      </tp>
      <tp t="s">
        <v>N/A</v>
        <stp/>
        <stp>VEGA</stp>
        <stp>.SPY150417C209</stp>
        <tr r="J21" s="1"/>
      </tp>
      <tp t="s">
        <v>N/A</v>
        <stp/>
        <stp>VEGA</stp>
        <stp>.SPY150417P209</stp>
        <tr r="U21" s="1"/>
      </tp>
      <tp t="s">
        <v>N/A</v>
        <stp/>
        <stp>VEGA</stp>
        <stp>.SPY150417C208</stp>
        <tr r="J19" s="1"/>
      </tp>
      <tp t="s">
        <v>N/A</v>
        <stp/>
        <stp>VEGA</stp>
        <stp>.SPY150417P208</stp>
        <tr r="U19" s="1"/>
      </tp>
      <tp t="s">
        <v>N/A</v>
        <stp/>
        <stp>VEGA</stp>
        <stp>.SPY150417C207</stp>
        <tr r="J17" s="1"/>
      </tp>
      <tp t="s">
        <v>N/A</v>
        <stp/>
        <stp>VEGA</stp>
        <stp>.SPY150417P207</stp>
        <tr r="U17" s="1"/>
      </tp>
      <tp t="s">
        <v>N/A</v>
        <stp/>
        <stp>VEGA</stp>
        <stp>.SPY150417C206</stp>
        <tr r="J15" s="1"/>
      </tp>
      <tp t="s">
        <v>N/A</v>
        <stp/>
        <stp>VEGA</stp>
        <stp>.SPY150417P206</stp>
        <tr r="U15" s="1"/>
      </tp>
      <tp t="s">
        <v>N/A</v>
        <stp/>
        <stp>VEGA</stp>
        <stp>.SPY150417C205</stp>
        <tr r="J13" s="1"/>
      </tp>
      <tp t="s">
        <v>N/A</v>
        <stp/>
        <stp>VEGA</stp>
        <stp>.SPY150417P205</stp>
        <tr r="U13" s="1"/>
      </tp>
      <tp t="s">
        <v>N/A</v>
        <stp/>
        <stp>VEGA</stp>
        <stp>.SPY150417C204</stp>
        <tr r="J11" s="1"/>
      </tp>
      <tp t="s">
        <v>N/A</v>
        <stp/>
        <stp>VEGA</stp>
        <stp>.SPY150417P204</stp>
        <tr r="U11" s="1"/>
      </tp>
      <tp t="s">
        <v>N/A</v>
        <stp/>
        <stp>VEGA</stp>
        <stp>.SPY150417C203</stp>
        <tr r="J9" s="1"/>
      </tp>
      <tp t="s">
        <v>N/A</v>
        <stp/>
        <stp>VEGA</stp>
        <stp>.SPY150417P203</stp>
        <tr r="U9" s="1"/>
      </tp>
      <tp t="s">
        <v>N/A</v>
        <stp/>
        <stp>VEGA</stp>
        <stp>.SPY150417C202</stp>
        <tr r="J7" s="1"/>
      </tp>
      <tp t="s">
        <v>N/A</v>
        <stp/>
        <stp>VEGA</stp>
        <stp>.SPY150417P202</stp>
        <tr r="U7" s="1"/>
      </tp>
      <tp t="s">
        <v>N/A</v>
        <stp/>
        <stp>VEGA</stp>
        <stp>.SPY150417C201</stp>
        <tr r="J5" s="1"/>
      </tp>
      <tp t="s">
        <v>N/A</v>
        <stp/>
        <stp>VEGA</stp>
        <stp>.SPY150417P201</stp>
        <tr r="U5" s="1"/>
      </tp>
      <tp t="s">
        <v>N/A</v>
        <stp/>
        <stp>VEGA</stp>
        <stp>.SPY150417C200</stp>
        <tr r="J3" s="1"/>
      </tp>
      <tp t="s">
        <v>N/A</v>
        <stp/>
        <stp>VEGA</stp>
        <stp>.SPY150417P200</stp>
        <tr r="U3" s="1"/>
      </tp>
      <tp t="s">
        <v>N/A</v>
        <stp/>
        <stp>VEGA</stp>
        <stp>.SPY150417C219</stp>
        <tr r="J41" s="1"/>
      </tp>
      <tp t="s">
        <v>N/A</v>
        <stp/>
        <stp>VEGA</stp>
        <stp>.SPY150417P219</stp>
        <tr r="U41" s="1"/>
      </tp>
      <tp t="s">
        <v>N/A</v>
        <stp/>
        <stp>VEGA</stp>
        <stp>.SPY150417C218</stp>
        <tr r="J39" s="1"/>
      </tp>
      <tp t="s">
        <v>N/A</v>
        <stp/>
        <stp>VEGA</stp>
        <stp>.SPY150417P218</stp>
        <tr r="U39" s="1"/>
      </tp>
      <tp t="s">
        <v>N/A</v>
        <stp/>
        <stp>VEGA</stp>
        <stp>.SPY150417C217</stp>
        <tr r="J37" s="1"/>
      </tp>
      <tp t="s">
        <v>N/A</v>
        <stp/>
        <stp>VEGA</stp>
        <stp>.SPY150417P217</stp>
        <tr r="U37" s="1"/>
      </tp>
      <tp t="s">
        <v>N/A</v>
        <stp/>
        <stp>VEGA</stp>
        <stp>.SPY150417C216</stp>
        <tr r="J35" s="1"/>
      </tp>
      <tp t="s">
        <v>N/A</v>
        <stp/>
        <stp>VEGA</stp>
        <stp>.SPY150417P216</stp>
        <tr r="U35" s="1"/>
      </tp>
      <tp t="s">
        <v>N/A</v>
        <stp/>
        <stp>VEGA</stp>
        <stp>.SPY150417C215</stp>
        <tr r="J33" s="1"/>
      </tp>
      <tp t="s">
        <v>N/A</v>
        <stp/>
        <stp>VEGA</stp>
        <stp>.SPY150417P215</stp>
        <tr r="U33" s="1"/>
      </tp>
      <tp t="s">
        <v>N/A</v>
        <stp/>
        <stp>VEGA</stp>
        <stp>.SPY150417C214</stp>
        <tr r="J31" s="1"/>
      </tp>
      <tp t="s">
        <v>N/A</v>
        <stp/>
        <stp>VEGA</stp>
        <stp>.SPY150417P214</stp>
        <tr r="U31" s="1"/>
      </tp>
      <tp t="s">
        <v>N/A</v>
        <stp/>
        <stp>VEGA</stp>
        <stp>.SPY150417C213</stp>
        <tr r="J29" s="1"/>
      </tp>
      <tp t="s">
        <v>N/A</v>
        <stp/>
        <stp>VEGA</stp>
        <stp>.SPY150417P213</stp>
        <tr r="U29" s="1"/>
      </tp>
      <tp t="s">
        <v>N/A</v>
        <stp/>
        <stp>VEGA</stp>
        <stp>.SPY150417C212</stp>
        <tr r="J27" s="1"/>
      </tp>
      <tp t="s">
        <v>N/A</v>
        <stp/>
        <stp>VEGA</stp>
        <stp>.SPY150417P212</stp>
        <tr r="U27" s="1"/>
      </tp>
      <tp t="s">
        <v>N/A</v>
        <stp/>
        <stp>VEGA</stp>
        <stp>.SPY150417C211</stp>
        <tr r="J25" s="1"/>
      </tp>
      <tp t="s">
        <v>N/A</v>
        <stp/>
        <stp>VEGA</stp>
        <stp>.SPY150417P211</stp>
        <tr r="U25" s="1"/>
      </tp>
      <tp t="s">
        <v>N/A</v>
        <stp/>
        <stp>VEGA</stp>
        <stp>.SPY150417C210</stp>
        <tr r="J23" s="1"/>
      </tp>
      <tp t="s">
        <v>N/A</v>
        <stp/>
        <stp>VEGA</stp>
        <stp>.SPY150417P210</stp>
        <tr r="U23" s="1"/>
      </tp>
      <tp t="s">
        <v>N/A</v>
        <stp/>
        <stp>VEGA</stp>
        <stp>.SPY150424C218</stp>
        <tr r="J81" s="1"/>
      </tp>
      <tp t="s">
        <v>N/A</v>
        <stp/>
        <stp>VEGA</stp>
        <stp>.SPY150424P218</stp>
        <tr r="U81" s="1"/>
      </tp>
      <tp t="s">
        <v>N/A</v>
        <stp/>
        <stp>VEGA</stp>
        <stp>.SPY150424C219</stp>
        <tr r="J83" s="1"/>
      </tp>
      <tp t="s">
        <v>N/A</v>
        <stp/>
        <stp>VEGA</stp>
        <stp>.SPY150424P219</stp>
        <tr r="U83" s="1"/>
      </tp>
      <tp t="s">
        <v>N/A</v>
        <stp/>
        <stp>VEGA</stp>
        <stp>.SPY150424C214</stp>
        <tr r="J73" s="1"/>
      </tp>
      <tp t="s">
        <v>N/A</v>
        <stp/>
        <stp>VEGA</stp>
        <stp>.SPY150424P214</stp>
        <tr r="U73" s="1"/>
      </tp>
      <tp t="s">
        <v>N/A</v>
        <stp/>
        <stp>VEGA</stp>
        <stp>.SPY150424C215</stp>
        <tr r="J75" s="1"/>
      </tp>
      <tp t="s">
        <v>N/A</v>
        <stp/>
        <stp>VEGA</stp>
        <stp>.SPY150424P215</stp>
        <tr r="U75" s="1"/>
      </tp>
      <tp t="s">
        <v>N/A</v>
        <stp/>
        <stp>VEGA</stp>
        <stp>.SPY150424C216</stp>
        <tr r="J77" s="1"/>
      </tp>
      <tp t="s">
        <v>N/A</v>
        <stp/>
        <stp>VEGA</stp>
        <stp>.SPY150424P216</stp>
        <tr r="U77" s="1"/>
      </tp>
      <tp t="s">
        <v>N/A</v>
        <stp/>
        <stp>VEGA</stp>
        <stp>.SPY150424C217</stp>
        <tr r="J79" s="1"/>
      </tp>
      <tp t="s">
        <v>N/A</v>
        <stp/>
        <stp>VEGA</stp>
        <stp>.SPY150424P217</stp>
        <tr r="U79" s="1"/>
      </tp>
      <tp t="s">
        <v>N/A</v>
        <stp/>
        <stp>VEGA</stp>
        <stp>.SPY150424C210</stp>
        <tr r="J65" s="1"/>
      </tp>
      <tp t="s">
        <v>N/A</v>
        <stp/>
        <stp>VEGA</stp>
        <stp>.SPY150424P210</stp>
        <tr r="U65" s="1"/>
      </tp>
      <tp t="s">
        <v>N/A</v>
        <stp/>
        <stp>VEGA</stp>
        <stp>.SPY150424C211</stp>
        <tr r="J67" s="1"/>
      </tp>
      <tp t="s">
        <v>N/A</v>
        <stp/>
        <stp>VEGA</stp>
        <stp>.SPY150424P211</stp>
        <tr r="U67" s="1"/>
      </tp>
      <tp t="s">
        <v>N/A</v>
        <stp/>
        <stp>VEGA</stp>
        <stp>.SPY150424C212</stp>
        <tr r="J69" s="1"/>
      </tp>
      <tp t="s">
        <v>N/A</v>
        <stp/>
        <stp>VEGA</stp>
        <stp>.SPY150424P212</stp>
        <tr r="U69" s="1"/>
      </tp>
      <tp t="s">
        <v>N/A</v>
        <stp/>
        <stp>VEGA</stp>
        <stp>.SPY150424C213</stp>
        <tr r="J71" s="1"/>
      </tp>
      <tp t="s">
        <v>N/A</v>
        <stp/>
        <stp>VEGA</stp>
        <stp>.SPY150424P213</stp>
        <tr r="U71" s="1"/>
      </tp>
      <tp t="s">
        <v>N/A</v>
        <stp/>
        <stp>VEGA</stp>
        <stp>.SPY150424C208</stp>
        <tr r="J61" s="1"/>
      </tp>
      <tp t="s">
        <v>N/A</v>
        <stp/>
        <stp>VEGA</stp>
        <stp>.SPY150424P208</stp>
        <tr r="U61" s="1"/>
      </tp>
      <tp t="s">
        <v>N/A</v>
        <stp/>
        <stp>VEGA</stp>
        <stp>.SPY150424C209</stp>
        <tr r="J63" s="1"/>
      </tp>
      <tp t="s">
        <v>N/A</v>
        <stp/>
        <stp>VEGA</stp>
        <stp>.SPY150424P209</stp>
        <tr r="U63" s="1"/>
      </tp>
      <tp t="s">
        <v>N/A</v>
        <stp/>
        <stp>VEGA</stp>
        <stp>.SPY150424C204</stp>
        <tr r="J53" s="1"/>
      </tp>
      <tp t="s">
        <v>N/A</v>
        <stp/>
        <stp>VEGA</stp>
        <stp>.SPY150424P204</stp>
        <tr r="U53" s="1"/>
      </tp>
      <tp t="s">
        <v>N/A</v>
        <stp/>
        <stp>VEGA</stp>
        <stp>.SPY150424C205</stp>
        <tr r="J55" s="1"/>
      </tp>
      <tp t="s">
        <v>N/A</v>
        <stp/>
        <stp>VEGA</stp>
        <stp>.SPY150424P205</stp>
        <tr r="U55" s="1"/>
      </tp>
      <tp t="s">
        <v>N/A</v>
        <stp/>
        <stp>VEGA</stp>
        <stp>.SPY150424C206</stp>
        <tr r="J57" s="1"/>
      </tp>
      <tp t="s">
        <v>N/A</v>
        <stp/>
        <stp>VEGA</stp>
        <stp>.SPY150424P206</stp>
        <tr r="U57" s="1"/>
      </tp>
      <tp t="s">
        <v>N/A</v>
        <stp/>
        <stp>VEGA</stp>
        <stp>.SPY150424C207</stp>
        <tr r="J59" s="1"/>
      </tp>
      <tp t="s">
        <v>N/A</v>
        <stp/>
        <stp>VEGA</stp>
        <stp>.SPY150424P207</stp>
        <tr r="U59" s="1"/>
      </tp>
      <tp t="s">
        <v>N/A</v>
        <stp/>
        <stp>VEGA</stp>
        <stp>.SPY150424C200</stp>
        <tr r="J45" s="1"/>
      </tp>
      <tp t="s">
        <v>N/A</v>
        <stp/>
        <stp>VEGA</stp>
        <stp>.SPY150424P200</stp>
        <tr r="U45" s="1"/>
      </tp>
      <tp t="s">
        <v>N/A</v>
        <stp/>
        <stp>VEGA</stp>
        <stp>.SPY150424C201</stp>
        <tr r="J47" s="1"/>
      </tp>
      <tp t="s">
        <v>N/A</v>
        <stp/>
        <stp>VEGA</stp>
        <stp>.SPY150424P201</stp>
        <tr r="U47" s="1"/>
      </tp>
      <tp t="s">
        <v>N/A</v>
        <stp/>
        <stp>VEGA</stp>
        <stp>.SPY150424C202</stp>
        <tr r="J49" s="1"/>
      </tp>
      <tp t="s">
        <v>N/A</v>
        <stp/>
        <stp>VEGA</stp>
        <stp>.SPY150424P202</stp>
        <tr r="U49" s="1"/>
      </tp>
      <tp t="s">
        <v>N/A</v>
        <stp/>
        <stp>VEGA</stp>
        <stp>.SPY150424C203</stp>
        <tr r="J51" s="1"/>
      </tp>
      <tp t="s">
        <v>N/A</v>
        <stp/>
        <stp>VEGA</stp>
        <stp>.SPY150424P203</stp>
        <tr r="U51" s="1"/>
      </tp>
      <tp t="s">
        <v>N/A</v>
        <stp/>
        <stp>VEGA</stp>
        <stp>.SPY150501C219</stp>
        <tr r="J125" s="1"/>
      </tp>
      <tp>
        <v>8.6970000000000006E-2</v>
        <stp/>
        <stp>VEGA</stp>
        <stp>.SPY150508C210</stp>
        <tr r="J149" s="1"/>
      </tp>
      <tp t="s">
        <v>N/A</v>
        <stp/>
        <stp>VEGA</stp>
        <stp>.SPY150501P219</stp>
        <tr r="U125" s="1"/>
      </tp>
      <tp>
        <v>8.6440000000000003E-2</v>
        <stp/>
        <stp>VEGA</stp>
        <stp>.SPY150508P210</stp>
        <tr r="U149" s="1"/>
      </tp>
      <tp t="s">
        <v>N/A</v>
        <stp/>
        <stp>VEGA</stp>
        <stp>.SPY150501C218</stp>
        <tr r="J123" s="1"/>
      </tp>
      <tp>
        <v>9.7299999999999998E-2</v>
        <stp/>
        <stp>VEGA</stp>
        <stp>.SPY150508C211</stp>
        <tr r="J151" s="1"/>
      </tp>
      <tp t="s">
        <v>N/A</v>
        <stp/>
        <stp>VEGA</stp>
        <stp>.SPY150501P218</stp>
        <tr r="U123" s="1"/>
      </tp>
      <tp>
        <v>9.7309999999999994E-2</v>
        <stp/>
        <stp>VEGA</stp>
        <stp>.SPY150508P211</stp>
        <tr r="U151" s="1"/>
      </tp>
      <tp>
        <v>9.5930000000000001E-2</v>
        <stp/>
        <stp>VEGA</stp>
        <stp>.SPY150508C212</stp>
        <tr r="J153" s="1"/>
      </tp>
      <tp>
        <v>9.579E-2</v>
        <stp/>
        <stp>VEGA</stp>
        <stp>.SPY150508P212</stp>
        <tr r="U153" s="1"/>
      </tp>
      <tp>
        <v>7.5219999999999995E-2</v>
        <stp/>
        <stp>VEGA</stp>
        <stp>.SPY150508C213</stp>
        <tr r="J155" s="1"/>
      </tp>
      <tp>
        <v>7.3590000000000003E-2</v>
        <stp/>
        <stp>VEGA</stp>
        <stp>.SPY150508P213</stp>
        <tr r="U155" s="1"/>
      </tp>
      <tp>
        <v>4.4049999999999999E-2</v>
        <stp/>
        <stp>VEGA</stp>
        <stp>.SPY150508C214</stp>
        <tr r="J157" s="1"/>
      </tp>
      <tp>
        <v>0.13349</v>
        <stp/>
        <stp>VEGA</stp>
        <stp>.SPY150515C209</stp>
        <tr r="J189" s="1"/>
      </tp>
      <tp>
        <v>4.4310000000000002E-2</v>
        <stp/>
        <stp>VEGA</stp>
        <stp>.SPY150508P214</stp>
        <tr r="U157" s="1"/>
      </tp>
      <tp>
        <v>0.1326</v>
        <stp/>
        <stp>VEGA</stp>
        <stp>.SPY150515P209</stp>
        <tr r="U189" s="1"/>
      </tp>
      <tp>
        <v>2.2679999999999999E-2</v>
        <stp/>
        <stp>VEGA</stp>
        <stp>.SPY150508C215</stp>
        <tr r="J159" s="1"/>
      </tp>
      <tp>
        <v>0.11922000000000001</v>
        <stp/>
        <stp>VEGA</stp>
        <stp>.SPY150515C208</stp>
        <tr r="J187" s="1"/>
      </tp>
      <tp>
        <v>2.315E-2</v>
        <stp/>
        <stp>VEGA</stp>
        <stp>.SPY150508P215</stp>
        <tr r="U159" s="1"/>
      </tp>
      <tp>
        <v>0.11791</v>
        <stp/>
        <stp>VEGA</stp>
        <stp>.SPY150515P208</stp>
        <tr r="U187" s="1"/>
      </tp>
      <tp>
        <v>1.18E-2</v>
        <stp/>
        <stp>VEGA</stp>
        <stp>.SPY150508C216</stp>
        <tr r="J161" s="1"/>
      </tp>
      <tp>
        <v>0</v>
        <stp/>
        <stp>VEGA</stp>
        <stp>.SPY150508P216</stp>
        <tr r="U161" s="1"/>
      </tp>
      <tp>
        <v>1.04E-2</v>
        <stp/>
        <stp>VEGA</stp>
        <stp>.SPY150508C217</stp>
        <tr r="J163" s="1"/>
      </tp>
      <tp>
        <v>0</v>
        <stp/>
        <stp>VEGA</stp>
        <stp>.SPY150508P217</stp>
        <tr r="U163" s="1"/>
      </tp>
      <tp t="s">
        <v>N/A</v>
        <stp/>
        <stp>VEGA</stp>
        <stp>.SPY150501C211</stp>
        <tr r="J109" s="1"/>
      </tp>
      <tp>
        <v>4.3699999999999998E-3</v>
        <stp/>
        <stp>VEGA</stp>
        <stp>.SPY150508C218</stp>
        <tr r="J165" s="1"/>
      </tp>
      <tp>
        <v>7.8210000000000002E-2</v>
        <stp/>
        <stp>VEGA</stp>
        <stp>.SPY150515C205</stp>
        <tr r="J181" s="1"/>
      </tp>
      <tp t="s">
        <v>N/A</v>
        <stp/>
        <stp>VEGA</stp>
        <stp>.SPY150501P211</stp>
        <tr r="U109" s="1"/>
      </tp>
      <tp>
        <v>0.43536999999999998</v>
        <stp/>
        <stp>VEGA</stp>
        <stp>.SPY150508P218</stp>
        <tr r="U165" s="1"/>
      </tp>
      <tp>
        <v>7.3940000000000006E-2</v>
        <stp/>
        <stp>VEGA</stp>
        <stp>.SPY150515P205</stp>
        <tr r="U181" s="1"/>
      </tp>
      <tp t="s">
        <v>N/A</v>
        <stp/>
        <stp>VEGA</stp>
        <stp>.SPY150501C210</stp>
        <tr r="J107" s="1"/>
      </tp>
      <tp>
        <v>3.9500000000000004E-3</v>
        <stp/>
        <stp>VEGA</stp>
        <stp>.SPY150508C219</stp>
        <tr r="J167" s="1"/>
      </tp>
      <tp>
        <v>6.7129999999999995E-2</v>
        <stp/>
        <stp>VEGA</stp>
        <stp>.SPY150515C204</stp>
        <tr r="J179" s="1"/>
      </tp>
      <tp t="s">
        <v>N/A</v>
        <stp/>
        <stp>VEGA</stp>
        <stp>.SPY150501P210</stp>
        <tr r="U107" s="1"/>
      </tp>
      <tp>
        <v>0.43502000000000002</v>
        <stp/>
        <stp>VEGA</stp>
        <stp>.SPY150508P219</stp>
        <tr r="U167" s="1"/>
      </tp>
      <tp>
        <v>6.2260000000000003E-2</v>
        <stp/>
        <stp>VEGA</stp>
        <stp>.SPY150515P204</stp>
        <tr r="U179" s="1"/>
      </tp>
      <tp t="s">
        <v>N/A</v>
        <stp/>
        <stp>VEGA</stp>
        <stp>.SPY150501C213</stp>
        <tr r="J113" s="1"/>
      </tp>
      <tp>
        <v>0.1047</v>
        <stp/>
        <stp>VEGA</stp>
        <stp>.SPY150515C207</stp>
        <tr r="J185" s="1"/>
      </tp>
      <tp t="s">
        <v>N/A</v>
        <stp/>
        <stp>VEGA</stp>
        <stp>.SPY150501P213</stp>
        <tr r="U113" s="1"/>
      </tp>
      <tp>
        <v>0.10237</v>
        <stp/>
        <stp>VEGA</stp>
        <stp>.SPY150515P207</stp>
        <tr r="U185" s="1"/>
      </tp>
      <tp t="s">
        <v>N/A</v>
        <stp/>
        <stp>VEGA</stp>
        <stp>.SPY150501C212</stp>
        <tr r="J111" s="1"/>
      </tp>
      <tp>
        <v>9.1209999999999999E-2</v>
        <stp/>
        <stp>VEGA</stp>
        <stp>.SPY150515C206</stp>
        <tr r="J183" s="1"/>
      </tp>
      <tp t="s">
        <v>N/A</v>
        <stp/>
        <stp>VEGA</stp>
        <stp>.SPY150501P212</stp>
        <tr r="U111" s="1"/>
      </tp>
      <tp>
        <v>8.763E-2</v>
        <stp/>
        <stp>VEGA</stp>
        <stp>.SPY150515P206</stp>
        <tr r="U183" s="1"/>
      </tp>
      <tp t="s">
        <v>N/A</v>
        <stp/>
        <stp>VEGA</stp>
        <stp>.SPY150501C215</stp>
        <tr r="J117" s="1"/>
      </tp>
      <tp>
        <v>4.675E-2</v>
        <stp/>
        <stp>VEGA</stp>
        <stp>.SPY150515C201</stp>
        <tr r="J173" s="1"/>
      </tp>
      <tp t="s">
        <v>N/A</v>
        <stp/>
        <stp>VEGA</stp>
        <stp>.SPY150501P215</stp>
        <tr r="U117" s="1"/>
      </tp>
      <tp>
        <v>3.6940000000000001E-2</v>
        <stp/>
        <stp>VEGA</stp>
        <stp>.SPY150515P201</stp>
        <tr r="U173" s="1"/>
      </tp>
      <tp t="s">
        <v>N/A</v>
        <stp/>
        <stp>VEGA</stp>
        <stp>.SPY150501C214</stp>
        <tr r="J115" s="1"/>
      </tp>
      <tp>
        <v>4.2070000000000003E-2</v>
        <stp/>
        <stp>VEGA</stp>
        <stp>.SPY150515C200</stp>
        <tr r="J171" s="1"/>
      </tp>
      <tp t="s">
        <v>N/A</v>
        <stp/>
        <stp>VEGA</stp>
        <stp>.SPY150501P214</stp>
        <tr r="U115" s="1"/>
      </tp>
      <tp>
        <v>3.1559999999999998E-2</v>
        <stp/>
        <stp>VEGA</stp>
        <stp>.SPY150515P200</stp>
        <tr r="U171" s="1"/>
      </tp>
      <tp t="s">
        <v>N/A</v>
        <stp/>
        <stp>VEGA</stp>
        <stp>.SPY150501C217</stp>
        <tr r="J121" s="1"/>
      </tp>
      <tp>
        <v>5.7180000000000002E-2</v>
        <stp/>
        <stp>VEGA</stp>
        <stp>.SPY150515C203</stp>
        <tr r="J177" s="1"/>
      </tp>
      <tp t="s">
        <v>N/A</v>
        <stp/>
        <stp>VEGA</stp>
        <stp>.SPY150501P217</stp>
        <tr r="U121" s="1"/>
      </tp>
      <tp>
        <v>5.2200000000000003E-2</v>
        <stp/>
        <stp>VEGA</stp>
        <stp>.SPY150515P203</stp>
        <tr r="U177" s="1"/>
      </tp>
      <tp t="s">
        <v>N/A</v>
        <stp/>
        <stp>VEGA</stp>
        <stp>.SPY150501C216</stp>
        <tr r="J119" s="1"/>
      </tp>
      <tp>
        <v>5.0650000000000001E-2</v>
        <stp/>
        <stp>VEGA</stp>
        <stp>.SPY150515C202</stp>
        <tr r="J175" s="1"/>
      </tp>
      <tp t="s">
        <v>N/A</v>
        <stp/>
        <stp>VEGA</stp>
        <stp>.SPY150501P216</stp>
        <tr r="U119" s="1"/>
      </tp>
      <tp>
        <v>4.4119999999999999E-2</v>
        <stp/>
        <stp>VEGA</stp>
        <stp>.SPY150515P202</stp>
        <tr r="U175" s="1"/>
      </tp>
      <tp t="s">
        <v>N/A</v>
        <stp/>
        <stp>VEGA</stp>
        <stp>.SPY150501C209</stp>
        <tr r="J105" s="1"/>
      </tp>
      <tp>
        <v>2.1649999999999999E-2</v>
        <stp/>
        <stp>VEGA</stp>
        <stp>.SPY150508C200</stp>
        <tr r="J129" s="1"/>
      </tp>
      <tp t="s">
        <v>N/A</v>
        <stp/>
        <stp>VEGA</stp>
        <stp>.SPY150501P209</stp>
        <tr r="U105" s="1"/>
      </tp>
      <tp>
        <v>8.4600000000000005E-3</v>
        <stp/>
        <stp>VEGA</stp>
        <stp>.SPY150508P200</stp>
        <tr r="U129" s="1"/>
      </tp>
      <tp t="s">
        <v>N/A</v>
        <stp/>
        <stp>VEGA</stp>
        <stp>.SPY150501C208</stp>
        <tr r="J103" s="1"/>
      </tp>
      <tp>
        <v>2.1749999999999999E-2</v>
        <stp/>
        <stp>VEGA</stp>
        <stp>.SPY150508C201</stp>
        <tr r="J131" s="1"/>
      </tp>
      <tp t="s">
        <v>N/A</v>
        <stp/>
        <stp>VEGA</stp>
        <stp>.SPY150501P208</stp>
        <tr r="U103" s="1"/>
      </tp>
      <tp>
        <v>9.0100000000000006E-3</v>
        <stp/>
        <stp>VEGA</stp>
        <stp>.SPY150508P201</stp>
        <tr r="U131" s="1"/>
      </tp>
      <tp>
        <v>2.2440000000000002E-2</v>
        <stp/>
        <stp>VEGA</stp>
        <stp>.SPY150508C202</stp>
        <tr r="J133" s="1"/>
      </tp>
      <tp>
        <v>1.2070000000000001E-2</v>
        <stp/>
        <stp>VEGA</stp>
        <stp>.SPY150508P202</stp>
        <tr r="U133" s="1"/>
      </tp>
      <tp>
        <v>2.248E-2</v>
        <stp/>
        <stp>VEGA</stp>
        <stp>.SPY150508C203</stp>
        <tr r="J135" s="1"/>
      </tp>
      <tp>
        <v>1.307E-2</v>
        <stp/>
        <stp>VEGA</stp>
        <stp>.SPY150508P203</stp>
        <tr r="U135" s="1"/>
      </tp>
      <tp>
        <v>2.1319999999999999E-2</v>
        <stp/>
        <stp>VEGA</stp>
        <stp>.SPY150508C204</stp>
        <tr r="J137" s="1"/>
      </tp>
      <tp>
        <v>1.823E-2</v>
        <stp/>
        <stp>VEGA</stp>
        <stp>.SPY150515C219</stp>
        <tr r="J209" s="1"/>
      </tp>
      <tp>
        <v>1.8720000000000001E-2</v>
        <stp/>
        <stp>VEGA</stp>
        <stp>.SPY150508P204</stp>
        <tr r="U137" s="1"/>
      </tp>
      <tp>
        <v>0</v>
        <stp/>
        <stp>VEGA</stp>
        <stp>.SPY150515P219</stp>
        <tr r="U209" s="1"/>
      </tp>
      <tp>
        <v>2.298E-2</v>
        <stp/>
        <stp>VEGA</stp>
        <stp>.SPY150508C205</stp>
        <tr r="J139" s="1"/>
      </tp>
      <tp>
        <v>2.2349999999999998E-2</v>
        <stp/>
        <stp>VEGA</stp>
        <stp>.SPY150515C218</stp>
        <tr r="J207" s="1"/>
      </tp>
      <tp>
        <v>2.4230000000000002E-2</v>
        <stp/>
        <stp>VEGA</stp>
        <stp>.SPY150508P205</stp>
        <tr r="U139" s="1"/>
      </tp>
      <tp>
        <v>0</v>
        <stp/>
        <stp>VEGA</stp>
        <stp>.SPY150515P218</stp>
        <tr r="U207" s="1"/>
      </tp>
      <tp>
        <v>3.083E-2</v>
        <stp/>
        <stp>VEGA</stp>
        <stp>.SPY150508C206</stp>
        <tr r="J141" s="1"/>
      </tp>
      <tp>
        <v>3.1739999999999997E-2</v>
        <stp/>
        <stp>VEGA</stp>
        <stp>.SPY150508P206</stp>
        <tr r="U141" s="1"/>
      </tp>
      <tp>
        <v>3.9820000000000001E-2</v>
        <stp/>
        <stp>VEGA</stp>
        <stp>.SPY150508C207</stp>
        <tr r="J143" s="1"/>
      </tp>
      <tp>
        <v>4.165E-2</v>
        <stp/>
        <stp>VEGA</stp>
        <stp>.SPY150508P207</stp>
        <tr r="U143" s="1"/>
      </tp>
      <tp t="s">
        <v>N/A</v>
        <stp/>
        <stp>VEGA</stp>
        <stp>.SPY150501C201</stp>
        <tr r="J89" s="1"/>
      </tp>
      <tp>
        <v>5.348E-2</v>
        <stp/>
        <stp>VEGA</stp>
        <stp>.SPY150508C208</stp>
        <tr r="J145" s="1"/>
      </tp>
      <tp>
        <v>8.5139999999999993E-2</v>
        <stp/>
        <stp>VEGA</stp>
        <stp>.SPY150515C215</stp>
        <tr r="J201" s="1"/>
      </tp>
      <tp t="s">
        <v>N/A</v>
        <stp/>
        <stp>VEGA</stp>
        <stp>.SPY150501P201</stp>
        <tr r="U89" s="1"/>
      </tp>
      <tp>
        <v>5.5289999999999999E-2</v>
        <stp/>
        <stp>VEGA</stp>
        <stp>.SPY150508P208</stp>
        <tr r="U145" s="1"/>
      </tp>
      <tp>
        <v>6.7599999999999993E-2</v>
        <stp/>
        <stp>VEGA</stp>
        <stp>.SPY150515P215</stp>
        <tr r="U201" s="1"/>
      </tp>
      <tp t="s">
        <v>N/A</v>
        <stp/>
        <stp>VEGA</stp>
        <stp>.SPY150501C200</stp>
        <tr r="J87" s="1"/>
      </tp>
      <tp>
        <v>6.948E-2</v>
        <stp/>
        <stp>VEGA</stp>
        <stp>.SPY150508C209</stp>
        <tr r="J147" s="1"/>
      </tp>
      <tp>
        <v>0.11537</v>
        <stp/>
        <stp>VEGA</stp>
        <stp>.SPY150515C214</stp>
        <tr r="J199" s="1"/>
      </tp>
      <tp t="s">
        <v>N/A</v>
        <stp/>
        <stp>VEGA</stp>
        <stp>.SPY150501P200</stp>
        <tr r="U87" s="1"/>
      </tp>
      <tp>
        <v>7.1010000000000004E-2</v>
        <stp/>
        <stp>VEGA</stp>
        <stp>.SPY150508P209</stp>
        <tr r="U147" s="1"/>
      </tp>
      <tp>
        <v>0.10958</v>
        <stp/>
        <stp>VEGA</stp>
        <stp>.SPY150515P214</stp>
        <tr r="U199" s="1"/>
      </tp>
      <tp t="s">
        <v>N/A</v>
        <stp/>
        <stp>VEGA</stp>
        <stp>.SPY150501C203</stp>
        <tr r="J93" s="1"/>
      </tp>
      <tp>
        <v>3.5200000000000002E-2</v>
        <stp/>
        <stp>VEGA</stp>
        <stp>.SPY150515C217</stp>
        <tr r="J205" s="1"/>
      </tp>
      <tp t="s">
        <v>N/A</v>
        <stp/>
        <stp>VEGA</stp>
        <stp>.SPY150501P203</stp>
        <tr r="U93" s="1"/>
      </tp>
      <tp>
        <v>1.0455000000000001</v>
        <stp/>
        <stp>VEGA</stp>
        <stp>.SPY150515P217</stp>
        <tr r="U205" s="1"/>
      </tp>
      <tp t="s">
        <v>N/A</v>
        <stp/>
        <stp>VEGA</stp>
        <stp>.SPY150501C202</stp>
        <tr r="J91" s="1"/>
      </tp>
      <tp>
        <v>5.5910000000000001E-2</v>
        <stp/>
        <stp>VEGA</stp>
        <stp>.SPY150515C216</stp>
        <tr r="J203" s="1"/>
      </tp>
      <tp t="s">
        <v>N/A</v>
        <stp/>
        <stp>VEGA</stp>
        <stp>.SPY150501P202</stp>
        <tr r="U91" s="1"/>
      </tp>
      <tp>
        <v>0</v>
        <stp/>
        <stp>VEGA</stp>
        <stp>.SPY150515P216</stp>
        <tr r="U203" s="1"/>
      </tp>
      <tp t="s">
        <v>N/A</v>
        <stp/>
        <stp>VEGA</stp>
        <stp>.SPY150501C205</stp>
        <tr r="J97" s="1"/>
      </tp>
      <tp>
        <v>0.15207999999999999</v>
        <stp/>
        <stp>VEGA</stp>
        <stp>.SPY150515C211</stp>
        <tr r="J193" s="1"/>
      </tp>
      <tp t="s">
        <v>N/A</v>
        <stp/>
        <stp>VEGA</stp>
        <stp>.SPY150501P205</stp>
        <tr r="U97" s="1"/>
      </tp>
      <tp>
        <v>0.15210000000000001</v>
        <stp/>
        <stp>VEGA</stp>
        <stp>.SPY150515P211</stp>
        <tr r="U193" s="1"/>
      </tp>
      <tp t="s">
        <v>N/A</v>
        <stp/>
        <stp>VEGA</stp>
        <stp>.SPY150501C204</stp>
        <tr r="J95" s="1"/>
      </tp>
      <tp>
        <v>0.14548</v>
        <stp/>
        <stp>VEGA</stp>
        <stp>.SPY150515C210</stp>
        <tr r="J191" s="1"/>
      </tp>
      <tp t="s">
        <v>N/A</v>
        <stp/>
        <stp>VEGA</stp>
        <stp>.SPY150501P204</stp>
        <tr r="U95" s="1"/>
      </tp>
      <tp>
        <v>0.14499000000000001</v>
        <stp/>
        <stp>VEGA</stp>
        <stp>.SPY150515P210</stp>
        <tr r="U191" s="1"/>
      </tp>
      <tp t="s">
        <v>N/A</v>
        <stp/>
        <stp>VEGA</stp>
        <stp>.SPY150501C207</stp>
        <tr r="J101" s="1"/>
      </tp>
      <tp>
        <v>0.13952999999999999</v>
        <stp/>
        <stp>VEGA</stp>
        <stp>.SPY150515C213</stp>
        <tr r="J197" s="1"/>
      </tp>
      <tp t="s">
        <v>N/A</v>
        <stp/>
        <stp>VEGA</stp>
        <stp>.SPY150501P207</stp>
        <tr r="U101" s="1"/>
      </tp>
      <tp>
        <v>0.13833999999999999</v>
        <stp/>
        <stp>VEGA</stp>
        <stp>.SPY150515P213</stp>
        <tr r="U197" s="1"/>
      </tp>
      <tp t="s">
        <v>N/A</v>
        <stp/>
        <stp>VEGA</stp>
        <stp>.SPY150501C206</stp>
        <tr r="J99" s="1"/>
      </tp>
      <tp>
        <v>0.15115999999999999</v>
        <stp/>
        <stp>VEGA</stp>
        <stp>.SPY150515C212</stp>
        <tr r="J195" s="1"/>
      </tp>
      <tp t="s">
        <v>N/A</v>
        <stp/>
        <stp>VEGA</stp>
        <stp>.SPY150501P206</stp>
        <tr r="U99" s="1"/>
      </tp>
      <tp>
        <v>0.15082000000000001</v>
        <stp/>
        <stp>VEGA</stp>
        <stp>.SPY150515P212</stp>
        <tr r="U195" s="1"/>
      </tp>
      <tp>
        <v>0.22431000000000001</v>
        <stp/>
        <stp>VEGA</stp>
        <stp>.SPY150529C211</stp>
        <tr r="J277" s="1"/>
      </tp>
      <tp>
        <v>0.22447</v>
        <stp/>
        <stp>VEGA</stp>
        <stp>.SPY150529P211</stp>
        <tr r="U277" s="1"/>
      </tp>
      <tp>
        <v>0.21990000000000001</v>
        <stp/>
        <stp>VEGA</stp>
        <stp>.SPY150529C210</stp>
        <tr r="J275" s="1"/>
      </tp>
      <tp>
        <v>0.21975</v>
        <stp/>
        <stp>VEGA</stp>
        <stp>.SPY150529P210</stp>
        <tr r="U275" s="1"/>
      </tp>
      <tp>
        <v>4.9630000000000001E-2</v>
        <stp/>
        <stp>VEGA</stp>
        <stp>.SPY150522C218</stp>
        <tr r="J249" s="1"/>
      </tp>
      <tp>
        <v>0.2157</v>
        <stp/>
        <stp>VEGA</stp>
        <stp>.SPY150529C213</stp>
        <tr r="J281" s="1"/>
      </tp>
      <tp>
        <v>1.6537500000000001</v>
        <stp/>
        <stp>VEGA</stp>
        <stp>.SPY150522P218</stp>
        <tr r="U249" s="1"/>
      </tp>
      <tp>
        <v>0.21298</v>
        <stp/>
        <stp>VEGA</stp>
        <stp>.SPY150529P213</stp>
        <tr r="U281" s="1"/>
      </tp>
      <tp>
        <v>3.3160000000000002E-2</v>
        <stp/>
        <stp>VEGA</stp>
        <stp>.SPY150522C219</stp>
        <tr r="J251" s="1"/>
      </tp>
      <tp>
        <v>0.22342999999999999</v>
        <stp/>
        <stp>VEGA</stp>
        <stp>.SPY150529C212</stp>
        <tr r="J279" s="1"/>
      </tp>
      <tp>
        <v>0</v>
        <stp/>
        <stp>VEGA</stp>
        <stp>.SPY150522P219</stp>
        <tr r="U251" s="1"/>
      </tp>
      <tp>
        <v>0.22305</v>
        <stp/>
        <stp>VEGA</stp>
        <stp>.SPY150529P212</stp>
        <tr r="U279" s="1"/>
      </tp>
      <tp>
        <v>0.17627000000000001</v>
        <stp/>
        <stp>VEGA</stp>
        <stp>.SPY150529C215</stp>
        <tr r="J285" s="1"/>
      </tp>
      <tp>
        <v>0.15881999999999999</v>
        <stp/>
        <stp>VEGA</stp>
        <stp>.SPY150529P215</stp>
        <tr r="U285" s="1"/>
      </tp>
      <tp>
        <v>0.19979</v>
        <stp/>
        <stp>VEGA</stp>
        <stp>.SPY150529C214</stp>
        <tr r="J283" s="1"/>
      </tp>
      <tp>
        <v>0.19225999999999999</v>
        <stp/>
        <stp>VEGA</stp>
        <stp>.SPY150529P214</stp>
        <tr r="U283" s="1"/>
      </tp>
      <tp>
        <v>0.1128</v>
        <stp/>
        <stp>VEGA</stp>
        <stp>.SPY150529C217</stp>
        <tr r="J289" s="1"/>
      </tp>
      <tp>
        <v>3.8949999999999999E-2</v>
        <stp/>
        <stp>VEGA</stp>
        <stp>.SPY150529P217</stp>
        <tr r="U289" s="1"/>
      </tp>
      <tp>
        <v>0.14515</v>
        <stp/>
        <stp>VEGA</stp>
        <stp>.SPY150529C216</stp>
        <tr r="J287" s="1"/>
      </tp>
      <tp>
        <v>0.11189</v>
        <stp/>
        <stp>VEGA</stp>
        <stp>.SPY150529P216</stp>
        <tr r="U287" s="1"/>
      </tp>
      <tp>
        <v>0.19078000000000001</v>
        <stp/>
        <stp>VEGA</stp>
        <stp>.SPY150522C212</stp>
        <tr r="J237" s="1"/>
      </tp>
      <tp>
        <v>6.0609999999999997E-2</v>
        <stp/>
        <stp>VEGA</stp>
        <stp>.SPY150529C219</stp>
        <tr r="J293" s="1"/>
      </tp>
      <tp>
        <v>0.19040000000000001</v>
        <stp/>
        <stp>VEGA</stp>
        <stp>.SPY150522P212</stp>
        <tr r="U237" s="1"/>
      </tp>
      <tp>
        <v>0</v>
        <stp/>
        <stp>VEGA</stp>
        <stp>.SPY150529P219</stp>
        <tr r="U293" s="1"/>
      </tp>
      <tp>
        <v>0.18160000000000001</v>
        <stp/>
        <stp>VEGA</stp>
        <stp>.SPY150522C213</stp>
        <tr r="J239" s="1"/>
      </tp>
      <tp>
        <v>8.3900000000000002E-2</v>
        <stp/>
        <stp>VEGA</stp>
        <stp>.SPY150529C218</stp>
        <tr r="J291" s="1"/>
      </tp>
      <tp>
        <v>0.17935999999999999</v>
        <stp/>
        <stp>VEGA</stp>
        <stp>.SPY150522P213</stp>
        <tr r="U239" s="1"/>
      </tp>
      <tp>
        <v>0</v>
        <stp/>
        <stp>VEGA</stp>
        <stp>.SPY150529P218</stp>
        <tr r="U291" s="1"/>
      </tp>
      <tp>
        <v>0.18642</v>
        <stp/>
        <stp>VEGA</stp>
        <stp>.SPY150522C210</stp>
        <tr r="J233" s="1"/>
      </tp>
      <tp>
        <v>0.18597</v>
        <stp/>
        <stp>VEGA</stp>
        <stp>.SPY150522P210</stp>
        <tr r="U233" s="1"/>
      </tp>
      <tp>
        <v>0.19167000000000001</v>
        <stp/>
        <stp>VEGA</stp>
        <stp>.SPY150522C211</stp>
        <tr r="J235" s="1"/>
      </tp>
      <tp>
        <v>0.19175</v>
        <stp/>
        <stp>VEGA</stp>
        <stp>.SPY150522P211</stp>
        <tr r="U235" s="1"/>
      </tp>
      <tp>
        <v>0.10281</v>
        <stp/>
        <stp>VEGA</stp>
        <stp>.SPY150522C216</stp>
        <tr r="J245" s="1"/>
      </tp>
      <tp>
        <v>6.5180000000000002E-2</v>
        <stp/>
        <stp>VEGA</stp>
        <stp>.SPY150522P216</stp>
        <tr r="U245" s="1"/>
      </tp>
      <tp>
        <v>7.3020000000000002E-2</v>
        <stp/>
        <stp>VEGA</stp>
        <stp>.SPY150522C217</stp>
        <tr r="J247" s="1"/>
      </tp>
      <tp>
        <v>1.6550499999999999</v>
        <stp/>
        <stp>VEGA</stp>
        <stp>.SPY150522P217</stp>
        <tr r="U247" s="1"/>
      </tp>
      <tp>
        <v>0.16305</v>
        <stp/>
        <stp>VEGA</stp>
        <stp>.SPY150522C214</stp>
        <tr r="J241" s="1"/>
      </tp>
      <tp>
        <v>0.15586</v>
        <stp/>
        <stp>VEGA</stp>
        <stp>.SPY150522P214</stp>
        <tr r="U241" s="1"/>
      </tp>
      <tp>
        <v>0.13535</v>
        <stp/>
        <stp>VEGA</stp>
        <stp>.SPY150522C215</stp>
        <tr r="J243" s="1"/>
      </tp>
      <tp>
        <v>0.11847000000000001</v>
        <stp/>
        <stp>VEGA</stp>
        <stp>.SPY150522P215</stp>
        <tr r="U243" s="1"/>
      </tp>
      <tp>
        <v>0.11252</v>
        <stp/>
        <stp>VEGA</stp>
        <stp>.SPY150529C201</stp>
        <tr r="J257" s="1"/>
      </tp>
      <tp>
        <v>0.10101</v>
        <stp/>
        <stp>VEGA</stp>
        <stp>.SPY150529P201</stp>
        <tr r="U257" s="1"/>
      </tp>
      <tp>
        <v>0.10263</v>
        <stp/>
        <stp>VEGA</stp>
        <stp>.SPY150529C200</stp>
        <tr r="J255" s="1"/>
      </tp>
      <tp>
        <v>8.9620000000000005E-2</v>
        <stp/>
        <stp>VEGA</stp>
        <stp>.SPY150529P200</stp>
        <tr r="U255" s="1"/>
      </tp>
      <tp>
        <v>0.1648</v>
        <stp/>
        <stp>VEGA</stp>
        <stp>.SPY150522C208</stp>
        <tr r="J229" s="1"/>
      </tp>
      <tp>
        <v>0.13652</v>
        <stp/>
        <stp>VEGA</stp>
        <stp>.SPY150529C203</stp>
        <tr r="J261" s="1"/>
      </tp>
      <tp>
        <v>0.16225000000000001</v>
        <stp/>
        <stp>VEGA</stp>
        <stp>.SPY150522P208</stp>
        <tr r="U229" s="1"/>
      </tp>
      <tp>
        <v>0.12684999999999999</v>
        <stp/>
        <stp>VEGA</stp>
        <stp>.SPY150529P203</stp>
        <tr r="U261" s="1"/>
      </tp>
      <tp>
        <v>0.17677000000000001</v>
        <stp/>
        <stp>VEGA</stp>
        <stp>.SPY150522C209</stp>
        <tr r="J231" s="1"/>
      </tp>
      <tp>
        <v>0.12330000000000001</v>
        <stp/>
        <stp>VEGA</stp>
        <stp>.SPY150529C202</stp>
        <tr r="J259" s="1"/>
      </tp>
      <tp>
        <v>0.17552999999999999</v>
        <stp/>
        <stp>VEGA</stp>
        <stp>.SPY150522P209</stp>
        <tr r="U231" s="1"/>
      </tp>
      <tp>
        <v>0.11274000000000001</v>
        <stp/>
        <stp>VEGA</stp>
        <stp>.SPY150529P202</stp>
        <tr r="U259" s="1"/>
      </tp>
      <tp>
        <v>0.16184999999999999</v>
        <stp/>
        <stp>VEGA</stp>
        <stp>.SPY150529C205</stp>
        <tr r="J265" s="1"/>
      </tp>
      <tp>
        <v>0.15545</v>
        <stp/>
        <stp>VEGA</stp>
        <stp>.SPY150529P205</stp>
        <tr r="U265" s="1"/>
      </tp>
      <tp>
        <v>0.14829000000000001</v>
        <stp/>
        <stp>VEGA</stp>
        <stp>.SPY150529C204</stp>
        <tr r="J263" s="1"/>
      </tp>
      <tp>
        <v>0.14099999999999999</v>
        <stp/>
        <stp>VEGA</stp>
        <stp>.SPY150529P204</stp>
        <tr r="U263" s="1"/>
      </tp>
      <tp>
        <v>0.18873000000000001</v>
        <stp/>
        <stp>VEGA</stp>
        <stp>.SPY150529C207</stp>
        <tr r="J269" s="1"/>
      </tp>
      <tp>
        <v>0.18482000000000001</v>
        <stp/>
        <stp>VEGA</stp>
        <stp>.SPY150529P207</stp>
        <tr r="U269" s="1"/>
      </tp>
      <tp>
        <v>0.17538999999999999</v>
        <stp/>
        <stp>VEGA</stp>
        <stp>.SPY150529C206</stp>
        <tr r="J267" s="1"/>
      </tp>
      <tp>
        <v>0.17027999999999999</v>
        <stp/>
        <stp>VEGA</stp>
        <stp>.SPY150529P206</stp>
        <tr r="U267" s="1"/>
      </tp>
      <tp>
        <v>8.8639999999999997E-2</v>
        <stp/>
        <stp>VEGA</stp>
        <stp>.SPY150522C202</stp>
        <tr r="J217" s="1"/>
      </tp>
      <tp>
        <v>0.21160999999999999</v>
        <stp/>
        <stp>VEGA</stp>
        <stp>.SPY150529C209</stp>
        <tr r="J273" s="1"/>
      </tp>
      <tp>
        <v>7.9390000000000002E-2</v>
        <stp/>
        <stp>VEGA</stp>
        <stp>.SPY150522P202</stp>
        <tr r="U217" s="1"/>
      </tp>
      <tp>
        <v>0.21060000000000001</v>
        <stp/>
        <stp>VEGA</stp>
        <stp>.SPY150529P209</stp>
        <tr r="U273" s="1"/>
      </tp>
      <tp>
        <v>9.9210000000000007E-2</v>
        <stp/>
        <stp>VEGA</stp>
        <stp>.SPY150522C203</stp>
        <tr r="J219" s="1"/>
      </tp>
      <tp>
        <v>0.20102999999999999</v>
        <stp/>
        <stp>VEGA</stp>
        <stp>.SPY150529C208</stp>
        <tr r="J271" s="1"/>
      </tp>
      <tp>
        <v>9.0939999999999993E-2</v>
        <stp/>
        <stp>VEGA</stp>
        <stp>.SPY150522P203</stp>
        <tr r="U219" s="1"/>
      </tp>
      <tp>
        <v>0.1986</v>
        <stp/>
        <stp>VEGA</stp>
        <stp>.SPY150529P208</stp>
        <tr r="U271" s="1"/>
      </tp>
      <tp>
        <v>7.1429999999999993E-2</v>
        <stp/>
        <stp>VEGA</stp>
        <stp>.SPY150522C200</stp>
        <tr r="J213" s="1"/>
      </tp>
      <tp>
        <v>5.9679999999999997E-2</v>
        <stp/>
        <stp>VEGA</stp>
        <stp>.SPY150522P200</stp>
        <tr r="U213" s="1"/>
      </tp>
      <tp>
        <v>7.8539999999999999E-2</v>
        <stp/>
        <stp>VEGA</stp>
        <stp>.SPY150522C201</stp>
        <tr r="J215" s="1"/>
      </tp>
      <tp>
        <v>6.8330000000000002E-2</v>
        <stp/>
        <stp>VEGA</stp>
        <stp>.SPY150522P201</stp>
        <tr r="U215" s="1"/>
      </tp>
      <tp>
        <v>0.13755000000000001</v>
        <stp/>
        <stp>VEGA</stp>
        <stp>.SPY150522C206</stp>
        <tr r="J225" s="1"/>
      </tp>
      <tp>
        <v>0.13261999999999999</v>
        <stp/>
        <stp>VEGA</stp>
        <stp>.SPY150522P206</stp>
        <tr r="U225" s="1"/>
      </tp>
      <tp>
        <v>0.15135000000000001</v>
        <stp/>
        <stp>VEGA</stp>
        <stp>.SPY150522C207</stp>
        <tr r="J227" s="1"/>
      </tp>
      <tp>
        <v>0.14757999999999999</v>
        <stp/>
        <stp>VEGA</stp>
        <stp>.SPY150522P207</stp>
        <tr r="U227" s="1"/>
      </tp>
      <tp>
        <v>0.11171</v>
        <stp/>
        <stp>VEGA</stp>
        <stp>.SPY150522C204</stp>
        <tr r="J221" s="1"/>
      </tp>
      <tp>
        <v>0.10401000000000001</v>
        <stp/>
        <stp>VEGA</stp>
        <stp>.SPY150522P204</stp>
        <tr r="U221" s="1"/>
      </tp>
      <tp>
        <v>0.12325</v>
        <stp/>
        <stp>VEGA</stp>
        <stp>.SPY150522C205</stp>
        <tr r="J223" s="1"/>
      </tp>
      <tp>
        <v>0.11752</v>
        <stp/>
        <stp>VEGA</stp>
        <stp>.SPY150522P205</stp>
        <tr r="U223" s="1"/>
      </tp>
      <tp>
        <v>0.20729</v>
        <stp/>
        <stp>VEGA</stp>
        <stp>.SPY150619C201</stp>
        <tr r="J299" s="1"/>
      </tp>
      <tp>
        <v>0.20684</v>
        <stp/>
        <stp>VEGA</stp>
        <stp>.SPY150619P201</stp>
        <tr r="U299" s="1"/>
      </tp>
      <tp>
        <v>0.19559000000000001</v>
        <stp/>
        <stp>VEGA</stp>
        <stp>.SPY150619C200</stp>
        <tr r="J297" s="1"/>
      </tp>
      <tp>
        <v>0.19411999999999999</v>
        <stp/>
        <stp>VEGA</stp>
        <stp>.SPY150619P200</stp>
        <tr r="U297" s="1"/>
      </tp>
      <tp>
        <v>0.23069000000000001</v>
        <stp/>
        <stp>VEGA</stp>
        <stp>.SPY150619C203</stp>
        <tr r="J303" s="1"/>
      </tp>
      <tp>
        <v>0.23214000000000001</v>
        <stp/>
        <stp>VEGA</stp>
        <stp>.SPY150619P203</stp>
        <tr r="U303" s="1"/>
      </tp>
      <tp>
        <v>0.21928</v>
        <stp/>
        <stp>VEGA</stp>
        <stp>.SPY150619C202</stp>
        <tr r="J301" s="1"/>
      </tp>
      <tp>
        <v>0.21944</v>
        <stp/>
        <stp>VEGA</stp>
        <stp>.SPY150619P202</stp>
        <tr r="U301" s="1"/>
      </tp>
      <tp>
        <v>0.25436999999999999</v>
        <stp/>
        <stp>VEGA</stp>
        <stp>.SPY150619C205</stp>
        <tr r="J307" s="1"/>
      </tp>
      <tp t="s">
        <v>N/A</v>
        <stp/>
        <stp>VEGA</stp>
        <stp>.SPY160617C208</stp>
        <tr r="J691" s="1"/>
      </tp>
      <tp>
        <v>0.25649</v>
        <stp/>
        <stp>VEGA</stp>
        <stp>.SPY150619P205</stp>
        <tr r="U307" s="1"/>
      </tp>
      <tp t="s">
        <v>N/A</v>
        <stp/>
        <stp>VEGA</stp>
        <stp>.SPY160617P208</stp>
        <tr r="U691" s="1"/>
      </tp>
      <tp>
        <v>0.24276</v>
        <stp/>
        <stp>VEGA</stp>
        <stp>.SPY150619C204</stp>
        <tr r="J305" s="1"/>
      </tp>
      <tp t="s">
        <v>N/A</v>
        <stp/>
        <stp>VEGA</stp>
        <stp>.SPY160617C209</stp>
        <tr r="J693" s="1"/>
      </tp>
      <tp>
        <v>0.24453</v>
        <stp/>
        <stp>VEGA</stp>
        <stp>.SPY150619P204</stp>
        <tr r="U305" s="1"/>
      </tp>
      <tp t="s">
        <v>N/A</v>
        <stp/>
        <stp>VEGA</stp>
        <stp>.SPY160617P209</stp>
        <tr r="U693" s="1"/>
      </tp>
      <tp>
        <v>0.27615000000000001</v>
        <stp/>
        <stp>VEGA</stp>
        <stp>.SPY150619C207</stp>
        <tr r="J311" s="1"/>
      </tp>
      <tp>
        <v>0.27816000000000002</v>
        <stp/>
        <stp>VEGA</stp>
        <stp>.SPY150619P207</stp>
        <tr r="U311" s="1"/>
      </tp>
      <tp>
        <v>0.26622000000000001</v>
        <stp/>
        <stp>VEGA</stp>
        <stp>.SPY150619C206</stp>
        <tr r="J309" s="1"/>
      </tp>
      <tp>
        <v>0.26776</v>
        <stp/>
        <stp>VEGA</stp>
        <stp>.SPY150619P206</stp>
        <tr r="U309" s="1"/>
      </tp>
      <tp>
        <v>0.29326999999999998</v>
        <stp/>
        <stp>VEGA</stp>
        <stp>.SPY150619C209</stp>
        <tr r="J315" s="1"/>
      </tp>
      <tp t="s">
        <v>N/A</v>
        <stp/>
        <stp>VEGA</stp>
        <stp>.SPY160617C204</stp>
        <tr r="J683" s="1"/>
      </tp>
      <tp>
        <v>0.29438999999999999</v>
        <stp/>
        <stp>VEGA</stp>
        <stp>.SPY150619P209</stp>
        <tr r="U315" s="1"/>
      </tp>
      <tp t="s">
        <v>N/A</v>
        <stp/>
        <stp>VEGA</stp>
        <stp>.SPY160617P204</stp>
        <tr r="U683" s="1"/>
      </tp>
      <tp>
        <v>0.28570000000000001</v>
        <stp/>
        <stp>VEGA</stp>
        <stp>.SPY150619C208</stp>
        <tr r="J313" s="1"/>
      </tp>
      <tp>
        <v>0.85943999999999998</v>
        <stp/>
        <stp>VEGA</stp>
        <stp>.SPY160617C205</stp>
        <tr r="J685" s="1"/>
      </tp>
      <tp>
        <v>0.28714000000000001</v>
        <stp/>
        <stp>VEGA</stp>
        <stp>.SPY150619P208</stp>
        <tr r="U313" s="1"/>
      </tp>
      <tp>
        <v>0.86499999999999999</v>
        <stp/>
        <stp>VEGA</stp>
        <stp>.SPY160617P205</stp>
        <tr r="U685" s="1"/>
      </tp>
      <tp t="s">
        <v>N/A</v>
        <stp/>
        <stp>VEGA</stp>
        <stp>.SPY160617C206</stp>
        <tr r="J687" s="1"/>
      </tp>
      <tp t="s">
        <v>N/A</v>
        <stp/>
        <stp>VEGA</stp>
        <stp>.SPY160617P206</stp>
        <tr r="U687" s="1"/>
      </tp>
      <tp t="s">
        <v>N/A</v>
        <stp/>
        <stp>VEGA</stp>
        <stp>.SPY160617C207</stp>
        <tr r="J689" s="1"/>
      </tp>
      <tp t="s">
        <v>N/A</v>
        <stp/>
        <stp>VEGA</stp>
        <stp>.SPY160617P207</stp>
        <tr r="U689" s="1"/>
      </tp>
      <tp>
        <v>0.82870999999999995</v>
        <stp/>
        <stp>VEGA</stp>
        <stp>.SPY160617C200</stp>
        <tr r="J675" s="1"/>
      </tp>
      <tp>
        <v>0.83943999999999996</v>
        <stp/>
        <stp>VEGA</stp>
        <stp>.SPY160617P200</stp>
        <tr r="U675" s="1"/>
      </tp>
      <tp t="s">
        <v>N/A</v>
        <stp/>
        <stp>VEGA</stp>
        <stp>.SPY160617C201</stp>
        <tr r="J677" s="1"/>
      </tp>
      <tp t="s">
        <v>N/A</v>
        <stp/>
        <stp>VEGA</stp>
        <stp>.SPY160617P201</stp>
        <tr r="U677" s="1"/>
      </tp>
      <tp t="s">
        <v>N/A</v>
        <stp/>
        <stp>VEGA</stp>
        <stp>.SPY160617C202</stp>
        <tr r="J679" s="1"/>
      </tp>
      <tp t="s">
        <v>N/A</v>
        <stp/>
        <stp>VEGA</stp>
        <stp>.SPY160617P202</stp>
        <tr r="U679" s="1"/>
      </tp>
      <tp t="s">
        <v>N/A</v>
        <stp/>
        <stp>VEGA</stp>
        <stp>.SPY160617C203</stp>
        <tr r="J681" s="1"/>
      </tp>
      <tp t="s">
        <v>N/A</v>
        <stp/>
        <stp>VEGA</stp>
        <stp>.SPY160617P203</stp>
        <tr r="U681" s="1"/>
      </tp>
      <tp>
        <v>0.30154999999999998</v>
        <stp/>
        <stp>VEGA</stp>
        <stp>.SPY150619C211</stp>
        <tr r="J319" s="1"/>
      </tp>
      <tp>
        <v>0.30181000000000002</v>
        <stp/>
        <stp>VEGA</stp>
        <stp>.SPY150619P211</stp>
        <tr r="U319" s="1"/>
      </tp>
      <tp>
        <v>0.29879</v>
        <stp/>
        <stp>VEGA</stp>
        <stp>.SPY150619C210</stp>
        <tr r="J317" s="1"/>
      </tp>
      <tp>
        <v>0.29943999999999998</v>
        <stp/>
        <stp>VEGA</stp>
        <stp>.SPY150619P210</stp>
        <tr r="U317" s="1"/>
      </tp>
      <tp>
        <v>0.29601</v>
        <stp/>
        <stp>VEGA</stp>
        <stp>.SPY150619C213</stp>
        <tr r="J323" s="1"/>
      </tp>
      <tp>
        <v>0.29679</v>
        <stp/>
        <stp>VEGA</stp>
        <stp>.SPY150619P213</stp>
        <tr r="U323" s="1"/>
      </tp>
      <tp>
        <v>0.30087999999999998</v>
        <stp/>
        <stp>VEGA</stp>
        <stp>.SPY150619C212</stp>
        <tr r="J321" s="1"/>
      </tp>
      <tp>
        <v>0.30104999999999998</v>
        <stp/>
        <stp>VEGA</stp>
        <stp>.SPY150619P212</stp>
        <tr r="U321" s="1"/>
      </tp>
      <tp>
        <v>0.27143</v>
        <stp/>
        <stp>VEGA</stp>
        <stp>.SPY150619C215</stp>
        <tr r="J327" s="1"/>
      </tp>
      <tp t="s">
        <v>N/A</v>
        <stp/>
        <stp>VEGA</stp>
        <stp>.SPY160617C218</stp>
        <tr r="J711" s="1"/>
      </tp>
      <tp>
        <v>0.27700999999999998</v>
        <stp/>
        <stp>VEGA</stp>
        <stp>.SPY150619P215</stp>
        <tr r="U327" s="1"/>
      </tp>
      <tp t="s">
        <v>N/A</v>
        <stp/>
        <stp>VEGA</stp>
        <stp>.SPY160617P218</stp>
        <tr r="U711" s="1"/>
      </tp>
      <tp>
        <v>0.28631000000000001</v>
        <stp/>
        <stp>VEGA</stp>
        <stp>.SPY150619C214</stp>
        <tr r="J325" s="1"/>
      </tp>
      <tp t="s">
        <v>N/A</v>
        <stp/>
        <stp>VEGA</stp>
        <stp>.SPY160617C219</stp>
        <tr r="J713" s="1"/>
      </tp>
      <tp>
        <v>0.28853000000000001</v>
        <stp/>
        <stp>VEGA</stp>
        <stp>.SPY150619P214</stp>
        <tr r="U325" s="1"/>
      </tp>
      <tp t="s">
        <v>N/A</v>
        <stp/>
        <stp>VEGA</stp>
        <stp>.SPY160617P219</stp>
        <tr r="U713" s="1"/>
      </tp>
      <tp>
        <v>0.22639999999999999</v>
        <stp/>
        <stp>VEGA</stp>
        <stp>.SPY150619C217</stp>
        <tr r="J331" s="1"/>
      </tp>
      <tp>
        <v>0.24471000000000001</v>
        <stp/>
        <stp>VEGA</stp>
        <stp>.SPY150619P217</stp>
        <tr r="U331" s="1"/>
      </tp>
      <tp>
        <v>0.25124000000000002</v>
        <stp/>
        <stp>VEGA</stp>
        <stp>.SPY150619C216</stp>
        <tr r="J329" s="1"/>
      </tp>
      <tp>
        <v>0.26184000000000002</v>
        <stp/>
        <stp>VEGA</stp>
        <stp>.SPY150619P216</stp>
        <tr r="U329" s="1"/>
      </tp>
      <tp>
        <v>0.16952</v>
        <stp/>
        <stp>VEGA</stp>
        <stp>.SPY150619C219</stp>
        <tr r="J335" s="1"/>
      </tp>
      <tp t="s">
        <v>N/A</v>
        <stp/>
        <stp>VEGA</stp>
        <stp>.SPY160617C214</stp>
        <tr r="J703" s="1"/>
      </tp>
      <tp>
        <v>0.20952000000000001</v>
        <stp/>
        <stp>VEGA</stp>
        <stp>.SPY150619P219</stp>
        <tr r="U335" s="1"/>
      </tp>
      <tp t="s">
        <v>N/A</v>
        <stp/>
        <stp>VEGA</stp>
        <stp>.SPY160617P214</stp>
        <tr r="U703" s="1"/>
      </tp>
      <tp>
        <v>0.19836000000000001</v>
        <stp/>
        <stp>VEGA</stp>
        <stp>.SPY150619C218</stp>
        <tr r="J333" s="1"/>
      </tp>
      <tp>
        <v>0.87404999999999999</v>
        <stp/>
        <stp>VEGA</stp>
        <stp>.SPY160617C215</stp>
        <tr r="J705" s="1"/>
      </tp>
      <tp>
        <v>0.22677</v>
        <stp/>
        <stp>VEGA</stp>
        <stp>.SPY150619P218</stp>
        <tr r="U333" s="1"/>
      </tp>
      <tp>
        <v>0.87133000000000005</v>
        <stp/>
        <stp>VEGA</stp>
        <stp>.SPY160617P215</stp>
        <tr r="U705" s="1"/>
      </tp>
      <tp t="s">
        <v>N/A</v>
        <stp/>
        <stp>VEGA</stp>
        <stp>.SPY160617C216</stp>
        <tr r="J707" s="1"/>
      </tp>
      <tp t="s">
        <v>N/A</v>
        <stp/>
        <stp>VEGA</stp>
        <stp>.SPY160617P216</stp>
        <tr r="U707" s="1"/>
      </tp>
      <tp t="s">
        <v>N/A</v>
        <stp/>
        <stp>VEGA</stp>
        <stp>.SPY160617C217</stp>
        <tr r="J709" s="1"/>
      </tp>
      <tp t="s">
        <v>N/A</v>
        <stp/>
        <stp>VEGA</stp>
        <stp>.SPY160617P217</stp>
        <tr r="U709" s="1"/>
      </tp>
      <tp>
        <v>0.87575999999999998</v>
        <stp/>
        <stp>VEGA</stp>
        <stp>.SPY160617C210</stp>
        <tr r="J695" s="1"/>
      </tp>
      <tp>
        <v>0.87690000000000001</v>
        <stp/>
        <stp>VEGA</stp>
        <stp>.SPY160617P210</stp>
        <tr r="U695" s="1"/>
      </tp>
      <tp t="s">
        <v>N/A</v>
        <stp/>
        <stp>VEGA</stp>
        <stp>.SPY160617C211</stp>
        <tr r="J697" s="1"/>
      </tp>
      <tp t="s">
        <v>N/A</v>
        <stp/>
        <stp>VEGA</stp>
        <stp>.SPY160617P211</stp>
        <tr r="U697" s="1"/>
      </tp>
      <tp t="s">
        <v>N/A</v>
        <stp/>
        <stp>VEGA</stp>
        <stp>.SPY160617C212</stp>
        <tr r="J699" s="1"/>
      </tp>
      <tp t="s">
        <v>N/A</v>
        <stp/>
        <stp>VEGA</stp>
        <stp>.SPY160617P212</stp>
        <tr r="U699" s="1"/>
      </tp>
      <tp t="s">
        <v>N/A</v>
        <stp/>
        <stp>VEGA</stp>
        <stp>.SPY160617C213</stp>
        <tr r="J701" s="1"/>
      </tp>
      <tp t="s">
        <v>N/A</v>
        <stp/>
        <stp>VEGA</stp>
        <stp>.SPY160617P213</stp>
        <tr r="U701" s="1"/>
      </tp>
      <tp>
        <v>0.31972</v>
        <stp/>
        <stp>VEGA</stp>
        <stp>.SPY150630C208</stp>
        <tr r="J355" s="1"/>
      </tp>
      <tp>
        <v>0.32199</v>
        <stp/>
        <stp>VEGA</stp>
        <stp>.SPY150630P208</stp>
        <tr r="U355" s="1"/>
      </tp>
      <tp>
        <v>0.3271</v>
        <stp/>
        <stp>VEGA</stp>
        <stp>.SPY150630C209</stp>
        <tr r="J357" s="1"/>
      </tp>
      <tp>
        <v>0.32857999999999998</v>
        <stp/>
        <stp>VEGA</stp>
        <stp>.SPY150630P209</stp>
        <tr r="U357" s="1"/>
      </tp>
      <tp>
        <v>0.22982</v>
        <stp/>
        <stp>VEGA</stp>
        <stp>.SPY150630C200</stp>
        <tr r="J339" s="1"/>
      </tp>
      <tp>
        <v>0.23363</v>
        <stp/>
        <stp>VEGA</stp>
        <stp>.SPY150630P200</stp>
        <tr r="U339" s="1"/>
      </tp>
      <tp>
        <v>0.24207000000000001</v>
        <stp/>
        <stp>VEGA</stp>
        <stp>.SPY150630C201</stp>
        <tr r="J341" s="1"/>
      </tp>
      <tp>
        <v>0.24611</v>
        <stp/>
        <stp>VEGA</stp>
        <stp>.SPY150630P201</stp>
        <tr r="U341" s="1"/>
      </tp>
      <tp>
        <v>0.25427</v>
        <stp/>
        <stp>VEGA</stp>
        <stp>.SPY150630C202</stp>
        <tr r="J343" s="1"/>
      </tp>
      <tp>
        <v>0.25824000000000003</v>
        <stp/>
        <stp>VEGA</stp>
        <stp>.SPY150630P202</stp>
        <tr r="U343" s="1"/>
      </tp>
      <tp>
        <v>0.26630999999999999</v>
        <stp/>
        <stp>VEGA</stp>
        <stp>.SPY150630C203</stp>
        <tr r="J345" s="1"/>
      </tp>
      <tp>
        <v>0.27037</v>
        <stp/>
        <stp>VEGA</stp>
        <stp>.SPY150630P203</stp>
        <tr r="U345" s="1"/>
      </tp>
      <tp>
        <v>0.27793000000000001</v>
        <stp/>
        <stp>VEGA</stp>
        <stp>.SPY150630C204</stp>
        <tr r="J347" s="1"/>
      </tp>
      <tp>
        <v>0.28234999999999999</v>
        <stp/>
        <stp>VEGA</stp>
        <stp>.SPY150630P204</stp>
        <tr r="U347" s="1"/>
      </tp>
      <tp>
        <v>0.28976000000000002</v>
        <stp/>
        <stp>VEGA</stp>
        <stp>.SPY150630C205</stp>
        <tr r="J349" s="1"/>
      </tp>
      <tp>
        <v>0.29360999999999998</v>
        <stp/>
        <stp>VEGA</stp>
        <stp>.SPY150630P205</stp>
        <tr r="U349" s="1"/>
      </tp>
      <tp>
        <v>0.30084</v>
        <stp/>
        <stp>VEGA</stp>
        <stp>.SPY150630C206</stp>
        <tr r="J351" s="1"/>
      </tp>
      <tp>
        <v>0.30414999999999998</v>
        <stp/>
        <stp>VEGA</stp>
        <stp>.SPY150630P206</stp>
        <tr r="U351" s="1"/>
      </tp>
      <tp>
        <v>0.31091999999999997</v>
        <stp/>
        <stp>VEGA</stp>
        <stp>.SPY150630C207</stp>
        <tr r="J353" s="1"/>
      </tp>
      <tp>
        <v>0.31374999999999997</v>
        <stp/>
        <stp>VEGA</stp>
        <stp>.SPY150630P207</stp>
        <tr r="U353" s="1"/>
      </tp>
      <tp>
        <v>0.23576</v>
        <stp/>
        <stp>VEGA</stp>
        <stp>.SPY150630C218</stp>
        <tr r="J375" s="1"/>
      </tp>
      <tp>
        <v>0.25802999999999998</v>
        <stp/>
        <stp>VEGA</stp>
        <stp>.SPY150630P218</stp>
        <tr r="U375" s="1"/>
      </tp>
      <tp>
        <v>0.20574000000000001</v>
        <stp/>
        <stp>VEGA</stp>
        <stp>.SPY150630C219</stp>
        <tr r="J377" s="1"/>
      </tp>
      <tp>
        <v>0.23843</v>
        <stp/>
        <stp>VEGA</stp>
        <stp>.SPY150630P219</stp>
        <tr r="U377" s="1"/>
      </tp>
      <tp>
        <v>0.33226</v>
        <stp/>
        <stp>VEGA</stp>
        <stp>.SPY150630C210</stp>
        <tr r="J359" s="1"/>
      </tp>
      <tp>
        <v>0.33311000000000002</v>
        <stp/>
        <stp>VEGA</stp>
        <stp>.SPY150630P210</stp>
        <tr r="U359" s="1"/>
      </tp>
      <tp>
        <v>0.33481</v>
        <stp/>
        <stp>VEGA</stp>
        <stp>.SPY150630C211</stp>
        <tr r="J361" s="1"/>
      </tp>
      <tp>
        <v>0.33516000000000001</v>
        <stp/>
        <stp>VEGA</stp>
        <stp>.SPY150630P211</stp>
        <tr r="U361" s="1"/>
      </tp>
      <tp>
        <v>0.33406999999999998</v>
        <stp/>
        <stp>VEGA</stp>
        <stp>.SPY150630C212</stp>
        <tr r="J363" s="1"/>
      </tp>
      <tp>
        <v>0.33429999999999999</v>
        <stp/>
        <stp>VEGA</stp>
        <stp>.SPY150630P212</stp>
        <tr r="U363" s="1"/>
      </tp>
      <tp>
        <v>0.32946999999999999</v>
        <stp/>
        <stp>VEGA</stp>
        <stp>.SPY150630C213</stp>
        <tr r="J365" s="1"/>
      </tp>
      <tp>
        <v>0.33012000000000002</v>
        <stp/>
        <stp>VEGA</stp>
        <stp>.SPY150630P213</stp>
        <tr r="U365" s="1"/>
      </tp>
      <tp>
        <v>0.32033</v>
        <stp/>
        <stp>VEGA</stp>
        <stp>.SPY150630C214</stp>
        <tr r="J367" s="1"/>
      </tp>
      <tp>
        <v>0.32235999999999998</v>
        <stp/>
        <stp>VEGA</stp>
        <stp>.SPY150630P214</stp>
        <tr r="U367" s="1"/>
      </tp>
      <tp>
        <v>0.30634</v>
        <stp/>
        <stp>VEGA</stp>
        <stp>.SPY150630C215</stp>
        <tr r="J369" s="1"/>
      </tp>
      <tp>
        <v>0.31086000000000003</v>
        <stp/>
        <stp>VEGA</stp>
        <stp>.SPY150630P215</stp>
        <tr r="U369" s="1"/>
      </tp>
      <tp>
        <v>0.28738000000000002</v>
        <stp/>
        <stp>VEGA</stp>
        <stp>.SPY150630C216</stp>
        <tr r="J371" s="1"/>
      </tp>
      <tp>
        <v>0.29588999999999999</v>
        <stp/>
        <stp>VEGA</stp>
        <stp>.SPY150630P216</stp>
        <tr r="U371" s="1"/>
      </tp>
      <tp>
        <v>0.26354</v>
        <stp/>
        <stp>VEGA</stp>
        <stp>.SPY150630C217</stp>
        <tr r="J373" s="1"/>
      </tp>
      <tp>
        <v>0.27850999999999998</v>
        <stp/>
        <stp>VEGA</stp>
        <stp>.SPY150630P217</stp>
        <tr r="U373" s="1"/>
      </tp>
      <tp>
        <v>0.37390000000000001</v>
        <stp/>
        <stp>VEGA</stp>
        <stp>.SPY150717C209</stp>
        <tr r="J399" s="1"/>
      </tp>
      <tp>
        <v>0.37542999999999999</v>
        <stp/>
        <stp>VEGA</stp>
        <stp>.SPY150717P209</stp>
        <tr r="U399" s="1"/>
      </tp>
      <tp>
        <v>0.36749999999999999</v>
        <stp/>
        <stp>VEGA</stp>
        <stp>.SPY150717C208</stp>
        <tr r="J397" s="1"/>
      </tp>
      <tp>
        <v>0.36979000000000001</v>
        <stp/>
        <stp>VEGA</stp>
        <stp>.SPY150717P208</stp>
        <tr r="U397" s="1"/>
      </tp>
      <tp>
        <v>0.35947000000000001</v>
        <stp/>
        <stp>VEGA</stp>
        <stp>.SPY150717C207</stp>
        <tr r="J395" s="1"/>
      </tp>
      <tp>
        <v>0.36262</v>
        <stp/>
        <stp>VEGA</stp>
        <stp>.SPY150717P207</stp>
        <tr r="U395" s="1"/>
      </tp>
      <tp>
        <v>0.35025000000000001</v>
        <stp/>
        <stp>VEGA</stp>
        <stp>.SPY150717C206</stp>
        <tr r="J393" s="1"/>
      </tp>
      <tp>
        <v>0.35421000000000002</v>
        <stp/>
        <stp>VEGA</stp>
        <stp>.SPY150717P206</stp>
        <tr r="U393" s="1"/>
      </tp>
      <tp>
        <v>0.33999000000000001</v>
        <stp/>
        <stp>VEGA</stp>
        <stp>.SPY150717C205</stp>
        <tr r="J391" s="1"/>
      </tp>
      <tp>
        <v>0.34476000000000001</v>
        <stp/>
        <stp>VEGA</stp>
        <stp>.SPY150717P205</stp>
        <tr r="U391" s="1"/>
      </tp>
      <tp>
        <v>0.32905000000000001</v>
        <stp/>
        <stp>VEGA</stp>
        <stp>.SPY150717C204</stp>
        <tr r="J389" s="1"/>
      </tp>
      <tp>
        <v>0.33459</v>
        <stp/>
        <stp>VEGA</stp>
        <stp>.SPY150717P204</stp>
        <tr r="U389" s="1"/>
      </tp>
      <tp>
        <v>0.31836999999999999</v>
        <stp/>
        <stp>VEGA</stp>
        <stp>.SPY150717C203</stp>
        <tr r="J387" s="1"/>
      </tp>
      <tp>
        <v>0.32379000000000002</v>
        <stp/>
        <stp>VEGA</stp>
        <stp>.SPY150717P203</stp>
        <tr r="U387" s="1"/>
      </tp>
      <tp>
        <v>0.30649999999999999</v>
        <stp/>
        <stp>VEGA</stp>
        <stp>.SPY150717C202</stp>
        <tr r="J385" s="1"/>
      </tp>
      <tp>
        <v>0.31253999999999998</v>
        <stp/>
        <stp>VEGA</stp>
        <stp>.SPY150717P202</stp>
        <tr r="U385" s="1"/>
      </tp>
      <tp>
        <v>0.29365000000000002</v>
        <stp/>
        <stp>VEGA</stp>
        <stp>.SPY150717C201</stp>
        <tr r="J383" s="1"/>
      </tp>
      <tp>
        <v>0.30099999999999999</v>
        <stp/>
        <stp>VEGA</stp>
        <stp>.SPY150717P201</stp>
        <tr r="U383" s="1"/>
      </tp>
      <tp>
        <v>0.28158</v>
        <stp/>
        <stp>VEGA</stp>
        <stp>.SPY150717C200</stp>
        <tr r="J381" s="1"/>
      </tp>
      <tp>
        <v>0.28919</v>
        <stp/>
        <stp>VEGA</stp>
        <stp>.SPY150717P200</stp>
        <tr r="U381" s="1"/>
      </tp>
      <tp>
        <v>0.26954</v>
        <stp/>
        <stp>VEGA</stp>
        <stp>.SPY150717C219</stp>
        <tr r="J419" s="1"/>
      </tp>
      <tp>
        <v>0.28608</v>
        <stp/>
        <stp>VEGA</stp>
        <stp>.SPY150717P219</stp>
        <tr r="U419" s="1"/>
      </tp>
      <tp>
        <v>0.29632999999999998</v>
        <stp/>
        <stp>VEGA</stp>
        <stp>.SPY150717C218</stp>
        <tr r="J417" s="1"/>
      </tp>
      <tp>
        <v>0.30796000000000001</v>
        <stp/>
        <stp>VEGA</stp>
        <stp>.SPY150717P218</stp>
        <tr r="U417" s="1"/>
      </tp>
      <tp>
        <v>0.32083</v>
        <stp/>
        <stp>VEGA</stp>
        <stp>.SPY150717C217</stp>
        <tr r="J415" s="1"/>
      </tp>
      <tp>
        <v>0.32769999999999999</v>
        <stp/>
        <stp>VEGA</stp>
        <stp>.SPY150717P217</stp>
        <tr r="U415" s="1"/>
      </tp>
      <tp>
        <v>0.34094999999999998</v>
        <stp/>
        <stp>VEGA</stp>
        <stp>.SPY150717C216</stp>
        <tr r="J413" s="1"/>
      </tp>
      <tp>
        <v>0.34495999999999999</v>
        <stp/>
        <stp>VEGA</stp>
        <stp>.SPY150717P216</stp>
        <tr r="U413" s="1"/>
      </tp>
      <tp>
        <v>0.35671999999999998</v>
        <stp/>
        <stp>VEGA</stp>
        <stp>.SPY150717C215</stp>
        <tr r="J411" s="1"/>
      </tp>
      <tp>
        <v>0.35888999999999999</v>
        <stp/>
        <stp>VEGA</stp>
        <stp>.SPY150717P215</stp>
        <tr r="U411" s="1"/>
      </tp>
      <tp>
        <v>0.36828</v>
        <stp/>
        <stp>VEGA</stp>
        <stp>.SPY150717C214</stp>
        <tr r="J409" s="1"/>
      </tp>
      <tp>
        <v>0.36918000000000001</v>
        <stp/>
        <stp>VEGA</stp>
        <stp>.SPY150717P214</stp>
        <tr r="U409" s="1"/>
      </tp>
      <tp>
        <v>0.37580999999999998</v>
        <stp/>
        <stp>VEGA</stp>
        <stp>.SPY150717C213</stp>
        <tr r="J407" s="1"/>
      </tp>
      <tp>
        <v>0.37624000000000002</v>
        <stp/>
        <stp>VEGA</stp>
        <stp>.SPY150717P213</stp>
        <tr r="U407" s="1"/>
      </tp>
      <tp>
        <v>0.37973000000000001</v>
        <stp/>
        <stp>VEGA</stp>
        <stp>.SPY150717C212</stp>
        <tr r="J405" s="1"/>
      </tp>
      <tp>
        <v>0.37996000000000002</v>
        <stp/>
        <stp>VEGA</stp>
        <stp>.SPY150717P212</stp>
        <tr r="U405" s="1"/>
      </tp>
      <tp>
        <v>0.38041999999999998</v>
        <stp/>
        <stp>VEGA</stp>
        <stp>.SPY150717C211</stp>
        <tr r="J403" s="1"/>
      </tp>
      <tp>
        <v>0.38085999999999998</v>
        <stp/>
        <stp>VEGA</stp>
        <stp>.SPY150717P211</stp>
        <tr r="U403" s="1"/>
      </tp>
      <tp>
        <v>0.37831999999999999</v>
        <stp/>
        <stp>VEGA</stp>
        <stp>.SPY150717C210</stp>
        <tr r="J401" s="1"/>
      </tp>
      <tp>
        <v>0.37923000000000001</v>
        <stp/>
        <stp>VEGA</stp>
        <stp>.SPY150717P210</stp>
        <tr r="U401" s="1"/>
      </tp>
      <tp t="s">
        <v>N/A</v>
        <stp/>
        <stp>GAMMA</stp>
        <stp>.SPY151231P209.5</stp>
        <tr r="T568" s="1"/>
      </tp>
      <tp t="s">
        <v>N/A</v>
        <stp/>
        <stp>GAMMA</stp>
        <stp>.SPY151231P219.5</stp>
        <tr r="T588" s="1"/>
      </tp>
      <tp t="s">
        <v>N/A</v>
        <stp/>
        <stp>GAMMA</stp>
        <stp>.SPY151219P201.5</stp>
        <tr r="T510" s="1"/>
      </tp>
      <tp t="s">
        <v>N/A</v>
        <stp/>
        <stp>GAMMA</stp>
        <stp>.SPY151219P211.5</stp>
        <tr r="T530" s="1"/>
      </tp>
      <tp t="s">
        <v>N/A</v>
        <stp/>
        <stp>GAMMA</stp>
        <stp>.SPY150930P208.5</stp>
        <tr r="T482" s="1"/>
      </tp>
      <tp t="s">
        <v>N/A</v>
        <stp/>
        <stp>GAMMA</stp>
        <stp>.SPY150930P218.5</stp>
        <tr r="T502" s="1"/>
      </tp>
      <tp t="s">
        <v>N/A</v>
        <stp/>
        <stp>GAMMA</stp>
        <stp>.SPY150918P200.5</stp>
        <tr r="T424" s="1"/>
      </tp>
      <tp t="s">
        <v>N/A</v>
        <stp/>
        <stp>GAMMA</stp>
        <stp>.SPY150918P210.5</stp>
        <tr r="T444" s="1"/>
      </tp>
      <tp t="s">
        <v>N/A</v>
        <stp/>
        <stp>GAMMA</stp>
        <stp>.SPY160318P203.5</stp>
        <tr r="T640" s="1"/>
      </tp>
      <tp t="s">
        <v>N/A</v>
        <stp/>
        <stp>GAMMA</stp>
        <stp>.SPY160318P213.5</stp>
        <tr r="T660" s="1"/>
      </tp>
      <tp>
        <v>7.0209999999999995E-2</v>
        <stp/>
        <stp>GAMMA</stp>
        <stp>.SPY150529P211.5</stp>
        <tr r="T278" s="1"/>
      </tp>
      <tp>
        <v>2.2749999999999999E-2</v>
        <stp/>
        <stp>GAMMA</stp>
        <stp>.SPY150529P201.5</stp>
        <tr r="T258" s="1"/>
      </tp>
      <tp t="s">
        <v>N/A</v>
        <stp/>
        <stp>GAMMA</stp>
        <stp>.SPY150501P219.5</stp>
        <tr r="T126" s="1"/>
      </tp>
      <tp>
        <v>0.14130000000000001</v>
        <stp/>
        <stp>GAMMA</stp>
        <stp>.SPY150508P210.5</stp>
        <tr r="T150" s="1"/>
      </tp>
      <tp t="s">
        <v>N/A</v>
        <stp/>
        <stp>GAMMA</stp>
        <stp>.SPY150501P209.5</stp>
        <tr r="T106" s="1"/>
      </tp>
      <tp>
        <v>6.8300000000000001E-3</v>
        <stp/>
        <stp>GAMMA</stp>
        <stp>.SPY150508P200.5</stp>
        <tr r="T130" s="1"/>
      </tp>
      <tp t="s">
        <v>N/A</v>
        <stp/>
        <stp>GAMMA</stp>
        <stp>.SPY150630P208.5</stp>
        <tr r="T356" s="1"/>
      </tp>
      <tp t="s">
        <v>N/A</v>
        <stp/>
        <stp>GAMMA</stp>
        <stp>.SPY150630P218.5</stp>
        <tr r="T376" s="1"/>
      </tp>
      <tp t="s">
        <v>N/A</v>
        <stp/>
        <stp>GAMMA</stp>
        <stp>.SPY150619P201.5</stp>
        <tr r="T300" s="1"/>
      </tp>
      <tp t="s">
        <v>N/A</v>
        <stp/>
        <stp>GAMMA</stp>
        <stp>.SPY150619P211.5</stp>
        <tr r="T320" s="1"/>
      </tp>
      <tp t="s">
        <v>N/A</v>
        <stp/>
        <stp>GAMMA</stp>
        <stp>.SPY150930C208.5</stp>
        <tr r="I482" s="1"/>
      </tp>
      <tp t="s">
        <v>N/A</v>
        <stp/>
        <stp>GAMMA</stp>
        <stp>.SPY150930C218.5</stp>
        <tr r="I502" s="1"/>
      </tp>
      <tp t="s">
        <v>N/A</v>
        <stp/>
        <stp>GAMMA</stp>
        <stp>.SPY150918C200.5</stp>
        <tr r="I424" s="1"/>
      </tp>
      <tp t="s">
        <v>N/A</v>
        <stp/>
        <stp>GAMMA</stp>
        <stp>.SPY150918C210.5</stp>
        <tr r="I444" s="1"/>
      </tp>
      <tp t="s">
        <v>N/A</v>
        <stp/>
        <stp>GAMMA</stp>
        <stp>.SPY160318C203.5</stp>
        <tr r="I640" s="1"/>
      </tp>
      <tp t="s">
        <v>N/A</v>
        <stp/>
        <stp>GAMMA</stp>
        <stp>.SPY160318C213.5</stp>
        <tr r="I660" s="1"/>
      </tp>
      <tp>
        <v>6.4399999999999999E-2</v>
        <stp/>
        <stp>GAMMA</stp>
        <stp>.SPY150529C211.5</stp>
        <tr r="I278" s="1"/>
      </tp>
      <tp>
        <v>2.4250000000000001E-2</v>
        <stp/>
        <stp>GAMMA</stp>
        <stp>.SPY150529C201.5</stp>
        <tr r="I258" s="1"/>
      </tp>
      <tp t="s">
        <v>N/A</v>
        <stp/>
        <stp>GAMMA</stp>
        <stp>.SPY150501C219.5</stp>
        <tr r="I126" s="1"/>
      </tp>
      <tp>
        <v>0.13661000000000001</v>
        <stp/>
        <stp>GAMMA</stp>
        <stp>.SPY150508C210.5</stp>
        <tr r="I150" s="1"/>
      </tp>
      <tp t="s">
        <v>N/A</v>
        <stp/>
        <stp>GAMMA</stp>
        <stp>.SPY150501C209.5</stp>
        <tr r="I106" s="1"/>
      </tp>
      <tp>
        <v>4.4200000000000003E-3</v>
        <stp/>
        <stp>GAMMA</stp>
        <stp>.SPY150508C200.5</stp>
        <tr r="I130" s="1"/>
      </tp>
      <tp t="s">
        <v>N/A</v>
        <stp/>
        <stp>GAMMA</stp>
        <stp>.SPY150630C208.5</stp>
        <tr r="I356" s="1"/>
      </tp>
      <tp t="s">
        <v>N/A</v>
        <stp/>
        <stp>GAMMA</stp>
        <stp>.SPY150630C218.5</stp>
        <tr r="I376" s="1"/>
      </tp>
      <tp t="s">
        <v>N/A</v>
        <stp/>
        <stp>GAMMA</stp>
        <stp>.SPY150619C201.5</stp>
        <tr r="I300" s="1"/>
      </tp>
      <tp t="s">
        <v>N/A</v>
        <stp/>
        <stp>GAMMA</stp>
        <stp>.SPY150619C211.5</stp>
        <tr r="I320" s="1"/>
      </tp>
      <tp t="s">
        <v>N/A</v>
        <stp/>
        <stp>GAMMA</stp>
        <stp>.SPY151231C209.5</stp>
        <tr r="I568" s="1"/>
      </tp>
      <tp t="s">
        <v>N/A</v>
        <stp/>
        <stp>GAMMA</stp>
        <stp>.SPY151231C219.5</stp>
        <tr r="I588" s="1"/>
      </tp>
      <tp t="s">
        <v>N/A</v>
        <stp/>
        <stp>GAMMA</stp>
        <stp>.SPY151219C201.5</stp>
        <tr r="I510" s="1"/>
      </tp>
      <tp t="s">
        <v>N/A</v>
        <stp/>
        <stp>GAMMA</stp>
        <stp>.SPY151219C211.5</stp>
        <tr r="I530" s="1"/>
      </tp>
      <tp t="s">
        <v>N/A</v>
        <stp/>
        <stp>ASK</stp>
        <stp>.SPY161216C207.5</stp>
        <tr r="A774" s="1"/>
      </tp>
      <tp t="s">
        <v>N/A</v>
        <stp/>
        <stp>ASK</stp>
        <stp>.SPY171215C205.5</stp>
        <tr r="A896" s="1"/>
      </tp>
      <tp t="s">
        <v>N/A</v>
        <stp/>
        <stp>ASK</stp>
        <stp>.SPY161216C217.5</stp>
        <tr r="A794" s="1"/>
      </tp>
      <tp t="s">
        <v>N/A</v>
        <stp/>
        <stp>ASK</stp>
        <stp>.SPY171215C215.5</stp>
        <tr r="A916" s="1"/>
      </tp>
      <tp t="s">
        <v>N/A</v>
        <stp/>
        <stp>ASK</stp>
        <stp>.SPY151231C203.5</stp>
        <tr r="A556" s="1"/>
      </tp>
      <tp t="s">
        <v>N/A</v>
        <stp/>
        <stp>ASK</stp>
        <stp>.SPY151231C213.5</stp>
        <tr r="A576" s="1"/>
      </tp>
      <tp t="s">
        <v>N/A</v>
        <stp/>
        <stp>ASK</stp>
        <stp>.SPY160916C207.5</stp>
        <tr r="A732" s="1"/>
      </tp>
      <tp t="s">
        <v>N/A</v>
        <stp/>
        <stp>ASK</stp>
        <stp>.SPY160916C217.5</stp>
        <tr r="A752" s="1"/>
      </tp>
      <tp t="s">
        <v>N/A</v>
        <stp/>
        <stp>ASK</stp>
        <stp>.SPY150930C202.5</stp>
        <tr r="A470" s="1"/>
      </tp>
      <tp t="s">
        <v>N/A</v>
        <stp/>
        <stp>ASK</stp>
        <stp>.SPY150930C212.5</stp>
        <tr r="A490" s="1"/>
      </tp>
      <tp t="s">
        <v>N/A</v>
        <stp/>
        <stp>ASK</stp>
        <stp>.SPY160318C209.5</stp>
        <tr r="A652" s="1"/>
      </tp>
      <tp t="s">
        <v>N/A</v>
        <stp/>
        <stp>ASK</stp>
        <stp>.SPY170317C207.5</stp>
        <tr r="A858" s="1"/>
      </tp>
      <tp t="s">
        <v>N/A</v>
        <stp/>
        <stp>ASK</stp>
        <stp>.SPY160318C219.5</stp>
        <tr r="A672" s="1"/>
      </tp>
      <tp t="s">
        <v>N/A</v>
        <stp/>
        <stp>ASK</stp>
        <stp>.SPY170317C217.5</stp>
        <tr r="A878" s="1"/>
      </tp>
      <tp t="s">
        <v>N/A</v>
        <stp/>
        <stp>ASK</stp>
        <stp>.SPY160115C204.5</stp>
        <tr r="A600" s="1"/>
      </tp>
      <tp t="s">
        <v>N/A</v>
        <stp/>
        <stp>ASK</stp>
        <stp>.SPY160115C214.5</stp>
        <tr r="A620" s="1"/>
      </tp>
      <tp t="s">
        <v>N/A</v>
        <stp/>
        <stp>ASK</stp>
        <stp>.SPY170120C210.5</stp>
        <tr r="A822" s="1"/>
      </tp>
      <tp t="s">
        <v>N/A</v>
        <stp/>
        <stp>ASK</stp>
        <stp>.SPY170120C200.5</stp>
        <tr r="A802" s="1"/>
      </tp>
      <tp t="s">
        <v>N/A</v>
        <stp/>
        <stp>ASK</stp>
        <stp>.SPY150717C205.5</stp>
        <tr r="A392" s="1"/>
      </tp>
      <tp t="s">
        <v>N/A</v>
        <stp/>
        <stp>ASK</stp>
        <stp>.SPY150717C215.5</stp>
        <tr r="A412" s="1"/>
      </tp>
      <tp t="s">
        <v>N/A</v>
        <stp/>
        <stp>ASK</stp>
        <stp>.SPY160617C206.5</stp>
        <tr r="A688" s="1"/>
      </tp>
      <tp t="s">
        <v>N/A</v>
        <stp/>
        <stp>ASK</stp>
        <stp>.SPY160617C216.5</stp>
        <tr r="A708" s="1"/>
      </tp>
      <tp t="s">
        <v>N/A</v>
        <stp/>
        <stp>ASK</stp>
        <stp>.SPY150630C202.5</stp>
        <tr r="A344" s="1"/>
      </tp>
      <tp t="s">
        <v>N/A</v>
        <stp/>
        <stp>ASK</stp>
        <stp>.SPY150630C212.5</stp>
        <tr r="A364" s="1"/>
      </tp>
      <tp>
        <v>0.01</v>
        <stp/>
        <stp>ASK</stp>
        <stp>.SPY150501C213.5</stp>
        <tr r="A114" s="1"/>
      </tp>
      <tp>
        <v>4.58</v>
        <stp/>
        <stp>ASK</stp>
        <stp>.SPY150515C207.5</stp>
        <tr r="A186" s="1"/>
      </tp>
      <tp>
        <v>7.36</v>
        <stp/>
        <stp>ASK</stp>
        <stp>.SPY150501C203.5</stp>
        <tr r="A94" s="1"/>
      </tp>
      <tp>
        <v>0.05</v>
        <stp/>
        <stp>ASK</stp>
        <stp>.SPY150515C217.5</stp>
        <tr r="A206" s="1"/>
      </tp>
      <tp>
        <v>2.69</v>
        <stp/>
        <stp>ASK</stp>
        <stp>.SPY150522C210.5</stp>
        <tr r="A234" s="1"/>
      </tp>
      <tp>
        <v>11.33</v>
        <stp/>
        <stp>ASK</stp>
        <stp>.SPY150522C200.5</stp>
        <tr r="A214" s="1"/>
      </tp>
      <tp>
        <v>2.74</v>
        <stp/>
        <stp>ASK</stp>
        <stp>.SPY150417C205.5</stp>
        <tr r="A14" s="1"/>
      </tp>
      <tp>
        <v>0.01</v>
        <stp/>
        <stp>ASK</stp>
        <stp>.SPY150417C215.5</stp>
        <tr r="A34" s="1"/>
      </tp>
      <tp>
        <v>0.01</v>
        <stp/>
        <stp>ASK</stp>
        <stp>.SPY150424C216.5</stp>
        <tr r="A78" s="1"/>
      </tp>
      <tp>
        <v>5.31</v>
        <stp/>
        <stp>ASK</stp>
        <stp>.SPY150424C206.5</stp>
        <tr r="A58" s="1"/>
      </tp>
      <tp t="s">
        <v>N/A</v>
        <stp/>
        <stp>ASK</stp>
        <stp>.SPY160916P207.5</stp>
        <tr r="L732" s="1"/>
      </tp>
      <tp t="s">
        <v>N/A</v>
        <stp/>
        <stp>ASK</stp>
        <stp>.SPY160916P217.5</stp>
        <tr r="L752" s="1"/>
      </tp>
      <tp t="s">
        <v>N/A</v>
        <stp/>
        <stp>ASK</stp>
        <stp>.SPY150930P202.5</stp>
        <tr r="L470" s="1"/>
      </tp>
      <tp t="s">
        <v>N/A</v>
        <stp/>
        <stp>ASK</stp>
        <stp>.SPY150930P212.5</stp>
        <tr r="L490" s="1"/>
      </tp>
      <tp t="s">
        <v>N/A</v>
        <stp/>
        <stp>ASK</stp>
        <stp>.SPY160318P209.5</stp>
        <tr r="L652" s="1"/>
      </tp>
      <tp t="s">
        <v>N/A</v>
        <stp/>
        <stp>ASK</stp>
        <stp>.SPY170317P207.5</stp>
        <tr r="L858" s="1"/>
      </tp>
      <tp t="s">
        <v>N/A</v>
        <stp/>
        <stp>ASK</stp>
        <stp>.SPY160318P219.5</stp>
        <tr r="L672" s="1"/>
      </tp>
      <tp t="s">
        <v>N/A</v>
        <stp/>
        <stp>ASK</stp>
        <stp>.SPY170317P217.5</stp>
        <tr r="L878" s="1"/>
      </tp>
      <tp t="s">
        <v>N/A</v>
        <stp/>
        <stp>ASK</stp>
        <stp>.SPY160115P204.5</stp>
        <tr r="L600" s="1"/>
      </tp>
      <tp t="s">
        <v>N/A</v>
        <stp/>
        <stp>ASK</stp>
        <stp>.SPY160115P214.5</stp>
        <tr r="L620" s="1"/>
      </tp>
      <tp t="s">
        <v>N/A</v>
        <stp/>
        <stp>ASK</stp>
        <stp>.SPY170120P210.5</stp>
        <tr r="L822" s="1"/>
      </tp>
      <tp t="s">
        <v>N/A</v>
        <stp/>
        <stp>ASK</stp>
        <stp>.SPY170120P200.5</stp>
        <tr r="L802" s="1"/>
      </tp>
      <tp t="s">
        <v>N/A</v>
        <stp/>
        <stp>ASK</stp>
        <stp>.SPY150717P205.5</stp>
        <tr r="L392" s="1"/>
      </tp>
      <tp t="s">
        <v>N/A</v>
        <stp/>
        <stp>ASK</stp>
        <stp>.SPY150717P215.5</stp>
        <tr r="L412" s="1"/>
      </tp>
      <tp t="s">
        <v>N/A</v>
        <stp/>
        <stp>ASK</stp>
        <stp>.SPY160617P206.5</stp>
        <tr r="L688" s="1"/>
      </tp>
      <tp t="s">
        <v>N/A</v>
        <stp/>
        <stp>ASK</stp>
        <stp>.SPY160617P216.5</stp>
        <tr r="L708" s="1"/>
      </tp>
      <tp t="s">
        <v>N/A</v>
        <stp/>
        <stp>ASK</stp>
        <stp>.SPY150630P202.5</stp>
        <tr r="L344" s="1"/>
      </tp>
      <tp t="s">
        <v>N/A</v>
        <stp/>
        <stp>ASK</stp>
        <stp>.SPY150630P212.5</stp>
        <tr r="L364" s="1"/>
      </tp>
      <tp>
        <v>2.92</v>
        <stp/>
        <stp>ASK</stp>
        <stp>.SPY150501P213.5</stp>
        <tr r="L114" s="1"/>
      </tp>
      <tp>
        <v>0.59</v>
        <stp/>
        <stp>ASK</stp>
        <stp>.SPY150515P207.5</stp>
        <tr r="L186" s="1"/>
      </tp>
      <tp>
        <v>0.01</v>
        <stp/>
        <stp>ASK</stp>
        <stp>.SPY150501P203.5</stp>
        <tr r="L94" s="1"/>
      </tp>
      <tp>
        <v>6.21</v>
        <stp/>
        <stp>ASK</stp>
        <stp>.SPY150515P217.5</stp>
        <tr r="L206" s="1"/>
      </tp>
      <tp>
        <v>1.7</v>
        <stp/>
        <stp>ASK</stp>
        <stp>.SPY150522P210.5</stp>
        <tr r="L234" s="1"/>
      </tp>
      <tp>
        <v>0.24</v>
        <stp/>
        <stp>ASK</stp>
        <stp>.SPY150522P200.5</stp>
        <tr r="L214" s="1"/>
      </tp>
      <tp>
        <v>0.01</v>
        <stp/>
        <stp>ASK</stp>
        <stp>.SPY150417P205.5</stp>
        <tr r="L14" s="1"/>
      </tp>
      <tp>
        <v>7.52</v>
        <stp/>
        <stp>ASK</stp>
        <stp>.SPY150417P215.5</stp>
        <tr r="L34" s="1"/>
      </tp>
      <tp>
        <v>4.9400000000000004</v>
        <stp/>
        <stp>ASK</stp>
        <stp>.SPY150424P216.5</stp>
        <tr r="L78" s="1"/>
      </tp>
      <tp>
        <v>0.01</v>
        <stp/>
        <stp>ASK</stp>
        <stp>.SPY150424P206.5</stp>
        <tr r="L58" s="1"/>
      </tp>
      <tp t="s">
        <v>N/A</v>
        <stp/>
        <stp>ASK</stp>
        <stp>.SPY161216P207.5</stp>
        <tr r="L774" s="1"/>
      </tp>
      <tp t="s">
        <v>N/A</v>
        <stp/>
        <stp>ASK</stp>
        <stp>.SPY171215P205.5</stp>
        <tr r="L896" s="1"/>
      </tp>
      <tp t="s">
        <v>N/A</v>
        <stp/>
        <stp>ASK</stp>
        <stp>.SPY161216P217.5</stp>
        <tr r="L794" s="1"/>
      </tp>
      <tp t="s">
        <v>N/A</v>
        <stp/>
        <stp>ASK</stp>
        <stp>.SPY171215P215.5</stp>
        <tr r="L916" s="1"/>
      </tp>
      <tp t="s">
        <v>N/A</v>
        <stp/>
        <stp>ASK</stp>
        <stp>.SPY151231P203.5</stp>
        <tr r="L556" s="1"/>
      </tp>
      <tp t="s">
        <v>N/A</v>
        <stp/>
        <stp>ASK</stp>
        <stp>.SPY151231P213.5</stp>
        <tr r="L576" s="1"/>
      </tp>
      <tp t="s">
        <v>N/A</v>
        <stp/>
        <stp>GAMMA</stp>
        <stp>.SPY151231P208.5</stp>
        <tr r="T566" s="1"/>
      </tp>
      <tp t="s">
        <v>N/A</v>
        <stp/>
        <stp>GAMMA</stp>
        <stp>.SPY151231P218.5</stp>
        <tr r="T586" s="1"/>
      </tp>
      <tp t="s">
        <v>N/A</v>
        <stp/>
        <stp>GAMMA</stp>
        <stp>.SPY151219P200.5</stp>
        <tr r="T508" s="1"/>
      </tp>
      <tp t="s">
        <v>N/A</v>
        <stp/>
        <stp>GAMMA</stp>
        <stp>.SPY151219P210.5</stp>
        <tr r="T528" s="1"/>
      </tp>
      <tp t="s">
        <v>N/A</v>
        <stp/>
        <stp>GAMMA</stp>
        <stp>.SPY150930P209.5</stp>
        <tr r="T484" s="1"/>
      </tp>
      <tp t="s">
        <v>N/A</v>
        <stp/>
        <stp>GAMMA</stp>
        <stp>.SPY150930P219.5</stp>
        <tr r="T504" s="1"/>
      </tp>
      <tp t="s">
        <v>N/A</v>
        <stp/>
        <stp>GAMMA</stp>
        <stp>.SPY150918P201.5</stp>
        <tr r="T426" s="1"/>
      </tp>
      <tp t="s">
        <v>N/A</v>
        <stp/>
        <stp>GAMMA</stp>
        <stp>.SPY150918P211.5</stp>
        <tr r="T446" s="1"/>
      </tp>
      <tp t="s">
        <v>N/A</v>
        <stp/>
        <stp>GAMMA</stp>
        <stp>.SPY160318P202.5</stp>
        <tr r="T638" s="1"/>
      </tp>
      <tp t="s">
        <v>N/A</v>
        <stp/>
        <stp>GAMMA</stp>
        <stp>.SPY160318P212.5</stp>
        <tr r="T658" s="1"/>
      </tp>
      <tp>
        <v>6.5820000000000004E-2</v>
        <stp/>
        <stp>GAMMA</stp>
        <stp>.SPY150529P210.5</stp>
        <tr r="T276" s="1"/>
      </tp>
      <tp>
        <v>1.9699999999999999E-2</v>
        <stp/>
        <stp>GAMMA</stp>
        <stp>.SPY150529P200.5</stp>
        <tr r="T256" s="1"/>
      </tp>
      <tp t="s">
        <v>N/A</v>
        <stp/>
        <stp>GAMMA</stp>
        <stp>.SPY150501P218.5</stp>
        <tr r="T124" s="1"/>
      </tp>
      <tp>
        <v>0.16270000000000001</v>
        <stp/>
        <stp>GAMMA</stp>
        <stp>.SPY150508P211.5</stp>
        <tr r="T152" s="1"/>
      </tp>
      <tp t="s">
        <v>N/A</v>
        <stp/>
        <stp>GAMMA</stp>
        <stp>.SPY150501P208.5</stp>
        <tr r="T104" s="1"/>
      </tp>
      <tp>
        <v>7.9299999999999995E-3</v>
        <stp/>
        <stp>GAMMA</stp>
        <stp>.SPY150508P201.5</stp>
        <tr r="T132" s="1"/>
      </tp>
      <tp t="s">
        <v>N/A</v>
        <stp/>
        <stp>GAMMA</stp>
        <stp>.SPY150630P209.5</stp>
        <tr r="T358" s="1"/>
      </tp>
      <tp t="s">
        <v>N/A</v>
        <stp/>
        <stp>GAMMA</stp>
        <stp>.SPY150630P219.5</stp>
        <tr r="T378" s="1"/>
      </tp>
      <tp t="s">
        <v>N/A</v>
        <stp/>
        <stp>GAMMA</stp>
        <stp>.SPY150619P200.5</stp>
        <tr r="T298" s="1"/>
      </tp>
      <tp t="s">
        <v>N/A</v>
        <stp/>
        <stp>GAMMA</stp>
        <stp>.SPY150619P210.5</stp>
        <tr r="T318" s="1"/>
      </tp>
      <tp t="s">
        <v>N/A</v>
        <stp/>
        <stp>GAMMA</stp>
        <stp>.SPY150930C209.5</stp>
        <tr r="I484" s="1"/>
      </tp>
      <tp t="s">
        <v>N/A</v>
        <stp/>
        <stp>GAMMA</stp>
        <stp>.SPY150930C219.5</stp>
        <tr r="I504" s="1"/>
      </tp>
      <tp t="s">
        <v>N/A</v>
        <stp/>
        <stp>GAMMA</stp>
        <stp>.SPY150918C201.5</stp>
        <tr r="I426" s="1"/>
      </tp>
      <tp t="s">
        <v>N/A</v>
        <stp/>
        <stp>GAMMA</stp>
        <stp>.SPY150918C211.5</stp>
        <tr r="I446" s="1"/>
      </tp>
      <tp t="s">
        <v>N/A</v>
        <stp/>
        <stp>GAMMA</stp>
        <stp>.SPY160318C202.5</stp>
        <tr r="I638" s="1"/>
      </tp>
      <tp t="s">
        <v>N/A</v>
        <stp/>
        <stp>GAMMA</stp>
        <stp>.SPY160318C212.5</stp>
        <tr r="I658" s="1"/>
      </tp>
      <tp>
        <v>6.0929999999999998E-2</v>
        <stp/>
        <stp>GAMMA</stp>
        <stp>.SPY150529C210.5</stp>
        <tr r="I276" s="1"/>
      </tp>
      <tp>
        <v>2.137E-2</v>
        <stp/>
        <stp>GAMMA</stp>
        <stp>.SPY150529C200.5</stp>
        <tr r="I256" s="1"/>
      </tp>
      <tp t="s">
        <v>N/A</v>
        <stp/>
        <stp>GAMMA</stp>
        <stp>.SPY150501C218.5</stp>
        <tr r="I124" s="1"/>
      </tp>
      <tp>
        <v>0.15801999999999999</v>
        <stp/>
        <stp>GAMMA</stp>
        <stp>.SPY150508C211.5</stp>
        <tr r="I152" s="1"/>
      </tp>
      <tp t="s">
        <v>N/A</v>
        <stp/>
        <stp>GAMMA</stp>
        <stp>.SPY150501C208.5</stp>
        <tr r="I104" s="1"/>
      </tp>
      <tp>
        <v>6.7600000000000004E-3</v>
        <stp/>
        <stp>GAMMA</stp>
        <stp>.SPY150508C201.5</stp>
        <tr r="I132" s="1"/>
      </tp>
      <tp t="s">
        <v>N/A</v>
        <stp/>
        <stp>GAMMA</stp>
        <stp>.SPY150630C209.5</stp>
        <tr r="I358" s="1"/>
      </tp>
      <tp t="s">
        <v>N/A</v>
        <stp/>
        <stp>GAMMA</stp>
        <stp>.SPY150630C219.5</stp>
        <tr r="I378" s="1"/>
      </tp>
      <tp t="s">
        <v>N/A</v>
        <stp/>
        <stp>GAMMA</stp>
        <stp>.SPY150619C200.5</stp>
        <tr r="I298" s="1"/>
      </tp>
      <tp t="s">
        <v>N/A</v>
        <stp/>
        <stp>GAMMA</stp>
        <stp>.SPY150619C210.5</stp>
        <tr r="I318" s="1"/>
      </tp>
      <tp t="s">
        <v>N/A</v>
        <stp/>
        <stp>GAMMA</stp>
        <stp>.SPY151231C208.5</stp>
        <tr r="I566" s="1"/>
      </tp>
      <tp t="s">
        <v>N/A</v>
        <stp/>
        <stp>GAMMA</stp>
        <stp>.SPY151231C218.5</stp>
        <tr r="I586" s="1"/>
      </tp>
      <tp t="s">
        <v>N/A</v>
        <stp/>
        <stp>GAMMA</stp>
        <stp>.SPY151219C200.5</stp>
        <tr r="I508" s="1"/>
      </tp>
      <tp t="s">
        <v>N/A</v>
        <stp/>
        <stp>GAMMA</stp>
        <stp>.SPY151219C210.5</stp>
        <tr r="I528" s="1"/>
      </tp>
      <tp t="s">
        <v>N/A</v>
        <stp/>
        <stp>ASK</stp>
        <stp>.SPY161216C206.5</stp>
        <tr r="A772" s="1"/>
      </tp>
      <tp t="s">
        <v>N/A</v>
        <stp/>
        <stp>ASK</stp>
        <stp>.SPY171215C204.5</stp>
        <tr r="A894" s="1"/>
      </tp>
      <tp t="s">
        <v>N/A</v>
        <stp/>
        <stp>ASK</stp>
        <stp>.SPY161216C216.5</stp>
        <tr r="A792" s="1"/>
      </tp>
      <tp t="s">
        <v>N/A</v>
        <stp/>
        <stp>ASK</stp>
        <stp>.SPY171215C214.5</stp>
        <tr r="A914" s="1"/>
      </tp>
      <tp t="s">
        <v>N/A</v>
        <stp/>
        <stp>ASK</stp>
        <stp>.SPY151231C202.5</stp>
        <tr r="A554" s="1"/>
      </tp>
      <tp t="s">
        <v>N/A</v>
        <stp/>
        <stp>ASK</stp>
        <stp>.SPY151231C212.5</stp>
        <tr r="A574" s="1"/>
      </tp>
      <tp t="s">
        <v>N/A</v>
        <stp/>
        <stp>ASK</stp>
        <stp>.SPY160916C206.5</stp>
        <tr r="A730" s="1"/>
      </tp>
      <tp t="s">
        <v>N/A</v>
        <stp/>
        <stp>ASK</stp>
        <stp>.SPY160916C216.5</stp>
        <tr r="A750" s="1"/>
      </tp>
      <tp t="s">
        <v>N/A</v>
        <stp/>
        <stp>ASK</stp>
        <stp>.SPY150930C203.5</stp>
        <tr r="A472" s="1"/>
      </tp>
      <tp t="s">
        <v>N/A</v>
        <stp/>
        <stp>ASK</stp>
        <stp>.SPY150930C213.5</stp>
        <tr r="A492" s="1"/>
      </tp>
      <tp t="s">
        <v>N/A</v>
        <stp/>
        <stp>ASK</stp>
        <stp>.SPY160318C208.5</stp>
        <tr r="A650" s="1"/>
      </tp>
      <tp t="s">
        <v>N/A</v>
        <stp/>
        <stp>ASK</stp>
        <stp>.SPY170317C206.5</stp>
        <tr r="A856" s="1"/>
      </tp>
      <tp t="s">
        <v>N/A</v>
        <stp/>
        <stp>ASK</stp>
        <stp>.SPY160318C218.5</stp>
        <tr r="A670" s="1"/>
      </tp>
      <tp t="s">
        <v>N/A</v>
        <stp/>
        <stp>ASK</stp>
        <stp>.SPY170317C216.5</stp>
        <tr r="A876" s="1"/>
      </tp>
      <tp t="s">
        <v>N/A</v>
        <stp/>
        <stp>ASK</stp>
        <stp>.SPY160115C205.5</stp>
        <tr r="A602" s="1"/>
      </tp>
      <tp t="s">
        <v>N/A</v>
        <stp/>
        <stp>ASK</stp>
        <stp>.SPY160115C215.5</stp>
        <tr r="A622" s="1"/>
      </tp>
      <tp t="s">
        <v>N/A</v>
        <stp/>
        <stp>ASK</stp>
        <stp>.SPY170120C211.5</stp>
        <tr r="A824" s="1"/>
      </tp>
      <tp t="s">
        <v>N/A</v>
        <stp/>
        <stp>ASK</stp>
        <stp>.SPY170120C201.5</stp>
        <tr r="A804" s="1"/>
      </tp>
      <tp t="s">
        <v>N/A</v>
        <stp/>
        <stp>ASK</stp>
        <stp>.SPY150717C204.5</stp>
        <tr r="A390" s="1"/>
      </tp>
      <tp t="s">
        <v>N/A</v>
        <stp/>
        <stp>ASK</stp>
        <stp>.SPY150717C214.5</stp>
        <tr r="A410" s="1"/>
      </tp>
      <tp t="s">
        <v>N/A</v>
        <stp/>
        <stp>ASK</stp>
        <stp>.SPY160617C207.5</stp>
        <tr r="A690" s="1"/>
      </tp>
      <tp t="s">
        <v>N/A</v>
        <stp/>
        <stp>ASK</stp>
        <stp>.SPY160617C217.5</stp>
        <tr r="A710" s="1"/>
      </tp>
      <tp t="s">
        <v>N/A</v>
        <stp/>
        <stp>ASK</stp>
        <stp>.SPY150630C203.5</stp>
        <tr r="A346" s="1"/>
      </tp>
      <tp t="s">
        <v>N/A</v>
        <stp/>
        <stp>ASK</stp>
        <stp>.SPY150630C213.5</stp>
        <tr r="A366" s="1"/>
      </tp>
      <tp>
        <v>0.01</v>
        <stp/>
        <stp>ASK</stp>
        <stp>.SPY150501C212.5</stp>
        <tr r="A112" s="1"/>
      </tp>
      <tp>
        <v>5.5</v>
        <stp/>
        <stp>ASK</stp>
        <stp>.SPY150515C206.5</stp>
        <tr r="A184" s="1"/>
      </tp>
      <tp>
        <v>8.36</v>
        <stp/>
        <stp>ASK</stp>
        <stp>.SPY150501C202.5</stp>
        <tr r="A92" s="1"/>
      </tp>
      <tp>
        <v>0.08</v>
        <stp/>
        <stp>ASK</stp>
        <stp>.SPY150515C216.5</stp>
        <tr r="A204" s="1"/>
      </tp>
      <tp>
        <v>2.04</v>
        <stp/>
        <stp>ASK</stp>
        <stp>.SPY150522C211.5</stp>
        <tr r="A236" s="1"/>
      </tp>
      <tp>
        <v>10.37</v>
        <stp/>
        <stp>ASK</stp>
        <stp>.SPY150522C201.5</stp>
        <tr r="A216" s="1"/>
      </tp>
      <tp>
        <v>3.74</v>
        <stp/>
        <stp>ASK</stp>
        <stp>.SPY150417C204.5</stp>
        <tr r="A12" s="1"/>
      </tp>
      <tp>
        <v>0.01</v>
        <stp/>
        <stp>ASK</stp>
        <stp>.SPY150417C214.5</stp>
        <tr r="A32" s="1"/>
      </tp>
      <tp>
        <v>0.01</v>
        <stp/>
        <stp>ASK</stp>
        <stp>.SPY150424C217.5</stp>
        <tr r="A80" s="1"/>
      </tp>
      <tp>
        <v>4.29</v>
        <stp/>
        <stp>ASK</stp>
        <stp>.SPY150424C207.5</stp>
        <tr r="A60" s="1"/>
      </tp>
      <tp t="s">
        <v>N/A</v>
        <stp/>
        <stp>ASK</stp>
        <stp>.SPY160916P206.5</stp>
        <tr r="L730" s="1"/>
      </tp>
      <tp t="s">
        <v>N/A</v>
        <stp/>
        <stp>ASK</stp>
        <stp>.SPY160916P216.5</stp>
        <tr r="L750" s="1"/>
      </tp>
      <tp t="s">
        <v>N/A</v>
        <stp/>
        <stp>ASK</stp>
        <stp>.SPY150930P203.5</stp>
        <tr r="L472" s="1"/>
      </tp>
      <tp t="s">
        <v>N/A</v>
        <stp/>
        <stp>ASK</stp>
        <stp>.SPY150930P213.5</stp>
        <tr r="L492" s="1"/>
      </tp>
      <tp t="s">
        <v>N/A</v>
        <stp/>
        <stp>ASK</stp>
        <stp>.SPY160318P208.5</stp>
        <tr r="L650" s="1"/>
      </tp>
      <tp t="s">
        <v>N/A</v>
        <stp/>
        <stp>ASK</stp>
        <stp>.SPY170317P206.5</stp>
        <tr r="L856" s="1"/>
      </tp>
      <tp t="s">
        <v>N/A</v>
        <stp/>
        <stp>ASK</stp>
        <stp>.SPY160318P218.5</stp>
        <tr r="L670" s="1"/>
      </tp>
      <tp t="s">
        <v>N/A</v>
        <stp/>
        <stp>ASK</stp>
        <stp>.SPY170317P216.5</stp>
        <tr r="L876" s="1"/>
      </tp>
      <tp t="s">
        <v>N/A</v>
        <stp/>
        <stp>ASK</stp>
        <stp>.SPY160115P205.5</stp>
        <tr r="L602" s="1"/>
      </tp>
      <tp t="s">
        <v>N/A</v>
        <stp/>
        <stp>ASK</stp>
        <stp>.SPY160115P215.5</stp>
        <tr r="L622" s="1"/>
      </tp>
      <tp t="s">
        <v>N/A</v>
        <stp/>
        <stp>ASK</stp>
        <stp>.SPY170120P211.5</stp>
        <tr r="L824" s="1"/>
      </tp>
      <tp t="s">
        <v>N/A</v>
        <stp/>
        <stp>ASK</stp>
        <stp>.SPY170120P201.5</stp>
        <tr r="L804" s="1"/>
      </tp>
      <tp t="s">
        <v>N/A</v>
        <stp/>
        <stp>ASK</stp>
        <stp>.SPY150717P204.5</stp>
        <tr r="L390" s="1"/>
      </tp>
      <tp t="s">
        <v>N/A</v>
        <stp/>
        <stp>ASK</stp>
        <stp>.SPY150717P214.5</stp>
        <tr r="L410" s="1"/>
      </tp>
      <tp t="s">
        <v>N/A</v>
        <stp/>
        <stp>ASK</stp>
        <stp>.SPY160617P207.5</stp>
        <tr r="L690" s="1"/>
      </tp>
      <tp t="s">
        <v>N/A</v>
        <stp/>
        <stp>ASK</stp>
        <stp>.SPY160617P217.5</stp>
        <tr r="L710" s="1"/>
      </tp>
      <tp t="s">
        <v>N/A</v>
        <stp/>
        <stp>ASK</stp>
        <stp>.SPY150630P203.5</stp>
        <tr r="L346" s="1"/>
      </tp>
      <tp t="s">
        <v>N/A</v>
        <stp/>
        <stp>ASK</stp>
        <stp>.SPY150630P213.5</stp>
        <tr r="L366" s="1"/>
      </tp>
      <tp>
        <v>1.9</v>
        <stp/>
        <stp>ASK</stp>
        <stp>.SPY150501P212.5</stp>
        <tr r="L112" s="1"/>
      </tp>
      <tp>
        <v>0.45</v>
        <stp/>
        <stp>ASK</stp>
        <stp>.SPY150515P206.5</stp>
        <tr r="L184" s="1"/>
      </tp>
      <tp>
        <v>0.01</v>
        <stp/>
        <stp>ASK</stp>
        <stp>.SPY150501P202.5</stp>
        <tr r="L92" s="1"/>
      </tp>
      <tp>
        <v>5.24</v>
        <stp/>
        <stp>ASK</stp>
        <stp>.SPY150515P216.5</stp>
        <tr r="L204" s="1"/>
      </tp>
      <tp>
        <v>2.06</v>
        <stp/>
        <stp>ASK</stp>
        <stp>.SPY150522P211.5</stp>
        <tr r="L236" s="1"/>
      </tp>
      <tp>
        <v>0.28999999999999998</v>
        <stp/>
        <stp>ASK</stp>
        <stp>.SPY150522P201.5</stp>
        <tr r="L216" s="1"/>
      </tp>
      <tp>
        <v>0.01</v>
        <stp/>
        <stp>ASK</stp>
        <stp>.SPY150417P204.5</stp>
        <tr r="L12" s="1"/>
      </tp>
      <tp>
        <v>6.52</v>
        <stp/>
        <stp>ASK</stp>
        <stp>.SPY150417P214.5</stp>
        <tr r="L32" s="1"/>
      </tp>
      <tp>
        <v>5.94</v>
        <stp/>
        <stp>ASK</stp>
        <stp>.SPY150424P217.5</stp>
        <tr r="L80" s="1"/>
      </tp>
      <tp>
        <v>0.01</v>
        <stp/>
        <stp>ASK</stp>
        <stp>.SPY150424P207.5</stp>
        <tr r="L60" s="1"/>
      </tp>
      <tp t="s">
        <v>N/A</v>
        <stp/>
        <stp>ASK</stp>
        <stp>.SPY161216P206.5</stp>
        <tr r="L772" s="1"/>
      </tp>
      <tp t="s">
        <v>N/A</v>
        <stp/>
        <stp>ASK</stp>
        <stp>.SPY171215P204.5</stp>
        <tr r="L894" s="1"/>
      </tp>
      <tp t="s">
        <v>N/A</v>
        <stp/>
        <stp>ASK</stp>
        <stp>.SPY161216P216.5</stp>
        <tr r="L792" s="1"/>
      </tp>
      <tp t="s">
        <v>N/A</v>
        <stp/>
        <stp>ASK</stp>
        <stp>.SPY171215P214.5</stp>
        <tr r="L914" s="1"/>
      </tp>
      <tp t="s">
        <v>N/A</v>
        <stp/>
        <stp>ASK</stp>
        <stp>.SPY151231P202.5</stp>
        <tr r="L554" s="1"/>
      </tp>
      <tp t="s">
        <v>N/A</v>
        <stp/>
        <stp>ASK</stp>
        <stp>.SPY151231P212.5</stp>
        <tr r="L574" s="1"/>
      </tp>
      <tp t="s">
        <v>N/A</v>
        <stp/>
        <stp>GAMMA</stp>
        <stp>.SPY151219P203.5</stp>
        <tr r="T514" s="1"/>
      </tp>
      <tp t="s">
        <v>N/A</v>
        <stp/>
        <stp>GAMMA</stp>
        <stp>.SPY151219P213.5</stp>
        <tr r="T534" s="1"/>
      </tp>
      <tp t="s">
        <v>N/A</v>
        <stp/>
        <stp>GAMMA</stp>
        <stp>.SPY150918P202.5</stp>
        <tr r="T428" s="1"/>
      </tp>
      <tp t="s">
        <v>N/A</v>
        <stp/>
        <stp>GAMMA</stp>
        <stp>.SPY150918P212.5</stp>
        <tr r="T448" s="1"/>
      </tp>
      <tp t="s">
        <v>N/A</v>
        <stp/>
        <stp>GAMMA</stp>
        <stp>.SPY170120P218.5</stp>
        <tr r="T838" s="1"/>
      </tp>
      <tp t="s">
        <v>N/A</v>
        <stp/>
        <stp>GAMMA</stp>
        <stp>.SPY170120P208.5</stp>
        <tr r="T818" s="1"/>
      </tp>
      <tp t="s">
        <v>N/A</v>
        <stp/>
        <stp>GAMMA</stp>
        <stp>.SPY160318P201.5</stp>
        <tr r="T636" s="1"/>
      </tp>
      <tp t="s">
        <v>N/A</v>
        <stp/>
        <stp>GAMMA</stp>
        <stp>.SPY160318P211.5</stp>
        <tr r="T656" s="1"/>
      </tp>
      <tp>
        <v>0</v>
        <stp/>
        <stp>GAMMA</stp>
        <stp>.SPY150522P218.5</stp>
        <tr r="T250" s="1"/>
      </tp>
      <tp>
        <v>7.2419999999999998E-2</v>
        <stp/>
        <stp>GAMMA</stp>
        <stp>.SPY150529P213.5</stp>
        <tr r="T282" s="1"/>
      </tp>
      <tp>
        <v>6.1490000000000003E-2</v>
        <stp/>
        <stp>GAMMA</stp>
        <stp>.SPY150522P208.5</stp>
        <tr r="T230" s="1"/>
      </tp>
      <tp>
        <v>3.007E-2</v>
        <stp/>
        <stp>GAMMA</stp>
        <stp>.SPY150529P203.5</stp>
        <tr r="T262" s="1"/>
      </tp>
      <tp>
        <v>0.16277</v>
        <stp/>
        <stp>GAMMA</stp>
        <stp>.SPY150508P212.5</stp>
        <tr r="T154" s="1"/>
      </tp>
      <tp>
        <v>1.1129999999999999E-2</v>
        <stp/>
        <stp>GAMMA</stp>
        <stp>.SPY150508P202.5</stp>
        <tr r="T134" s="1"/>
      </tp>
      <tp t="s">
        <v>N/A</v>
        <stp/>
        <stp>GAMMA</stp>
        <stp>.SPY150619P203.5</stp>
        <tr r="T304" s="1"/>
      </tp>
      <tp t="s">
        <v>N/A</v>
        <stp/>
        <stp>GAMMA</stp>
        <stp>.SPY150619P213.5</stp>
        <tr r="T324" s="1"/>
      </tp>
      <tp t="s">
        <v>N/A</v>
        <stp/>
        <stp>GAMMA</stp>
        <stp>.SPY150918C202.5</stp>
        <tr r="I428" s="1"/>
      </tp>
      <tp t="s">
        <v>N/A</v>
        <stp/>
        <stp>GAMMA</stp>
        <stp>.SPY150918C212.5</stp>
        <tr r="I448" s="1"/>
      </tp>
      <tp t="s">
        <v>N/A</v>
        <stp/>
        <stp>GAMMA</stp>
        <stp>.SPY170120C218.5</stp>
        <tr r="I838" s="1"/>
      </tp>
      <tp t="s">
        <v>N/A</v>
        <stp/>
        <stp>GAMMA</stp>
        <stp>.SPY170120C208.5</stp>
        <tr r="I818" s="1"/>
      </tp>
      <tp t="s">
        <v>N/A</v>
        <stp/>
        <stp>GAMMA</stp>
        <stp>.SPY160318C201.5</stp>
        <tr r="I636" s="1"/>
      </tp>
      <tp t="s">
        <v>N/A</v>
        <stp/>
        <stp>GAMMA</stp>
        <stp>.SPY160318C211.5</stp>
        <tr r="I656" s="1"/>
      </tp>
      <tp>
        <v>2.0799999999999999E-2</v>
        <stp/>
        <stp>GAMMA</stp>
        <stp>.SPY150522C218.5</stp>
        <tr r="I250" s="1"/>
      </tp>
      <tp>
        <v>6.6140000000000004E-2</v>
        <stp/>
        <stp>GAMMA</stp>
        <stp>.SPY150529C213.5</stp>
        <tr r="I282" s="1"/>
      </tp>
      <tp>
        <v>5.8959999999999999E-2</v>
        <stp/>
        <stp>GAMMA</stp>
        <stp>.SPY150522C208.5</stp>
        <tr r="I230" s="1"/>
      </tp>
      <tp>
        <v>3.0839999999999999E-2</v>
        <stp/>
        <stp>GAMMA</stp>
        <stp>.SPY150529C203.5</stp>
        <tr r="I262" s="1"/>
      </tp>
      <tp>
        <v>0.15862999999999999</v>
        <stp/>
        <stp>GAMMA</stp>
        <stp>.SPY150508C212.5</stp>
        <tr r="I154" s="1"/>
      </tp>
      <tp>
        <v>9.1400000000000006E-3</v>
        <stp/>
        <stp>GAMMA</stp>
        <stp>.SPY150508C202.5</stp>
        <tr r="I134" s="1"/>
      </tp>
      <tp t="s">
        <v>N/A</v>
        <stp/>
        <stp>GAMMA</stp>
        <stp>.SPY150619C203.5</stp>
        <tr r="I304" s="1"/>
      </tp>
      <tp t="s">
        <v>N/A</v>
        <stp/>
        <stp>GAMMA</stp>
        <stp>.SPY150619C213.5</stp>
        <tr r="I324" s="1"/>
      </tp>
      <tp t="s">
        <v>N/A</v>
        <stp/>
        <stp>GAMMA</stp>
        <stp>.SPY151219C203.5</stp>
        <tr r="I514" s="1"/>
      </tp>
      <tp t="s">
        <v>N/A</v>
        <stp/>
        <stp>GAMMA</stp>
        <stp>.SPY151219C213.5</stp>
        <tr r="I534" s="1"/>
      </tp>
      <tp t="s">
        <v>N/A</v>
        <stp/>
        <stp>ASK</stp>
        <stp>.SPY151219C209.5</stp>
        <tr r="A526" s="1"/>
      </tp>
      <tp t="s">
        <v>N/A</v>
        <stp/>
        <stp>ASK</stp>
        <stp>.SPY161216C205.5</stp>
        <tr r="A770" s="1"/>
      </tp>
      <tp t="s">
        <v>N/A</v>
        <stp/>
        <stp>ASK</stp>
        <stp>.SPY171215C207.5</stp>
        <tr r="A900" s="1"/>
      </tp>
      <tp t="s">
        <v>N/A</v>
        <stp/>
        <stp>ASK</stp>
        <stp>.SPY151219C219.5</stp>
        <tr r="A546" s="1"/>
      </tp>
      <tp t="s">
        <v>N/A</v>
        <stp/>
        <stp>ASK</stp>
        <stp>.SPY161216C215.5</stp>
        <tr r="A790" s="1"/>
      </tp>
      <tp t="s">
        <v>N/A</v>
        <stp/>
        <stp>ASK</stp>
        <stp>.SPY171215C217.5</stp>
        <tr r="A920" s="1"/>
      </tp>
      <tp t="s">
        <v>N/A</v>
        <stp/>
        <stp>ASK</stp>
        <stp>.SPY151231C201.5</stp>
        <tr r="A552" s="1"/>
      </tp>
      <tp t="s">
        <v>N/A</v>
        <stp/>
        <stp>ASK</stp>
        <stp>.SPY151231C211.5</stp>
        <tr r="A572" s="1"/>
      </tp>
      <tp t="s">
        <v>N/A</v>
        <stp/>
        <stp>ASK</stp>
        <stp>.SPY150918C208.5</stp>
        <tr r="A440" s="1"/>
      </tp>
      <tp t="s">
        <v>N/A</v>
        <stp/>
        <stp>ASK</stp>
        <stp>.SPY160916C205.5</stp>
        <tr r="A728" s="1"/>
      </tp>
      <tp t="s">
        <v>N/A</v>
        <stp/>
        <stp>ASK</stp>
        <stp>.SPY150918C218.5</stp>
        <tr r="A460" s="1"/>
      </tp>
      <tp t="s">
        <v>N/A</v>
        <stp/>
        <stp>ASK</stp>
        <stp>.SPY160916C215.5</stp>
        <tr r="A748" s="1"/>
      </tp>
      <tp t="s">
        <v>N/A</v>
        <stp/>
        <stp>ASK</stp>
        <stp>.SPY150930C200.5</stp>
        <tr r="A466" s="1"/>
      </tp>
      <tp t="s">
        <v>N/A</v>
        <stp/>
        <stp>ASK</stp>
        <stp>.SPY150930C210.5</stp>
        <tr r="A486" s="1"/>
      </tp>
      <tp t="s">
        <v>N/A</v>
        <stp/>
        <stp>ASK</stp>
        <stp>.SPY170317C205.5</stp>
        <tr r="A854" s="1"/>
      </tp>
      <tp t="s">
        <v>N/A</v>
        <stp/>
        <stp>ASK</stp>
        <stp>.SPY170317C215.5</stp>
        <tr r="A874" s="1"/>
      </tp>
      <tp t="s">
        <v>N/A</v>
        <stp/>
        <stp>ASK</stp>
        <stp>.SPY160115C206.5</stp>
        <tr r="A604" s="1"/>
      </tp>
      <tp t="s">
        <v>N/A</v>
        <stp/>
        <stp>ASK</stp>
        <stp>.SPY160115C216.5</stp>
        <tr r="A624" s="1"/>
      </tp>
      <tp t="s">
        <v>N/A</v>
        <stp/>
        <stp>ASK</stp>
        <stp>.SPY170120C212.5</stp>
        <tr r="A826" s="1"/>
      </tp>
      <tp t="s">
        <v>N/A</v>
        <stp/>
        <stp>ASK</stp>
        <stp>.SPY170120C202.5</stp>
        <tr r="A806" s="1"/>
      </tp>
      <tp t="s">
        <v>N/A</v>
        <stp/>
        <stp>ASK</stp>
        <stp>.SPY150717C207.5</stp>
        <tr r="A396" s="1"/>
      </tp>
      <tp t="s">
        <v>N/A</v>
        <stp/>
        <stp>ASK</stp>
        <stp>.SPY150717C217.5</stp>
        <tr r="A416" s="1"/>
      </tp>
      <tp t="s">
        <v>N/A</v>
        <stp/>
        <stp>ASK</stp>
        <stp>.SPY150619C209.5</stp>
        <tr r="A316" s="1"/>
      </tp>
      <tp t="s">
        <v>N/A</v>
        <stp/>
        <stp>ASK</stp>
        <stp>.SPY160617C204.5</stp>
        <tr r="A684" s="1"/>
      </tp>
      <tp t="s">
        <v>N/A</v>
        <stp/>
        <stp>ASK</stp>
        <stp>.SPY150619C219.5</stp>
        <tr r="A336" s="1"/>
      </tp>
      <tp t="s">
        <v>N/A</v>
        <stp/>
        <stp>ASK</stp>
        <stp>.SPY160617C214.5</stp>
        <tr r="A704" s="1"/>
      </tp>
      <tp t="s">
        <v>N/A</v>
        <stp/>
        <stp>ASK</stp>
        <stp>.SPY150630C200.5</stp>
        <tr r="A340" s="1"/>
      </tp>
      <tp t="s">
        <v>N/A</v>
        <stp/>
        <stp>ASK</stp>
        <stp>.SPY150630C210.5</stp>
        <tr r="A360" s="1"/>
      </tp>
      <tp>
        <v>0.01</v>
        <stp/>
        <stp>ASK</stp>
        <stp>.SPY150501C211.5</stp>
        <tr r="A110" s="1"/>
      </tp>
      <tp>
        <v>0.01</v>
        <stp/>
        <stp>ASK</stp>
        <stp>.SPY150508C218.5</stp>
        <tr r="A166" s="1"/>
      </tp>
      <tp>
        <v>6.4</v>
        <stp/>
        <stp>ASK</stp>
        <stp>.SPY150515C205.5</stp>
        <tr r="A182" s="1"/>
      </tp>
      <tp>
        <v>9.36</v>
        <stp/>
        <stp>ASK</stp>
        <stp>.SPY150501C201.5</stp>
        <tr r="A90" s="1"/>
      </tp>
      <tp>
        <v>3.31</v>
        <stp/>
        <stp>ASK</stp>
        <stp>.SPY150508C208.5</stp>
        <tr r="A146" s="1"/>
      </tp>
      <tp>
        <v>0.17</v>
        <stp/>
        <stp>ASK</stp>
        <stp>.SPY150515C215.5</stp>
        <tr r="A202" s="1"/>
      </tp>
      <tp>
        <v>1.49</v>
        <stp/>
        <stp>ASK</stp>
        <stp>.SPY150522C212.5</stp>
        <tr r="A238" s="1"/>
      </tp>
      <tp>
        <v>0.09</v>
        <stp/>
        <stp>ASK</stp>
        <stp>.SPY150529C219.5</stp>
        <tr r="A294" s="1"/>
      </tp>
      <tp>
        <v>9.41</v>
        <stp/>
        <stp>ASK</stp>
        <stp>.SPY150522C202.5</stp>
        <tr r="A218" s="1"/>
      </tp>
      <tp>
        <v>3.78</v>
        <stp/>
        <stp>ASK</stp>
        <stp>.SPY150529C209.5</stp>
        <tr r="A274" s="1"/>
      </tp>
      <tp>
        <v>0.65</v>
        <stp/>
        <stp>ASK</stp>
        <stp>.SPY150417C207.5</stp>
        <tr r="A18" s="1"/>
      </tp>
      <tp>
        <v>0.01</v>
        <stp/>
        <stp>ASK</stp>
        <stp>.SPY150417C217.5</stp>
        <tr r="A38" s="1"/>
      </tp>
      <tp>
        <v>0.01</v>
        <stp/>
        <stp>ASK</stp>
        <stp>.SPY150424C214.5</stp>
        <tr r="A74" s="1"/>
      </tp>
      <tp>
        <v>7.31</v>
        <stp/>
        <stp>ASK</stp>
        <stp>.SPY150424C204.5</stp>
        <tr r="A54" s="1"/>
      </tp>
      <tp t="s">
        <v>N/A</v>
        <stp/>
        <stp>ASK</stp>
        <stp>.SPY150918P208.5</stp>
        <tr r="L440" s="1"/>
      </tp>
      <tp t="s">
        <v>N/A</v>
        <stp/>
        <stp>ASK</stp>
        <stp>.SPY160916P205.5</stp>
        <tr r="L728" s="1"/>
      </tp>
      <tp t="s">
        <v>N/A</v>
        <stp/>
        <stp>ASK</stp>
        <stp>.SPY150918P218.5</stp>
        <tr r="L460" s="1"/>
      </tp>
      <tp t="s">
        <v>N/A</v>
        <stp/>
        <stp>ASK</stp>
        <stp>.SPY160916P215.5</stp>
        <tr r="L748" s="1"/>
      </tp>
      <tp t="s">
        <v>N/A</v>
        <stp/>
        <stp>ASK</stp>
        <stp>.SPY150930P200.5</stp>
        <tr r="L466" s="1"/>
      </tp>
      <tp t="s">
        <v>N/A</v>
        <stp/>
        <stp>ASK</stp>
        <stp>.SPY150930P210.5</stp>
        <tr r="L486" s="1"/>
      </tp>
      <tp t="s">
        <v>N/A</v>
        <stp/>
        <stp>ASK</stp>
        <stp>.SPY170317P205.5</stp>
        <tr r="L854" s="1"/>
      </tp>
      <tp t="s">
        <v>N/A</v>
        <stp/>
        <stp>ASK</stp>
        <stp>.SPY170317P215.5</stp>
        <tr r="L874" s="1"/>
      </tp>
      <tp t="s">
        <v>N/A</v>
        <stp/>
        <stp>ASK</stp>
        <stp>.SPY160115P206.5</stp>
        <tr r="L604" s="1"/>
      </tp>
      <tp t="s">
        <v>N/A</v>
        <stp/>
        <stp>ASK</stp>
        <stp>.SPY160115P216.5</stp>
        <tr r="L624" s="1"/>
      </tp>
      <tp t="s">
        <v>N/A</v>
        <stp/>
        <stp>ASK</stp>
        <stp>.SPY170120P212.5</stp>
        <tr r="L826" s="1"/>
      </tp>
      <tp t="s">
        <v>N/A</v>
        <stp/>
        <stp>ASK</stp>
        <stp>.SPY170120P202.5</stp>
        <tr r="L806" s="1"/>
      </tp>
      <tp t="s">
        <v>N/A</v>
        <stp/>
        <stp>ASK</stp>
        <stp>.SPY150717P207.5</stp>
        <tr r="L396" s="1"/>
      </tp>
      <tp t="s">
        <v>N/A</v>
        <stp/>
        <stp>ASK</stp>
        <stp>.SPY150717P217.5</stp>
        <tr r="L416" s="1"/>
      </tp>
      <tp t="s">
        <v>N/A</v>
        <stp/>
        <stp>ASK</stp>
        <stp>.SPY150619P209.5</stp>
        <tr r="L316" s="1"/>
      </tp>
      <tp t="s">
        <v>N/A</v>
        <stp/>
        <stp>ASK</stp>
        <stp>.SPY160617P204.5</stp>
        <tr r="L684" s="1"/>
      </tp>
      <tp t="s">
        <v>N/A</v>
        <stp/>
        <stp>ASK</stp>
        <stp>.SPY150619P219.5</stp>
        <tr r="L336" s="1"/>
      </tp>
      <tp t="s">
        <v>N/A</v>
        <stp/>
        <stp>ASK</stp>
        <stp>.SPY160617P214.5</stp>
        <tr r="L704" s="1"/>
      </tp>
      <tp t="s">
        <v>N/A</v>
        <stp/>
        <stp>ASK</stp>
        <stp>.SPY150630P200.5</stp>
        <tr r="L340" s="1"/>
      </tp>
      <tp t="s">
        <v>N/A</v>
        <stp/>
        <stp>ASK</stp>
        <stp>.SPY150630P210.5</stp>
        <tr r="L360" s="1"/>
      </tp>
      <tp>
        <v>0.9</v>
        <stp/>
        <stp>ASK</stp>
        <stp>.SPY150501P211.5</stp>
        <tr r="L110" s="1"/>
      </tp>
      <tp>
        <v>7.19</v>
        <stp/>
        <stp>ASK</stp>
        <stp>.SPY150508P218.5</stp>
        <tr r="L166" s="1"/>
      </tp>
      <tp>
        <v>0.36</v>
        <stp/>
        <stp>ASK</stp>
        <stp>.SPY150515P205.5</stp>
        <tr r="L182" s="1"/>
      </tp>
      <tp>
        <v>0.01</v>
        <stp/>
        <stp>ASK</stp>
        <stp>.SPY150501P201.5</stp>
        <tr r="L90" s="1"/>
      </tp>
      <tp>
        <v>0.28999999999999998</v>
        <stp/>
        <stp>ASK</stp>
        <stp>.SPY150508P208.5</stp>
        <tr r="L146" s="1"/>
      </tp>
      <tp>
        <v>4.3099999999999996</v>
        <stp/>
        <stp>ASK</stp>
        <stp>.SPY150515P215.5</stp>
        <tr r="L202" s="1"/>
      </tp>
      <tp>
        <v>2.56</v>
        <stp/>
        <stp>ASK</stp>
        <stp>.SPY150522P212.5</stp>
        <tr r="L238" s="1"/>
      </tp>
      <tp>
        <v>8.25</v>
        <stp/>
        <stp>ASK</stp>
        <stp>.SPY150529P219.5</stp>
        <tr r="L294" s="1"/>
      </tp>
      <tp>
        <v>0.35</v>
        <stp/>
        <stp>ASK</stp>
        <stp>.SPY150522P202.5</stp>
        <tr r="L218" s="1"/>
      </tp>
      <tp>
        <v>1.76</v>
        <stp/>
        <stp>ASK</stp>
        <stp>.SPY150529P209.5</stp>
        <tr r="L274" s="1"/>
      </tp>
      <tp>
        <v>0.01</v>
        <stp/>
        <stp>ASK</stp>
        <stp>.SPY150417P207.5</stp>
        <tr r="L18" s="1"/>
      </tp>
      <tp>
        <v>9.52</v>
        <stp/>
        <stp>ASK</stp>
        <stp>.SPY150417P217.5</stp>
        <tr r="L38" s="1"/>
      </tp>
      <tp>
        <v>2.94</v>
        <stp/>
        <stp>ASK</stp>
        <stp>.SPY150424P214.5</stp>
        <tr r="L74" s="1"/>
      </tp>
      <tp>
        <v>0.01</v>
        <stp/>
        <stp>ASK</stp>
        <stp>.SPY150424P204.5</stp>
        <tr r="L54" s="1"/>
      </tp>
      <tp t="s">
        <v>N/A</v>
        <stp/>
        <stp>ASK</stp>
        <stp>.SPY151219P209.5</stp>
        <tr r="L526" s="1"/>
      </tp>
      <tp t="s">
        <v>N/A</v>
        <stp/>
        <stp>ASK</stp>
        <stp>.SPY161216P205.5</stp>
        <tr r="L770" s="1"/>
      </tp>
      <tp t="s">
        <v>N/A</v>
        <stp/>
        <stp>ASK</stp>
        <stp>.SPY171215P207.5</stp>
        <tr r="L900" s="1"/>
      </tp>
      <tp t="s">
        <v>N/A</v>
        <stp/>
        <stp>ASK</stp>
        <stp>.SPY151219P219.5</stp>
        <tr r="L546" s="1"/>
      </tp>
      <tp t="s">
        <v>N/A</v>
        <stp/>
        <stp>ASK</stp>
        <stp>.SPY161216P215.5</stp>
        <tr r="L790" s="1"/>
      </tp>
      <tp t="s">
        <v>N/A</v>
        <stp/>
        <stp>ASK</stp>
        <stp>.SPY171215P217.5</stp>
        <tr r="L920" s="1"/>
      </tp>
      <tp t="s">
        <v>N/A</v>
        <stp/>
        <stp>ASK</stp>
        <stp>.SPY151231P201.5</stp>
        <tr r="L552" s="1"/>
      </tp>
      <tp t="s">
        <v>N/A</v>
        <stp/>
        <stp>ASK</stp>
        <stp>.SPY151231P211.5</stp>
        <tr r="L572" s="1"/>
      </tp>
      <tp t="s">
        <v>N/A</v>
        <stp/>
        <stp>GAMMA</stp>
        <stp>.SPY151219P202.5</stp>
        <tr r="T512" s="1"/>
      </tp>
      <tp t="s">
        <v>N/A</v>
        <stp/>
        <stp>GAMMA</stp>
        <stp>.SPY151219P212.5</stp>
        <tr r="T532" s="1"/>
      </tp>
      <tp t="s">
        <v>N/A</v>
        <stp/>
        <stp>GAMMA</stp>
        <stp>.SPY150918P203.5</stp>
        <tr r="T430" s="1"/>
      </tp>
      <tp t="s">
        <v>N/A</v>
        <stp/>
        <stp>GAMMA</stp>
        <stp>.SPY150918P213.5</stp>
        <tr r="T450" s="1"/>
      </tp>
      <tp t="s">
        <v>N/A</v>
        <stp/>
        <stp>GAMMA</stp>
        <stp>.SPY170120P219.5</stp>
        <tr r="T840" s="1"/>
      </tp>
      <tp t="s">
        <v>N/A</v>
        <stp/>
        <stp>GAMMA</stp>
        <stp>.SPY170120P209.5</stp>
        <tr r="T820" s="1"/>
      </tp>
      <tp t="s">
        <v>N/A</v>
        <stp/>
        <stp>GAMMA</stp>
        <stp>.SPY160318P200.5</stp>
        <tr r="T634" s="1"/>
      </tp>
      <tp t="s">
        <v>N/A</v>
        <stp/>
        <stp>GAMMA</stp>
        <stp>.SPY160318P210.5</stp>
        <tr r="T654" s="1"/>
      </tp>
      <tp>
        <v>0</v>
        <stp/>
        <stp>GAMMA</stp>
        <stp>.SPY150522P219.5</stp>
        <tr r="T252" s="1"/>
      </tp>
      <tp>
        <v>7.2650000000000006E-2</v>
        <stp/>
        <stp>GAMMA</stp>
        <stp>.SPY150529P212.5</stp>
        <tr r="T280" s="1"/>
      </tp>
      <tp>
        <v>6.9190000000000002E-2</v>
        <stp/>
        <stp>GAMMA</stp>
        <stp>.SPY150522P209.5</stp>
        <tr r="T232" s="1"/>
      </tp>
      <tp>
        <v>2.6210000000000001E-2</v>
        <stp/>
        <stp>GAMMA</stp>
        <stp>.SPY150529P202.5</stp>
        <tr r="T260" s="1"/>
      </tp>
      <tp>
        <v>0.11694</v>
        <stp/>
        <stp>GAMMA</stp>
        <stp>.SPY150508P213.5</stp>
        <tr r="T156" s="1"/>
      </tp>
      <tp>
        <v>1.507E-2</v>
        <stp/>
        <stp>GAMMA</stp>
        <stp>.SPY150508P203.5</stp>
        <tr r="T136" s="1"/>
      </tp>
      <tp t="s">
        <v>N/A</v>
        <stp/>
        <stp>GAMMA</stp>
        <stp>.SPY150619P202.5</stp>
        <tr r="T302" s="1"/>
      </tp>
      <tp t="s">
        <v>N/A</v>
        <stp/>
        <stp>GAMMA</stp>
        <stp>.SPY150619P212.5</stp>
        <tr r="T322" s="1"/>
      </tp>
      <tp t="s">
        <v>N/A</v>
        <stp/>
        <stp>GAMMA</stp>
        <stp>.SPY150918C203.5</stp>
        <tr r="I430" s="1"/>
      </tp>
      <tp t="s">
        <v>N/A</v>
        <stp/>
        <stp>GAMMA</stp>
        <stp>.SPY150918C213.5</stp>
        <tr r="I450" s="1"/>
      </tp>
      <tp t="s">
        <v>N/A</v>
        <stp/>
        <stp>GAMMA</stp>
        <stp>.SPY170120C219.5</stp>
        <tr r="I840" s="1"/>
      </tp>
      <tp t="s">
        <v>N/A</v>
        <stp/>
        <stp>GAMMA</stp>
        <stp>.SPY170120C209.5</stp>
        <tr r="I820" s="1"/>
      </tp>
      <tp t="s">
        <v>N/A</v>
        <stp/>
        <stp>GAMMA</stp>
        <stp>.SPY160318C200.5</stp>
        <tr r="I634" s="1"/>
      </tp>
      <tp t="s">
        <v>N/A</v>
        <stp/>
        <stp>GAMMA</stp>
        <stp>.SPY160318C210.5</stp>
        <tr r="I654" s="1"/>
      </tp>
      <tp>
        <v>1.3690000000000001E-2</v>
        <stp/>
        <stp>GAMMA</stp>
        <stp>.SPY150522C219.5</stp>
        <tr r="I252" s="1"/>
      </tp>
      <tp>
        <v>6.6259999999999999E-2</v>
        <stp/>
        <stp>GAMMA</stp>
        <stp>.SPY150529C212.5</stp>
        <tr r="I280" s="1"/>
      </tp>
      <tp>
        <v>6.4909999999999995E-2</v>
        <stp/>
        <stp>GAMMA</stp>
        <stp>.SPY150522C209.5</stp>
        <tr r="I232" s="1"/>
      </tp>
      <tp>
        <v>2.7400000000000001E-2</v>
        <stp/>
        <stp>GAMMA</stp>
        <stp>.SPY150529C202.5</stp>
        <tr r="I260" s="1"/>
      </tp>
      <tp>
        <v>0.11728</v>
        <stp/>
        <stp>GAMMA</stp>
        <stp>.SPY150508C213.5</stp>
        <tr r="I156" s="1"/>
      </tp>
      <tp>
        <v>1.0670000000000001E-2</v>
        <stp/>
        <stp>GAMMA</stp>
        <stp>.SPY150508C203.5</stp>
        <tr r="I136" s="1"/>
      </tp>
      <tp t="s">
        <v>N/A</v>
        <stp/>
        <stp>GAMMA</stp>
        <stp>.SPY150619C202.5</stp>
        <tr r="I302" s="1"/>
      </tp>
      <tp t="s">
        <v>N/A</v>
        <stp/>
        <stp>GAMMA</stp>
        <stp>.SPY150619C212.5</stp>
        <tr r="I322" s="1"/>
      </tp>
      <tp t="s">
        <v>N/A</v>
        <stp/>
        <stp>GAMMA</stp>
        <stp>.SPY151219C202.5</stp>
        <tr r="I512" s="1"/>
      </tp>
      <tp t="s">
        <v>N/A</v>
        <stp/>
        <stp>GAMMA</stp>
        <stp>.SPY151219C212.5</stp>
        <tr r="I532" s="1"/>
      </tp>
      <tp t="s">
        <v>N/A</v>
        <stp/>
        <stp>ASK</stp>
        <stp>.SPY151219C208.5</stp>
        <tr r="A524" s="1"/>
      </tp>
      <tp t="s">
        <v>N/A</v>
        <stp/>
        <stp>ASK</stp>
        <stp>.SPY161216C204.5</stp>
        <tr r="A768" s="1"/>
      </tp>
      <tp t="s">
        <v>N/A</v>
        <stp/>
        <stp>ASK</stp>
        <stp>.SPY171215C206.5</stp>
        <tr r="A898" s="1"/>
      </tp>
      <tp t="s">
        <v>N/A</v>
        <stp/>
        <stp>ASK</stp>
        <stp>.SPY151219C218.5</stp>
        <tr r="A544" s="1"/>
      </tp>
      <tp t="s">
        <v>N/A</v>
        <stp/>
        <stp>ASK</stp>
        <stp>.SPY161216C214.5</stp>
        <tr r="A788" s="1"/>
      </tp>
      <tp t="s">
        <v>N/A</v>
        <stp/>
        <stp>ASK</stp>
        <stp>.SPY171215C216.5</stp>
        <tr r="A918" s="1"/>
      </tp>
      <tp t="s">
        <v>N/A</v>
        <stp/>
        <stp>ASK</stp>
        <stp>.SPY151231C200.5</stp>
        <tr r="A550" s="1"/>
      </tp>
      <tp t="s">
        <v>N/A</v>
        <stp/>
        <stp>ASK</stp>
        <stp>.SPY151231C210.5</stp>
        <tr r="A570" s="1"/>
      </tp>
      <tp t="s">
        <v>N/A</v>
        <stp/>
        <stp>ASK</stp>
        <stp>.SPY150918C209.5</stp>
        <tr r="A442" s="1"/>
      </tp>
      <tp t="s">
        <v>N/A</v>
        <stp/>
        <stp>ASK</stp>
        <stp>.SPY160916C204.5</stp>
        <tr r="A726" s="1"/>
      </tp>
      <tp t="s">
        <v>N/A</v>
        <stp/>
        <stp>ASK</stp>
        <stp>.SPY150918C219.5</stp>
        <tr r="A462" s="1"/>
      </tp>
      <tp t="s">
        <v>N/A</v>
        <stp/>
        <stp>ASK</stp>
        <stp>.SPY160916C214.5</stp>
        <tr r="A746" s="1"/>
      </tp>
      <tp t="s">
        <v>N/A</v>
        <stp/>
        <stp>ASK</stp>
        <stp>.SPY150930C201.5</stp>
        <tr r="A468" s="1"/>
      </tp>
      <tp t="s">
        <v>N/A</v>
        <stp/>
        <stp>ASK</stp>
        <stp>.SPY150930C211.5</stp>
        <tr r="A488" s="1"/>
      </tp>
      <tp t="s">
        <v>N/A</v>
        <stp/>
        <stp>ASK</stp>
        <stp>.SPY170317C204.5</stp>
        <tr r="A852" s="1"/>
      </tp>
      <tp t="s">
        <v>N/A</v>
        <stp/>
        <stp>ASK</stp>
        <stp>.SPY170317C214.5</stp>
        <tr r="A872" s="1"/>
      </tp>
      <tp t="s">
        <v>N/A</v>
        <stp/>
        <stp>ASK</stp>
        <stp>.SPY160115C207.5</stp>
        <tr r="A606" s="1"/>
      </tp>
      <tp t="s">
        <v>N/A</v>
        <stp/>
        <stp>ASK</stp>
        <stp>.SPY160115C217.5</stp>
        <tr r="A626" s="1"/>
      </tp>
      <tp t="s">
        <v>N/A</v>
        <stp/>
        <stp>ASK</stp>
        <stp>.SPY170120C213.5</stp>
        <tr r="A828" s="1"/>
      </tp>
      <tp t="s">
        <v>N/A</v>
        <stp/>
        <stp>ASK</stp>
        <stp>.SPY170120C203.5</stp>
        <tr r="A808" s="1"/>
      </tp>
      <tp t="s">
        <v>N/A</v>
        <stp/>
        <stp>ASK</stp>
        <stp>.SPY150717C206.5</stp>
        <tr r="A394" s="1"/>
      </tp>
      <tp t="s">
        <v>N/A</v>
        <stp/>
        <stp>ASK</stp>
        <stp>.SPY150717C216.5</stp>
        <tr r="A414" s="1"/>
      </tp>
      <tp t="s">
        <v>N/A</v>
        <stp/>
        <stp>ASK</stp>
        <stp>.SPY150619C208.5</stp>
        <tr r="A314" s="1"/>
      </tp>
      <tp t="s">
        <v>N/A</v>
        <stp/>
        <stp>ASK</stp>
        <stp>.SPY160617C205.5</stp>
        <tr r="A686" s="1"/>
      </tp>
      <tp t="s">
        <v>N/A</v>
        <stp/>
        <stp>ASK</stp>
        <stp>.SPY150619C218.5</stp>
        <tr r="A334" s="1"/>
      </tp>
      <tp t="s">
        <v>N/A</v>
        <stp/>
        <stp>ASK</stp>
        <stp>.SPY160617C215.5</stp>
        <tr r="A706" s="1"/>
      </tp>
      <tp t="s">
        <v>N/A</v>
        <stp/>
        <stp>ASK</stp>
        <stp>.SPY150630C201.5</stp>
        <tr r="A342" s="1"/>
      </tp>
      <tp t="s">
        <v>N/A</v>
        <stp/>
        <stp>ASK</stp>
        <stp>.SPY150630C211.5</stp>
        <tr r="A362" s="1"/>
      </tp>
      <tp>
        <v>0.22</v>
        <stp/>
        <stp>ASK</stp>
        <stp>.SPY150501C210.5</stp>
        <tr r="A108" s="1"/>
      </tp>
      <tp>
        <v>0.01</v>
        <stp/>
        <stp>ASK</stp>
        <stp>.SPY150508C219.5</stp>
        <tr r="A168" s="1"/>
      </tp>
      <tp>
        <v>7.34</v>
        <stp/>
        <stp>ASK</stp>
        <stp>.SPY150515C204.5</stp>
        <tr r="A180" s="1"/>
      </tp>
      <tp>
        <v>10.36</v>
        <stp/>
        <stp>ASK</stp>
        <stp>.SPY150501C200.5</stp>
        <tr r="A88" s="1"/>
      </tp>
      <tp>
        <v>2.44</v>
        <stp/>
        <stp>ASK</stp>
        <stp>.SPY150508C209.5</stp>
        <tr r="A148" s="1"/>
      </tp>
      <tp>
        <v>0.34</v>
        <stp/>
        <stp>ASK</stp>
        <stp>.SPY150515C214.5</stp>
        <tr r="A200" s="1"/>
      </tp>
      <tp>
        <v>1</v>
        <stp/>
        <stp>ASK</stp>
        <stp>.SPY150522C213.5</stp>
        <tr r="A240" s="1"/>
      </tp>
      <tp>
        <v>0.14000000000000001</v>
        <stp/>
        <stp>ASK</stp>
        <stp>.SPY150529C218.5</stp>
        <tr r="A292" s="1"/>
      </tp>
      <tp>
        <v>8.49</v>
        <stp/>
        <stp>ASK</stp>
        <stp>.SPY150522C203.5</stp>
        <tr r="A220" s="1"/>
      </tp>
      <tp>
        <v>4.51</v>
        <stp/>
        <stp>ASK</stp>
        <stp>.SPY150529C208.5</stp>
        <tr r="A272" s="1"/>
      </tp>
      <tp>
        <v>1.65</v>
        <stp/>
        <stp>ASK</stp>
        <stp>.SPY150417C206.5</stp>
        <tr r="A16" s="1"/>
      </tp>
      <tp>
        <v>0.01</v>
        <stp/>
        <stp>ASK</stp>
        <stp>.SPY150417C216.5</stp>
        <tr r="A36" s="1"/>
      </tp>
      <tp>
        <v>0.01</v>
        <stp/>
        <stp>ASK</stp>
        <stp>.SPY150424C215.5</stp>
        <tr r="A76" s="1"/>
      </tp>
      <tp>
        <v>6.31</v>
        <stp/>
        <stp>ASK</stp>
        <stp>.SPY150424C205.5</stp>
        <tr r="A56" s="1"/>
      </tp>
      <tp t="s">
        <v>N/A</v>
        <stp/>
        <stp>ASK</stp>
        <stp>.SPY150918P209.5</stp>
        <tr r="L442" s="1"/>
      </tp>
      <tp t="s">
        <v>N/A</v>
        <stp/>
        <stp>ASK</stp>
        <stp>.SPY160916P204.5</stp>
        <tr r="L726" s="1"/>
      </tp>
      <tp t="s">
        <v>N/A</v>
        <stp/>
        <stp>ASK</stp>
        <stp>.SPY150918P219.5</stp>
        <tr r="L462" s="1"/>
      </tp>
      <tp t="s">
        <v>N/A</v>
        <stp/>
        <stp>ASK</stp>
        <stp>.SPY160916P214.5</stp>
        <tr r="L746" s="1"/>
      </tp>
      <tp t="s">
        <v>N/A</v>
        <stp/>
        <stp>ASK</stp>
        <stp>.SPY150930P201.5</stp>
        <tr r="L468" s="1"/>
      </tp>
      <tp t="s">
        <v>N/A</v>
        <stp/>
        <stp>ASK</stp>
        <stp>.SPY150930P211.5</stp>
        <tr r="L488" s="1"/>
      </tp>
      <tp t="s">
        <v>N/A</v>
        <stp/>
        <stp>ASK</stp>
        <stp>.SPY170317P204.5</stp>
        <tr r="L852" s="1"/>
      </tp>
      <tp t="s">
        <v>N/A</v>
        <stp/>
        <stp>ASK</stp>
        <stp>.SPY170317P214.5</stp>
        <tr r="L872" s="1"/>
      </tp>
      <tp t="s">
        <v>N/A</v>
        <stp/>
        <stp>ASK</stp>
        <stp>.SPY160115P207.5</stp>
        <tr r="L606" s="1"/>
      </tp>
      <tp t="s">
        <v>N/A</v>
        <stp/>
        <stp>ASK</stp>
        <stp>.SPY160115P217.5</stp>
        <tr r="L626" s="1"/>
      </tp>
      <tp t="s">
        <v>N/A</v>
        <stp/>
        <stp>ASK</stp>
        <stp>.SPY170120P213.5</stp>
        <tr r="L828" s="1"/>
      </tp>
      <tp t="s">
        <v>N/A</v>
        <stp/>
        <stp>ASK</stp>
        <stp>.SPY170120P203.5</stp>
        <tr r="L808" s="1"/>
      </tp>
      <tp t="s">
        <v>N/A</v>
        <stp/>
        <stp>ASK</stp>
        <stp>.SPY150717P206.5</stp>
        <tr r="L394" s="1"/>
      </tp>
      <tp t="s">
        <v>N/A</v>
        <stp/>
        <stp>ASK</stp>
        <stp>.SPY150717P216.5</stp>
        <tr r="L414" s="1"/>
      </tp>
      <tp t="s">
        <v>N/A</v>
        <stp/>
        <stp>ASK</stp>
        <stp>.SPY150619P208.5</stp>
        <tr r="L314" s="1"/>
      </tp>
      <tp t="s">
        <v>N/A</v>
        <stp/>
        <stp>ASK</stp>
        <stp>.SPY160617P205.5</stp>
        <tr r="L686" s="1"/>
      </tp>
      <tp t="s">
        <v>N/A</v>
        <stp/>
        <stp>ASK</stp>
        <stp>.SPY150619P218.5</stp>
        <tr r="L334" s="1"/>
      </tp>
      <tp t="s">
        <v>N/A</v>
        <stp/>
        <stp>ASK</stp>
        <stp>.SPY160617P215.5</stp>
        <tr r="L706" s="1"/>
      </tp>
      <tp t="s">
        <v>N/A</v>
        <stp/>
        <stp>ASK</stp>
        <stp>.SPY150630P201.5</stp>
        <tr r="L342" s="1"/>
      </tp>
      <tp t="s">
        <v>N/A</v>
        <stp/>
        <stp>ASK</stp>
        <stp>.SPY150630P211.5</stp>
        <tr r="L362" s="1"/>
      </tp>
      <tp>
        <v>0.01</v>
        <stp/>
        <stp>ASK</stp>
        <stp>.SPY150501P210.5</stp>
        <tr r="L108" s="1"/>
      </tp>
      <tp>
        <v>8.19</v>
        <stp/>
        <stp>ASK</stp>
        <stp>.SPY150508P219.5</stp>
        <tr r="L168" s="1"/>
      </tp>
      <tp>
        <v>0.28000000000000003</v>
        <stp/>
        <stp>ASK</stp>
        <stp>.SPY150515P204.5</stp>
        <tr r="L180" s="1"/>
      </tp>
      <tp>
        <v>0.01</v>
        <stp/>
        <stp>ASK</stp>
        <stp>.SPY150501P200.5</stp>
        <tr r="L88" s="1"/>
      </tp>
      <tp>
        <v>0.45</v>
        <stp/>
        <stp>ASK</stp>
        <stp>.SPY150508P209.5</stp>
        <tr r="L148" s="1"/>
      </tp>
      <tp>
        <v>3.49</v>
        <stp/>
        <stp>ASK</stp>
        <stp>.SPY150515P214.5</stp>
        <tr r="L200" s="1"/>
      </tp>
      <tp>
        <v>3.11</v>
        <stp/>
        <stp>ASK</stp>
        <stp>.SPY150522P213.5</stp>
        <tr r="L240" s="1"/>
      </tp>
      <tp>
        <v>7.28</v>
        <stp/>
        <stp>ASK</stp>
        <stp>.SPY150529P218.5</stp>
        <tr r="L292" s="1"/>
      </tp>
      <tp>
        <v>0.42</v>
        <stp/>
        <stp>ASK</stp>
        <stp>.SPY150522P203.5</stp>
        <tr r="L220" s="1"/>
      </tp>
      <tp>
        <v>1.51</v>
        <stp/>
        <stp>ASK</stp>
        <stp>.SPY150529P208.5</stp>
        <tr r="L272" s="1"/>
      </tp>
      <tp>
        <v>0.01</v>
        <stp/>
        <stp>ASK</stp>
        <stp>.SPY150417P206.5</stp>
        <tr r="L16" s="1"/>
      </tp>
      <tp>
        <v>8.52</v>
        <stp/>
        <stp>ASK</stp>
        <stp>.SPY150417P216.5</stp>
        <tr r="L36" s="1"/>
      </tp>
      <tp>
        <v>3.94</v>
        <stp/>
        <stp>ASK</stp>
        <stp>.SPY150424P215.5</stp>
        <tr r="L76" s="1"/>
      </tp>
      <tp>
        <v>0.01</v>
        <stp/>
        <stp>ASK</stp>
        <stp>.SPY150424P205.5</stp>
        <tr r="L56" s="1"/>
      </tp>
      <tp t="s">
        <v>N/A</v>
        <stp/>
        <stp>ASK</stp>
        <stp>.SPY151219P208.5</stp>
        <tr r="L524" s="1"/>
      </tp>
      <tp t="s">
        <v>N/A</v>
        <stp/>
        <stp>ASK</stp>
        <stp>.SPY161216P204.5</stp>
        <tr r="L768" s="1"/>
      </tp>
      <tp t="s">
        <v>N/A</v>
        <stp/>
        <stp>ASK</stp>
        <stp>.SPY171215P206.5</stp>
        <tr r="L898" s="1"/>
      </tp>
      <tp t="s">
        <v>N/A</v>
        <stp/>
        <stp>ASK</stp>
        <stp>.SPY151219P218.5</stp>
        <tr r="L544" s="1"/>
      </tp>
      <tp t="s">
        <v>N/A</v>
        <stp/>
        <stp>ASK</stp>
        <stp>.SPY161216P214.5</stp>
        <tr r="L788" s="1"/>
      </tp>
      <tp t="s">
        <v>N/A</v>
        <stp/>
        <stp>ASK</stp>
        <stp>.SPY171215P216.5</stp>
        <tr r="L918" s="1"/>
      </tp>
      <tp t="s">
        <v>N/A</v>
        <stp/>
        <stp>ASK</stp>
        <stp>.SPY151231P200.5</stp>
        <tr r="L550" s="1"/>
      </tp>
      <tp t="s">
        <v>N/A</v>
        <stp/>
        <stp>ASK</stp>
        <stp>.SPY151231P210.5</stp>
        <tr r="L570" s="1"/>
      </tp>
      <tp t="s">
        <v>N/A</v>
        <stp/>
        <stp>GAMMA</stp>
        <stp>.SPY151219P205.5</stp>
        <tr r="T518" s="1"/>
      </tp>
      <tp t="s">
        <v>N/A</v>
        <stp/>
        <stp>GAMMA</stp>
        <stp>.SPY161216P209.5</stp>
        <tr r="T778" s="1"/>
      </tp>
      <tp t="s">
        <v>N/A</v>
        <stp/>
        <stp>GAMMA</stp>
        <stp>.SPY151219P215.5</stp>
        <tr r="T538" s="1"/>
      </tp>
      <tp t="s">
        <v>N/A</v>
        <stp/>
        <stp>GAMMA</stp>
        <stp>.SPY161216P219.5</stp>
        <tr r="T798" s="1"/>
      </tp>
      <tp t="s">
        <v>N/A</v>
        <stp/>
        <stp>GAMMA</stp>
        <stp>.SPY150918P204.5</stp>
        <tr r="T432" s="1"/>
      </tp>
      <tp t="s">
        <v>N/A</v>
        <stp/>
        <stp>GAMMA</stp>
        <stp>.SPY160916P209.5</stp>
        <tr r="T736" s="1"/>
      </tp>
      <tp t="s">
        <v>N/A</v>
        <stp/>
        <stp>GAMMA</stp>
        <stp>.SPY150918P214.5</stp>
        <tr r="T452" s="1"/>
      </tp>
      <tp t="s">
        <v>N/A</v>
        <stp/>
        <stp>GAMMA</stp>
        <stp>.SPY160916P219.5</stp>
        <tr r="T756" s="1"/>
      </tp>
      <tp t="s">
        <v>N/A</v>
        <stp/>
        <stp>GAMMA</stp>
        <stp>.SPY160318P207.5</stp>
        <tr r="T648" s="1"/>
      </tp>
      <tp t="s">
        <v>N/A</v>
        <stp/>
        <stp>GAMMA</stp>
        <stp>.SPY170317P209.5</stp>
        <tr r="T862" s="1"/>
      </tp>
      <tp t="s">
        <v>N/A</v>
        <stp/>
        <stp>GAMMA</stp>
        <stp>.SPY160318P217.5</stp>
        <tr r="T668" s="1"/>
      </tp>
      <tp t="s">
        <v>N/A</v>
        <stp/>
        <stp>GAMMA</stp>
        <stp>.SPY170317P219.5</stp>
        <tr r="T882" s="1"/>
      </tp>
      <tp t="s">
        <v>N/A</v>
        <stp/>
        <stp>GAMMA</stp>
        <stp>.SPY150424P218.5</stp>
        <tr r="T82" s="1"/>
      </tp>
      <tp t="s">
        <v>N/A</v>
        <stp/>
        <stp>GAMMA</stp>
        <stp>.SPY150424P208.5</stp>
        <tr r="T62" s="1"/>
      </tp>
      <tp>
        <v>5.7700000000000001E-2</v>
        <stp/>
        <stp>GAMMA</stp>
        <stp>.SPY150529P215.5</stp>
        <tr r="T286" s="1"/>
      </tp>
      <tp>
        <v>3.9039999999999998E-2</v>
        <stp/>
        <stp>GAMMA</stp>
        <stp>.SPY150529P205.5</stp>
        <tr r="T266" s="1"/>
      </tp>
      <tp>
        <v>4.8340000000000001E-2</v>
        <stp/>
        <stp>GAMMA</stp>
        <stp>.SPY150508P214.5</stp>
        <tr r="T158" s="1"/>
      </tp>
      <tp>
        <v>8.2189999999999999E-2</v>
        <stp/>
        <stp>GAMMA</stp>
        <stp>.SPY150515P209.5</stp>
        <tr r="T190" s="1"/>
      </tp>
      <tp>
        <v>1.9970000000000002E-2</v>
        <stp/>
        <stp>GAMMA</stp>
        <stp>.SPY150508P204.5</stp>
        <tr r="T138" s="1"/>
      </tp>
      <tp>
        <v>0</v>
        <stp/>
        <stp>GAMMA</stp>
        <stp>.SPY150515P219.5</stp>
        <tr r="T210" s="1"/>
      </tp>
      <tp t="s">
        <v>N/A</v>
        <stp/>
        <stp>GAMMA</stp>
        <stp>.SPY150619P205.5</stp>
        <tr r="T308" s="1"/>
      </tp>
      <tp t="s">
        <v>N/A</v>
        <stp/>
        <stp>GAMMA</stp>
        <stp>.SPY160617P208.5</stp>
        <tr r="T692" s="1"/>
      </tp>
      <tp t="s">
        <v>N/A</v>
        <stp/>
        <stp>GAMMA</stp>
        <stp>.SPY150619P215.5</stp>
        <tr r="T328" s="1"/>
      </tp>
      <tp t="s">
        <v>N/A</v>
        <stp/>
        <stp>GAMMA</stp>
        <stp>.SPY160617P218.5</stp>
        <tr r="T712" s="1"/>
      </tp>
      <tp t="s">
        <v>N/A</v>
        <stp/>
        <stp>GAMMA</stp>
        <stp>.SPY150918C204.5</stp>
        <tr r="I432" s="1"/>
      </tp>
      <tp t="s">
        <v>N/A</v>
        <stp/>
        <stp>GAMMA</stp>
        <stp>.SPY160916C209.5</stp>
        <tr r="I736" s="1"/>
      </tp>
      <tp t="s">
        <v>N/A</v>
        <stp/>
        <stp>GAMMA</stp>
        <stp>.SPY150918C214.5</stp>
        <tr r="I452" s="1"/>
      </tp>
      <tp t="s">
        <v>N/A</v>
        <stp/>
        <stp>GAMMA</stp>
        <stp>.SPY160916C219.5</stp>
        <tr r="I756" s="1"/>
      </tp>
      <tp t="s">
        <v>N/A</v>
        <stp/>
        <stp>GAMMA</stp>
        <stp>.SPY160318C207.5</stp>
        <tr r="I648" s="1"/>
      </tp>
      <tp t="s">
        <v>N/A</v>
        <stp/>
        <stp>GAMMA</stp>
        <stp>.SPY170317C209.5</stp>
        <tr r="I862" s="1"/>
      </tp>
      <tp t="s">
        <v>N/A</v>
        <stp/>
        <stp>GAMMA</stp>
        <stp>.SPY160318C217.5</stp>
        <tr r="I668" s="1"/>
      </tp>
      <tp t="s">
        <v>N/A</v>
        <stp/>
        <stp>GAMMA</stp>
        <stp>.SPY170317C219.5</stp>
        <tr r="I882" s="1"/>
      </tp>
      <tp t="s">
        <v>N/A</v>
        <stp/>
        <stp>GAMMA</stp>
        <stp>.SPY150424C218.5</stp>
        <tr r="I82" s="1"/>
      </tp>
      <tp t="s">
        <v>N/A</v>
        <stp/>
        <stp>GAMMA</stp>
        <stp>.SPY150424C208.5</stp>
        <tr r="I62" s="1"/>
      </tp>
      <tp>
        <v>5.6210000000000003E-2</v>
        <stp/>
        <stp>GAMMA</stp>
        <stp>.SPY150529C215.5</stp>
        <tr r="I286" s="1"/>
      </tp>
      <tp>
        <v>3.866E-2</v>
        <stp/>
        <stp>GAMMA</stp>
        <stp>.SPY150529C205.5</stp>
        <tr r="I266" s="1"/>
      </tp>
      <tp>
        <v>6.386E-2</v>
        <stp/>
        <stp>GAMMA</stp>
        <stp>.SPY150508C214.5</stp>
        <tr r="I158" s="1"/>
      </tp>
      <tp>
        <v>8.0670000000000006E-2</v>
        <stp/>
        <stp>GAMMA</stp>
        <stp>.SPY150515C209.5</stp>
        <tr r="I190" s="1"/>
      </tp>
      <tp>
        <v>1.6910000000000001E-2</v>
        <stp/>
        <stp>GAMMA</stp>
        <stp>.SPY150508C204.5</stp>
        <tr r="I138" s="1"/>
      </tp>
      <tp>
        <v>9.0799999999999995E-3</v>
        <stp/>
        <stp>GAMMA</stp>
        <stp>.SPY150515C219.5</stp>
        <tr r="I210" s="1"/>
      </tp>
      <tp t="s">
        <v>N/A</v>
        <stp/>
        <stp>GAMMA</stp>
        <stp>.SPY150619C205.5</stp>
        <tr r="I308" s="1"/>
      </tp>
      <tp t="s">
        <v>N/A</v>
        <stp/>
        <stp>GAMMA</stp>
        <stp>.SPY160617C208.5</stp>
        <tr r="I692" s="1"/>
      </tp>
      <tp t="s">
        <v>N/A</v>
        <stp/>
        <stp>GAMMA</stp>
        <stp>.SPY150619C215.5</stp>
        <tr r="I328" s="1"/>
      </tp>
      <tp t="s">
        <v>N/A</v>
        <stp/>
        <stp>GAMMA</stp>
        <stp>.SPY160617C218.5</stp>
        <tr r="I712" s="1"/>
      </tp>
      <tp t="s">
        <v>N/A</v>
        <stp/>
        <stp>GAMMA</stp>
        <stp>.SPY151219C205.5</stp>
        <tr r="I518" s="1"/>
      </tp>
      <tp t="s">
        <v>N/A</v>
        <stp/>
        <stp>GAMMA</stp>
        <stp>.SPY161216C209.5</stp>
        <tr r="I778" s="1"/>
      </tp>
      <tp t="s">
        <v>N/A</v>
        <stp/>
        <stp>GAMMA</stp>
        <stp>.SPY151219C215.5</stp>
        <tr r="I538" s="1"/>
      </tp>
      <tp t="s">
        <v>N/A</v>
        <stp/>
        <stp>GAMMA</stp>
        <stp>.SPY161216C219.5</stp>
        <tr r="I798" s="1"/>
      </tp>
      <tp t="s">
        <v>N/A</v>
        <stp/>
        <stp>ASK</stp>
        <stp>.SPY161216C203.5</stp>
        <tr r="A766" s="1"/>
      </tp>
      <tp t="s">
        <v>N/A</v>
        <stp/>
        <stp>ASK</stp>
        <stp>.SPY171215C201.5</stp>
        <tr r="A888" s="1"/>
      </tp>
      <tp t="s">
        <v>N/A</v>
        <stp/>
        <stp>ASK</stp>
        <stp>.SPY161216C213.5</stp>
        <tr r="A786" s="1"/>
      </tp>
      <tp t="s">
        <v>N/A</v>
        <stp/>
        <stp>ASK</stp>
        <stp>.SPY171215C211.5</stp>
        <tr r="A908" s="1"/>
      </tp>
      <tp t="s">
        <v>N/A</v>
        <stp/>
        <stp>ASK</stp>
        <stp>.SPY151231C207.5</stp>
        <tr r="A564" s="1"/>
      </tp>
      <tp t="s">
        <v>N/A</v>
        <stp/>
        <stp>ASK</stp>
        <stp>.SPY151231C217.5</stp>
        <tr r="A584" s="1"/>
      </tp>
      <tp t="s">
        <v>N/A</v>
        <stp/>
        <stp>ASK</stp>
        <stp>.SPY160916C203.5</stp>
        <tr r="A724" s="1"/>
      </tp>
      <tp t="s">
        <v>N/A</v>
        <stp/>
        <stp>ASK</stp>
        <stp>.SPY160916C213.5</stp>
        <tr r="A744" s="1"/>
      </tp>
      <tp t="s">
        <v>N/A</v>
        <stp/>
        <stp>ASK</stp>
        <stp>.SPY150930C206.5</stp>
        <tr r="A478" s="1"/>
      </tp>
      <tp t="s">
        <v>N/A</v>
        <stp/>
        <stp>ASK</stp>
        <stp>.SPY150930C216.5</stp>
        <tr r="A498" s="1"/>
      </tp>
      <tp t="s">
        <v>N/A</v>
        <stp/>
        <stp>ASK</stp>
        <stp>.SPY170317C203.5</stp>
        <tr r="A850" s="1"/>
      </tp>
      <tp t="s">
        <v>N/A</v>
        <stp/>
        <stp>ASK</stp>
        <stp>.SPY170317C213.5</stp>
        <tr r="A870" s="1"/>
      </tp>
      <tp t="s">
        <v>N/A</v>
        <stp/>
        <stp>ASK</stp>
        <stp>.SPY160115C200.5</stp>
        <tr r="A592" s="1"/>
      </tp>
      <tp t="s">
        <v>N/A</v>
        <stp/>
        <stp>ASK</stp>
        <stp>.SPY160115C210.5</stp>
        <tr r="A612" s="1"/>
      </tp>
      <tp t="s">
        <v>N/A</v>
        <stp/>
        <stp>ASK</stp>
        <stp>.SPY170120C214.5</stp>
        <tr r="A830" s="1"/>
      </tp>
      <tp t="s">
        <v>N/A</v>
        <stp/>
        <stp>ASK</stp>
        <stp>.SPY170120C204.5</stp>
        <tr r="A810" s="1"/>
      </tp>
      <tp t="s">
        <v>N/A</v>
        <stp/>
        <stp>ASK</stp>
        <stp>.SPY150717C201.5</stp>
        <tr r="A384" s="1"/>
      </tp>
      <tp t="s">
        <v>N/A</v>
        <stp/>
        <stp>ASK</stp>
        <stp>.SPY150717C211.5</stp>
        <tr r="A404" s="1"/>
      </tp>
      <tp t="s">
        <v>N/A</v>
        <stp/>
        <stp>ASK</stp>
        <stp>.SPY160617C202.5</stp>
        <tr r="A680" s="1"/>
      </tp>
      <tp t="s">
        <v>N/A</v>
        <stp/>
        <stp>ASK</stp>
        <stp>.SPY160617C212.5</stp>
        <tr r="A700" s="1"/>
      </tp>
      <tp t="s">
        <v>N/A</v>
        <stp/>
        <stp>ASK</stp>
        <stp>.SPY150630C206.5</stp>
        <tr r="A352" s="1"/>
      </tp>
      <tp t="s">
        <v>N/A</v>
        <stp/>
        <stp>ASK</stp>
        <stp>.SPY150630C216.5</stp>
        <tr r="A372" s="1"/>
      </tp>
      <tp>
        <v>0.01</v>
        <stp/>
        <stp>ASK</stp>
        <stp>.SPY150501C217.5</stp>
        <tr r="A122" s="1"/>
      </tp>
      <tp>
        <v>8.2799999999999994</v>
        <stp/>
        <stp>ASK</stp>
        <stp>.SPY150515C203.5</stp>
        <tr r="A178" s="1"/>
      </tp>
      <tp>
        <v>3.34</v>
        <stp/>
        <stp>ASK</stp>
        <stp>.SPY150501C207.5</stp>
        <tr r="A102" s="1"/>
      </tp>
      <tp>
        <v>0.64</v>
        <stp/>
        <stp>ASK</stp>
        <stp>.SPY150515C213.5</stp>
        <tr r="A198" s="1"/>
      </tp>
      <tp>
        <v>0.64</v>
        <stp/>
        <stp>ASK</stp>
        <stp>.SPY150522C214.5</stp>
        <tr r="A242" s="1"/>
      </tp>
      <tp>
        <v>7.58</v>
        <stp/>
        <stp>ASK</stp>
        <stp>.SPY150522C204.5</stp>
        <tr r="A222" s="1"/>
      </tp>
      <tp>
        <v>6.78</v>
        <stp/>
        <stp>ASK</stp>
        <stp>.SPY150417C201.5</stp>
        <tr r="A6" s="1"/>
      </tp>
      <tp>
        <v>0.01</v>
        <stp/>
        <stp>ASK</stp>
        <stp>.SPY150417C211.5</stp>
        <tr r="A26" s="1"/>
      </tp>
      <tp>
        <v>0.01</v>
        <stp/>
        <stp>ASK</stp>
        <stp>.SPY150424C212.5</stp>
        <tr r="A70" s="1"/>
      </tp>
      <tp>
        <v>9.31</v>
        <stp/>
        <stp>ASK</stp>
        <stp>.SPY150424C202.5</stp>
        <tr r="A50" s="1"/>
      </tp>
      <tp t="s">
        <v>N/A</v>
        <stp/>
        <stp>ASK</stp>
        <stp>.SPY160916P203.5</stp>
        <tr r="L724" s="1"/>
      </tp>
      <tp t="s">
        <v>N/A</v>
        <stp/>
        <stp>ASK</stp>
        <stp>.SPY160916P213.5</stp>
        <tr r="L744" s="1"/>
      </tp>
      <tp t="s">
        <v>N/A</v>
        <stp/>
        <stp>ASK</stp>
        <stp>.SPY150930P206.5</stp>
        <tr r="L478" s="1"/>
      </tp>
      <tp t="s">
        <v>N/A</v>
        <stp/>
        <stp>ASK</stp>
        <stp>.SPY150930P216.5</stp>
        <tr r="L498" s="1"/>
      </tp>
      <tp t="s">
        <v>N/A</v>
        <stp/>
        <stp>ASK</stp>
        <stp>.SPY170317P203.5</stp>
        <tr r="L850" s="1"/>
      </tp>
      <tp t="s">
        <v>N/A</v>
        <stp/>
        <stp>ASK</stp>
        <stp>.SPY170317P213.5</stp>
        <tr r="L870" s="1"/>
      </tp>
      <tp t="s">
        <v>N/A</v>
        <stp/>
        <stp>ASK</stp>
        <stp>.SPY160115P200.5</stp>
        <tr r="L592" s="1"/>
      </tp>
      <tp t="s">
        <v>N/A</v>
        <stp/>
        <stp>ASK</stp>
        <stp>.SPY160115P210.5</stp>
        <tr r="L612" s="1"/>
      </tp>
      <tp t="s">
        <v>N/A</v>
        <stp/>
        <stp>ASK</stp>
        <stp>.SPY170120P214.5</stp>
        <tr r="L830" s="1"/>
      </tp>
      <tp t="s">
        <v>N/A</v>
        <stp/>
        <stp>ASK</stp>
        <stp>.SPY170120P204.5</stp>
        <tr r="L810" s="1"/>
      </tp>
      <tp t="s">
        <v>N/A</v>
        <stp/>
        <stp>ASK</stp>
        <stp>.SPY150717P201.5</stp>
        <tr r="L384" s="1"/>
      </tp>
      <tp t="s">
        <v>N/A</v>
        <stp/>
        <stp>ASK</stp>
        <stp>.SPY150717P211.5</stp>
        <tr r="L404" s="1"/>
      </tp>
      <tp t="s">
        <v>N/A</v>
        <stp/>
        <stp>ASK</stp>
        <stp>.SPY160617P202.5</stp>
        <tr r="L680" s="1"/>
      </tp>
      <tp t="s">
        <v>N/A</v>
        <stp/>
        <stp>ASK</stp>
        <stp>.SPY160617P212.5</stp>
        <tr r="L700" s="1"/>
      </tp>
      <tp t="s">
        <v>N/A</v>
        <stp/>
        <stp>ASK</stp>
        <stp>.SPY150630P206.5</stp>
        <tr r="L352" s="1"/>
      </tp>
      <tp t="s">
        <v>N/A</v>
        <stp/>
        <stp>ASK</stp>
        <stp>.SPY150630P216.5</stp>
        <tr r="L372" s="1"/>
      </tp>
      <tp>
        <v>6.92</v>
        <stp/>
        <stp>ASK</stp>
        <stp>.SPY150501P217.5</stp>
        <tr r="L122" s="1"/>
      </tp>
      <tp>
        <v>0.22</v>
        <stp/>
        <stp>ASK</stp>
        <stp>.SPY150515P203.5</stp>
        <tr r="L178" s="1"/>
      </tp>
      <tp>
        <v>0.01</v>
        <stp/>
        <stp>ASK</stp>
        <stp>.SPY150501P207.5</stp>
        <tr r="L102" s="1"/>
      </tp>
      <tp>
        <v>2.76</v>
        <stp/>
        <stp>ASK</stp>
        <stp>.SPY150515P213.5</stp>
        <tr r="L198" s="1"/>
      </tp>
      <tp>
        <v>3.75</v>
        <stp/>
        <stp>ASK</stp>
        <stp>.SPY150522P214.5</stp>
        <tr r="L242" s="1"/>
      </tp>
      <tp>
        <v>0.52</v>
        <stp/>
        <stp>ASK</stp>
        <stp>.SPY150522P204.5</stp>
        <tr r="L222" s="1"/>
      </tp>
      <tp>
        <v>0.01</v>
        <stp/>
        <stp>ASK</stp>
        <stp>.SPY150417P201.5</stp>
        <tr r="L6" s="1"/>
      </tp>
      <tp>
        <v>3.49</v>
        <stp/>
        <stp>ASK</stp>
        <stp>.SPY150417P211.5</stp>
        <tr r="L26" s="1"/>
      </tp>
      <tp>
        <v>0.93</v>
        <stp/>
        <stp>ASK</stp>
        <stp>.SPY150424P212.5</stp>
        <tr r="L70" s="1"/>
      </tp>
      <tp>
        <v>0.01</v>
        <stp/>
        <stp>ASK</stp>
        <stp>.SPY150424P202.5</stp>
        <tr r="L50" s="1"/>
      </tp>
      <tp t="s">
        <v>N/A</v>
        <stp/>
        <stp>ASK</stp>
        <stp>.SPY161216P203.5</stp>
        <tr r="L766" s="1"/>
      </tp>
      <tp t="s">
        <v>N/A</v>
        <stp/>
        <stp>ASK</stp>
        <stp>.SPY171215P201.5</stp>
        <tr r="L888" s="1"/>
      </tp>
      <tp t="s">
        <v>N/A</v>
        <stp/>
        <stp>ASK</stp>
        <stp>.SPY161216P213.5</stp>
        <tr r="L786" s="1"/>
      </tp>
      <tp t="s">
        <v>N/A</v>
        <stp/>
        <stp>ASK</stp>
        <stp>.SPY171215P211.5</stp>
        <tr r="L908" s="1"/>
      </tp>
      <tp t="s">
        <v>N/A</v>
        <stp/>
        <stp>ASK</stp>
        <stp>.SPY151231P207.5</stp>
        <tr r="L564" s="1"/>
      </tp>
      <tp t="s">
        <v>N/A</v>
        <stp/>
        <stp>ASK</stp>
        <stp>.SPY151231P217.5</stp>
        <tr r="L584" s="1"/>
      </tp>
      <tp t="s">
        <v>N/A</v>
        <stp/>
        <stp>GAMMA</stp>
        <stp>.SPY151219P204.5</stp>
        <tr r="T516" s="1"/>
      </tp>
      <tp t="s">
        <v>N/A</v>
        <stp/>
        <stp>GAMMA</stp>
        <stp>.SPY161216P208.5</stp>
        <tr r="T776" s="1"/>
      </tp>
      <tp t="s">
        <v>N/A</v>
        <stp/>
        <stp>GAMMA</stp>
        <stp>.SPY151219P214.5</stp>
        <tr r="T536" s="1"/>
      </tp>
      <tp t="s">
        <v>N/A</v>
        <stp/>
        <stp>GAMMA</stp>
        <stp>.SPY161216P218.5</stp>
        <tr r="T796" s="1"/>
      </tp>
      <tp t="s">
        <v>N/A</v>
        <stp/>
        <stp>GAMMA</stp>
        <stp>.SPY150918P205.5</stp>
        <tr r="T434" s="1"/>
      </tp>
      <tp t="s">
        <v>N/A</v>
        <stp/>
        <stp>GAMMA</stp>
        <stp>.SPY160916P208.5</stp>
        <tr r="T734" s="1"/>
      </tp>
      <tp t="s">
        <v>N/A</v>
        <stp/>
        <stp>GAMMA</stp>
        <stp>.SPY150918P215.5</stp>
        <tr r="T454" s="1"/>
      </tp>
      <tp t="s">
        <v>N/A</v>
        <stp/>
        <stp>GAMMA</stp>
        <stp>.SPY160916P218.5</stp>
        <tr r="T754" s="1"/>
      </tp>
      <tp t="s">
        <v>N/A</v>
        <stp/>
        <stp>GAMMA</stp>
        <stp>.SPY160318P206.5</stp>
        <tr r="T646" s="1"/>
      </tp>
      <tp t="s">
        <v>N/A</v>
        <stp/>
        <stp>GAMMA</stp>
        <stp>.SPY170317P208.5</stp>
        <tr r="T860" s="1"/>
      </tp>
      <tp t="s">
        <v>N/A</v>
        <stp/>
        <stp>GAMMA</stp>
        <stp>.SPY160318P216.5</stp>
        <tr r="T666" s="1"/>
      </tp>
      <tp t="s">
        <v>N/A</v>
        <stp/>
        <stp>GAMMA</stp>
        <stp>.SPY170317P218.5</stp>
        <tr r="T880" s="1"/>
      </tp>
      <tp t="s">
        <v>N/A</v>
        <stp/>
        <stp>GAMMA</stp>
        <stp>.SPY150424P219.5</stp>
        <tr r="T84" s="1"/>
      </tp>
      <tp t="s">
        <v>N/A</v>
        <stp/>
        <stp>GAMMA</stp>
        <stp>.SPY150424P209.5</stp>
        <tr r="T64" s="1"/>
      </tp>
      <tp>
        <v>6.8099999999999994E-2</v>
        <stp/>
        <stp>GAMMA</stp>
        <stp>.SPY150529P214.5</stp>
        <tr r="T284" s="1"/>
      </tp>
      <tp>
        <v>3.4340000000000002E-2</v>
        <stp/>
        <stp>GAMMA</stp>
        <stp>.SPY150529P204.5</stp>
        <tr r="T264" s="1"/>
      </tp>
      <tp>
        <v>0</v>
        <stp/>
        <stp>GAMMA</stp>
        <stp>.SPY150508P215.5</stp>
        <tr r="T160" s="1"/>
      </tp>
      <tp>
        <v>7.0639999999999994E-2</v>
        <stp/>
        <stp>GAMMA</stp>
        <stp>.SPY150515P208.5</stp>
        <tr r="T188" s="1"/>
      </tp>
      <tp>
        <v>2.9590000000000002E-2</v>
        <stp/>
        <stp>GAMMA</stp>
        <stp>.SPY150508P205.5</stp>
        <tr r="T140" s="1"/>
      </tp>
      <tp>
        <v>0</v>
        <stp/>
        <stp>GAMMA</stp>
        <stp>.SPY150515P218.5</stp>
        <tr r="T208" s="1"/>
      </tp>
      <tp t="s">
        <v>N/A</v>
        <stp/>
        <stp>GAMMA</stp>
        <stp>.SPY150619P204.5</stp>
        <tr r="T306" s="1"/>
      </tp>
      <tp t="s">
        <v>N/A</v>
        <stp/>
        <stp>GAMMA</stp>
        <stp>.SPY160617P209.5</stp>
        <tr r="T694" s="1"/>
      </tp>
      <tp t="s">
        <v>N/A</v>
        <stp/>
        <stp>GAMMA</stp>
        <stp>.SPY150619P214.5</stp>
        <tr r="T326" s="1"/>
      </tp>
      <tp t="s">
        <v>N/A</v>
        <stp/>
        <stp>GAMMA</stp>
        <stp>.SPY160617P219.5</stp>
        <tr r="T714" s="1"/>
      </tp>
      <tp t="s">
        <v>N/A</v>
        <stp/>
        <stp>GAMMA</stp>
        <stp>.SPY150918C205.5</stp>
        <tr r="I434" s="1"/>
      </tp>
      <tp t="s">
        <v>N/A</v>
        <stp/>
        <stp>GAMMA</stp>
        <stp>.SPY160916C208.5</stp>
        <tr r="I734" s="1"/>
      </tp>
      <tp t="s">
        <v>N/A</v>
        <stp/>
        <stp>GAMMA</stp>
        <stp>.SPY150918C215.5</stp>
        <tr r="I454" s="1"/>
      </tp>
      <tp t="s">
        <v>N/A</v>
        <stp/>
        <stp>GAMMA</stp>
        <stp>.SPY160916C218.5</stp>
        <tr r="I754" s="1"/>
      </tp>
      <tp t="s">
        <v>N/A</v>
        <stp/>
        <stp>GAMMA</stp>
        <stp>.SPY160318C206.5</stp>
        <tr r="I646" s="1"/>
      </tp>
      <tp t="s">
        <v>N/A</v>
        <stp/>
        <stp>GAMMA</stp>
        <stp>.SPY170317C208.5</stp>
        <tr r="I860" s="1"/>
      </tp>
      <tp t="s">
        <v>N/A</v>
        <stp/>
        <stp>GAMMA</stp>
        <stp>.SPY160318C216.5</stp>
        <tr r="I666" s="1"/>
      </tp>
      <tp t="s">
        <v>N/A</v>
        <stp/>
        <stp>GAMMA</stp>
        <stp>.SPY170317C218.5</stp>
        <tr r="I880" s="1"/>
      </tp>
      <tp t="s">
        <v>N/A</v>
        <stp/>
        <stp>GAMMA</stp>
        <stp>.SPY150424C219.5</stp>
        <tr r="I84" s="1"/>
      </tp>
      <tp t="s">
        <v>N/A</v>
        <stp/>
        <stp>GAMMA</stp>
        <stp>.SPY150424C209.5</stp>
        <tr r="I64" s="1"/>
      </tp>
      <tp>
        <v>6.2820000000000001E-2</v>
        <stp/>
        <stp>GAMMA</stp>
        <stp>.SPY150529C214.5</stp>
        <tr r="I284" s="1"/>
      </tp>
      <tp>
        <v>3.4590000000000003E-2</v>
        <stp/>
        <stp>GAMMA</stp>
        <stp>.SPY150529C204.5</stp>
        <tr r="I264" s="1"/>
      </tp>
      <tp>
        <v>3.184E-2</v>
        <stp/>
        <stp>GAMMA</stp>
        <stp>.SPY150508C215.5</stp>
        <tr r="I160" s="1"/>
      </tp>
      <tp>
        <v>6.9839999999999999E-2</v>
        <stp/>
        <stp>GAMMA</stp>
        <stp>.SPY150515C208.5</stp>
        <tr r="I188" s="1"/>
      </tp>
      <tp>
        <v>2.5219999999999999E-2</v>
        <stp/>
        <stp>GAMMA</stp>
        <stp>.SPY150508C205.5</stp>
        <tr r="I140" s="1"/>
      </tp>
      <tp>
        <v>1.422E-2</v>
        <stp/>
        <stp>GAMMA</stp>
        <stp>.SPY150515C218.5</stp>
        <tr r="I208" s="1"/>
      </tp>
      <tp t="s">
        <v>N/A</v>
        <stp/>
        <stp>GAMMA</stp>
        <stp>.SPY150619C204.5</stp>
        <tr r="I306" s="1"/>
      </tp>
      <tp t="s">
        <v>N/A</v>
        <stp/>
        <stp>GAMMA</stp>
        <stp>.SPY160617C209.5</stp>
        <tr r="I694" s="1"/>
      </tp>
      <tp t="s">
        <v>N/A</v>
        <stp/>
        <stp>GAMMA</stp>
        <stp>.SPY150619C214.5</stp>
        <tr r="I326" s="1"/>
      </tp>
      <tp t="s">
        <v>N/A</v>
        <stp/>
        <stp>GAMMA</stp>
        <stp>.SPY160617C219.5</stp>
        <tr r="I714" s="1"/>
      </tp>
      <tp t="s">
        <v>N/A</v>
        <stp/>
        <stp>GAMMA</stp>
        <stp>.SPY151219C204.5</stp>
        <tr r="I516" s="1"/>
      </tp>
      <tp t="s">
        <v>N/A</v>
        <stp/>
        <stp>GAMMA</stp>
        <stp>.SPY161216C208.5</stp>
        <tr r="I776" s="1"/>
      </tp>
      <tp t="s">
        <v>N/A</v>
        <stp/>
        <stp>GAMMA</stp>
        <stp>.SPY151219C214.5</stp>
        <tr r="I536" s="1"/>
      </tp>
      <tp t="s">
        <v>N/A</v>
        <stp/>
        <stp>GAMMA</stp>
        <stp>.SPY161216C218.5</stp>
        <tr r="I796" s="1"/>
      </tp>
      <tp t="s">
        <v>N/A</v>
        <stp/>
        <stp>ASK</stp>
        <stp>.SPY161216C202.5</stp>
        <tr r="A764" s="1"/>
      </tp>
      <tp t="s">
        <v>N/A</v>
        <stp/>
        <stp>ASK</stp>
        <stp>.SPY171215C200.5</stp>
        <tr r="A886" s="1"/>
      </tp>
      <tp t="s">
        <v>N/A</v>
        <stp/>
        <stp>ASK</stp>
        <stp>.SPY161216C212.5</stp>
        <tr r="A784" s="1"/>
      </tp>
      <tp t="s">
        <v>N/A</v>
        <stp/>
        <stp>ASK</stp>
        <stp>.SPY171215C210.5</stp>
        <tr r="A906" s="1"/>
      </tp>
      <tp t="s">
        <v>N/A</v>
        <stp/>
        <stp>ASK</stp>
        <stp>.SPY151231C206.5</stp>
        <tr r="A562" s="1"/>
      </tp>
      <tp t="s">
        <v>N/A</v>
        <stp/>
        <stp>ASK</stp>
        <stp>.SPY151231C216.5</stp>
        <tr r="A582" s="1"/>
      </tp>
      <tp t="s">
        <v>N/A</v>
        <stp/>
        <stp>ASK</stp>
        <stp>.SPY160916C202.5</stp>
        <tr r="A722" s="1"/>
      </tp>
      <tp t="s">
        <v>N/A</v>
        <stp/>
        <stp>ASK</stp>
        <stp>.SPY160916C212.5</stp>
        <tr r="A742" s="1"/>
      </tp>
      <tp t="s">
        <v>N/A</v>
        <stp/>
        <stp>ASK</stp>
        <stp>.SPY150930C207.5</stp>
        <tr r="A480" s="1"/>
      </tp>
      <tp t="s">
        <v>N/A</v>
        <stp/>
        <stp>ASK</stp>
        <stp>.SPY150930C217.5</stp>
        <tr r="A500" s="1"/>
      </tp>
      <tp t="s">
        <v>N/A</v>
        <stp/>
        <stp>ASK</stp>
        <stp>.SPY170317C202.5</stp>
        <tr r="A848" s="1"/>
      </tp>
      <tp t="s">
        <v>N/A</v>
        <stp/>
        <stp>ASK</stp>
        <stp>.SPY170317C212.5</stp>
        <tr r="A868" s="1"/>
      </tp>
      <tp t="s">
        <v>N/A</v>
        <stp/>
        <stp>ASK</stp>
        <stp>.SPY160115C201.5</stp>
        <tr r="A594" s="1"/>
      </tp>
      <tp t="s">
        <v>N/A</v>
        <stp/>
        <stp>ASK</stp>
        <stp>.SPY160115C211.5</stp>
        <tr r="A614" s="1"/>
      </tp>
      <tp t="s">
        <v>N/A</v>
        <stp/>
        <stp>ASK</stp>
        <stp>.SPY170120C215.5</stp>
        <tr r="A832" s="1"/>
      </tp>
      <tp t="s">
        <v>N/A</v>
        <stp/>
        <stp>ASK</stp>
        <stp>.SPY170120C205.5</stp>
        <tr r="A812" s="1"/>
      </tp>
      <tp t="s">
        <v>N/A</v>
        <stp/>
        <stp>ASK</stp>
        <stp>.SPY150717C200.5</stp>
        <tr r="A382" s="1"/>
      </tp>
      <tp t="s">
        <v>N/A</v>
        <stp/>
        <stp>ASK</stp>
        <stp>.SPY150717C210.5</stp>
        <tr r="A402" s="1"/>
      </tp>
      <tp t="s">
        <v>N/A</v>
        <stp/>
        <stp>ASK</stp>
        <stp>.SPY160617C203.5</stp>
        <tr r="A682" s="1"/>
      </tp>
      <tp t="s">
        <v>N/A</v>
        <stp/>
        <stp>ASK</stp>
        <stp>.SPY160617C213.5</stp>
        <tr r="A702" s="1"/>
      </tp>
      <tp t="s">
        <v>N/A</v>
        <stp/>
        <stp>ASK</stp>
        <stp>.SPY150630C207.5</stp>
        <tr r="A354" s="1"/>
      </tp>
      <tp t="s">
        <v>N/A</v>
        <stp/>
        <stp>ASK</stp>
        <stp>.SPY150630C217.5</stp>
        <tr r="A374" s="1"/>
      </tp>
      <tp>
        <v>0.01</v>
        <stp/>
        <stp>ASK</stp>
        <stp>.SPY150501C216.5</stp>
        <tr r="A120" s="1"/>
      </tp>
      <tp>
        <v>9.24</v>
        <stp/>
        <stp>ASK</stp>
        <stp>.SPY150515C202.5</stp>
        <tr r="A176" s="1"/>
      </tp>
      <tp>
        <v>4.34</v>
        <stp/>
        <stp>ASK</stp>
        <stp>.SPY150501C206.5</stp>
        <tr r="A100" s="1"/>
      </tp>
      <tp>
        <v>1.07</v>
        <stp/>
        <stp>ASK</stp>
        <stp>.SPY150515C212.5</stp>
        <tr r="A196" s="1"/>
      </tp>
      <tp>
        <v>0.37</v>
        <stp/>
        <stp>ASK</stp>
        <stp>.SPY150522C215.5</stp>
        <tr r="A244" s="1"/>
      </tp>
      <tp>
        <v>6.68</v>
        <stp/>
        <stp>ASK</stp>
        <stp>.SPY150522C205.5</stp>
        <tr r="A224" s="1"/>
      </tp>
      <tp>
        <v>7.78</v>
        <stp/>
        <stp>ASK</stp>
        <stp>.SPY150417C200.5</stp>
        <tr r="A4" s="1"/>
      </tp>
      <tp>
        <v>0.01</v>
        <stp/>
        <stp>ASK</stp>
        <stp>.SPY150417C210.5</stp>
        <tr r="A24" s="1"/>
      </tp>
      <tp>
        <v>0.01</v>
        <stp/>
        <stp>ASK</stp>
        <stp>.SPY150424C213.5</stp>
        <tr r="A72" s="1"/>
      </tp>
      <tp>
        <v>8.31</v>
        <stp/>
        <stp>ASK</stp>
        <stp>.SPY150424C203.5</stp>
        <tr r="A52" s="1"/>
      </tp>
      <tp t="s">
        <v>N/A</v>
        <stp/>
        <stp>ASK</stp>
        <stp>.SPY160916P202.5</stp>
        <tr r="L722" s="1"/>
      </tp>
      <tp t="s">
        <v>N/A</v>
        <stp/>
        <stp>ASK</stp>
        <stp>.SPY160916P212.5</stp>
        <tr r="L742" s="1"/>
      </tp>
      <tp t="s">
        <v>N/A</v>
        <stp/>
        <stp>ASK</stp>
        <stp>.SPY150930P207.5</stp>
        <tr r="L480" s="1"/>
      </tp>
      <tp t="s">
        <v>N/A</v>
        <stp/>
        <stp>ASK</stp>
        <stp>.SPY150930P217.5</stp>
        <tr r="L500" s="1"/>
      </tp>
      <tp t="s">
        <v>N/A</v>
        <stp/>
        <stp>ASK</stp>
        <stp>.SPY170317P202.5</stp>
        <tr r="L848" s="1"/>
      </tp>
      <tp t="s">
        <v>N/A</v>
        <stp/>
        <stp>ASK</stp>
        <stp>.SPY170317P212.5</stp>
        <tr r="L868" s="1"/>
      </tp>
      <tp t="s">
        <v>N/A</v>
        <stp/>
        <stp>ASK</stp>
        <stp>.SPY160115P201.5</stp>
        <tr r="L594" s="1"/>
      </tp>
      <tp t="s">
        <v>N/A</v>
        <stp/>
        <stp>ASK</stp>
        <stp>.SPY160115P211.5</stp>
        <tr r="L614" s="1"/>
      </tp>
      <tp t="s">
        <v>N/A</v>
        <stp/>
        <stp>ASK</stp>
        <stp>.SPY170120P215.5</stp>
        <tr r="L832" s="1"/>
      </tp>
      <tp t="s">
        <v>N/A</v>
        <stp/>
        <stp>ASK</stp>
        <stp>.SPY170120P205.5</stp>
        <tr r="L812" s="1"/>
      </tp>
      <tp t="s">
        <v>N/A</v>
        <stp/>
        <stp>ASK</stp>
        <stp>.SPY150717P200.5</stp>
        <tr r="L382" s="1"/>
      </tp>
      <tp t="s">
        <v>N/A</v>
        <stp/>
        <stp>ASK</stp>
        <stp>.SPY150717P210.5</stp>
        <tr r="L402" s="1"/>
      </tp>
      <tp t="s">
        <v>N/A</v>
        <stp/>
        <stp>ASK</stp>
        <stp>.SPY160617P203.5</stp>
        <tr r="L682" s="1"/>
      </tp>
      <tp t="s">
        <v>N/A</v>
        <stp/>
        <stp>ASK</stp>
        <stp>.SPY160617P213.5</stp>
        <tr r="L702" s="1"/>
      </tp>
      <tp t="s">
        <v>N/A</v>
        <stp/>
        <stp>ASK</stp>
        <stp>.SPY150630P207.5</stp>
        <tr r="L354" s="1"/>
      </tp>
      <tp t="s">
        <v>N/A</v>
        <stp/>
        <stp>ASK</stp>
        <stp>.SPY150630P217.5</stp>
        <tr r="L374" s="1"/>
      </tp>
      <tp>
        <v>5.92</v>
        <stp/>
        <stp>ASK</stp>
        <stp>.SPY150501P216.5</stp>
        <tr r="L120" s="1"/>
      </tp>
      <tp>
        <v>0.18</v>
        <stp/>
        <stp>ASK</stp>
        <stp>.SPY150515P202.5</stp>
        <tr r="L176" s="1"/>
      </tp>
      <tp>
        <v>0.01</v>
        <stp/>
        <stp>ASK</stp>
        <stp>.SPY150501P206.5</stp>
        <tr r="L100" s="1"/>
      </tp>
      <tp>
        <v>2.16</v>
        <stp/>
        <stp>ASK</stp>
        <stp>.SPY150515P212.5</stp>
        <tr r="L196" s="1"/>
      </tp>
      <tp>
        <v>4.51</v>
        <stp/>
        <stp>ASK</stp>
        <stp>.SPY150522P215.5</stp>
        <tr r="L244" s="1"/>
      </tp>
      <tp>
        <v>0.63</v>
        <stp/>
        <stp>ASK</stp>
        <stp>.SPY150522P205.5</stp>
        <tr r="L224" s="1"/>
      </tp>
      <tp>
        <v>0.01</v>
        <stp/>
        <stp>ASK</stp>
        <stp>.SPY150417P200.5</stp>
        <tr r="L4" s="1"/>
      </tp>
      <tp>
        <v>2.4700000000000002</v>
        <stp/>
        <stp>ASK</stp>
        <stp>.SPY150417P210.5</stp>
        <tr r="L24" s="1"/>
      </tp>
      <tp>
        <v>1.93</v>
        <stp/>
        <stp>ASK</stp>
        <stp>.SPY150424P213.5</stp>
        <tr r="L72" s="1"/>
      </tp>
      <tp>
        <v>0.01</v>
        <stp/>
        <stp>ASK</stp>
        <stp>.SPY150424P203.5</stp>
        <tr r="L52" s="1"/>
      </tp>
      <tp t="s">
        <v>N/A</v>
        <stp/>
        <stp>ASK</stp>
        <stp>.SPY161216P202.5</stp>
        <tr r="L764" s="1"/>
      </tp>
      <tp t="s">
        <v>N/A</v>
        <stp/>
        <stp>ASK</stp>
        <stp>.SPY171215P200.5</stp>
        <tr r="L886" s="1"/>
      </tp>
      <tp t="s">
        <v>N/A</v>
        <stp/>
        <stp>ASK</stp>
        <stp>.SPY161216P212.5</stp>
        <tr r="L784" s="1"/>
      </tp>
      <tp t="s">
        <v>N/A</v>
        <stp/>
        <stp>ASK</stp>
        <stp>.SPY171215P210.5</stp>
        <tr r="L906" s="1"/>
      </tp>
      <tp t="s">
        <v>N/A</v>
        <stp/>
        <stp>ASK</stp>
        <stp>.SPY151231P206.5</stp>
        <tr r="L562" s="1"/>
      </tp>
      <tp t="s">
        <v>N/A</v>
        <stp/>
        <stp>ASK</stp>
        <stp>.SPY151231P216.5</stp>
        <tr r="L582" s="1"/>
      </tp>
      <tp t="s">
        <v>N/A</v>
        <stp/>
        <stp>GAMMA</stp>
        <stp>.SPY151219P207.5</stp>
        <tr r="T522" s="1"/>
      </tp>
      <tp t="s">
        <v>N/A</v>
        <stp/>
        <stp>GAMMA</stp>
        <stp>.SPY171215P209.5</stp>
        <tr r="T904" s="1"/>
      </tp>
      <tp t="s">
        <v>N/A</v>
        <stp/>
        <stp>GAMMA</stp>
        <stp>.SPY151219P217.5</stp>
        <tr r="T542" s="1"/>
      </tp>
      <tp t="s">
        <v>N/A</v>
        <stp/>
        <stp>GAMMA</stp>
        <stp>.SPY171215P219.5</stp>
        <tr r="T924" s="1"/>
      </tp>
      <tp t="s">
        <v>N/A</v>
        <stp/>
        <stp>GAMMA</stp>
        <stp>.SPY150918P206.5</stp>
        <tr r="T436" s="1"/>
      </tp>
      <tp t="s">
        <v>N/A</v>
        <stp/>
        <stp>GAMMA</stp>
        <stp>.SPY150918P216.5</stp>
        <tr r="T456" s="1"/>
      </tp>
      <tp t="s">
        <v>N/A</v>
        <stp/>
        <stp>GAMMA</stp>
        <stp>.SPY160115P208.5</stp>
        <tr r="T608" s="1"/>
      </tp>
      <tp t="s">
        <v>N/A</v>
        <stp/>
        <stp>GAMMA</stp>
        <stp>.SPY160115P218.5</stp>
        <tr r="T628" s="1"/>
      </tp>
      <tp t="s">
        <v>N/A</v>
        <stp/>
        <stp>GAMMA</stp>
        <stp>.SPY160318P205.5</stp>
        <tr r="T644" s="1"/>
      </tp>
      <tp t="s">
        <v>N/A</v>
        <stp/>
        <stp>GAMMA</stp>
        <stp>.SPY160318P215.5</stp>
        <tr r="T664" s="1"/>
      </tp>
      <tp t="s">
        <v>N/A</v>
        <stp/>
        <stp>GAMMA</stp>
        <stp>.SPY150417P209.5</stp>
        <tr r="T22" s="1"/>
      </tp>
      <tp t="s">
        <v>N/A</v>
        <stp/>
        <stp>GAMMA</stp>
        <stp>.SPY150417P219.5</stp>
        <tr r="T42" s="1"/>
      </tp>
      <tp>
        <v>0</v>
        <stp/>
        <stp>GAMMA</stp>
        <stp>.SPY150529P217.5</stp>
        <tr r="T290" s="1"/>
      </tp>
      <tp>
        <v>4.9459999999999997E-2</v>
        <stp/>
        <stp>GAMMA</stp>
        <stp>.SPY150529P207.5</stp>
        <tr r="T270" s="1"/>
      </tp>
      <tp>
        <v>0</v>
        <stp/>
        <stp>GAMMA</stp>
        <stp>.SPY150508P216.5</stp>
        <tr r="T162" s="1"/>
      </tp>
      <tp>
        <v>4.0969999999999999E-2</v>
        <stp/>
        <stp>GAMMA</stp>
        <stp>.SPY150508P206.5</stp>
        <tr r="T142" s="1"/>
      </tp>
      <tp t="s">
        <v>N/A</v>
        <stp/>
        <stp>GAMMA</stp>
        <stp>.SPY150619P207.5</stp>
        <tr r="T312" s="1"/>
      </tp>
      <tp t="s">
        <v>N/A</v>
        <stp/>
        <stp>GAMMA</stp>
        <stp>.SPY150619P217.5</stp>
        <tr r="T332" s="1"/>
      </tp>
      <tp t="s">
        <v>N/A</v>
        <stp/>
        <stp>GAMMA</stp>
        <stp>.SPY150717P209.5</stp>
        <tr r="T400" s="1"/>
      </tp>
      <tp t="s">
        <v>N/A</v>
        <stp/>
        <stp>GAMMA</stp>
        <stp>.SPY150717P219.5</stp>
        <tr r="T420" s="1"/>
      </tp>
      <tp t="s">
        <v>N/A</v>
        <stp/>
        <stp>GAMMA</stp>
        <stp>.SPY150918C206.5</stp>
        <tr r="I436" s="1"/>
      </tp>
      <tp t="s">
        <v>N/A</v>
        <stp/>
        <stp>GAMMA</stp>
        <stp>.SPY150918C216.5</stp>
        <tr r="I456" s="1"/>
      </tp>
      <tp t="s">
        <v>N/A</v>
        <stp/>
        <stp>GAMMA</stp>
        <stp>.SPY160115C208.5</stp>
        <tr r="I608" s="1"/>
      </tp>
      <tp t="s">
        <v>N/A</v>
        <stp/>
        <stp>GAMMA</stp>
        <stp>.SPY160115C218.5</stp>
        <tr r="I628" s="1"/>
      </tp>
      <tp t="s">
        <v>N/A</v>
        <stp/>
        <stp>GAMMA</stp>
        <stp>.SPY160318C205.5</stp>
        <tr r="I644" s="1"/>
      </tp>
      <tp t="s">
        <v>N/A</v>
        <stp/>
        <stp>GAMMA</stp>
        <stp>.SPY160318C215.5</stp>
        <tr r="I664" s="1"/>
      </tp>
      <tp t="s">
        <v>N/A</v>
        <stp/>
        <stp>GAMMA</stp>
        <stp>.SPY150417C209.5</stp>
        <tr r="I22" s="1"/>
      </tp>
      <tp t="s">
        <v>N/A</v>
        <stp/>
        <stp>GAMMA</stp>
        <stp>.SPY150417C219.5</stp>
        <tr r="I42" s="1"/>
      </tp>
      <tp>
        <v>3.6260000000000001E-2</v>
        <stp/>
        <stp>GAMMA</stp>
        <stp>.SPY150529C217.5</stp>
        <tr r="I290" s="1"/>
      </tp>
      <tp>
        <v>4.7530000000000003E-2</v>
        <stp/>
        <stp>GAMMA</stp>
        <stp>.SPY150529C207.5</stp>
        <tr r="I270" s="1"/>
      </tp>
      <tp>
        <v>1.8329999999999999E-2</v>
        <stp/>
        <stp>GAMMA</stp>
        <stp>.SPY150508C216.5</stp>
        <tr r="I162" s="1"/>
      </tp>
      <tp>
        <v>3.8600000000000002E-2</v>
        <stp/>
        <stp>GAMMA</stp>
        <stp>.SPY150508C206.5</stp>
        <tr r="I142" s="1"/>
      </tp>
      <tp t="s">
        <v>N/A</v>
        <stp/>
        <stp>GAMMA</stp>
        <stp>.SPY150619C207.5</stp>
        <tr r="I312" s="1"/>
      </tp>
      <tp t="s">
        <v>N/A</v>
        <stp/>
        <stp>GAMMA</stp>
        <stp>.SPY150619C217.5</stp>
        <tr r="I332" s="1"/>
      </tp>
      <tp t="s">
        <v>N/A</v>
        <stp/>
        <stp>GAMMA</stp>
        <stp>.SPY150717C209.5</stp>
        <tr r="I400" s="1"/>
      </tp>
      <tp t="s">
        <v>N/A</v>
        <stp/>
        <stp>GAMMA</stp>
        <stp>.SPY150717C219.5</stp>
        <tr r="I420" s="1"/>
      </tp>
      <tp t="s">
        <v>N/A</v>
        <stp/>
        <stp>GAMMA</stp>
        <stp>.SPY151219C207.5</stp>
        <tr r="I522" s="1"/>
      </tp>
      <tp t="s">
        <v>N/A</v>
        <stp/>
        <stp>GAMMA</stp>
        <stp>.SPY171215C209.5</stp>
        <tr r="I904" s="1"/>
      </tp>
      <tp t="s">
        <v>N/A</v>
        <stp/>
        <stp>GAMMA</stp>
        <stp>.SPY151219C217.5</stp>
        <tr r="I542" s="1"/>
      </tp>
      <tp t="s">
        <v>N/A</v>
        <stp/>
        <stp>GAMMA</stp>
        <stp>.SPY171215C219.5</stp>
        <tr r="I924" s="1"/>
      </tp>
      <tp t="s">
        <v>N/A</v>
        <stp/>
        <stp>ASK</stp>
        <stp>.SPY161216C201.5</stp>
        <tr r="A762" s="1"/>
      </tp>
      <tp t="s">
        <v>N/A</v>
        <stp/>
        <stp>ASK</stp>
        <stp>.SPY171215C203.5</stp>
        <tr r="A892" s="1"/>
      </tp>
      <tp t="s">
        <v>N/A</v>
        <stp/>
        <stp>ASK</stp>
        <stp>.SPY161216C211.5</stp>
        <tr r="A782" s="1"/>
      </tp>
      <tp t="s">
        <v>N/A</v>
        <stp/>
        <stp>ASK</stp>
        <stp>.SPY171215C213.5</stp>
        <tr r="A912" s="1"/>
      </tp>
      <tp t="s">
        <v>N/A</v>
        <stp/>
        <stp>ASK</stp>
        <stp>.SPY151231C205.5</stp>
        <tr r="A560" s="1"/>
      </tp>
      <tp t="s">
        <v>N/A</v>
        <stp/>
        <stp>ASK</stp>
        <stp>.SPY151231C215.5</stp>
        <tr r="A580" s="1"/>
      </tp>
      <tp t="s">
        <v>N/A</v>
        <stp/>
        <stp>ASK</stp>
        <stp>.SPY160916C201.5</stp>
        <tr r="A720" s="1"/>
      </tp>
      <tp t="s">
        <v>N/A</v>
        <stp/>
        <stp>ASK</stp>
        <stp>.SPY160916C211.5</stp>
        <tr r="A740" s="1"/>
      </tp>
      <tp t="s">
        <v>N/A</v>
        <stp/>
        <stp>ASK</stp>
        <stp>.SPY150930C204.5</stp>
        <tr r="A474" s="1"/>
      </tp>
      <tp t="s">
        <v>N/A</v>
        <stp/>
        <stp>ASK</stp>
        <stp>.SPY150930C214.5</stp>
        <tr r="A494" s="1"/>
      </tp>
      <tp t="s">
        <v>N/A</v>
        <stp/>
        <stp>ASK</stp>
        <stp>.SPY170317C201.5</stp>
        <tr r="A846" s="1"/>
      </tp>
      <tp t="s">
        <v>N/A</v>
        <stp/>
        <stp>ASK</stp>
        <stp>.SPY170317C211.5</stp>
        <tr r="A866" s="1"/>
      </tp>
      <tp t="s">
        <v>N/A</v>
        <stp/>
        <stp>ASK</stp>
        <stp>.SPY160115C202.5</stp>
        <tr r="A596" s="1"/>
      </tp>
      <tp t="s">
        <v>N/A</v>
        <stp/>
        <stp>ASK</stp>
        <stp>.SPY160115C212.5</stp>
        <tr r="A616" s="1"/>
      </tp>
      <tp t="s">
        <v>N/A</v>
        <stp/>
        <stp>ASK</stp>
        <stp>.SPY170120C216.5</stp>
        <tr r="A834" s="1"/>
      </tp>
      <tp t="s">
        <v>N/A</v>
        <stp/>
        <stp>ASK</stp>
        <stp>.SPY170120C206.5</stp>
        <tr r="A814" s="1"/>
      </tp>
      <tp t="s">
        <v>N/A</v>
        <stp/>
        <stp>ASK</stp>
        <stp>.SPY150717C203.5</stp>
        <tr r="A388" s="1"/>
      </tp>
      <tp t="s">
        <v>N/A</v>
        <stp/>
        <stp>ASK</stp>
        <stp>.SPY150717C213.5</stp>
        <tr r="A408" s="1"/>
      </tp>
      <tp t="s">
        <v>N/A</v>
        <stp/>
        <stp>ASK</stp>
        <stp>.SPY160617C200.5</stp>
        <tr r="A676" s="1"/>
      </tp>
      <tp t="s">
        <v>N/A</v>
        <stp/>
        <stp>ASK</stp>
        <stp>.SPY160617C210.5</stp>
        <tr r="A696" s="1"/>
      </tp>
      <tp t="s">
        <v>N/A</v>
        <stp/>
        <stp>ASK</stp>
        <stp>.SPY150630C204.5</stp>
        <tr r="A348" s="1"/>
      </tp>
      <tp t="s">
        <v>N/A</v>
        <stp/>
        <stp>ASK</stp>
        <stp>.SPY150630C214.5</stp>
        <tr r="A368" s="1"/>
      </tp>
      <tp>
        <v>0.01</v>
        <stp/>
        <stp>ASK</stp>
        <stp>.SPY150501C215.5</stp>
        <tr r="A118" s="1"/>
      </tp>
      <tp>
        <v>10.210000000000001</v>
        <stp/>
        <stp>ASK</stp>
        <stp>.SPY150515C201.5</stp>
        <tr r="A174" s="1"/>
      </tp>
      <tp>
        <v>5.34</v>
        <stp/>
        <stp>ASK</stp>
        <stp>.SPY150501C205.5</stp>
        <tr r="A98" s="1"/>
      </tp>
      <tp>
        <v>1.62</v>
        <stp/>
        <stp>ASK</stp>
        <stp>.SPY150515C211.5</stp>
        <tr r="A194" s="1"/>
      </tp>
      <tp>
        <v>0.2</v>
        <stp/>
        <stp>ASK</stp>
        <stp>.SPY150522C216.5</stp>
        <tr r="A246" s="1"/>
      </tp>
      <tp>
        <v>5.82</v>
        <stp/>
        <stp>ASK</stp>
        <stp>.SPY150522C206.5</stp>
        <tr r="A226" s="1"/>
      </tp>
      <tp>
        <v>4.76</v>
        <stp/>
        <stp>ASK</stp>
        <stp>.SPY150417C203.5</stp>
        <tr r="A10" s="1"/>
      </tp>
      <tp>
        <v>0.01</v>
        <stp/>
        <stp>ASK</stp>
        <stp>.SPY150417C213.5</stp>
        <tr r="A30" s="1"/>
      </tp>
      <tp>
        <v>1.2</v>
        <stp/>
        <stp>ASK</stp>
        <stp>.SPY150424C210.5</stp>
        <tr r="A66" s="1"/>
      </tp>
      <tp>
        <v>11.32</v>
        <stp/>
        <stp>ASK</stp>
        <stp>.SPY150424C200.5</stp>
        <tr r="A46" s="1"/>
      </tp>
      <tp t="s">
        <v>N/A</v>
        <stp/>
        <stp>ASK</stp>
        <stp>.SPY160916P201.5</stp>
        <tr r="L720" s="1"/>
      </tp>
      <tp t="s">
        <v>N/A</v>
        <stp/>
        <stp>ASK</stp>
        <stp>.SPY160916P211.5</stp>
        <tr r="L740" s="1"/>
      </tp>
      <tp t="s">
        <v>N/A</v>
        <stp/>
        <stp>ASK</stp>
        <stp>.SPY150930P204.5</stp>
        <tr r="L474" s="1"/>
      </tp>
      <tp t="s">
        <v>N/A</v>
        <stp/>
        <stp>ASK</stp>
        <stp>.SPY150930P214.5</stp>
        <tr r="L494" s="1"/>
      </tp>
      <tp t="s">
        <v>N/A</v>
        <stp/>
        <stp>ASK</stp>
        <stp>.SPY170317P201.5</stp>
        <tr r="L846" s="1"/>
      </tp>
      <tp t="s">
        <v>N/A</v>
        <stp/>
        <stp>ASK</stp>
        <stp>.SPY170317P211.5</stp>
        <tr r="L866" s="1"/>
      </tp>
      <tp t="s">
        <v>N/A</v>
        <stp/>
        <stp>ASK</stp>
        <stp>.SPY160115P202.5</stp>
        <tr r="L596" s="1"/>
      </tp>
      <tp t="s">
        <v>N/A</v>
        <stp/>
        <stp>ASK</stp>
        <stp>.SPY160115P212.5</stp>
        <tr r="L616" s="1"/>
      </tp>
      <tp t="s">
        <v>N/A</v>
        <stp/>
        <stp>ASK</stp>
        <stp>.SPY170120P216.5</stp>
        <tr r="L834" s="1"/>
      </tp>
      <tp t="s">
        <v>N/A</v>
        <stp/>
        <stp>ASK</stp>
        <stp>.SPY170120P206.5</stp>
        <tr r="L814" s="1"/>
      </tp>
      <tp t="s">
        <v>N/A</v>
        <stp/>
        <stp>ASK</stp>
        <stp>.SPY150717P203.5</stp>
        <tr r="L388" s="1"/>
      </tp>
      <tp t="s">
        <v>N/A</v>
        <stp/>
        <stp>ASK</stp>
        <stp>.SPY150717P213.5</stp>
        <tr r="L408" s="1"/>
      </tp>
      <tp t="s">
        <v>N/A</v>
        <stp/>
        <stp>ASK</stp>
        <stp>.SPY160617P200.5</stp>
        <tr r="L676" s="1"/>
      </tp>
      <tp t="s">
        <v>N/A</v>
        <stp/>
        <stp>ASK</stp>
        <stp>.SPY160617P210.5</stp>
        <tr r="L696" s="1"/>
      </tp>
      <tp t="s">
        <v>N/A</v>
        <stp/>
        <stp>ASK</stp>
        <stp>.SPY150630P204.5</stp>
        <tr r="L348" s="1"/>
      </tp>
      <tp t="s">
        <v>N/A</v>
        <stp/>
        <stp>ASK</stp>
        <stp>.SPY150630P214.5</stp>
        <tr r="L368" s="1"/>
      </tp>
      <tp>
        <v>4.92</v>
        <stp/>
        <stp>ASK</stp>
        <stp>.SPY150501P215.5</stp>
        <tr r="L118" s="1"/>
      </tp>
      <tp>
        <v>0.14000000000000001</v>
        <stp/>
        <stp>ASK</stp>
        <stp>.SPY150515P201.5</stp>
        <tr r="L174" s="1"/>
      </tp>
      <tp>
        <v>0.01</v>
        <stp/>
        <stp>ASK</stp>
        <stp>.SPY150501P205.5</stp>
        <tr r="L98" s="1"/>
      </tp>
      <tp>
        <v>1.65</v>
        <stp/>
        <stp>ASK</stp>
        <stp>.SPY150515P211.5</stp>
        <tr r="L194" s="1"/>
      </tp>
      <tp>
        <v>5.34</v>
        <stp/>
        <stp>ASK</stp>
        <stp>.SPY150522P216.5</stp>
        <tr r="L246" s="1"/>
      </tp>
      <tp>
        <v>0.77</v>
        <stp/>
        <stp>ASK</stp>
        <stp>.SPY150522P206.5</stp>
        <tr r="L226" s="1"/>
      </tp>
      <tp>
        <v>0.01</v>
        <stp/>
        <stp>ASK</stp>
        <stp>.SPY150417P203.5</stp>
        <tr r="L10" s="1"/>
      </tp>
      <tp>
        <v>5.52</v>
        <stp/>
        <stp>ASK</stp>
        <stp>.SPY150417P213.5</stp>
        <tr r="L30" s="1"/>
      </tp>
      <tp>
        <v>0.01</v>
        <stp/>
        <stp>ASK</stp>
        <stp>.SPY150424P210.5</stp>
        <tr r="L66" s="1"/>
      </tp>
      <tp>
        <v>0.01</v>
        <stp/>
        <stp>ASK</stp>
        <stp>.SPY150424P200.5</stp>
        <tr r="L46" s="1"/>
      </tp>
      <tp t="s">
        <v>N/A</v>
        <stp/>
        <stp>ASK</stp>
        <stp>.SPY161216P201.5</stp>
        <tr r="L762" s="1"/>
      </tp>
      <tp t="s">
        <v>N/A</v>
        <stp/>
        <stp>ASK</stp>
        <stp>.SPY171215P203.5</stp>
        <tr r="L892" s="1"/>
      </tp>
      <tp t="s">
        <v>N/A</v>
        <stp/>
        <stp>ASK</stp>
        <stp>.SPY161216P211.5</stp>
        <tr r="L782" s="1"/>
      </tp>
      <tp t="s">
        <v>N/A</v>
        <stp/>
        <stp>ASK</stp>
        <stp>.SPY171215P213.5</stp>
        <tr r="L912" s="1"/>
      </tp>
      <tp t="s">
        <v>N/A</v>
        <stp/>
        <stp>ASK</stp>
        <stp>.SPY151231P205.5</stp>
        <tr r="L560" s="1"/>
      </tp>
      <tp t="s">
        <v>N/A</v>
        <stp/>
        <stp>ASK</stp>
        <stp>.SPY151231P215.5</stp>
        <tr r="L580" s="1"/>
      </tp>
      <tp t="s">
        <v>N/A</v>
        <stp/>
        <stp>GAMMA</stp>
        <stp>.SPY151219P206.5</stp>
        <tr r="T520" s="1"/>
      </tp>
      <tp t="s">
        <v>N/A</v>
        <stp/>
        <stp>GAMMA</stp>
        <stp>.SPY171215P208.5</stp>
        <tr r="T902" s="1"/>
      </tp>
      <tp t="s">
        <v>N/A</v>
        <stp/>
        <stp>GAMMA</stp>
        <stp>.SPY151219P216.5</stp>
        <tr r="T540" s="1"/>
      </tp>
      <tp t="s">
        <v>N/A</v>
        <stp/>
        <stp>GAMMA</stp>
        <stp>.SPY171215P218.5</stp>
        <tr r="T922" s="1"/>
      </tp>
      <tp t="s">
        <v>N/A</v>
        <stp/>
        <stp>GAMMA</stp>
        <stp>.SPY150918P207.5</stp>
        <tr r="T438" s="1"/>
      </tp>
      <tp t="s">
        <v>N/A</v>
        <stp/>
        <stp>GAMMA</stp>
        <stp>.SPY150918P217.5</stp>
        <tr r="T458" s="1"/>
      </tp>
      <tp t="s">
        <v>N/A</v>
        <stp/>
        <stp>GAMMA</stp>
        <stp>.SPY160115P209.5</stp>
        <tr r="T610" s="1"/>
      </tp>
      <tp t="s">
        <v>N/A</v>
        <stp/>
        <stp>GAMMA</stp>
        <stp>.SPY160115P219.5</stp>
        <tr r="T630" s="1"/>
      </tp>
      <tp t="s">
        <v>N/A</v>
        <stp/>
        <stp>GAMMA</stp>
        <stp>.SPY160318P204.5</stp>
        <tr r="T642" s="1"/>
      </tp>
      <tp t="s">
        <v>N/A</v>
        <stp/>
        <stp>GAMMA</stp>
        <stp>.SPY160318P214.5</stp>
        <tr r="T662" s="1"/>
      </tp>
      <tp t="s">
        <v>N/A</v>
        <stp/>
        <stp>GAMMA</stp>
        <stp>.SPY150417P208.5</stp>
        <tr r="T20" s="1"/>
      </tp>
      <tp t="s">
        <v>N/A</v>
        <stp/>
        <stp>GAMMA</stp>
        <stp>.SPY150417P218.5</stp>
        <tr r="T40" s="1"/>
      </tp>
      <tp>
        <v>3.9210000000000002E-2</v>
        <stp/>
        <stp>GAMMA</stp>
        <stp>.SPY150529P216.5</stp>
        <tr r="T288" s="1"/>
      </tp>
      <tp>
        <v>4.4080000000000001E-2</v>
        <stp/>
        <stp>GAMMA</stp>
        <stp>.SPY150529P206.5</stp>
        <tr r="T268" s="1"/>
      </tp>
      <tp>
        <v>0</v>
        <stp/>
        <stp>GAMMA</stp>
        <stp>.SPY150508P217.5</stp>
        <tr r="T164" s="1"/>
      </tp>
      <tp>
        <v>5.8639999999999998E-2</v>
        <stp/>
        <stp>GAMMA</stp>
        <stp>.SPY150508P207.5</stp>
        <tr r="T144" s="1"/>
      </tp>
      <tp t="s">
        <v>N/A</v>
        <stp/>
        <stp>GAMMA</stp>
        <stp>.SPY150619P206.5</stp>
        <tr r="T310" s="1"/>
      </tp>
      <tp t="s">
        <v>N/A</v>
        <stp/>
        <stp>GAMMA</stp>
        <stp>.SPY150619P216.5</stp>
        <tr r="T330" s="1"/>
      </tp>
      <tp t="s">
        <v>N/A</v>
        <stp/>
        <stp>GAMMA</stp>
        <stp>.SPY150717P208.5</stp>
        <tr r="T398" s="1"/>
      </tp>
      <tp t="s">
        <v>N/A</v>
        <stp/>
        <stp>GAMMA</stp>
        <stp>.SPY150717P218.5</stp>
        <tr r="T418" s="1"/>
      </tp>
      <tp t="s">
        <v>N/A</v>
        <stp/>
        <stp>GAMMA</stp>
        <stp>.SPY150918C207.5</stp>
        <tr r="I438" s="1"/>
      </tp>
      <tp t="s">
        <v>N/A</v>
        <stp/>
        <stp>GAMMA</stp>
        <stp>.SPY150918C217.5</stp>
        <tr r="I458" s="1"/>
      </tp>
      <tp t="s">
        <v>N/A</v>
        <stp/>
        <stp>GAMMA</stp>
        <stp>.SPY160115C209.5</stp>
        <tr r="I610" s="1"/>
      </tp>
      <tp t="s">
        <v>N/A</v>
        <stp/>
        <stp>GAMMA</stp>
        <stp>.SPY160115C219.5</stp>
        <tr r="I630" s="1"/>
      </tp>
      <tp t="s">
        <v>N/A</v>
        <stp/>
        <stp>GAMMA</stp>
        <stp>.SPY160318C204.5</stp>
        <tr r="I642" s="1"/>
      </tp>
      <tp t="s">
        <v>N/A</v>
        <stp/>
        <stp>GAMMA</stp>
        <stp>.SPY160318C214.5</stp>
        <tr r="I662" s="1"/>
      </tp>
      <tp t="s">
        <v>N/A</v>
        <stp/>
        <stp>GAMMA</stp>
        <stp>.SPY150417C208.5</stp>
        <tr r="I20" s="1"/>
      </tp>
      <tp t="s">
        <v>N/A</v>
        <stp/>
        <stp>GAMMA</stp>
        <stp>.SPY150417C218.5</stp>
        <tr r="I40" s="1"/>
      </tp>
      <tp>
        <v>4.6820000000000001E-2</v>
        <stp/>
        <stp>GAMMA</stp>
        <stp>.SPY150529C216.5</stp>
        <tr r="I288" s="1"/>
      </tp>
      <tp>
        <v>4.2999999999999997E-2</v>
        <stp/>
        <stp>GAMMA</stp>
        <stp>.SPY150529C206.5</stp>
        <tr r="I268" s="1"/>
      </tp>
      <tp>
        <v>7.5300000000000002E-3</v>
        <stp/>
        <stp>GAMMA</stp>
        <stp>.SPY150508C217.5</stp>
        <tr r="I164" s="1"/>
      </tp>
      <tp>
        <v>5.8009999999999999E-2</v>
        <stp/>
        <stp>GAMMA</stp>
        <stp>.SPY150508C207.5</stp>
        <tr r="I144" s="1"/>
      </tp>
      <tp t="s">
        <v>N/A</v>
        <stp/>
        <stp>GAMMA</stp>
        <stp>.SPY150619C206.5</stp>
        <tr r="I310" s="1"/>
      </tp>
      <tp t="s">
        <v>N/A</v>
        <stp/>
        <stp>GAMMA</stp>
        <stp>.SPY150619C216.5</stp>
        <tr r="I330" s="1"/>
      </tp>
      <tp t="s">
        <v>N/A</v>
        <stp/>
        <stp>GAMMA</stp>
        <stp>.SPY150717C208.5</stp>
        <tr r="I398" s="1"/>
      </tp>
      <tp t="s">
        <v>N/A</v>
        <stp/>
        <stp>GAMMA</stp>
        <stp>.SPY150717C218.5</stp>
        <tr r="I418" s="1"/>
      </tp>
      <tp t="s">
        <v>N/A</v>
        <stp/>
        <stp>GAMMA</stp>
        <stp>.SPY151219C206.5</stp>
        <tr r="I520" s="1"/>
      </tp>
      <tp t="s">
        <v>N/A</v>
        <stp/>
        <stp>GAMMA</stp>
        <stp>.SPY171215C208.5</stp>
        <tr r="I902" s="1"/>
      </tp>
      <tp t="s">
        <v>N/A</v>
        <stp/>
        <stp>GAMMA</stp>
        <stp>.SPY151219C216.5</stp>
        <tr r="I540" s="1"/>
      </tp>
      <tp t="s">
        <v>N/A</v>
        <stp/>
        <stp>GAMMA</stp>
        <stp>.SPY171215C218.5</stp>
        <tr r="I922" s="1"/>
      </tp>
      <tp t="s">
        <v>N/A</v>
        <stp/>
        <stp>ASK</stp>
        <stp>.SPY161216C200.5</stp>
        <tr r="A760" s="1"/>
      </tp>
      <tp t="s">
        <v>N/A</v>
        <stp/>
        <stp>ASK</stp>
        <stp>.SPY171215C202.5</stp>
        <tr r="A890" s="1"/>
      </tp>
      <tp t="s">
        <v>N/A</v>
        <stp/>
        <stp>ASK</stp>
        <stp>.SPY161216C210.5</stp>
        <tr r="A780" s="1"/>
      </tp>
      <tp t="s">
        <v>N/A</v>
        <stp/>
        <stp>ASK</stp>
        <stp>.SPY171215C212.5</stp>
        <tr r="A910" s="1"/>
      </tp>
      <tp t="s">
        <v>N/A</v>
        <stp/>
        <stp>ASK</stp>
        <stp>.SPY151231C204.5</stp>
        <tr r="A558" s="1"/>
      </tp>
      <tp t="s">
        <v>N/A</v>
        <stp/>
        <stp>ASK</stp>
        <stp>.SPY151231C214.5</stp>
        <tr r="A578" s="1"/>
      </tp>
      <tp t="s">
        <v>N/A</v>
        <stp/>
        <stp>ASK</stp>
        <stp>.SPY160916C200.5</stp>
        <tr r="A718" s="1"/>
      </tp>
      <tp t="s">
        <v>N/A</v>
        <stp/>
        <stp>ASK</stp>
        <stp>.SPY160916C210.5</stp>
        <tr r="A738" s="1"/>
      </tp>
      <tp t="s">
        <v>N/A</v>
        <stp/>
        <stp>ASK</stp>
        <stp>.SPY150930C205.5</stp>
        <tr r="A476" s="1"/>
      </tp>
      <tp t="s">
        <v>N/A</v>
        <stp/>
        <stp>ASK</stp>
        <stp>.SPY150930C215.5</stp>
        <tr r="A496" s="1"/>
      </tp>
      <tp t="s">
        <v>N/A</v>
        <stp/>
        <stp>ASK</stp>
        <stp>.SPY170317C200.5</stp>
        <tr r="A844" s="1"/>
      </tp>
      <tp t="s">
        <v>N/A</v>
        <stp/>
        <stp>ASK</stp>
        <stp>.SPY170317C210.5</stp>
        <tr r="A864" s="1"/>
      </tp>
      <tp t="s">
        <v>N/A</v>
        <stp/>
        <stp>ASK</stp>
        <stp>.SPY160115C203.5</stp>
        <tr r="A598" s="1"/>
      </tp>
      <tp t="s">
        <v>N/A</v>
        <stp/>
        <stp>ASK</stp>
        <stp>.SPY160115C213.5</stp>
        <tr r="A618" s="1"/>
      </tp>
      <tp t="s">
        <v>N/A</v>
        <stp/>
        <stp>ASK</stp>
        <stp>.SPY170120C217.5</stp>
        <tr r="A836" s="1"/>
      </tp>
      <tp t="s">
        <v>N/A</v>
        <stp/>
        <stp>ASK</stp>
        <stp>.SPY170120C207.5</stp>
        <tr r="A816" s="1"/>
      </tp>
      <tp t="s">
        <v>N/A</v>
        <stp/>
        <stp>ASK</stp>
        <stp>.SPY150717C202.5</stp>
        <tr r="A386" s="1"/>
      </tp>
      <tp t="s">
        <v>N/A</v>
        <stp/>
        <stp>ASK</stp>
        <stp>.SPY150717C212.5</stp>
        <tr r="A406" s="1"/>
      </tp>
      <tp t="s">
        <v>N/A</v>
        <stp/>
        <stp>ASK</stp>
        <stp>.SPY160617C201.5</stp>
        <tr r="A678" s="1"/>
      </tp>
      <tp t="s">
        <v>N/A</v>
        <stp/>
        <stp>ASK</stp>
        <stp>.SPY160617C211.5</stp>
        <tr r="A698" s="1"/>
      </tp>
      <tp t="s">
        <v>N/A</v>
        <stp/>
        <stp>ASK</stp>
        <stp>.SPY150630C205.5</stp>
        <tr r="A350" s="1"/>
      </tp>
      <tp t="s">
        <v>N/A</v>
        <stp/>
        <stp>ASK</stp>
        <stp>.SPY150630C215.5</stp>
        <tr r="A370" s="1"/>
      </tp>
      <tp>
        <v>0.01</v>
        <stp/>
        <stp>ASK</stp>
        <stp>.SPY150501C214.5</stp>
        <tr r="A116" s="1"/>
      </tp>
      <tp>
        <v>11.21</v>
        <stp/>
        <stp>ASK</stp>
        <stp>.SPY150515C200.5</stp>
        <tr r="A172" s="1"/>
      </tp>
      <tp>
        <v>6.34</v>
        <stp/>
        <stp>ASK</stp>
        <stp>.SPY150501C204.5</stp>
        <tr r="A96" s="1"/>
      </tp>
      <tp>
        <v>2.2599999999999998</v>
        <stp/>
        <stp>ASK</stp>
        <stp>.SPY150515C210.5</stp>
        <tr r="A192" s="1"/>
      </tp>
      <tp>
        <v>0.11</v>
        <stp/>
        <stp>ASK</stp>
        <stp>.SPY150522C217.5</stp>
        <tr r="A248" s="1"/>
      </tp>
      <tp>
        <v>4.9800000000000004</v>
        <stp/>
        <stp>ASK</stp>
        <stp>.SPY150522C207.5</stp>
        <tr r="A228" s="1"/>
      </tp>
      <tp>
        <v>5.78</v>
        <stp/>
        <stp>ASK</stp>
        <stp>.SPY150417C202.5</stp>
        <tr r="A8" s="1"/>
      </tp>
      <tp>
        <v>0.01</v>
        <stp/>
        <stp>ASK</stp>
        <stp>.SPY150417C212.5</stp>
        <tr r="A28" s="1"/>
      </tp>
      <tp>
        <v>0.21</v>
        <stp/>
        <stp>ASK</stp>
        <stp>.SPY150424C211.5</stp>
        <tr r="A68" s="1"/>
      </tp>
      <tp>
        <v>10.32</v>
        <stp/>
        <stp>ASK</stp>
        <stp>.SPY150424C201.5</stp>
        <tr r="A48" s="1"/>
      </tp>
      <tp t="s">
        <v>N/A</v>
        <stp/>
        <stp>ASK</stp>
        <stp>.SPY160916P200.5</stp>
        <tr r="L718" s="1"/>
      </tp>
      <tp t="s">
        <v>N/A</v>
        <stp/>
        <stp>ASK</stp>
        <stp>.SPY160916P210.5</stp>
        <tr r="L738" s="1"/>
      </tp>
      <tp t="s">
        <v>N/A</v>
        <stp/>
        <stp>ASK</stp>
        <stp>.SPY150930P205.5</stp>
        <tr r="L476" s="1"/>
      </tp>
      <tp t="s">
        <v>N/A</v>
        <stp/>
        <stp>ASK</stp>
        <stp>.SPY150930P215.5</stp>
        <tr r="L496" s="1"/>
      </tp>
      <tp t="s">
        <v>N/A</v>
        <stp/>
        <stp>ASK</stp>
        <stp>.SPY170317P200.5</stp>
        <tr r="L844" s="1"/>
      </tp>
      <tp t="s">
        <v>N/A</v>
        <stp/>
        <stp>ASK</stp>
        <stp>.SPY170317P210.5</stp>
        <tr r="L864" s="1"/>
      </tp>
      <tp t="s">
        <v>N/A</v>
        <stp/>
        <stp>ASK</stp>
        <stp>.SPY160115P203.5</stp>
        <tr r="L598" s="1"/>
      </tp>
      <tp t="s">
        <v>N/A</v>
        <stp/>
        <stp>ASK</stp>
        <stp>.SPY160115P213.5</stp>
        <tr r="L618" s="1"/>
      </tp>
      <tp t="s">
        <v>N/A</v>
        <stp/>
        <stp>ASK</stp>
        <stp>.SPY170120P217.5</stp>
        <tr r="L836" s="1"/>
      </tp>
      <tp t="s">
        <v>N/A</v>
        <stp/>
        <stp>ASK</stp>
        <stp>.SPY170120P207.5</stp>
        <tr r="L816" s="1"/>
      </tp>
      <tp t="s">
        <v>N/A</v>
        <stp/>
        <stp>ASK</stp>
        <stp>.SPY150717P202.5</stp>
        <tr r="L386" s="1"/>
      </tp>
      <tp t="s">
        <v>N/A</v>
        <stp/>
        <stp>ASK</stp>
        <stp>.SPY150717P212.5</stp>
        <tr r="L406" s="1"/>
      </tp>
      <tp t="s">
        <v>N/A</v>
        <stp/>
        <stp>ASK</stp>
        <stp>.SPY160617P201.5</stp>
        <tr r="L678" s="1"/>
      </tp>
      <tp t="s">
        <v>N/A</v>
        <stp/>
        <stp>ASK</stp>
        <stp>.SPY160617P211.5</stp>
        <tr r="L698" s="1"/>
      </tp>
      <tp t="s">
        <v>N/A</v>
        <stp/>
        <stp>ASK</stp>
        <stp>.SPY150630P205.5</stp>
        <tr r="L350" s="1"/>
      </tp>
      <tp t="s">
        <v>N/A</v>
        <stp/>
        <stp>ASK</stp>
        <stp>.SPY150630P215.5</stp>
        <tr r="L370" s="1"/>
      </tp>
      <tp>
        <v>3.92</v>
        <stp/>
        <stp>ASK</stp>
        <stp>.SPY150501P214.5</stp>
        <tr r="L116" s="1"/>
      </tp>
      <tp>
        <v>0.12</v>
        <stp/>
        <stp>ASK</stp>
        <stp>.SPY150515P200.5</stp>
        <tr r="L172" s="1"/>
      </tp>
      <tp>
        <v>0.01</v>
        <stp/>
        <stp>ASK</stp>
        <stp>.SPY150501P204.5</stp>
        <tr r="L96" s="1"/>
      </tp>
      <tp>
        <v>1.28</v>
        <stp/>
        <stp>ASK</stp>
        <stp>.SPY150515P210.5</stp>
        <tr r="L192" s="1"/>
      </tp>
      <tp>
        <v>6.26</v>
        <stp/>
        <stp>ASK</stp>
        <stp>.SPY150522P217.5</stp>
        <tr r="L248" s="1"/>
      </tp>
      <tp>
        <v>0.94</v>
        <stp/>
        <stp>ASK</stp>
        <stp>.SPY150522P207.5</stp>
        <tr r="L228" s="1"/>
      </tp>
      <tp>
        <v>0.01</v>
        <stp/>
        <stp>ASK</stp>
        <stp>.SPY150417P202.5</stp>
        <tr r="L8" s="1"/>
      </tp>
      <tp>
        <v>4.49</v>
        <stp/>
        <stp>ASK</stp>
        <stp>.SPY150417P212.5</stp>
        <tr r="L28" s="1"/>
      </tp>
      <tp>
        <v>0.01</v>
        <stp/>
        <stp>ASK</stp>
        <stp>.SPY150424P211.5</stp>
        <tr r="L68" s="1"/>
      </tp>
      <tp>
        <v>0.01</v>
        <stp/>
        <stp>ASK</stp>
        <stp>.SPY150424P201.5</stp>
        <tr r="L48" s="1"/>
      </tp>
      <tp t="s">
        <v>N/A</v>
        <stp/>
        <stp>ASK</stp>
        <stp>.SPY161216P200.5</stp>
        <tr r="L760" s="1"/>
      </tp>
      <tp t="s">
        <v>N/A</v>
        <stp/>
        <stp>ASK</stp>
        <stp>.SPY171215P202.5</stp>
        <tr r="L890" s="1"/>
      </tp>
      <tp t="s">
        <v>N/A</v>
        <stp/>
        <stp>ASK</stp>
        <stp>.SPY161216P210.5</stp>
        <tr r="L780" s="1"/>
      </tp>
      <tp t="s">
        <v>N/A</v>
        <stp/>
        <stp>ASK</stp>
        <stp>.SPY171215P212.5</stp>
        <tr r="L910" s="1"/>
      </tp>
      <tp t="s">
        <v>N/A</v>
        <stp/>
        <stp>ASK</stp>
        <stp>.SPY151231P204.5</stp>
        <tr r="L558" s="1"/>
      </tp>
      <tp t="s">
        <v>N/A</v>
        <stp/>
        <stp>ASK</stp>
        <stp>.SPY151231P214.5</stp>
        <tr r="L578" s="1"/>
      </tp>
      <tp t="s">
        <v>N/A</v>
        <stp/>
        <stp>GAMMA</stp>
        <stp>.SPY151231P201.5</stp>
        <tr r="T552" s="1"/>
      </tp>
      <tp t="s">
        <v>N/A</v>
        <stp/>
        <stp>GAMMA</stp>
        <stp>.SPY151231P211.5</stp>
        <tr r="T572" s="1"/>
      </tp>
      <tp t="s">
        <v>N/A</v>
        <stp/>
        <stp>GAMMA</stp>
        <stp>.SPY151219P209.5</stp>
        <tr r="T526" s="1"/>
      </tp>
      <tp t="s">
        <v>N/A</v>
        <stp/>
        <stp>GAMMA</stp>
        <stp>.SPY161216P205.5</stp>
        <tr r="T770" s="1"/>
      </tp>
      <tp t="s">
        <v>N/A</v>
        <stp/>
        <stp>GAMMA</stp>
        <stp>.SPY171215P207.5</stp>
        <tr r="T900" s="1"/>
      </tp>
      <tp t="s">
        <v>N/A</v>
        <stp/>
        <stp>GAMMA</stp>
        <stp>.SPY151219P219.5</stp>
        <tr r="T546" s="1"/>
      </tp>
      <tp t="s">
        <v>N/A</v>
        <stp/>
        <stp>GAMMA</stp>
        <stp>.SPY161216P215.5</stp>
        <tr r="T790" s="1"/>
      </tp>
      <tp t="s">
        <v>N/A</v>
        <stp/>
        <stp>GAMMA</stp>
        <stp>.SPY171215P217.5</stp>
        <tr r="T920" s="1"/>
      </tp>
      <tp t="s">
        <v>N/A</v>
        <stp/>
        <stp>GAMMA</stp>
        <stp>.SPY150930P200.5</stp>
        <tr r="T466" s="1"/>
      </tp>
      <tp t="s">
        <v>N/A</v>
        <stp/>
        <stp>GAMMA</stp>
        <stp>.SPY150930P210.5</stp>
        <tr r="T486" s="1"/>
      </tp>
      <tp t="s">
        <v>N/A</v>
        <stp/>
        <stp>GAMMA</stp>
        <stp>.SPY150918P208.5</stp>
        <tr r="T440" s="1"/>
      </tp>
      <tp t="s">
        <v>N/A</v>
        <stp/>
        <stp>GAMMA</stp>
        <stp>.SPY160916P205.5</stp>
        <tr r="T728" s="1"/>
      </tp>
      <tp t="s">
        <v>N/A</v>
        <stp/>
        <stp>GAMMA</stp>
        <stp>.SPY150918P218.5</stp>
        <tr r="T460" s="1"/>
      </tp>
      <tp t="s">
        <v>N/A</v>
        <stp/>
        <stp>GAMMA</stp>
        <stp>.SPY160916P215.5</stp>
        <tr r="T748" s="1"/>
      </tp>
      <tp t="s">
        <v>N/A</v>
        <stp/>
        <stp>GAMMA</stp>
        <stp>.SPY170120P212.5</stp>
        <tr r="T826" s="1"/>
      </tp>
      <tp t="s">
        <v>N/A</v>
        <stp/>
        <stp>GAMMA</stp>
        <stp>.SPY170120P202.5</stp>
        <tr r="T806" s="1"/>
      </tp>
      <tp t="s">
        <v>N/A</v>
        <stp/>
        <stp>GAMMA</stp>
        <stp>.SPY160115P206.5</stp>
        <tr r="T604" s="1"/>
      </tp>
      <tp t="s">
        <v>N/A</v>
        <stp/>
        <stp>GAMMA</stp>
        <stp>.SPY160115P216.5</stp>
        <tr r="T624" s="1"/>
      </tp>
      <tp t="s">
        <v>N/A</v>
        <stp/>
        <stp>GAMMA</stp>
        <stp>.SPY170317P205.5</stp>
        <tr r="T854" s="1"/>
      </tp>
      <tp t="s">
        <v>N/A</v>
        <stp/>
        <stp>GAMMA</stp>
        <stp>.SPY170317P215.5</stp>
        <tr r="T874" s="1"/>
      </tp>
      <tp t="s">
        <v>N/A</v>
        <stp/>
        <stp>GAMMA</stp>
        <stp>.SPY150424P214.5</stp>
        <tr r="T74" s="1"/>
      </tp>
      <tp t="s">
        <v>N/A</v>
        <stp/>
        <stp>GAMMA</stp>
        <stp>.SPY150424P204.5</stp>
        <tr r="T54" s="1"/>
      </tp>
      <tp t="s">
        <v>N/A</v>
        <stp/>
        <stp>GAMMA</stp>
        <stp>.SPY150417P207.5</stp>
        <tr r="T18" s="1"/>
      </tp>
      <tp t="s">
        <v>N/A</v>
        <stp/>
        <stp>GAMMA</stp>
        <stp>.SPY150417P217.5</stp>
        <tr r="T38" s="1"/>
      </tp>
      <tp>
        <v>8.4169999999999995E-2</v>
        <stp/>
        <stp>GAMMA</stp>
        <stp>.SPY150522P212.5</stp>
        <tr r="T238" s="1"/>
      </tp>
      <tp>
        <v>0</v>
        <stp/>
        <stp>GAMMA</stp>
        <stp>.SPY150529P219.5</stp>
        <tr r="T294" s="1"/>
      </tp>
      <tp>
        <v>2.4660000000000001E-2</v>
        <stp/>
        <stp>GAMMA</stp>
        <stp>.SPY150522P202.5</stp>
        <tr r="T218" s="1"/>
      </tp>
      <tp>
        <v>6.0569999999999999E-2</v>
        <stp/>
        <stp>GAMMA</stp>
        <stp>.SPY150529P209.5</stp>
        <tr r="T274" s="1"/>
      </tp>
      <tp t="s">
        <v>N/A</v>
        <stp/>
        <stp>GAMMA</stp>
        <stp>.SPY150501P211.5</stp>
        <tr r="T110" s="1"/>
      </tp>
      <tp>
        <v>0</v>
        <stp/>
        <stp>GAMMA</stp>
        <stp>.SPY150508P218.5</stp>
        <tr r="T166" s="1"/>
      </tp>
      <tp>
        <v>3.9629999999999999E-2</v>
        <stp/>
        <stp>GAMMA</stp>
        <stp>.SPY150515P205.5</stp>
        <tr r="T182" s="1"/>
      </tp>
      <tp t="s">
        <v>N/A</v>
        <stp/>
        <stp>GAMMA</stp>
        <stp>.SPY150501P201.5</stp>
        <tr r="T90" s="1"/>
      </tp>
      <tp>
        <v>8.1589999999999996E-2</v>
        <stp/>
        <stp>GAMMA</stp>
        <stp>.SPY150508P208.5</stp>
        <tr r="T146" s="1"/>
      </tp>
      <tp>
        <v>4.2520000000000002E-2</v>
        <stp/>
        <stp>GAMMA</stp>
        <stp>.SPY150515P215.5</stp>
        <tr r="T202" s="1"/>
      </tp>
      <tp t="s">
        <v>N/A</v>
        <stp/>
        <stp>GAMMA</stp>
        <stp>.SPY150630P200.5</stp>
        <tr r="T340" s="1"/>
      </tp>
      <tp t="s">
        <v>N/A</v>
        <stp/>
        <stp>GAMMA</stp>
        <stp>.SPY150630P210.5</stp>
        <tr r="T360" s="1"/>
      </tp>
      <tp t="s">
        <v>N/A</v>
        <stp/>
        <stp>GAMMA</stp>
        <stp>.SPY150619P209.5</stp>
        <tr r="T316" s="1"/>
      </tp>
      <tp t="s">
        <v>N/A</v>
        <stp/>
        <stp>GAMMA</stp>
        <stp>.SPY160617P204.5</stp>
        <tr r="T684" s="1"/>
      </tp>
      <tp t="s">
        <v>N/A</v>
        <stp/>
        <stp>GAMMA</stp>
        <stp>.SPY150619P219.5</stp>
        <tr r="T336" s="1"/>
      </tp>
      <tp t="s">
        <v>N/A</v>
        <stp/>
        <stp>GAMMA</stp>
        <stp>.SPY160617P214.5</stp>
        <tr r="T704" s="1"/>
      </tp>
      <tp t="s">
        <v>N/A</v>
        <stp/>
        <stp>GAMMA</stp>
        <stp>.SPY150717P207.5</stp>
        <tr r="T396" s="1"/>
      </tp>
      <tp t="s">
        <v>N/A</v>
        <stp/>
        <stp>GAMMA</stp>
        <stp>.SPY150717P217.5</stp>
        <tr r="T416" s="1"/>
      </tp>
      <tp t="s">
        <v>N/A</v>
        <stp/>
        <stp>GAMMA</stp>
        <stp>.SPY150930C200.5</stp>
        <tr r="I466" s="1"/>
      </tp>
      <tp t="s">
        <v>N/A</v>
        <stp/>
        <stp>GAMMA</stp>
        <stp>.SPY150930C210.5</stp>
        <tr r="I486" s="1"/>
      </tp>
      <tp t="s">
        <v>N/A</v>
        <stp/>
        <stp>GAMMA</stp>
        <stp>.SPY150918C208.5</stp>
        <tr r="I440" s="1"/>
      </tp>
      <tp t="s">
        <v>N/A</v>
        <stp/>
        <stp>GAMMA</stp>
        <stp>.SPY160916C205.5</stp>
        <tr r="I728" s="1"/>
      </tp>
      <tp t="s">
        <v>N/A</v>
        <stp/>
        <stp>GAMMA</stp>
        <stp>.SPY150918C218.5</stp>
        <tr r="I460" s="1"/>
      </tp>
      <tp t="s">
        <v>N/A</v>
        <stp/>
        <stp>GAMMA</stp>
        <stp>.SPY160916C215.5</stp>
        <tr r="I748" s="1"/>
      </tp>
      <tp t="s">
        <v>N/A</v>
        <stp/>
        <stp>GAMMA</stp>
        <stp>.SPY170120C212.5</stp>
        <tr r="I826" s="1"/>
      </tp>
      <tp t="s">
        <v>N/A</v>
        <stp/>
        <stp>GAMMA</stp>
        <stp>.SPY170120C202.5</stp>
        <tr r="I806" s="1"/>
      </tp>
      <tp t="s">
        <v>N/A</v>
        <stp/>
        <stp>GAMMA</stp>
        <stp>.SPY160115C206.5</stp>
        <tr r="I604" s="1"/>
      </tp>
      <tp t="s">
        <v>N/A</v>
        <stp/>
        <stp>GAMMA</stp>
        <stp>.SPY160115C216.5</stp>
        <tr r="I624" s="1"/>
      </tp>
      <tp t="s">
        <v>N/A</v>
        <stp/>
        <stp>GAMMA</stp>
        <stp>.SPY170317C205.5</stp>
        <tr r="I854" s="1"/>
      </tp>
      <tp t="s">
        <v>N/A</v>
        <stp/>
        <stp>GAMMA</stp>
        <stp>.SPY170317C215.5</stp>
        <tr r="I874" s="1"/>
      </tp>
      <tp t="s">
        <v>N/A</v>
        <stp/>
        <stp>GAMMA</stp>
        <stp>.SPY150424C214.5</stp>
        <tr r="I74" s="1"/>
      </tp>
      <tp t="s">
        <v>N/A</v>
        <stp/>
        <stp>GAMMA</stp>
        <stp>.SPY150424C204.5</stp>
        <tr r="I54" s="1"/>
      </tp>
      <tp t="s">
        <v>N/A</v>
        <stp/>
        <stp>GAMMA</stp>
        <stp>.SPY150417C207.5</stp>
        <tr r="I18" s="1"/>
      </tp>
      <tp t="s">
        <v>N/A</v>
        <stp/>
        <stp>GAMMA</stp>
        <stp>.SPY150417C217.5</stp>
        <tr r="I38" s="1"/>
      </tp>
      <tp>
        <v>7.7950000000000005E-2</v>
        <stp/>
        <stp>GAMMA</stp>
        <stp>.SPY150522C212.5</stp>
        <tr r="I238" s="1"/>
      </tp>
      <tp>
        <v>1.9300000000000001E-2</v>
        <stp/>
        <stp>GAMMA</stp>
        <stp>.SPY150529C219.5</stp>
        <tr r="I294" s="1"/>
      </tp>
      <tp>
        <v>2.623E-2</v>
        <stp/>
        <stp>GAMMA</stp>
        <stp>.SPY150522C202.5</stp>
        <tr r="I218" s="1"/>
      </tp>
      <tp>
        <v>5.67E-2</v>
        <stp/>
        <stp>GAMMA</stp>
        <stp>.SPY150529C209.5</stp>
        <tr r="I274" s="1"/>
      </tp>
      <tp t="s">
        <v>N/A</v>
        <stp/>
        <stp>GAMMA</stp>
        <stp>.SPY150501C211.5</stp>
        <tr r="I110" s="1"/>
      </tp>
      <tp>
        <v>5.9300000000000004E-3</v>
        <stp/>
        <stp>GAMMA</stp>
        <stp>.SPY150508C218.5</stp>
        <tr r="I166" s="1"/>
      </tp>
      <tp>
        <v>4.0739999999999998E-2</v>
        <stp/>
        <stp>GAMMA</stp>
        <stp>.SPY150515C205.5</stp>
        <tr r="I182" s="1"/>
      </tp>
      <tp t="s">
        <v>N/A</v>
        <stp/>
        <stp>GAMMA</stp>
        <stp>.SPY150501C201.5</stp>
        <tr r="I90" s="1"/>
      </tp>
      <tp>
        <v>8.2430000000000003E-2</v>
        <stp/>
        <stp>GAMMA</stp>
        <stp>.SPY150508C208.5</stp>
        <tr r="I146" s="1"/>
      </tp>
      <tp>
        <v>5.5719999999999999E-2</v>
        <stp/>
        <stp>GAMMA</stp>
        <stp>.SPY150515C215.5</stp>
        <tr r="I202" s="1"/>
      </tp>
      <tp t="s">
        <v>N/A</v>
        <stp/>
        <stp>GAMMA</stp>
        <stp>.SPY150630C200.5</stp>
        <tr r="I340" s="1"/>
      </tp>
      <tp t="s">
        <v>N/A</v>
        <stp/>
        <stp>GAMMA</stp>
        <stp>.SPY150630C210.5</stp>
        <tr r="I360" s="1"/>
      </tp>
      <tp t="s">
        <v>N/A</v>
        <stp/>
        <stp>GAMMA</stp>
        <stp>.SPY150619C209.5</stp>
        <tr r="I316" s="1"/>
      </tp>
      <tp t="s">
        <v>N/A</v>
        <stp/>
        <stp>GAMMA</stp>
        <stp>.SPY160617C204.5</stp>
        <tr r="I684" s="1"/>
      </tp>
      <tp t="s">
        <v>N/A</v>
        <stp/>
        <stp>GAMMA</stp>
        <stp>.SPY150619C219.5</stp>
        <tr r="I336" s="1"/>
      </tp>
      <tp t="s">
        <v>N/A</v>
        <stp/>
        <stp>GAMMA</stp>
        <stp>.SPY160617C214.5</stp>
        <tr r="I704" s="1"/>
      </tp>
      <tp t="s">
        <v>N/A</v>
        <stp/>
        <stp>GAMMA</stp>
        <stp>.SPY150717C207.5</stp>
        <tr r="I396" s="1"/>
      </tp>
      <tp t="s">
        <v>N/A</v>
        <stp/>
        <stp>GAMMA</stp>
        <stp>.SPY150717C217.5</stp>
        <tr r="I416" s="1"/>
      </tp>
      <tp t="s">
        <v>N/A</v>
        <stp/>
        <stp>GAMMA</stp>
        <stp>.SPY151231C201.5</stp>
        <tr r="I552" s="1"/>
      </tp>
      <tp t="s">
        <v>N/A</v>
        <stp/>
        <stp>GAMMA</stp>
        <stp>.SPY151231C211.5</stp>
        <tr r="I572" s="1"/>
      </tp>
      <tp t="s">
        <v>N/A</v>
        <stp/>
        <stp>GAMMA</stp>
        <stp>.SPY151219C209.5</stp>
        <tr r="I526" s="1"/>
      </tp>
      <tp t="s">
        <v>N/A</v>
        <stp/>
        <stp>GAMMA</stp>
        <stp>.SPY161216C205.5</stp>
        <tr r="I770" s="1"/>
      </tp>
      <tp t="s">
        <v>N/A</v>
        <stp/>
        <stp>GAMMA</stp>
        <stp>.SPY171215C207.5</stp>
        <tr r="I900" s="1"/>
      </tp>
      <tp t="s">
        <v>N/A</v>
        <stp/>
        <stp>GAMMA</stp>
        <stp>.SPY151219C219.5</stp>
        <tr r="I546" s="1"/>
      </tp>
      <tp t="s">
        <v>N/A</v>
        <stp/>
        <stp>GAMMA</stp>
        <stp>.SPY161216C215.5</stp>
        <tr r="I790" s="1"/>
      </tp>
      <tp t="s">
        <v>N/A</v>
        <stp/>
        <stp>GAMMA</stp>
        <stp>.SPY171215C217.5</stp>
        <tr r="I920" s="1"/>
      </tp>
      <tp t="s">
        <v>N/A</v>
        <stp/>
        <stp>ASK</stp>
        <stp>.SPY151219C203.5</stp>
        <tr r="A514" s="1"/>
      </tp>
      <tp t="s">
        <v>N/A</v>
        <stp/>
        <stp>ASK</stp>
        <stp>.SPY151219C213.5</stp>
        <tr r="A534" s="1"/>
      </tp>
      <tp t="s">
        <v>N/A</v>
        <stp/>
        <stp>ASK</stp>
        <stp>.SPY150918C202.5</stp>
        <tr r="A428" s="1"/>
      </tp>
      <tp t="s">
        <v>N/A</v>
        <stp/>
        <stp>ASK</stp>
        <stp>.SPY150918C212.5</stp>
        <tr r="A448" s="1"/>
      </tp>
      <tp t="s">
        <v>N/A</v>
        <stp/>
        <stp>ASK</stp>
        <stp>.SPY160318C201.5</stp>
        <tr r="A636" s="1"/>
      </tp>
      <tp t="s">
        <v>N/A</v>
        <stp/>
        <stp>ASK</stp>
        <stp>.SPY160318C211.5</stp>
        <tr r="A656" s="1"/>
      </tp>
      <tp t="s">
        <v>N/A</v>
        <stp/>
        <stp>ASK</stp>
        <stp>.SPY170120C218.5</stp>
        <tr r="A838" s="1"/>
      </tp>
      <tp t="s">
        <v>N/A</v>
        <stp/>
        <stp>ASK</stp>
        <stp>.SPY170120C208.5</stp>
        <tr r="A818" s="1"/>
      </tp>
      <tp t="s">
        <v>N/A</v>
        <stp/>
        <stp>ASK</stp>
        <stp>.SPY150619C203.5</stp>
        <tr r="A304" s="1"/>
      </tp>
      <tp t="s">
        <v>N/A</v>
        <stp/>
        <stp>ASK</stp>
        <stp>.SPY150619C213.5</stp>
        <tr r="A324" s="1"/>
      </tp>
      <tp>
        <v>0.48</v>
        <stp/>
        <stp>ASK</stp>
        <stp>.SPY150508C212.5</stp>
        <tr r="A154" s="1"/>
      </tp>
      <tp>
        <v>9.1300000000000008</v>
        <stp/>
        <stp>ASK</stp>
        <stp>.SPY150508C202.5</stp>
        <tr r="A134" s="1"/>
      </tp>
      <tp>
        <v>7.0000000000000007E-2</v>
        <stp/>
        <stp>ASK</stp>
        <stp>.SPY150522C218.5</stp>
        <tr r="A250" s="1"/>
      </tp>
      <tp>
        <v>1.33</v>
        <stp/>
        <stp>ASK</stp>
        <stp>.SPY150529C213.5</stp>
        <tr r="A282" s="1"/>
      </tp>
      <tp>
        <v>4.16</v>
        <stp/>
        <stp>ASK</stp>
        <stp>.SPY150522C208.5</stp>
        <tr r="A230" s="1"/>
      </tp>
      <tp>
        <v>8.7200000000000006</v>
        <stp/>
        <stp>ASK</stp>
        <stp>.SPY150529C203.5</stp>
        <tr r="A262" s="1"/>
      </tp>
      <tp t="s">
        <v>N/A</v>
        <stp/>
        <stp>ASK</stp>
        <stp>.SPY150918P202.5</stp>
        <tr r="L428" s="1"/>
      </tp>
      <tp t="s">
        <v>N/A</v>
        <stp/>
        <stp>ASK</stp>
        <stp>.SPY150918P212.5</stp>
        <tr r="L448" s="1"/>
      </tp>
      <tp t="s">
        <v>N/A</v>
        <stp/>
        <stp>ASK</stp>
        <stp>.SPY160318P201.5</stp>
        <tr r="L636" s="1"/>
      </tp>
      <tp t="s">
        <v>N/A</v>
        <stp/>
        <stp>ASK</stp>
        <stp>.SPY160318P211.5</stp>
        <tr r="L656" s="1"/>
      </tp>
      <tp t="s">
        <v>N/A</v>
        <stp/>
        <stp>ASK</stp>
        <stp>.SPY170120P218.5</stp>
        <tr r="L838" s="1"/>
      </tp>
      <tp t="s">
        <v>N/A</v>
        <stp/>
        <stp>ASK</stp>
        <stp>.SPY170120P208.5</stp>
        <tr r="L818" s="1"/>
      </tp>
      <tp t="s">
        <v>N/A</v>
        <stp/>
        <stp>ASK</stp>
        <stp>.SPY150619P203.5</stp>
        <tr r="L304" s="1"/>
      </tp>
      <tp t="s">
        <v>N/A</v>
        <stp/>
        <stp>ASK</stp>
        <stp>.SPY150619P213.5</stp>
        <tr r="L324" s="1"/>
      </tp>
      <tp>
        <v>1.57</v>
        <stp/>
        <stp>ASK</stp>
        <stp>.SPY150508P212.5</stp>
        <tr r="L154" s="1"/>
      </tp>
      <tp>
        <v>0.04</v>
        <stp/>
        <stp>ASK</stp>
        <stp>.SPY150508P202.5</stp>
        <tr r="L134" s="1"/>
      </tp>
      <tp>
        <v>7.23</v>
        <stp/>
        <stp>ASK</stp>
        <stp>.SPY150522P218.5</stp>
        <tr r="L250" s="1"/>
      </tp>
      <tp>
        <v>3.41</v>
        <stp/>
        <stp>ASK</stp>
        <stp>.SPY150529P213.5</stp>
        <tr r="L282" s="1"/>
      </tp>
      <tp>
        <v>1.1499999999999999</v>
        <stp/>
        <stp>ASK</stp>
        <stp>.SPY150522P208.5</stp>
        <tr r="L230" s="1"/>
      </tp>
      <tp>
        <v>0.65</v>
        <stp/>
        <stp>ASK</stp>
        <stp>.SPY150529P203.5</stp>
        <tr r="L262" s="1"/>
      </tp>
      <tp t="s">
        <v>N/A</v>
        <stp/>
        <stp>ASK</stp>
        <stp>.SPY151219P203.5</stp>
        <tr r="L514" s="1"/>
      </tp>
      <tp t="s">
        <v>N/A</v>
        <stp/>
        <stp>ASK</stp>
        <stp>.SPY151219P213.5</stp>
        <tr r="L534" s="1"/>
      </tp>
      <tp t="s">
        <v>N/A</v>
        <stp/>
        <stp>GAMMA</stp>
        <stp>.SPY151231P200.5</stp>
        <tr r="T550" s="1"/>
      </tp>
      <tp t="s">
        <v>N/A</v>
        <stp/>
        <stp>GAMMA</stp>
        <stp>.SPY151231P210.5</stp>
        <tr r="T570" s="1"/>
      </tp>
      <tp t="s">
        <v>N/A</v>
        <stp/>
        <stp>GAMMA</stp>
        <stp>.SPY151219P208.5</stp>
        <tr r="T524" s="1"/>
      </tp>
      <tp t="s">
        <v>N/A</v>
        <stp/>
        <stp>GAMMA</stp>
        <stp>.SPY161216P204.5</stp>
        <tr r="T768" s="1"/>
      </tp>
      <tp t="s">
        <v>N/A</v>
        <stp/>
        <stp>GAMMA</stp>
        <stp>.SPY171215P206.5</stp>
        <tr r="T898" s="1"/>
      </tp>
      <tp t="s">
        <v>N/A</v>
        <stp/>
        <stp>GAMMA</stp>
        <stp>.SPY151219P218.5</stp>
        <tr r="T544" s="1"/>
      </tp>
      <tp t="s">
        <v>N/A</v>
        <stp/>
        <stp>GAMMA</stp>
        <stp>.SPY161216P214.5</stp>
        <tr r="T788" s="1"/>
      </tp>
      <tp t="s">
        <v>N/A</v>
        <stp/>
        <stp>GAMMA</stp>
        <stp>.SPY171215P216.5</stp>
        <tr r="T918" s="1"/>
      </tp>
      <tp t="s">
        <v>N/A</v>
        <stp/>
        <stp>GAMMA</stp>
        <stp>.SPY150930P201.5</stp>
        <tr r="T468" s="1"/>
      </tp>
      <tp t="s">
        <v>N/A</v>
        <stp/>
        <stp>GAMMA</stp>
        <stp>.SPY150930P211.5</stp>
        <tr r="T488" s="1"/>
      </tp>
      <tp t="s">
        <v>N/A</v>
        <stp/>
        <stp>GAMMA</stp>
        <stp>.SPY150918P209.5</stp>
        <tr r="T442" s="1"/>
      </tp>
      <tp t="s">
        <v>N/A</v>
        <stp/>
        <stp>GAMMA</stp>
        <stp>.SPY160916P204.5</stp>
        <tr r="T726" s="1"/>
      </tp>
      <tp t="s">
        <v>N/A</v>
        <stp/>
        <stp>GAMMA</stp>
        <stp>.SPY150918P219.5</stp>
        <tr r="T462" s="1"/>
      </tp>
      <tp t="s">
        <v>N/A</v>
        <stp/>
        <stp>GAMMA</stp>
        <stp>.SPY160916P214.5</stp>
        <tr r="T746" s="1"/>
      </tp>
      <tp t="s">
        <v>N/A</v>
        <stp/>
        <stp>GAMMA</stp>
        <stp>.SPY170120P213.5</stp>
        <tr r="T828" s="1"/>
      </tp>
      <tp t="s">
        <v>N/A</v>
        <stp/>
        <stp>GAMMA</stp>
        <stp>.SPY170120P203.5</stp>
        <tr r="T808" s="1"/>
      </tp>
      <tp t="s">
        <v>N/A</v>
        <stp/>
        <stp>GAMMA</stp>
        <stp>.SPY160115P207.5</stp>
        <tr r="T606" s="1"/>
      </tp>
      <tp t="s">
        <v>N/A</v>
        <stp/>
        <stp>GAMMA</stp>
        <stp>.SPY160115P217.5</stp>
        <tr r="T626" s="1"/>
      </tp>
      <tp t="s">
        <v>N/A</v>
        <stp/>
        <stp>GAMMA</stp>
        <stp>.SPY170317P204.5</stp>
        <tr r="T852" s="1"/>
      </tp>
      <tp t="s">
        <v>N/A</v>
        <stp/>
        <stp>GAMMA</stp>
        <stp>.SPY170317P214.5</stp>
        <tr r="T872" s="1"/>
      </tp>
      <tp t="s">
        <v>N/A</v>
        <stp/>
        <stp>GAMMA</stp>
        <stp>.SPY150424P215.5</stp>
        <tr r="T76" s="1"/>
      </tp>
      <tp t="s">
        <v>N/A</v>
        <stp/>
        <stp>GAMMA</stp>
        <stp>.SPY150424P205.5</stp>
        <tr r="T56" s="1"/>
      </tp>
      <tp t="s">
        <v>N/A</v>
        <stp/>
        <stp>GAMMA</stp>
        <stp>.SPY150417P206.5</stp>
        <tr r="T16" s="1"/>
      </tp>
      <tp t="s">
        <v>N/A</v>
        <stp/>
        <stp>GAMMA</stp>
        <stp>.SPY150417P216.5</stp>
        <tr r="T36" s="1"/>
      </tp>
      <tp>
        <v>8.2419999999999993E-2</v>
        <stp/>
        <stp>GAMMA</stp>
        <stp>.SPY150522P213.5</stp>
        <tr r="T240" s="1"/>
      </tp>
      <tp>
        <v>0</v>
        <stp/>
        <stp>GAMMA</stp>
        <stp>.SPY150529P218.5</stp>
        <tr r="T292" s="1"/>
      </tp>
      <tp>
        <v>2.9139999999999999E-2</v>
        <stp/>
        <stp>GAMMA</stp>
        <stp>.SPY150522P203.5</stp>
        <tr r="T220" s="1"/>
      </tp>
      <tp>
        <v>5.4890000000000001E-2</v>
        <stp/>
        <stp>GAMMA</stp>
        <stp>.SPY150529P208.5</stp>
        <tr r="T272" s="1"/>
      </tp>
      <tp t="s">
        <v>N/A</v>
        <stp/>
        <stp>GAMMA</stp>
        <stp>.SPY150501P210.5</stp>
        <tr r="T108" s="1"/>
      </tp>
      <tp>
        <v>0</v>
        <stp/>
        <stp>GAMMA</stp>
        <stp>.SPY150508P219.5</stp>
        <tr r="T168" s="1"/>
      </tp>
      <tp>
        <v>3.2050000000000002E-2</v>
        <stp/>
        <stp>GAMMA</stp>
        <stp>.SPY150515P204.5</stp>
        <tr r="T180" s="1"/>
      </tp>
      <tp t="s">
        <v>N/A</v>
        <stp/>
        <stp>GAMMA</stp>
        <stp>.SPY150501P200.5</stp>
        <tr r="T88" s="1"/>
      </tp>
      <tp>
        <v>0.11004</v>
        <stp/>
        <stp>GAMMA</stp>
        <stp>.SPY150508P209.5</stp>
        <tr r="T148" s="1"/>
      </tp>
      <tp>
        <v>7.7920000000000003E-2</v>
        <stp/>
        <stp>GAMMA</stp>
        <stp>.SPY150515P214.5</stp>
        <tr r="T200" s="1"/>
      </tp>
      <tp t="s">
        <v>N/A</v>
        <stp/>
        <stp>GAMMA</stp>
        <stp>.SPY150630P201.5</stp>
        <tr r="T342" s="1"/>
      </tp>
      <tp t="s">
        <v>N/A</v>
        <stp/>
        <stp>GAMMA</stp>
        <stp>.SPY150630P211.5</stp>
        <tr r="T362" s="1"/>
      </tp>
      <tp t="s">
        <v>N/A</v>
        <stp/>
        <stp>GAMMA</stp>
        <stp>.SPY150619P208.5</stp>
        <tr r="T314" s="1"/>
      </tp>
      <tp t="s">
        <v>N/A</v>
        <stp/>
        <stp>GAMMA</stp>
        <stp>.SPY160617P205.5</stp>
        <tr r="T686" s="1"/>
      </tp>
      <tp t="s">
        <v>N/A</v>
        <stp/>
        <stp>GAMMA</stp>
        <stp>.SPY150619P218.5</stp>
        <tr r="T334" s="1"/>
      </tp>
      <tp t="s">
        <v>N/A</v>
        <stp/>
        <stp>GAMMA</stp>
        <stp>.SPY160617P215.5</stp>
        <tr r="T706" s="1"/>
      </tp>
      <tp t="s">
        <v>N/A</v>
        <stp/>
        <stp>GAMMA</stp>
        <stp>.SPY150717P206.5</stp>
        <tr r="T394" s="1"/>
      </tp>
      <tp t="s">
        <v>N/A</v>
        <stp/>
        <stp>GAMMA</stp>
        <stp>.SPY150717P216.5</stp>
        <tr r="T414" s="1"/>
      </tp>
      <tp t="s">
        <v>N/A</v>
        <stp/>
        <stp>GAMMA</stp>
        <stp>.SPY150930C201.5</stp>
        <tr r="I468" s="1"/>
      </tp>
      <tp t="s">
        <v>N/A</v>
        <stp/>
        <stp>GAMMA</stp>
        <stp>.SPY150930C211.5</stp>
        <tr r="I488" s="1"/>
      </tp>
      <tp t="s">
        <v>N/A</v>
        <stp/>
        <stp>GAMMA</stp>
        <stp>.SPY150918C209.5</stp>
        <tr r="I442" s="1"/>
      </tp>
      <tp t="s">
        <v>N/A</v>
        <stp/>
        <stp>GAMMA</stp>
        <stp>.SPY160916C204.5</stp>
        <tr r="I726" s="1"/>
      </tp>
      <tp t="s">
        <v>N/A</v>
        <stp/>
        <stp>GAMMA</stp>
        <stp>.SPY150918C219.5</stp>
        <tr r="I462" s="1"/>
      </tp>
      <tp t="s">
        <v>N/A</v>
        <stp/>
        <stp>GAMMA</stp>
        <stp>.SPY160916C214.5</stp>
        <tr r="I746" s="1"/>
      </tp>
      <tp t="s">
        <v>N/A</v>
        <stp/>
        <stp>GAMMA</stp>
        <stp>.SPY170120C213.5</stp>
        <tr r="I828" s="1"/>
      </tp>
      <tp t="s">
        <v>N/A</v>
        <stp/>
        <stp>GAMMA</stp>
        <stp>.SPY170120C203.5</stp>
        <tr r="I808" s="1"/>
      </tp>
      <tp t="s">
        <v>N/A</v>
        <stp/>
        <stp>GAMMA</stp>
        <stp>.SPY160115C207.5</stp>
        <tr r="I606" s="1"/>
      </tp>
      <tp t="s">
        <v>N/A</v>
        <stp/>
        <stp>GAMMA</stp>
        <stp>.SPY160115C217.5</stp>
        <tr r="I626" s="1"/>
      </tp>
      <tp t="s">
        <v>N/A</v>
        <stp/>
        <stp>GAMMA</stp>
        <stp>.SPY170317C204.5</stp>
        <tr r="I852" s="1"/>
      </tp>
      <tp t="s">
        <v>N/A</v>
        <stp/>
        <stp>GAMMA</stp>
        <stp>.SPY170317C214.5</stp>
        <tr r="I872" s="1"/>
      </tp>
      <tp t="s">
        <v>N/A</v>
        <stp/>
        <stp>GAMMA</stp>
        <stp>.SPY150424C215.5</stp>
        <tr r="I76" s="1"/>
      </tp>
      <tp t="s">
        <v>N/A</v>
        <stp/>
        <stp>GAMMA</stp>
        <stp>.SPY150424C205.5</stp>
        <tr r="I56" s="1"/>
      </tp>
      <tp t="s">
        <v>N/A</v>
        <stp/>
        <stp>GAMMA</stp>
        <stp>.SPY150417C206.5</stp>
        <tr r="I16" s="1"/>
      </tp>
      <tp t="s">
        <v>N/A</v>
        <stp/>
        <stp>GAMMA</stp>
        <stp>.SPY150417C216.5</stp>
        <tr r="I36" s="1"/>
      </tp>
      <tp>
        <v>7.689E-2</v>
        <stp/>
        <stp>GAMMA</stp>
        <stp>.SPY150522C213.5</stp>
        <tr r="I240" s="1"/>
      </tp>
      <tp>
        <v>2.6620000000000001E-2</v>
        <stp/>
        <stp>GAMMA</stp>
        <stp>.SPY150529C218.5</stp>
        <tr r="I292" s="1"/>
      </tp>
      <tp>
        <v>3.0530000000000002E-2</v>
        <stp/>
        <stp>GAMMA</stp>
        <stp>.SPY150522C203.5</stp>
        <tr r="I220" s="1"/>
      </tp>
      <tp>
        <v>5.2299999999999999E-2</v>
        <stp/>
        <stp>GAMMA</stp>
        <stp>.SPY150529C208.5</stp>
        <tr r="I272" s="1"/>
      </tp>
      <tp t="s">
        <v>N/A</v>
        <stp/>
        <stp>GAMMA</stp>
        <stp>.SPY150501C210.5</stp>
        <tr r="I108" s="1"/>
      </tp>
      <tp>
        <v>4.8199999999999996E-3</v>
        <stp/>
        <stp>GAMMA</stp>
        <stp>.SPY150508C219.5</stp>
        <tr r="I168" s="1"/>
      </tp>
      <tp>
        <v>3.3329999999999999E-2</v>
        <stp/>
        <stp>GAMMA</stp>
        <stp>.SPY150515C204.5</stp>
        <tr r="I180" s="1"/>
      </tp>
      <tp t="s">
        <v>N/A</v>
        <stp/>
        <stp>GAMMA</stp>
        <stp>.SPY150501C200.5</stp>
        <tr r="I88" s="1"/>
      </tp>
      <tp>
        <v>0.10879999999999999</v>
        <stp/>
        <stp>GAMMA</stp>
        <stp>.SPY150508C209.5</stp>
        <tr r="I148" s="1"/>
      </tp>
      <tp>
        <v>7.7670000000000003E-2</v>
        <stp/>
        <stp>GAMMA</stp>
        <stp>.SPY150515C214.5</stp>
        <tr r="I200" s="1"/>
      </tp>
      <tp t="s">
        <v>N/A</v>
        <stp/>
        <stp>GAMMA</stp>
        <stp>.SPY150630C201.5</stp>
        <tr r="I342" s="1"/>
      </tp>
      <tp t="s">
        <v>N/A</v>
        <stp/>
        <stp>GAMMA</stp>
        <stp>.SPY150630C211.5</stp>
        <tr r="I362" s="1"/>
      </tp>
      <tp t="s">
        <v>N/A</v>
        <stp/>
        <stp>GAMMA</stp>
        <stp>.SPY150619C208.5</stp>
        <tr r="I314" s="1"/>
      </tp>
      <tp t="s">
        <v>N/A</v>
        <stp/>
        <stp>GAMMA</stp>
        <stp>.SPY160617C205.5</stp>
        <tr r="I686" s="1"/>
      </tp>
      <tp t="s">
        <v>N/A</v>
        <stp/>
        <stp>GAMMA</stp>
        <stp>.SPY150619C218.5</stp>
        <tr r="I334" s="1"/>
      </tp>
      <tp t="s">
        <v>N/A</v>
        <stp/>
        <stp>GAMMA</stp>
        <stp>.SPY160617C215.5</stp>
        <tr r="I706" s="1"/>
      </tp>
      <tp t="s">
        <v>N/A</v>
        <stp/>
        <stp>GAMMA</stp>
        <stp>.SPY150717C206.5</stp>
        <tr r="I394" s="1"/>
      </tp>
      <tp t="s">
        <v>N/A</v>
        <stp/>
        <stp>GAMMA</stp>
        <stp>.SPY150717C216.5</stp>
        <tr r="I414" s="1"/>
      </tp>
      <tp t="s">
        <v>N/A</v>
        <stp/>
        <stp>GAMMA</stp>
        <stp>.SPY151231C200.5</stp>
        <tr r="I550" s="1"/>
      </tp>
      <tp t="s">
        <v>N/A</v>
        <stp/>
        <stp>GAMMA</stp>
        <stp>.SPY151231C210.5</stp>
        <tr r="I570" s="1"/>
      </tp>
      <tp t="s">
        <v>N/A</v>
        <stp/>
        <stp>GAMMA</stp>
        <stp>.SPY151219C208.5</stp>
        <tr r="I524" s="1"/>
      </tp>
      <tp t="s">
        <v>N/A</v>
        <stp/>
        <stp>GAMMA</stp>
        <stp>.SPY161216C204.5</stp>
        <tr r="I768" s="1"/>
      </tp>
      <tp t="s">
        <v>N/A</v>
        <stp/>
        <stp>GAMMA</stp>
        <stp>.SPY171215C206.5</stp>
        <tr r="I898" s="1"/>
      </tp>
      <tp t="s">
        <v>N/A</v>
        <stp/>
        <stp>GAMMA</stp>
        <stp>.SPY151219C218.5</stp>
        <tr r="I544" s="1"/>
      </tp>
      <tp t="s">
        <v>N/A</v>
        <stp/>
        <stp>GAMMA</stp>
        <stp>.SPY161216C214.5</stp>
        <tr r="I788" s="1"/>
      </tp>
      <tp t="s">
        <v>N/A</v>
        <stp/>
        <stp>GAMMA</stp>
        <stp>.SPY171215C216.5</stp>
        <tr r="I918" s="1"/>
      </tp>
      <tp t="s">
        <v>N/A</v>
        <stp/>
        <stp>ASK</stp>
        <stp>.SPY151219C202.5</stp>
        <tr r="A512" s="1"/>
      </tp>
      <tp t="s">
        <v>N/A</v>
        <stp/>
        <stp>ASK</stp>
        <stp>.SPY151219C212.5</stp>
        <tr r="A532" s="1"/>
      </tp>
      <tp t="s">
        <v>N/A</v>
        <stp/>
        <stp>ASK</stp>
        <stp>.SPY150918C203.5</stp>
        <tr r="A430" s="1"/>
      </tp>
      <tp t="s">
        <v>N/A</v>
        <stp/>
        <stp>ASK</stp>
        <stp>.SPY150918C213.5</stp>
        <tr r="A450" s="1"/>
      </tp>
      <tp t="s">
        <v>N/A</v>
        <stp/>
        <stp>ASK</stp>
        <stp>.SPY160318C200.5</stp>
        <tr r="A634" s="1"/>
      </tp>
      <tp t="s">
        <v>N/A</v>
        <stp/>
        <stp>ASK</stp>
        <stp>.SPY160318C210.5</stp>
        <tr r="A654" s="1"/>
      </tp>
      <tp t="s">
        <v>N/A</v>
        <stp/>
        <stp>ASK</stp>
        <stp>.SPY170120C219.5</stp>
        <tr r="A840" s="1"/>
      </tp>
      <tp t="s">
        <v>N/A</v>
        <stp/>
        <stp>ASK</stp>
        <stp>.SPY170120C209.5</stp>
        <tr r="A820" s="1"/>
      </tp>
      <tp t="s">
        <v>N/A</v>
        <stp/>
        <stp>ASK</stp>
        <stp>.SPY150619C202.5</stp>
        <tr r="A302" s="1"/>
      </tp>
      <tp t="s">
        <v>N/A</v>
        <stp/>
        <stp>ASK</stp>
        <stp>.SPY150619C212.5</stp>
        <tr r="A322" s="1"/>
      </tp>
      <tp>
        <v>0.18</v>
        <stp/>
        <stp>ASK</stp>
        <stp>.SPY150508C213.5</stp>
        <tr r="A156" s="1"/>
      </tp>
      <tp>
        <v>8.11</v>
        <stp/>
        <stp>ASK</stp>
        <stp>.SPY150508C203.5</stp>
        <tr r="A136" s="1"/>
      </tp>
      <tp>
        <v>0.04</v>
        <stp/>
        <stp>ASK</stp>
        <stp>.SPY150522C219.5</stp>
        <tr r="A252" s="1"/>
      </tp>
      <tp>
        <v>1.83</v>
        <stp/>
        <stp>ASK</stp>
        <stp>.SPY150529C212.5</stp>
        <tr r="A280" s="1"/>
      </tp>
      <tp>
        <v>3.41</v>
        <stp/>
        <stp>ASK</stp>
        <stp>.SPY150522C209.5</stp>
        <tr r="A232" s="1"/>
      </tp>
      <tp>
        <v>9.6300000000000008</v>
        <stp/>
        <stp>ASK</stp>
        <stp>.SPY150529C202.5</stp>
        <tr r="A260" s="1"/>
      </tp>
      <tp t="s">
        <v>N/A</v>
        <stp/>
        <stp>ASK</stp>
        <stp>.SPY150918P203.5</stp>
        <tr r="L430" s="1"/>
      </tp>
      <tp t="s">
        <v>N/A</v>
        <stp/>
        <stp>ASK</stp>
        <stp>.SPY150918P213.5</stp>
        <tr r="L450" s="1"/>
      </tp>
      <tp t="s">
        <v>N/A</v>
        <stp/>
        <stp>ASK</stp>
        <stp>.SPY160318P200.5</stp>
        <tr r="L634" s="1"/>
      </tp>
      <tp t="s">
        <v>N/A</v>
        <stp/>
        <stp>ASK</stp>
        <stp>.SPY160318P210.5</stp>
        <tr r="L654" s="1"/>
      </tp>
      <tp t="s">
        <v>N/A</v>
        <stp/>
        <stp>ASK</stp>
        <stp>.SPY170120P219.5</stp>
        <tr r="L840" s="1"/>
      </tp>
      <tp t="s">
        <v>N/A</v>
        <stp/>
        <stp>ASK</stp>
        <stp>.SPY170120P209.5</stp>
        <tr r="L820" s="1"/>
      </tp>
      <tp t="s">
        <v>N/A</v>
        <stp/>
        <stp>ASK</stp>
        <stp>.SPY150619P202.5</stp>
        <tr r="L302" s="1"/>
      </tp>
      <tp t="s">
        <v>N/A</v>
        <stp/>
        <stp>ASK</stp>
        <stp>.SPY150619P212.5</stp>
        <tr r="L322" s="1"/>
      </tp>
      <tp>
        <v>2.33</v>
        <stp/>
        <stp>ASK</stp>
        <stp>.SPY150508P213.5</stp>
        <tr r="L156" s="1"/>
      </tp>
      <tp>
        <v>0.05</v>
        <stp/>
        <stp>ASK</stp>
        <stp>.SPY150508P203.5</stp>
        <tr r="L136" s="1"/>
      </tp>
      <tp>
        <v>8.2200000000000006</v>
        <stp/>
        <stp>ASK</stp>
        <stp>.SPY150522P219.5</stp>
        <tr r="L252" s="1"/>
      </tp>
      <tp>
        <v>2.89</v>
        <stp/>
        <stp>ASK</stp>
        <stp>.SPY150529P212.5</stp>
        <tr r="L280" s="1"/>
      </tp>
      <tp>
        <v>1.4</v>
        <stp/>
        <stp>ASK</stp>
        <stp>.SPY150522P209.5</stp>
        <tr r="L232" s="1"/>
      </tp>
      <tp>
        <v>0.55000000000000004</v>
        <stp/>
        <stp>ASK</stp>
        <stp>.SPY150529P202.5</stp>
        <tr r="L260" s="1"/>
      </tp>
      <tp t="s">
        <v>N/A</v>
        <stp/>
        <stp>ASK</stp>
        <stp>.SPY151219P202.5</stp>
        <tr r="L512" s="1"/>
      </tp>
      <tp t="s">
        <v>N/A</v>
        <stp/>
        <stp>ASK</stp>
        <stp>.SPY151219P212.5</stp>
        <tr r="L532" s="1"/>
      </tp>
      <tp t="s">
        <v>N/A</v>
        <stp/>
        <stp>GAMMA</stp>
        <stp>.SPY151231P203.5</stp>
        <tr r="T556" s="1"/>
      </tp>
      <tp t="s">
        <v>N/A</v>
        <stp/>
        <stp>GAMMA</stp>
        <stp>.SPY151231P213.5</stp>
        <tr r="T576" s="1"/>
      </tp>
      <tp t="s">
        <v>N/A</v>
        <stp/>
        <stp>GAMMA</stp>
        <stp>.SPY161216P207.5</stp>
        <tr r="T774" s="1"/>
      </tp>
      <tp t="s">
        <v>N/A</v>
        <stp/>
        <stp>GAMMA</stp>
        <stp>.SPY171215P205.5</stp>
        <tr r="T896" s="1"/>
      </tp>
      <tp t="s">
        <v>N/A</v>
        <stp/>
        <stp>GAMMA</stp>
        <stp>.SPY161216P217.5</stp>
        <tr r="T794" s="1"/>
      </tp>
      <tp t="s">
        <v>N/A</v>
        <stp/>
        <stp>GAMMA</stp>
        <stp>.SPY171215P215.5</stp>
        <tr r="T916" s="1"/>
      </tp>
      <tp t="s">
        <v>N/A</v>
        <stp/>
        <stp>GAMMA</stp>
        <stp>.SPY150930P202.5</stp>
        <tr r="T470" s="1"/>
      </tp>
      <tp t="s">
        <v>N/A</v>
        <stp/>
        <stp>GAMMA</stp>
        <stp>.SPY150930P212.5</stp>
        <tr r="T490" s="1"/>
      </tp>
      <tp t="s">
        <v>N/A</v>
        <stp/>
        <stp>GAMMA</stp>
        <stp>.SPY160916P207.5</stp>
        <tr r="T732" s="1"/>
      </tp>
      <tp t="s">
        <v>N/A</v>
        <stp/>
        <stp>GAMMA</stp>
        <stp>.SPY160916P217.5</stp>
        <tr r="T752" s="1"/>
      </tp>
      <tp t="s">
        <v>N/A</v>
        <stp/>
        <stp>GAMMA</stp>
        <stp>.SPY170120P210.5</stp>
        <tr r="T822" s="1"/>
      </tp>
      <tp t="s">
        <v>N/A</v>
        <stp/>
        <stp>GAMMA</stp>
        <stp>.SPY170120P200.5</stp>
        <tr r="T802" s="1"/>
      </tp>
      <tp t="s">
        <v>N/A</v>
        <stp/>
        <stp>GAMMA</stp>
        <stp>.SPY160115P204.5</stp>
        <tr r="T600" s="1"/>
      </tp>
      <tp t="s">
        <v>N/A</v>
        <stp/>
        <stp>GAMMA</stp>
        <stp>.SPY160115P214.5</stp>
        <tr r="T620" s="1"/>
      </tp>
      <tp t="s">
        <v>N/A</v>
        <stp/>
        <stp>GAMMA</stp>
        <stp>.SPY160318P209.5</stp>
        <tr r="T652" s="1"/>
      </tp>
      <tp t="s">
        <v>N/A</v>
        <stp/>
        <stp>GAMMA</stp>
        <stp>.SPY170317P207.5</stp>
        <tr r="T858" s="1"/>
      </tp>
      <tp t="s">
        <v>N/A</v>
        <stp/>
        <stp>GAMMA</stp>
        <stp>.SPY160318P219.5</stp>
        <tr r="T672" s="1"/>
      </tp>
      <tp t="s">
        <v>N/A</v>
        <stp/>
        <stp>GAMMA</stp>
        <stp>.SPY170317P217.5</stp>
        <tr r="T878" s="1"/>
      </tp>
      <tp t="s">
        <v>N/A</v>
        <stp/>
        <stp>GAMMA</stp>
        <stp>.SPY150424P216.5</stp>
        <tr r="T78" s="1"/>
      </tp>
      <tp t="s">
        <v>N/A</v>
        <stp/>
        <stp>GAMMA</stp>
        <stp>.SPY150424P206.5</stp>
        <tr r="T58" s="1"/>
      </tp>
      <tp t="s">
        <v>N/A</v>
        <stp/>
        <stp>GAMMA</stp>
        <stp>.SPY150417P205.5</stp>
        <tr r="T14" s="1"/>
      </tp>
      <tp t="s">
        <v>N/A</v>
        <stp/>
        <stp>GAMMA</stp>
        <stp>.SPY150417P215.5</stp>
        <tr r="T34" s="1"/>
      </tp>
      <tp>
        <v>7.6319999999999999E-2</v>
        <stp/>
        <stp>GAMMA</stp>
        <stp>.SPY150522P210.5</stp>
        <tr r="T234" s="1"/>
      </tp>
      <tp>
        <v>1.7469999999999999E-2</v>
        <stp/>
        <stp>GAMMA</stp>
        <stp>.SPY150522P200.5</stp>
        <tr r="T214" s="1"/>
      </tp>
      <tp t="s">
        <v>N/A</v>
        <stp/>
        <stp>GAMMA</stp>
        <stp>.SPY150501P213.5</stp>
        <tr r="T114" s="1"/>
      </tp>
      <tp>
        <v>5.9020000000000003E-2</v>
        <stp/>
        <stp>GAMMA</stp>
        <stp>.SPY150515P207.5</stp>
        <tr r="T186" s="1"/>
      </tp>
      <tp t="s">
        <v>N/A</v>
        <stp/>
        <stp>GAMMA</stp>
        <stp>.SPY150501P203.5</stp>
        <tr r="T94" s="1"/>
      </tp>
      <tp>
        <v>0</v>
        <stp/>
        <stp>GAMMA</stp>
        <stp>.SPY150515P217.5</stp>
        <tr r="T206" s="1"/>
      </tp>
      <tp t="s">
        <v>N/A</v>
        <stp/>
        <stp>GAMMA</stp>
        <stp>.SPY150630P202.5</stp>
        <tr r="T344" s="1"/>
      </tp>
      <tp t="s">
        <v>N/A</v>
        <stp/>
        <stp>GAMMA</stp>
        <stp>.SPY150630P212.5</stp>
        <tr r="T364" s="1"/>
      </tp>
      <tp t="s">
        <v>N/A</v>
        <stp/>
        <stp>GAMMA</stp>
        <stp>.SPY160617P206.5</stp>
        <tr r="T688" s="1"/>
      </tp>
      <tp t="s">
        <v>N/A</v>
        <stp/>
        <stp>GAMMA</stp>
        <stp>.SPY160617P216.5</stp>
        <tr r="T708" s="1"/>
      </tp>
      <tp t="s">
        <v>N/A</v>
        <stp/>
        <stp>GAMMA</stp>
        <stp>.SPY150717P205.5</stp>
        <tr r="T392" s="1"/>
      </tp>
      <tp t="s">
        <v>N/A</v>
        <stp/>
        <stp>GAMMA</stp>
        <stp>.SPY150717P215.5</stp>
        <tr r="T412" s="1"/>
      </tp>
      <tp t="s">
        <v>N/A</v>
        <stp/>
        <stp>GAMMA</stp>
        <stp>.SPY150930C202.5</stp>
        <tr r="I470" s="1"/>
      </tp>
      <tp t="s">
        <v>N/A</v>
        <stp/>
        <stp>GAMMA</stp>
        <stp>.SPY150930C212.5</stp>
        <tr r="I490" s="1"/>
      </tp>
      <tp t="s">
        <v>N/A</v>
        <stp/>
        <stp>GAMMA</stp>
        <stp>.SPY160916C207.5</stp>
        <tr r="I732" s="1"/>
      </tp>
      <tp t="s">
        <v>N/A</v>
        <stp/>
        <stp>GAMMA</stp>
        <stp>.SPY160916C217.5</stp>
        <tr r="I752" s="1"/>
      </tp>
      <tp t="s">
        <v>N/A</v>
        <stp/>
        <stp>GAMMA</stp>
        <stp>.SPY170120C210.5</stp>
        <tr r="I822" s="1"/>
      </tp>
      <tp t="s">
        <v>N/A</v>
        <stp/>
        <stp>GAMMA</stp>
        <stp>.SPY170120C200.5</stp>
        <tr r="I802" s="1"/>
      </tp>
      <tp t="s">
        <v>N/A</v>
        <stp/>
        <stp>GAMMA</stp>
        <stp>.SPY160115C204.5</stp>
        <tr r="I600" s="1"/>
      </tp>
      <tp t="s">
        <v>N/A</v>
        <stp/>
        <stp>GAMMA</stp>
        <stp>.SPY160115C214.5</stp>
        <tr r="I620" s="1"/>
      </tp>
      <tp t="s">
        <v>N/A</v>
        <stp/>
        <stp>GAMMA</stp>
        <stp>.SPY160318C209.5</stp>
        <tr r="I652" s="1"/>
      </tp>
      <tp t="s">
        <v>N/A</v>
        <stp/>
        <stp>GAMMA</stp>
        <stp>.SPY170317C207.5</stp>
        <tr r="I858" s="1"/>
      </tp>
      <tp t="s">
        <v>N/A</v>
        <stp/>
        <stp>GAMMA</stp>
        <stp>.SPY160318C219.5</stp>
        <tr r="I672" s="1"/>
      </tp>
      <tp t="s">
        <v>N/A</v>
        <stp/>
        <stp>GAMMA</stp>
        <stp>.SPY170317C217.5</stp>
        <tr r="I878" s="1"/>
      </tp>
      <tp t="s">
        <v>N/A</v>
        <stp/>
        <stp>GAMMA</stp>
        <stp>.SPY150424C216.5</stp>
        <tr r="I78" s="1"/>
      </tp>
      <tp t="s">
        <v>N/A</v>
        <stp/>
        <stp>GAMMA</stp>
        <stp>.SPY150424C206.5</stp>
        <tr r="I58" s="1"/>
      </tp>
      <tp t="s">
        <v>N/A</v>
        <stp/>
        <stp>GAMMA</stp>
        <stp>.SPY150417C205.5</stp>
        <tr r="I14" s="1"/>
      </tp>
      <tp t="s">
        <v>N/A</v>
        <stp/>
        <stp>GAMMA</stp>
        <stp>.SPY150417C215.5</stp>
        <tr r="I34" s="1"/>
      </tp>
      <tp>
        <v>7.1370000000000003E-2</v>
        <stp/>
        <stp>GAMMA</stp>
        <stp>.SPY150522C210.5</stp>
        <tr r="I234" s="1"/>
      </tp>
      <tp>
        <v>1.9259999999999999E-2</v>
        <stp/>
        <stp>GAMMA</stp>
        <stp>.SPY150522C200.5</stp>
        <tr r="I214" s="1"/>
      </tp>
      <tp t="s">
        <v>N/A</v>
        <stp/>
        <stp>GAMMA</stp>
        <stp>.SPY150501C213.5</stp>
        <tr r="I114" s="1"/>
      </tp>
      <tp>
        <v>5.935E-2</v>
        <stp/>
        <stp>GAMMA</stp>
        <stp>.SPY150515C207.5</stp>
        <tr r="I186" s="1"/>
      </tp>
      <tp t="s">
        <v>N/A</v>
        <stp/>
        <stp>GAMMA</stp>
        <stp>.SPY150501C203.5</stp>
        <tr r="I94" s="1"/>
      </tp>
      <tp>
        <v>2.2020000000000001E-2</v>
        <stp/>
        <stp>GAMMA</stp>
        <stp>.SPY150515C217.5</stp>
        <tr r="I206" s="1"/>
      </tp>
      <tp t="s">
        <v>N/A</v>
        <stp/>
        <stp>GAMMA</stp>
        <stp>.SPY150630C202.5</stp>
        <tr r="I344" s="1"/>
      </tp>
      <tp t="s">
        <v>N/A</v>
        <stp/>
        <stp>GAMMA</stp>
        <stp>.SPY150630C212.5</stp>
        <tr r="I364" s="1"/>
      </tp>
      <tp t="s">
        <v>N/A</v>
        <stp/>
        <stp>GAMMA</stp>
        <stp>.SPY160617C206.5</stp>
        <tr r="I688" s="1"/>
      </tp>
      <tp t="s">
        <v>N/A</v>
        <stp/>
        <stp>GAMMA</stp>
        <stp>.SPY160617C216.5</stp>
        <tr r="I708" s="1"/>
      </tp>
      <tp t="s">
        <v>N/A</v>
        <stp/>
        <stp>GAMMA</stp>
        <stp>.SPY150717C205.5</stp>
        <tr r="I392" s="1"/>
      </tp>
      <tp t="s">
        <v>N/A</v>
        <stp/>
        <stp>GAMMA</stp>
        <stp>.SPY150717C215.5</stp>
        <tr r="I412" s="1"/>
      </tp>
      <tp t="s">
        <v>N/A</v>
        <stp/>
        <stp>GAMMA</stp>
        <stp>.SPY151231C203.5</stp>
        <tr r="I556" s="1"/>
      </tp>
      <tp t="s">
        <v>N/A</v>
        <stp/>
        <stp>GAMMA</stp>
        <stp>.SPY151231C213.5</stp>
        <tr r="I576" s="1"/>
      </tp>
      <tp t="s">
        <v>N/A</v>
        <stp/>
        <stp>GAMMA</stp>
        <stp>.SPY161216C207.5</stp>
        <tr r="I774" s="1"/>
      </tp>
      <tp t="s">
        <v>N/A</v>
        <stp/>
        <stp>GAMMA</stp>
        <stp>.SPY171215C205.5</stp>
        <tr r="I896" s="1"/>
      </tp>
      <tp t="s">
        <v>N/A</v>
        <stp/>
        <stp>GAMMA</stp>
        <stp>.SPY161216C217.5</stp>
        <tr r="I794" s="1"/>
      </tp>
      <tp t="s">
        <v>N/A</v>
        <stp/>
        <stp>GAMMA</stp>
        <stp>.SPY171215C215.5</stp>
        <tr r="I916" s="1"/>
      </tp>
      <tp t="s">
        <v>N/A</v>
        <stp/>
        <stp>ASK</stp>
        <stp>.SPY151219C201.5</stp>
        <tr r="A510" s="1"/>
      </tp>
      <tp t="s">
        <v>N/A</v>
        <stp/>
        <stp>ASK</stp>
        <stp>.SPY151219C211.5</stp>
        <tr r="A530" s="1"/>
      </tp>
      <tp t="s">
        <v>N/A</v>
        <stp/>
        <stp>ASK</stp>
        <stp>.SPY151231C209.5</stp>
        <tr r="A568" s="1"/>
      </tp>
      <tp t="s">
        <v>N/A</v>
        <stp/>
        <stp>ASK</stp>
        <stp>.SPY151231C219.5</stp>
        <tr r="A588" s="1"/>
      </tp>
      <tp t="s">
        <v>N/A</v>
        <stp/>
        <stp>ASK</stp>
        <stp>.SPY150918C200.5</stp>
        <tr r="A424" s="1"/>
      </tp>
      <tp t="s">
        <v>N/A</v>
        <stp/>
        <stp>ASK</stp>
        <stp>.SPY150918C210.5</stp>
        <tr r="A444" s="1"/>
      </tp>
      <tp t="s">
        <v>N/A</v>
        <stp/>
        <stp>ASK</stp>
        <stp>.SPY150930C208.5</stp>
        <tr r="A482" s="1"/>
      </tp>
      <tp t="s">
        <v>N/A</v>
        <stp/>
        <stp>ASK</stp>
        <stp>.SPY150930C218.5</stp>
        <tr r="A502" s="1"/>
      </tp>
      <tp t="s">
        <v>N/A</v>
        <stp/>
        <stp>ASK</stp>
        <stp>.SPY160318C203.5</stp>
        <tr r="A640" s="1"/>
      </tp>
      <tp t="s">
        <v>N/A</v>
        <stp/>
        <stp>ASK</stp>
        <stp>.SPY160318C213.5</stp>
        <tr r="A660" s="1"/>
      </tp>
      <tp t="s">
        <v>N/A</v>
        <stp/>
        <stp>ASK</stp>
        <stp>.SPY150619C201.5</stp>
        <tr r="A300" s="1"/>
      </tp>
      <tp t="s">
        <v>N/A</v>
        <stp/>
        <stp>ASK</stp>
        <stp>.SPY150619C211.5</stp>
        <tr r="A320" s="1"/>
      </tp>
      <tp t="s">
        <v>N/A</v>
        <stp/>
        <stp>ASK</stp>
        <stp>.SPY150630C208.5</stp>
        <tr r="A356" s="1"/>
      </tp>
      <tp t="s">
        <v>N/A</v>
        <stp/>
        <stp>ASK</stp>
        <stp>.SPY150630C218.5</stp>
        <tr r="A376" s="1"/>
      </tp>
      <tp>
        <v>0.01</v>
        <stp/>
        <stp>ASK</stp>
        <stp>.SPY150501C219.5</stp>
        <tr r="A126" s="1"/>
      </tp>
      <tp>
        <v>1.66</v>
        <stp/>
        <stp>ASK</stp>
        <stp>.SPY150508C210.5</stp>
        <tr r="A150" s="1"/>
      </tp>
      <tp>
        <v>1.32</v>
        <stp/>
        <stp>ASK</stp>
        <stp>.SPY150501C209.5</stp>
        <tr r="A106" s="1"/>
      </tp>
      <tp>
        <v>11.11</v>
        <stp/>
        <stp>ASK</stp>
        <stp>.SPY150508C200.5</stp>
        <tr r="A130" s="1"/>
      </tp>
      <tp>
        <v>2.4300000000000002</v>
        <stp/>
        <stp>ASK</stp>
        <stp>.SPY150529C211.5</stp>
        <tr r="A278" s="1"/>
      </tp>
      <tp>
        <v>10.55</v>
        <stp/>
        <stp>ASK</stp>
        <stp>.SPY150529C201.5</stp>
        <tr r="A258" s="1"/>
      </tp>
      <tp t="s">
        <v>N/A</v>
        <stp/>
        <stp>ASK</stp>
        <stp>.SPY150918P200.5</stp>
        <tr r="L424" s="1"/>
      </tp>
      <tp t="s">
        <v>N/A</v>
        <stp/>
        <stp>ASK</stp>
        <stp>.SPY150918P210.5</stp>
        <tr r="L444" s="1"/>
      </tp>
      <tp t="s">
        <v>N/A</v>
        <stp/>
        <stp>ASK</stp>
        <stp>.SPY150930P208.5</stp>
        <tr r="L482" s="1"/>
      </tp>
      <tp t="s">
        <v>N/A</v>
        <stp/>
        <stp>ASK</stp>
        <stp>.SPY150930P218.5</stp>
        <tr r="L502" s="1"/>
      </tp>
      <tp t="s">
        <v>N/A</v>
        <stp/>
        <stp>ASK</stp>
        <stp>.SPY160318P203.5</stp>
        <tr r="L640" s="1"/>
      </tp>
      <tp t="s">
        <v>N/A</v>
        <stp/>
        <stp>ASK</stp>
        <stp>.SPY160318P213.5</stp>
        <tr r="L660" s="1"/>
      </tp>
      <tp t="s">
        <v>N/A</v>
        <stp/>
        <stp>ASK</stp>
        <stp>.SPY150619P201.5</stp>
        <tr r="L300" s="1"/>
      </tp>
      <tp t="s">
        <v>N/A</v>
        <stp/>
        <stp>ASK</stp>
        <stp>.SPY150619P211.5</stp>
        <tr r="L320" s="1"/>
      </tp>
      <tp t="s">
        <v>N/A</v>
        <stp/>
        <stp>ASK</stp>
        <stp>.SPY150630P208.5</stp>
        <tr r="L356" s="1"/>
      </tp>
      <tp t="s">
        <v>N/A</v>
        <stp/>
        <stp>ASK</stp>
        <stp>.SPY150630P218.5</stp>
        <tr r="L376" s="1"/>
      </tp>
      <tp>
        <v>8.92</v>
        <stp/>
        <stp>ASK</stp>
        <stp>.SPY150501P219.5</stp>
        <tr r="L126" s="1"/>
      </tp>
      <tp>
        <v>0.68</v>
        <stp/>
        <stp>ASK</stp>
        <stp>.SPY150508P210.5</stp>
        <tr r="L150" s="1"/>
      </tp>
      <tp>
        <v>0.01</v>
        <stp/>
        <stp>ASK</stp>
        <stp>.SPY150501P209.5</stp>
        <tr r="L106" s="1"/>
      </tp>
      <tp>
        <v>0.03</v>
        <stp/>
        <stp>ASK</stp>
        <stp>.SPY150508P200.5</stp>
        <tr r="L130" s="1"/>
      </tp>
      <tp>
        <v>2.4500000000000002</v>
        <stp/>
        <stp>ASK</stp>
        <stp>.SPY150529P211.5</stp>
        <tr r="L278" s="1"/>
      </tp>
      <tp>
        <v>0.46</v>
        <stp/>
        <stp>ASK</stp>
        <stp>.SPY150529P201.5</stp>
        <tr r="L258" s="1"/>
      </tp>
      <tp t="s">
        <v>N/A</v>
        <stp/>
        <stp>ASK</stp>
        <stp>.SPY151219P201.5</stp>
        <tr r="L510" s="1"/>
      </tp>
      <tp t="s">
        <v>N/A</v>
        <stp/>
        <stp>ASK</stp>
        <stp>.SPY151219P211.5</stp>
        <tr r="L530" s="1"/>
      </tp>
      <tp t="s">
        <v>N/A</v>
        <stp/>
        <stp>ASK</stp>
        <stp>.SPY151231P209.5</stp>
        <tr r="L568" s="1"/>
      </tp>
      <tp t="s">
        <v>N/A</v>
        <stp/>
        <stp>ASK</stp>
        <stp>.SPY151231P219.5</stp>
        <tr r="L588" s="1"/>
      </tp>
      <tp t="s">
        <v>N/A</v>
        <stp/>
        <stp>GAMMA</stp>
        <stp>.SPY151231P202.5</stp>
        <tr r="T554" s="1"/>
      </tp>
      <tp t="s">
        <v>N/A</v>
        <stp/>
        <stp>GAMMA</stp>
        <stp>.SPY151231P212.5</stp>
        <tr r="T574" s="1"/>
      </tp>
      <tp t="s">
        <v>N/A</v>
        <stp/>
        <stp>GAMMA</stp>
        <stp>.SPY161216P206.5</stp>
        <tr r="T772" s="1"/>
      </tp>
      <tp t="s">
        <v>N/A</v>
        <stp/>
        <stp>GAMMA</stp>
        <stp>.SPY171215P204.5</stp>
        <tr r="T894" s="1"/>
      </tp>
      <tp t="s">
        <v>N/A</v>
        <stp/>
        <stp>GAMMA</stp>
        <stp>.SPY161216P216.5</stp>
        <tr r="T792" s="1"/>
      </tp>
      <tp t="s">
        <v>N/A</v>
        <stp/>
        <stp>GAMMA</stp>
        <stp>.SPY171215P214.5</stp>
        <tr r="T914" s="1"/>
      </tp>
      <tp t="s">
        <v>N/A</v>
        <stp/>
        <stp>GAMMA</stp>
        <stp>.SPY150930P203.5</stp>
        <tr r="T472" s="1"/>
      </tp>
      <tp t="s">
        <v>N/A</v>
        <stp/>
        <stp>GAMMA</stp>
        <stp>.SPY150930P213.5</stp>
        <tr r="T492" s="1"/>
      </tp>
      <tp t="s">
        <v>N/A</v>
        <stp/>
        <stp>GAMMA</stp>
        <stp>.SPY160916P206.5</stp>
        <tr r="T730" s="1"/>
      </tp>
      <tp t="s">
        <v>N/A</v>
        <stp/>
        <stp>GAMMA</stp>
        <stp>.SPY160916P216.5</stp>
        <tr r="T750" s="1"/>
      </tp>
      <tp t="s">
        <v>N/A</v>
        <stp/>
        <stp>GAMMA</stp>
        <stp>.SPY170120P211.5</stp>
        <tr r="T824" s="1"/>
      </tp>
      <tp t="s">
        <v>N/A</v>
        <stp/>
        <stp>GAMMA</stp>
        <stp>.SPY170120P201.5</stp>
        <tr r="T804" s="1"/>
      </tp>
      <tp t="s">
        <v>N/A</v>
        <stp/>
        <stp>GAMMA</stp>
        <stp>.SPY160115P205.5</stp>
        <tr r="T602" s="1"/>
      </tp>
      <tp t="s">
        <v>N/A</v>
        <stp/>
        <stp>GAMMA</stp>
        <stp>.SPY160115P215.5</stp>
        <tr r="T622" s="1"/>
      </tp>
      <tp t="s">
        <v>N/A</v>
        <stp/>
        <stp>GAMMA</stp>
        <stp>.SPY160318P208.5</stp>
        <tr r="T650" s="1"/>
      </tp>
      <tp t="s">
        <v>N/A</v>
        <stp/>
        <stp>GAMMA</stp>
        <stp>.SPY170317P206.5</stp>
        <tr r="T856" s="1"/>
      </tp>
      <tp t="s">
        <v>N/A</v>
        <stp/>
        <stp>GAMMA</stp>
        <stp>.SPY160318P218.5</stp>
        <tr r="T670" s="1"/>
      </tp>
      <tp t="s">
        <v>N/A</v>
        <stp/>
        <stp>GAMMA</stp>
        <stp>.SPY170317P216.5</stp>
        <tr r="T876" s="1"/>
      </tp>
      <tp t="s">
        <v>N/A</v>
        <stp/>
        <stp>GAMMA</stp>
        <stp>.SPY150424P217.5</stp>
        <tr r="T80" s="1"/>
      </tp>
      <tp t="s">
        <v>N/A</v>
        <stp/>
        <stp>GAMMA</stp>
        <stp>.SPY150424P207.5</stp>
        <tr r="T60" s="1"/>
      </tp>
      <tp t="s">
        <v>N/A</v>
        <stp/>
        <stp>GAMMA</stp>
        <stp>.SPY150417P204.5</stp>
        <tr r="T12" s="1"/>
      </tp>
      <tp t="s">
        <v>N/A</v>
        <stp/>
        <stp>GAMMA</stp>
        <stp>.SPY150417P214.5</stp>
        <tr r="T32" s="1"/>
      </tp>
      <tp>
        <v>8.2430000000000003E-2</v>
        <stp/>
        <stp>GAMMA</stp>
        <stp>.SPY150522P211.5</stp>
        <tr r="T236" s="1"/>
      </tp>
      <tp>
        <v>2.0709999999999999E-2</v>
        <stp/>
        <stp>GAMMA</stp>
        <stp>.SPY150522P201.5</stp>
        <tr r="T216" s="1"/>
      </tp>
      <tp t="s">
        <v>N/A</v>
        <stp/>
        <stp>GAMMA</stp>
        <stp>.SPY150501P212.5</stp>
        <tr r="T112" s="1"/>
      </tp>
      <tp>
        <v>4.8579999999999998E-2</v>
        <stp/>
        <stp>GAMMA</stp>
        <stp>.SPY150515P206.5</stp>
        <tr r="T184" s="1"/>
      </tp>
      <tp t="s">
        <v>N/A</v>
        <stp/>
        <stp>GAMMA</stp>
        <stp>.SPY150501P202.5</stp>
        <tr r="T92" s="1"/>
      </tp>
      <tp>
        <v>0</v>
        <stp/>
        <stp>GAMMA</stp>
        <stp>.SPY150515P216.5</stp>
        <tr r="T204" s="1"/>
      </tp>
      <tp t="s">
        <v>N/A</v>
        <stp/>
        <stp>GAMMA</stp>
        <stp>.SPY150630P203.5</stp>
        <tr r="T346" s="1"/>
      </tp>
      <tp t="s">
        <v>N/A</v>
        <stp/>
        <stp>GAMMA</stp>
        <stp>.SPY150630P213.5</stp>
        <tr r="T366" s="1"/>
      </tp>
      <tp t="s">
        <v>N/A</v>
        <stp/>
        <stp>GAMMA</stp>
        <stp>.SPY160617P207.5</stp>
        <tr r="T690" s="1"/>
      </tp>
      <tp t="s">
        <v>N/A</v>
        <stp/>
        <stp>GAMMA</stp>
        <stp>.SPY160617P217.5</stp>
        <tr r="T710" s="1"/>
      </tp>
      <tp t="s">
        <v>N/A</v>
        <stp/>
        <stp>GAMMA</stp>
        <stp>.SPY150717P204.5</stp>
        <tr r="T390" s="1"/>
      </tp>
      <tp t="s">
        <v>N/A</v>
        <stp/>
        <stp>GAMMA</stp>
        <stp>.SPY150717P214.5</stp>
        <tr r="T410" s="1"/>
      </tp>
      <tp t="s">
        <v>N/A</v>
        <stp/>
        <stp>GAMMA</stp>
        <stp>.SPY150930C203.5</stp>
        <tr r="I472" s="1"/>
      </tp>
      <tp t="s">
        <v>N/A</v>
        <stp/>
        <stp>GAMMA</stp>
        <stp>.SPY150930C213.5</stp>
        <tr r="I492" s="1"/>
      </tp>
      <tp t="s">
        <v>N/A</v>
        <stp/>
        <stp>GAMMA</stp>
        <stp>.SPY160916C206.5</stp>
        <tr r="I730" s="1"/>
      </tp>
      <tp t="s">
        <v>N/A</v>
        <stp/>
        <stp>GAMMA</stp>
        <stp>.SPY160916C216.5</stp>
        <tr r="I750" s="1"/>
      </tp>
      <tp t="s">
        <v>N/A</v>
        <stp/>
        <stp>GAMMA</stp>
        <stp>.SPY170120C211.5</stp>
        <tr r="I824" s="1"/>
      </tp>
      <tp t="s">
        <v>N/A</v>
        <stp/>
        <stp>GAMMA</stp>
        <stp>.SPY170120C201.5</stp>
        <tr r="I804" s="1"/>
      </tp>
      <tp t="s">
        <v>N/A</v>
        <stp/>
        <stp>GAMMA</stp>
        <stp>.SPY160115C205.5</stp>
        <tr r="I602" s="1"/>
      </tp>
      <tp t="s">
        <v>N/A</v>
        <stp/>
        <stp>GAMMA</stp>
        <stp>.SPY160115C215.5</stp>
        <tr r="I622" s="1"/>
      </tp>
      <tp t="s">
        <v>N/A</v>
        <stp/>
        <stp>GAMMA</stp>
        <stp>.SPY160318C208.5</stp>
        <tr r="I650" s="1"/>
      </tp>
      <tp t="s">
        <v>N/A</v>
        <stp/>
        <stp>GAMMA</stp>
        <stp>.SPY170317C206.5</stp>
        <tr r="I856" s="1"/>
      </tp>
      <tp t="s">
        <v>N/A</v>
        <stp/>
        <stp>GAMMA</stp>
        <stp>.SPY160318C218.5</stp>
        <tr r="I670" s="1"/>
      </tp>
      <tp t="s">
        <v>N/A</v>
        <stp/>
        <stp>GAMMA</stp>
        <stp>.SPY170317C216.5</stp>
        <tr r="I876" s="1"/>
      </tp>
      <tp t="s">
        <v>N/A</v>
        <stp/>
        <stp>GAMMA</stp>
        <stp>.SPY150424C217.5</stp>
        <tr r="I80" s="1"/>
      </tp>
      <tp t="s">
        <v>N/A</v>
        <stp/>
        <stp>GAMMA</stp>
        <stp>.SPY150424C207.5</stp>
        <tr r="I60" s="1"/>
      </tp>
      <tp t="s">
        <v>N/A</v>
        <stp/>
        <stp>GAMMA</stp>
        <stp>.SPY150417C204.5</stp>
        <tr r="I12" s="1"/>
      </tp>
      <tp t="s">
        <v>N/A</v>
        <stp/>
        <stp>GAMMA</stp>
        <stp>.SPY150417C214.5</stp>
        <tr r="I32" s="1"/>
      </tp>
      <tp>
        <v>7.6350000000000001E-2</v>
        <stp/>
        <stp>GAMMA</stp>
        <stp>.SPY150522C211.5</stp>
        <tr r="I236" s="1"/>
      </tp>
      <tp>
        <v>2.2519999999999998E-2</v>
        <stp/>
        <stp>GAMMA</stp>
        <stp>.SPY150522C201.5</stp>
        <tr r="I216" s="1"/>
      </tp>
      <tp t="s">
        <v>N/A</v>
        <stp/>
        <stp>GAMMA</stp>
        <stp>.SPY150501C212.5</stp>
        <tr r="I112" s="1"/>
      </tp>
      <tp>
        <v>4.9250000000000002E-2</v>
        <stp/>
        <stp>GAMMA</stp>
        <stp>.SPY150515C206.5</stp>
        <tr r="I184" s="1"/>
      </tp>
      <tp t="s">
        <v>N/A</v>
        <stp/>
        <stp>GAMMA</stp>
        <stp>.SPY150501C202.5</stp>
        <tr r="I92" s="1"/>
      </tp>
      <tp>
        <v>3.5369999999999999E-2</v>
        <stp/>
        <stp>GAMMA</stp>
        <stp>.SPY150515C216.5</stp>
        <tr r="I204" s="1"/>
      </tp>
      <tp t="s">
        <v>N/A</v>
        <stp/>
        <stp>GAMMA</stp>
        <stp>.SPY150630C203.5</stp>
        <tr r="I346" s="1"/>
      </tp>
      <tp t="s">
        <v>N/A</v>
        <stp/>
        <stp>GAMMA</stp>
        <stp>.SPY150630C213.5</stp>
        <tr r="I366" s="1"/>
      </tp>
      <tp t="s">
        <v>N/A</v>
        <stp/>
        <stp>GAMMA</stp>
        <stp>.SPY160617C207.5</stp>
        <tr r="I690" s="1"/>
      </tp>
      <tp t="s">
        <v>N/A</v>
        <stp/>
        <stp>GAMMA</stp>
        <stp>.SPY160617C217.5</stp>
        <tr r="I710" s="1"/>
      </tp>
      <tp t="s">
        <v>N/A</v>
        <stp/>
        <stp>GAMMA</stp>
        <stp>.SPY150717C204.5</stp>
        <tr r="I390" s="1"/>
      </tp>
      <tp t="s">
        <v>N/A</v>
        <stp/>
        <stp>GAMMA</stp>
        <stp>.SPY150717C214.5</stp>
        <tr r="I410" s="1"/>
      </tp>
      <tp t="s">
        <v>N/A</v>
        <stp/>
        <stp>GAMMA</stp>
        <stp>.SPY151231C202.5</stp>
        <tr r="I554" s="1"/>
      </tp>
      <tp t="s">
        <v>N/A</v>
        <stp/>
        <stp>GAMMA</stp>
        <stp>.SPY151231C212.5</stp>
        <tr r="I574" s="1"/>
      </tp>
      <tp t="s">
        <v>N/A</v>
        <stp/>
        <stp>GAMMA</stp>
        <stp>.SPY161216C206.5</stp>
        <tr r="I772" s="1"/>
      </tp>
      <tp t="s">
        <v>N/A</v>
        <stp/>
        <stp>GAMMA</stp>
        <stp>.SPY171215C204.5</stp>
        <tr r="I894" s="1"/>
      </tp>
      <tp t="s">
        <v>N/A</v>
        <stp/>
        <stp>GAMMA</stp>
        <stp>.SPY161216C216.5</stp>
        <tr r="I792" s="1"/>
      </tp>
      <tp t="s">
        <v>N/A</v>
        <stp/>
        <stp>GAMMA</stp>
        <stp>.SPY171215C214.5</stp>
        <tr r="I914" s="1"/>
      </tp>
      <tp t="s">
        <v>N/A</v>
        <stp/>
        <stp>ASK</stp>
        <stp>.SPY151219C200.5</stp>
        <tr r="A508" s="1"/>
      </tp>
      <tp t="s">
        <v>N/A</v>
        <stp/>
        <stp>ASK</stp>
        <stp>.SPY151219C210.5</stp>
        <tr r="A528" s="1"/>
      </tp>
      <tp t="s">
        <v>N/A</v>
        <stp/>
        <stp>ASK</stp>
        <stp>.SPY151231C208.5</stp>
        <tr r="A566" s="1"/>
      </tp>
      <tp t="s">
        <v>N/A</v>
        <stp/>
        <stp>ASK</stp>
        <stp>.SPY151231C218.5</stp>
        <tr r="A586" s="1"/>
      </tp>
      <tp t="s">
        <v>N/A</v>
        <stp/>
        <stp>ASK</stp>
        <stp>.SPY150918C201.5</stp>
        <tr r="A426" s="1"/>
      </tp>
      <tp t="s">
        <v>N/A</v>
        <stp/>
        <stp>ASK</stp>
        <stp>.SPY150918C211.5</stp>
        <tr r="A446" s="1"/>
      </tp>
      <tp t="s">
        <v>N/A</v>
        <stp/>
        <stp>ASK</stp>
        <stp>.SPY150930C209.5</stp>
        <tr r="A484" s="1"/>
      </tp>
      <tp t="s">
        <v>N/A</v>
        <stp/>
        <stp>ASK</stp>
        <stp>.SPY150930C219.5</stp>
        <tr r="A504" s="1"/>
      </tp>
      <tp t="s">
        <v>N/A</v>
        <stp/>
        <stp>ASK</stp>
        <stp>.SPY160318C202.5</stp>
        <tr r="A638" s="1"/>
      </tp>
      <tp t="s">
        <v>N/A</v>
        <stp/>
        <stp>ASK</stp>
        <stp>.SPY160318C212.5</stp>
        <tr r="A658" s="1"/>
      </tp>
      <tp t="s">
        <v>N/A</v>
        <stp/>
        <stp>ASK</stp>
        <stp>.SPY150619C200.5</stp>
        <tr r="A298" s="1"/>
      </tp>
      <tp t="s">
        <v>N/A</v>
        <stp/>
        <stp>ASK</stp>
        <stp>.SPY150619C210.5</stp>
        <tr r="A318" s="1"/>
      </tp>
      <tp t="s">
        <v>N/A</v>
        <stp/>
        <stp>ASK</stp>
        <stp>.SPY150630C209.5</stp>
        <tr r="A358" s="1"/>
      </tp>
      <tp t="s">
        <v>N/A</v>
        <stp/>
        <stp>ASK</stp>
        <stp>.SPY150630C219.5</stp>
        <tr r="A378" s="1"/>
      </tp>
      <tp>
        <v>0.01</v>
        <stp/>
        <stp>ASK</stp>
        <stp>.SPY150501C218.5</stp>
        <tr r="A124" s="1"/>
      </tp>
      <tp>
        <v>0.99</v>
        <stp/>
        <stp>ASK</stp>
        <stp>.SPY150508C211.5</stp>
        <tr r="A152" s="1"/>
      </tp>
      <tp>
        <v>2.33</v>
        <stp/>
        <stp>ASK</stp>
        <stp>.SPY150501C208.5</stp>
        <tr r="A104" s="1"/>
      </tp>
      <tp>
        <v>10.119999999999999</v>
        <stp/>
        <stp>ASK</stp>
        <stp>.SPY150508C201.5</stp>
        <tr r="A132" s="1"/>
      </tp>
      <tp>
        <v>3.06</v>
        <stp/>
        <stp>ASK</stp>
        <stp>.SPY150529C210.5</stp>
        <tr r="A276" s="1"/>
      </tp>
      <tp>
        <v>11.48</v>
        <stp/>
        <stp>ASK</stp>
        <stp>.SPY150529C200.5</stp>
        <tr r="A256" s="1"/>
      </tp>
      <tp t="s">
        <v>N/A</v>
        <stp/>
        <stp>ASK</stp>
        <stp>.SPY150918P201.5</stp>
        <tr r="L426" s="1"/>
      </tp>
      <tp t="s">
        <v>N/A</v>
        <stp/>
        <stp>ASK</stp>
        <stp>.SPY150918P211.5</stp>
        <tr r="L446" s="1"/>
      </tp>
      <tp t="s">
        <v>N/A</v>
        <stp/>
        <stp>ASK</stp>
        <stp>.SPY150930P209.5</stp>
        <tr r="L484" s="1"/>
      </tp>
      <tp t="s">
        <v>N/A</v>
        <stp/>
        <stp>ASK</stp>
        <stp>.SPY150930P219.5</stp>
        <tr r="L504" s="1"/>
      </tp>
      <tp t="s">
        <v>N/A</v>
        <stp/>
        <stp>ASK</stp>
        <stp>.SPY160318P202.5</stp>
        <tr r="L638" s="1"/>
      </tp>
      <tp t="s">
        <v>N/A</v>
        <stp/>
        <stp>ASK</stp>
        <stp>.SPY160318P212.5</stp>
        <tr r="L658" s="1"/>
      </tp>
      <tp t="s">
        <v>N/A</v>
        <stp/>
        <stp>ASK</stp>
        <stp>.SPY150619P200.5</stp>
        <tr r="L298" s="1"/>
      </tp>
      <tp t="s">
        <v>N/A</v>
        <stp/>
        <stp>ASK</stp>
        <stp>.SPY150619P210.5</stp>
        <tr r="L318" s="1"/>
      </tp>
      <tp t="s">
        <v>N/A</v>
        <stp/>
        <stp>ASK</stp>
        <stp>.SPY150630P209.5</stp>
        <tr r="L358" s="1"/>
      </tp>
      <tp t="s">
        <v>N/A</v>
        <stp/>
        <stp>ASK</stp>
        <stp>.SPY150630P219.5</stp>
        <tr r="L378" s="1"/>
      </tp>
      <tp>
        <v>7.92</v>
        <stp/>
        <stp>ASK</stp>
        <stp>.SPY150501P218.5</stp>
        <tr r="L124" s="1"/>
      </tp>
      <tp>
        <v>1.04</v>
        <stp/>
        <stp>ASK</stp>
        <stp>.SPY150508P211.5</stp>
        <tr r="L152" s="1"/>
      </tp>
      <tp>
        <v>0.01</v>
        <stp/>
        <stp>ASK</stp>
        <stp>.SPY150501P208.5</stp>
        <tr r="L104" s="1"/>
      </tp>
      <tp>
        <v>0.03</v>
        <stp/>
        <stp>ASK</stp>
        <stp>.SPY150508P201.5</stp>
        <tr r="L132" s="1"/>
      </tp>
      <tp>
        <v>2.08</v>
        <stp/>
        <stp>ASK</stp>
        <stp>.SPY150529P210.5</stp>
        <tr r="L276" s="1"/>
      </tp>
      <tp>
        <v>0.39</v>
        <stp/>
        <stp>ASK</stp>
        <stp>.SPY150529P200.5</stp>
        <tr r="L256" s="1"/>
      </tp>
      <tp t="s">
        <v>N/A</v>
        <stp/>
        <stp>ASK</stp>
        <stp>.SPY151219P200.5</stp>
        <tr r="L508" s="1"/>
      </tp>
      <tp t="s">
        <v>N/A</v>
        <stp/>
        <stp>ASK</stp>
        <stp>.SPY151219P210.5</stp>
        <tr r="L528" s="1"/>
      </tp>
      <tp t="s">
        <v>N/A</v>
        <stp/>
        <stp>ASK</stp>
        <stp>.SPY151231P208.5</stp>
        <tr r="L566" s="1"/>
      </tp>
      <tp t="s">
        <v>N/A</v>
        <stp/>
        <stp>ASK</stp>
        <stp>.SPY151231P218.5</stp>
        <tr r="L586" s="1"/>
      </tp>
      <tp t="s">
        <v>N/A</v>
        <stp/>
        <stp>GAMMA</stp>
        <stp>.SPY151231P205.5</stp>
        <tr r="T560" s="1"/>
      </tp>
      <tp t="s">
        <v>N/A</v>
        <stp/>
        <stp>GAMMA</stp>
        <stp>.SPY151231P215.5</stp>
        <tr r="T580" s="1"/>
      </tp>
      <tp t="s">
        <v>N/A</v>
        <stp/>
        <stp>GAMMA</stp>
        <stp>.SPY161216P201.5</stp>
        <tr r="T762" s="1"/>
      </tp>
      <tp t="s">
        <v>N/A</v>
        <stp/>
        <stp>GAMMA</stp>
        <stp>.SPY171215P203.5</stp>
        <tr r="T892" s="1"/>
      </tp>
      <tp t="s">
        <v>N/A</v>
        <stp/>
        <stp>GAMMA</stp>
        <stp>.SPY161216P211.5</stp>
        <tr r="T782" s="1"/>
      </tp>
      <tp t="s">
        <v>N/A</v>
        <stp/>
        <stp>GAMMA</stp>
        <stp>.SPY171215P213.5</stp>
        <tr r="T912" s="1"/>
      </tp>
      <tp t="s">
        <v>N/A</v>
        <stp/>
        <stp>GAMMA</stp>
        <stp>.SPY150930P204.5</stp>
        <tr r="T474" s="1"/>
      </tp>
      <tp t="s">
        <v>N/A</v>
        <stp/>
        <stp>GAMMA</stp>
        <stp>.SPY150930P214.5</stp>
        <tr r="T494" s="1"/>
      </tp>
      <tp t="s">
        <v>N/A</v>
        <stp/>
        <stp>GAMMA</stp>
        <stp>.SPY160916P201.5</stp>
        <tr r="T720" s="1"/>
      </tp>
      <tp t="s">
        <v>N/A</v>
        <stp/>
        <stp>GAMMA</stp>
        <stp>.SPY160916P211.5</stp>
        <tr r="T740" s="1"/>
      </tp>
      <tp t="s">
        <v>N/A</v>
        <stp/>
        <stp>GAMMA</stp>
        <stp>.SPY170120P216.5</stp>
        <tr r="T834" s="1"/>
      </tp>
      <tp t="s">
        <v>N/A</v>
        <stp/>
        <stp>GAMMA</stp>
        <stp>.SPY170120P206.5</stp>
        <tr r="T814" s="1"/>
      </tp>
      <tp t="s">
        <v>N/A</v>
        <stp/>
        <stp>GAMMA</stp>
        <stp>.SPY160115P202.5</stp>
        <tr r="T596" s="1"/>
      </tp>
      <tp t="s">
        <v>N/A</v>
        <stp/>
        <stp>GAMMA</stp>
        <stp>.SPY160115P212.5</stp>
        <tr r="T616" s="1"/>
      </tp>
      <tp t="s">
        <v>N/A</v>
        <stp/>
        <stp>GAMMA</stp>
        <stp>.SPY170317P201.5</stp>
        <tr r="T846" s="1"/>
      </tp>
      <tp t="s">
        <v>N/A</v>
        <stp/>
        <stp>GAMMA</stp>
        <stp>.SPY170317P211.5</stp>
        <tr r="T866" s="1"/>
      </tp>
      <tp t="s">
        <v>N/A</v>
        <stp/>
        <stp>GAMMA</stp>
        <stp>.SPY150424P210.5</stp>
        <tr r="T66" s="1"/>
      </tp>
      <tp t="s">
        <v>N/A</v>
        <stp/>
        <stp>GAMMA</stp>
        <stp>.SPY150424P200.5</stp>
        <tr r="T46" s="1"/>
      </tp>
      <tp t="s">
        <v>N/A</v>
        <stp/>
        <stp>GAMMA</stp>
        <stp>.SPY150417P203.5</stp>
        <tr r="T10" s="1"/>
      </tp>
      <tp t="s">
        <v>N/A</v>
        <stp/>
        <stp>GAMMA</stp>
        <stp>.SPY150417P213.5</stp>
        <tr r="T30" s="1"/>
      </tp>
      <tp>
        <v>2.436E-2</v>
        <stp/>
        <stp>GAMMA</stp>
        <stp>.SPY150522P216.5</stp>
        <tr r="T246" s="1"/>
      </tp>
      <tp>
        <v>4.6820000000000001E-2</v>
        <stp/>
        <stp>GAMMA</stp>
        <stp>.SPY150522P206.5</stp>
        <tr r="T226" s="1"/>
      </tp>
      <tp t="s">
        <v>N/A</v>
        <stp/>
        <stp>GAMMA</stp>
        <stp>.SPY150501P215.5</stp>
        <tr r="T118" s="1"/>
      </tp>
      <tp>
        <v>1.661E-2</v>
        <stp/>
        <stp>GAMMA</stp>
        <stp>.SPY150515P201.5</stp>
        <tr r="T174" s="1"/>
      </tp>
      <tp t="s">
        <v>N/A</v>
        <stp/>
        <stp>GAMMA</stp>
        <stp>.SPY150501P205.5</stp>
        <tr r="T98" s="1"/>
      </tp>
      <tp>
        <v>0.10267999999999999</v>
        <stp/>
        <stp>GAMMA</stp>
        <stp>.SPY150515P211.5</stp>
        <tr r="T194" s="1"/>
      </tp>
      <tp t="s">
        <v>N/A</v>
        <stp/>
        <stp>GAMMA</stp>
        <stp>.SPY150630P204.5</stp>
        <tr r="T348" s="1"/>
      </tp>
      <tp t="s">
        <v>N/A</v>
        <stp/>
        <stp>GAMMA</stp>
        <stp>.SPY150630P214.5</stp>
        <tr r="T368" s="1"/>
      </tp>
      <tp t="s">
        <v>N/A</v>
        <stp/>
        <stp>GAMMA</stp>
        <stp>.SPY160617P200.5</stp>
        <tr r="T676" s="1"/>
      </tp>
      <tp t="s">
        <v>N/A</v>
        <stp/>
        <stp>GAMMA</stp>
        <stp>.SPY160617P210.5</stp>
        <tr r="T696" s="1"/>
      </tp>
      <tp t="s">
        <v>N/A</v>
        <stp/>
        <stp>GAMMA</stp>
        <stp>.SPY150717P203.5</stp>
        <tr r="T388" s="1"/>
      </tp>
      <tp t="s">
        <v>N/A</v>
        <stp/>
        <stp>GAMMA</stp>
        <stp>.SPY150717P213.5</stp>
        <tr r="T408" s="1"/>
      </tp>
      <tp t="s">
        <v>N/A</v>
        <stp/>
        <stp>GAMMA</stp>
        <stp>.SPY150930C204.5</stp>
        <tr r="I474" s="1"/>
      </tp>
      <tp t="s">
        <v>N/A</v>
        <stp/>
        <stp>GAMMA</stp>
        <stp>.SPY150930C214.5</stp>
        <tr r="I494" s="1"/>
      </tp>
      <tp t="s">
        <v>N/A</v>
        <stp/>
        <stp>GAMMA</stp>
        <stp>.SPY160916C201.5</stp>
        <tr r="I720" s="1"/>
      </tp>
      <tp t="s">
        <v>N/A</v>
        <stp/>
        <stp>GAMMA</stp>
        <stp>.SPY160916C211.5</stp>
        <tr r="I740" s="1"/>
      </tp>
      <tp t="s">
        <v>N/A</v>
        <stp/>
        <stp>GAMMA</stp>
        <stp>.SPY170120C216.5</stp>
        <tr r="I834" s="1"/>
      </tp>
      <tp t="s">
        <v>N/A</v>
        <stp/>
        <stp>GAMMA</stp>
        <stp>.SPY170120C206.5</stp>
        <tr r="I814" s="1"/>
      </tp>
      <tp t="s">
        <v>N/A</v>
        <stp/>
        <stp>GAMMA</stp>
        <stp>.SPY160115C202.5</stp>
        <tr r="I596" s="1"/>
      </tp>
      <tp t="s">
        <v>N/A</v>
        <stp/>
        <stp>GAMMA</stp>
        <stp>.SPY160115C212.5</stp>
        <tr r="I616" s="1"/>
      </tp>
      <tp t="s">
        <v>N/A</v>
        <stp/>
        <stp>GAMMA</stp>
        <stp>.SPY170317C201.5</stp>
        <tr r="I846" s="1"/>
      </tp>
      <tp t="s">
        <v>N/A</v>
        <stp/>
        <stp>GAMMA</stp>
        <stp>.SPY170317C211.5</stp>
        <tr r="I866" s="1"/>
      </tp>
      <tp t="s">
        <v>N/A</v>
        <stp/>
        <stp>GAMMA</stp>
        <stp>.SPY150424C210.5</stp>
        <tr r="I66" s="1"/>
      </tp>
      <tp t="s">
        <v>N/A</v>
        <stp/>
        <stp>GAMMA</stp>
        <stp>.SPY150424C200.5</stp>
        <tr r="I46" s="1"/>
      </tp>
      <tp t="s">
        <v>N/A</v>
        <stp/>
        <stp>GAMMA</stp>
        <stp>.SPY150417C203.5</stp>
        <tr r="I10" s="1"/>
      </tp>
      <tp t="s">
        <v>N/A</v>
        <stp/>
        <stp>GAMMA</stp>
        <stp>.SPY150417C213.5</stp>
        <tr r="I30" s="1"/>
      </tp>
      <tp>
        <v>4.4339999999999997E-2</v>
        <stp/>
        <stp>GAMMA</stp>
        <stp>.SPY150522C216.5</stp>
        <tr r="I246" s="1"/>
      </tp>
      <tp>
        <v>4.6300000000000001E-2</v>
        <stp/>
        <stp>GAMMA</stp>
        <stp>.SPY150522C206.5</stp>
        <tr r="I226" s="1"/>
      </tp>
      <tp t="s">
        <v>N/A</v>
        <stp/>
        <stp>GAMMA</stp>
        <stp>.SPY150501C215.5</stp>
        <tr r="I118" s="1"/>
      </tp>
      <tp>
        <v>1.7469999999999999E-2</v>
        <stp/>
        <stp>GAMMA</stp>
        <stp>.SPY150515C201.5</stp>
        <tr r="I174" s="1"/>
      </tp>
      <tp t="s">
        <v>N/A</v>
        <stp/>
        <stp>GAMMA</stp>
        <stp>.SPY150501C205.5</stp>
        <tr r="I98" s="1"/>
      </tp>
      <tp>
        <v>9.6049999999999996E-2</v>
        <stp/>
        <stp>GAMMA</stp>
        <stp>.SPY150515C211.5</stp>
        <tr r="I194" s="1"/>
      </tp>
      <tp t="s">
        <v>N/A</v>
        <stp/>
        <stp>GAMMA</stp>
        <stp>.SPY150630C204.5</stp>
        <tr r="I348" s="1"/>
      </tp>
      <tp t="s">
        <v>N/A</v>
        <stp/>
        <stp>GAMMA</stp>
        <stp>.SPY150630C214.5</stp>
        <tr r="I368" s="1"/>
      </tp>
      <tp t="s">
        <v>N/A</v>
        <stp/>
        <stp>GAMMA</stp>
        <stp>.SPY160617C200.5</stp>
        <tr r="I676" s="1"/>
      </tp>
      <tp t="s">
        <v>N/A</v>
        <stp/>
        <stp>GAMMA</stp>
        <stp>.SPY160617C210.5</stp>
        <tr r="I696" s="1"/>
      </tp>
      <tp t="s">
        <v>N/A</v>
        <stp/>
        <stp>GAMMA</stp>
        <stp>.SPY150717C203.5</stp>
        <tr r="I388" s="1"/>
      </tp>
      <tp t="s">
        <v>N/A</v>
        <stp/>
        <stp>GAMMA</stp>
        <stp>.SPY150717C213.5</stp>
        <tr r="I408" s="1"/>
      </tp>
      <tp t="s">
        <v>N/A</v>
        <stp/>
        <stp>GAMMA</stp>
        <stp>.SPY151231C205.5</stp>
        <tr r="I560" s="1"/>
      </tp>
      <tp t="s">
        <v>N/A</v>
        <stp/>
        <stp>GAMMA</stp>
        <stp>.SPY151231C215.5</stp>
        <tr r="I580" s="1"/>
      </tp>
      <tp t="s">
        <v>N/A</v>
        <stp/>
        <stp>GAMMA</stp>
        <stp>.SPY161216C201.5</stp>
        <tr r="I762" s="1"/>
      </tp>
      <tp t="s">
        <v>N/A</v>
        <stp/>
        <stp>GAMMA</stp>
        <stp>.SPY171215C203.5</stp>
        <tr r="I892" s="1"/>
      </tp>
      <tp t="s">
        <v>N/A</v>
        <stp/>
        <stp>GAMMA</stp>
        <stp>.SPY161216C211.5</stp>
        <tr r="I782" s="1"/>
      </tp>
      <tp t="s">
        <v>N/A</v>
        <stp/>
        <stp>GAMMA</stp>
        <stp>.SPY171215C213.5</stp>
        <tr r="I912" s="1"/>
      </tp>
      <tp t="s">
        <v>N/A</v>
        <stp/>
        <stp>ASK</stp>
        <stp>.SPY151219C207.5</stp>
        <tr r="A522" s="1"/>
      </tp>
      <tp t="s">
        <v>N/A</v>
        <stp/>
        <stp>ASK</stp>
        <stp>.SPY171215C209.5</stp>
        <tr r="A904" s="1"/>
      </tp>
      <tp t="s">
        <v>N/A</v>
        <stp/>
        <stp>ASK</stp>
        <stp>.SPY151219C217.5</stp>
        <tr r="A542" s="1"/>
      </tp>
      <tp t="s">
        <v>N/A</v>
        <stp/>
        <stp>ASK</stp>
        <stp>.SPY171215C219.5</stp>
        <tr r="A924" s="1"/>
      </tp>
      <tp t="s">
        <v>N/A</v>
        <stp/>
        <stp>ASK</stp>
        <stp>.SPY150918C206.5</stp>
        <tr r="A436" s="1"/>
      </tp>
      <tp t="s">
        <v>N/A</v>
        <stp/>
        <stp>ASK</stp>
        <stp>.SPY150918C216.5</stp>
        <tr r="A456" s="1"/>
      </tp>
      <tp t="s">
        <v>N/A</v>
        <stp/>
        <stp>ASK</stp>
        <stp>.SPY160318C205.5</stp>
        <tr r="A644" s="1"/>
      </tp>
      <tp t="s">
        <v>N/A</v>
        <stp/>
        <stp>ASK</stp>
        <stp>.SPY160318C215.5</stp>
        <tr r="A664" s="1"/>
      </tp>
      <tp t="s">
        <v>N/A</v>
        <stp/>
        <stp>ASK</stp>
        <stp>.SPY160115C208.5</stp>
        <tr r="A608" s="1"/>
      </tp>
      <tp t="s">
        <v>N/A</v>
        <stp/>
        <stp>ASK</stp>
        <stp>.SPY160115C218.5</stp>
        <tr r="A628" s="1"/>
      </tp>
      <tp t="s">
        <v>N/A</v>
        <stp/>
        <stp>ASK</stp>
        <stp>.SPY150717C209.5</stp>
        <tr r="A400" s="1"/>
      </tp>
      <tp t="s">
        <v>N/A</v>
        <stp/>
        <stp>ASK</stp>
        <stp>.SPY150717C219.5</stp>
        <tr r="A420" s="1"/>
      </tp>
      <tp t="s">
        <v>N/A</v>
        <stp/>
        <stp>ASK</stp>
        <stp>.SPY150619C207.5</stp>
        <tr r="A312" s="1"/>
      </tp>
      <tp t="s">
        <v>N/A</v>
        <stp/>
        <stp>ASK</stp>
        <stp>.SPY150619C217.5</stp>
        <tr r="A332" s="1"/>
      </tp>
      <tp>
        <v>0.02</v>
        <stp/>
        <stp>ASK</stp>
        <stp>.SPY150508C216.5</stp>
        <tr r="A162" s="1"/>
      </tp>
      <tp>
        <v>5.16</v>
        <stp/>
        <stp>ASK</stp>
        <stp>.SPY150508C206.5</stp>
        <tr r="A142" s="1"/>
      </tp>
      <tp>
        <v>0.22</v>
        <stp/>
        <stp>ASK</stp>
        <stp>.SPY150529C217.5</stp>
        <tr r="A290" s="1"/>
      </tp>
      <tp>
        <v>5.3</v>
        <stp/>
        <stp>ASK</stp>
        <stp>.SPY150529C207.5</stp>
        <tr r="A270" s="1"/>
      </tp>
      <tp>
        <v>0.01</v>
        <stp/>
        <stp>ASK</stp>
        <stp>.SPY150417C209.5</stp>
        <tr r="A22" s="1"/>
      </tp>
      <tp>
        <v>0.01</v>
        <stp/>
        <stp>ASK</stp>
        <stp>.SPY150417C219.5</stp>
        <tr r="A42" s="1"/>
      </tp>
      <tp t="s">
        <v>N/A</v>
        <stp/>
        <stp>ASK</stp>
        <stp>.SPY150918P206.5</stp>
        <tr r="L436" s="1"/>
      </tp>
      <tp t="s">
        <v>N/A</v>
        <stp/>
        <stp>ASK</stp>
        <stp>.SPY150918P216.5</stp>
        <tr r="L456" s="1"/>
      </tp>
      <tp t="s">
        <v>N/A</v>
        <stp/>
        <stp>ASK</stp>
        <stp>.SPY160318P205.5</stp>
        <tr r="L644" s="1"/>
      </tp>
      <tp t="s">
        <v>N/A</v>
        <stp/>
        <stp>ASK</stp>
        <stp>.SPY160318P215.5</stp>
        <tr r="L664" s="1"/>
      </tp>
      <tp t="s">
        <v>N/A</v>
        <stp/>
        <stp>ASK</stp>
        <stp>.SPY160115P208.5</stp>
        <tr r="L608" s="1"/>
      </tp>
      <tp t="s">
        <v>N/A</v>
        <stp/>
        <stp>ASK</stp>
        <stp>.SPY160115P218.5</stp>
        <tr r="L628" s="1"/>
      </tp>
      <tp t="s">
        <v>N/A</v>
        <stp/>
        <stp>ASK</stp>
        <stp>.SPY150717P209.5</stp>
        <tr r="L400" s="1"/>
      </tp>
      <tp t="s">
        <v>N/A</v>
        <stp/>
        <stp>ASK</stp>
        <stp>.SPY150717P219.5</stp>
        <tr r="L420" s="1"/>
      </tp>
      <tp t="s">
        <v>N/A</v>
        <stp/>
        <stp>ASK</stp>
        <stp>.SPY150619P207.5</stp>
        <tr r="L312" s="1"/>
      </tp>
      <tp t="s">
        <v>N/A</v>
        <stp/>
        <stp>ASK</stp>
        <stp>.SPY150619P217.5</stp>
        <tr r="L332" s="1"/>
      </tp>
      <tp>
        <v>5.19</v>
        <stp/>
        <stp>ASK</stp>
        <stp>.SPY150508P216.5</stp>
        <tr r="L162" s="1"/>
      </tp>
      <tp>
        <v>0.13</v>
        <stp/>
        <stp>ASK</stp>
        <stp>.SPY150508P206.5</stp>
        <tr r="L142" s="1"/>
      </tp>
      <tp>
        <v>6.36</v>
        <stp/>
        <stp>ASK</stp>
        <stp>.SPY150529P217.5</stp>
        <tr r="L290" s="1"/>
      </tp>
      <tp>
        <v>1.27</v>
        <stp/>
        <stp>ASK</stp>
        <stp>.SPY150529P207.5</stp>
        <tr r="L270" s="1"/>
      </tp>
      <tp>
        <v>1.47</v>
        <stp/>
        <stp>ASK</stp>
        <stp>.SPY150417P209.5</stp>
        <tr r="L22" s="1"/>
      </tp>
      <tp>
        <v>11.52</v>
        <stp/>
        <stp>ASK</stp>
        <stp>.SPY150417P219.5</stp>
        <tr r="L42" s="1"/>
      </tp>
      <tp t="s">
        <v>N/A</v>
        <stp/>
        <stp>ASK</stp>
        <stp>.SPY151219P207.5</stp>
        <tr r="L522" s="1"/>
      </tp>
      <tp t="s">
        <v>N/A</v>
        <stp/>
        <stp>ASK</stp>
        <stp>.SPY171215P209.5</stp>
        <tr r="L904" s="1"/>
      </tp>
      <tp t="s">
        <v>N/A</v>
        <stp/>
        <stp>ASK</stp>
        <stp>.SPY151219P217.5</stp>
        <tr r="L542" s="1"/>
      </tp>
      <tp t="s">
        <v>N/A</v>
        <stp/>
        <stp>ASK</stp>
        <stp>.SPY171215P219.5</stp>
        <tr r="L924" s="1"/>
      </tp>
      <tp t="s">
        <v>N/A</v>
        <stp/>
        <stp>GAMMA</stp>
        <stp>.SPY151231P204.5</stp>
        <tr r="T558" s="1"/>
      </tp>
      <tp t="s">
        <v>N/A</v>
        <stp/>
        <stp>GAMMA</stp>
        <stp>.SPY151231P214.5</stp>
        <tr r="T578" s="1"/>
      </tp>
      <tp t="s">
        <v>N/A</v>
        <stp/>
        <stp>GAMMA</stp>
        <stp>.SPY161216P200.5</stp>
        <tr r="T760" s="1"/>
      </tp>
      <tp t="s">
        <v>N/A</v>
        <stp/>
        <stp>GAMMA</stp>
        <stp>.SPY171215P202.5</stp>
        <tr r="T890" s="1"/>
      </tp>
      <tp t="s">
        <v>N/A</v>
        <stp/>
        <stp>GAMMA</stp>
        <stp>.SPY161216P210.5</stp>
        <tr r="T780" s="1"/>
      </tp>
      <tp t="s">
        <v>N/A</v>
        <stp/>
        <stp>GAMMA</stp>
        <stp>.SPY171215P212.5</stp>
        <tr r="T910" s="1"/>
      </tp>
      <tp t="s">
        <v>N/A</v>
        <stp/>
        <stp>GAMMA</stp>
        <stp>.SPY150930P205.5</stp>
        <tr r="T476" s="1"/>
      </tp>
      <tp t="s">
        <v>N/A</v>
        <stp/>
        <stp>GAMMA</stp>
        <stp>.SPY150930P215.5</stp>
        <tr r="T496" s="1"/>
      </tp>
      <tp t="s">
        <v>N/A</v>
        <stp/>
        <stp>GAMMA</stp>
        <stp>.SPY160916P200.5</stp>
        <tr r="T718" s="1"/>
      </tp>
      <tp t="s">
        <v>N/A</v>
        <stp/>
        <stp>GAMMA</stp>
        <stp>.SPY160916P210.5</stp>
        <tr r="T738" s="1"/>
      </tp>
      <tp t="s">
        <v>N/A</v>
        <stp/>
        <stp>GAMMA</stp>
        <stp>.SPY170120P217.5</stp>
        <tr r="T836" s="1"/>
      </tp>
      <tp t="s">
        <v>N/A</v>
        <stp/>
        <stp>GAMMA</stp>
        <stp>.SPY170120P207.5</stp>
        <tr r="T816" s="1"/>
      </tp>
      <tp t="s">
        <v>N/A</v>
        <stp/>
        <stp>GAMMA</stp>
        <stp>.SPY160115P203.5</stp>
        <tr r="T598" s="1"/>
      </tp>
      <tp t="s">
        <v>N/A</v>
        <stp/>
        <stp>GAMMA</stp>
        <stp>.SPY160115P213.5</stp>
        <tr r="T618" s="1"/>
      </tp>
      <tp t="s">
        <v>N/A</v>
        <stp/>
        <stp>GAMMA</stp>
        <stp>.SPY170317P200.5</stp>
        <tr r="T844" s="1"/>
      </tp>
      <tp t="s">
        <v>N/A</v>
        <stp/>
        <stp>GAMMA</stp>
        <stp>.SPY170317P210.5</stp>
        <tr r="T864" s="1"/>
      </tp>
      <tp t="s">
        <v>N/A</v>
        <stp/>
        <stp>GAMMA</stp>
        <stp>.SPY150424P211.5</stp>
        <tr r="T68" s="1"/>
      </tp>
      <tp t="s">
        <v>N/A</v>
        <stp/>
        <stp>GAMMA</stp>
        <stp>.SPY150424P201.5</stp>
        <tr r="T48" s="1"/>
      </tp>
      <tp t="s">
        <v>N/A</v>
        <stp/>
        <stp>GAMMA</stp>
        <stp>.SPY150417P202.5</stp>
        <tr r="T8" s="1"/>
      </tp>
      <tp t="s">
        <v>N/A</v>
        <stp/>
        <stp>GAMMA</stp>
        <stp>.SPY150417P212.5</stp>
        <tr r="T28" s="1"/>
      </tp>
      <tp>
        <v>0</v>
        <stp/>
        <stp>GAMMA</stp>
        <stp>.SPY150522P217.5</stp>
        <tr r="T248" s="1"/>
      </tp>
      <tp>
        <v>5.3949999999999998E-2</v>
        <stp/>
        <stp>GAMMA</stp>
        <stp>.SPY150522P207.5</stp>
        <tr r="T228" s="1"/>
      </tp>
      <tp t="s">
        <v>N/A</v>
        <stp/>
        <stp>GAMMA</stp>
        <stp>.SPY150501P214.5</stp>
        <tr r="T116" s="1"/>
      </tp>
      <tp>
        <v>1.366E-2</v>
        <stp/>
        <stp>GAMMA</stp>
        <stp>.SPY150515P200.5</stp>
        <tr r="T172" s="1"/>
      </tp>
      <tp t="s">
        <v>N/A</v>
        <stp/>
        <stp>GAMMA</stp>
        <stp>.SPY150501P204.5</stp>
        <tr r="T96" s="1"/>
      </tp>
      <tp>
        <v>9.375E-2</v>
        <stp/>
        <stp>GAMMA</stp>
        <stp>.SPY150515P210.5</stp>
        <tr r="T192" s="1"/>
      </tp>
      <tp t="s">
        <v>N/A</v>
        <stp/>
        <stp>GAMMA</stp>
        <stp>.SPY150630P205.5</stp>
        <tr r="T350" s="1"/>
      </tp>
      <tp t="s">
        <v>N/A</v>
        <stp/>
        <stp>GAMMA</stp>
        <stp>.SPY150630P215.5</stp>
        <tr r="T370" s="1"/>
      </tp>
      <tp t="s">
        <v>N/A</v>
        <stp/>
        <stp>GAMMA</stp>
        <stp>.SPY160617P201.5</stp>
        <tr r="T678" s="1"/>
      </tp>
      <tp t="s">
        <v>N/A</v>
        <stp/>
        <stp>GAMMA</stp>
        <stp>.SPY160617P211.5</stp>
        <tr r="T698" s="1"/>
      </tp>
      <tp t="s">
        <v>N/A</v>
        <stp/>
        <stp>GAMMA</stp>
        <stp>.SPY150717P202.5</stp>
        <tr r="T386" s="1"/>
      </tp>
      <tp t="s">
        <v>N/A</v>
        <stp/>
        <stp>GAMMA</stp>
        <stp>.SPY150717P212.5</stp>
        <tr r="T406" s="1"/>
      </tp>
      <tp t="s">
        <v>N/A</v>
        <stp/>
        <stp>GAMMA</stp>
        <stp>.SPY150930C205.5</stp>
        <tr r="I476" s="1"/>
      </tp>
      <tp t="s">
        <v>N/A</v>
        <stp/>
        <stp>GAMMA</stp>
        <stp>.SPY150930C215.5</stp>
        <tr r="I496" s="1"/>
      </tp>
      <tp t="s">
        <v>N/A</v>
        <stp/>
        <stp>GAMMA</stp>
        <stp>.SPY160916C200.5</stp>
        <tr r="I718" s="1"/>
      </tp>
      <tp t="s">
        <v>N/A</v>
        <stp/>
        <stp>GAMMA</stp>
        <stp>.SPY160916C210.5</stp>
        <tr r="I738" s="1"/>
      </tp>
      <tp t="s">
        <v>N/A</v>
        <stp/>
        <stp>GAMMA</stp>
        <stp>.SPY170120C217.5</stp>
        <tr r="I836" s="1"/>
      </tp>
      <tp t="s">
        <v>N/A</v>
        <stp/>
        <stp>GAMMA</stp>
        <stp>.SPY170120C207.5</stp>
        <tr r="I816" s="1"/>
      </tp>
      <tp t="s">
        <v>N/A</v>
        <stp/>
        <stp>GAMMA</stp>
        <stp>.SPY160115C203.5</stp>
        <tr r="I598" s="1"/>
      </tp>
      <tp t="s">
        <v>N/A</v>
        <stp/>
        <stp>GAMMA</stp>
        <stp>.SPY160115C213.5</stp>
        <tr r="I618" s="1"/>
      </tp>
      <tp t="s">
        <v>N/A</v>
        <stp/>
        <stp>GAMMA</stp>
        <stp>.SPY170317C200.5</stp>
        <tr r="I844" s="1"/>
      </tp>
      <tp t="s">
        <v>N/A</v>
        <stp/>
        <stp>GAMMA</stp>
        <stp>.SPY170317C210.5</stp>
        <tr r="I864" s="1"/>
      </tp>
      <tp t="s">
        <v>N/A</v>
        <stp/>
        <stp>GAMMA</stp>
        <stp>.SPY150424C211.5</stp>
        <tr r="I68" s="1"/>
      </tp>
      <tp t="s">
        <v>N/A</v>
        <stp/>
        <stp>GAMMA</stp>
        <stp>.SPY150424C201.5</stp>
        <tr r="I48" s="1"/>
      </tp>
      <tp t="s">
        <v>N/A</v>
        <stp/>
        <stp>GAMMA</stp>
        <stp>.SPY150417C202.5</stp>
        <tr r="I8" s="1"/>
      </tp>
      <tp t="s">
        <v>N/A</v>
        <stp/>
        <stp>GAMMA</stp>
        <stp>.SPY150417C212.5</stp>
        <tr r="I28" s="1"/>
      </tp>
      <tp>
        <v>3.0859999999999999E-2</v>
        <stp/>
        <stp>GAMMA</stp>
        <stp>.SPY150522C217.5</stp>
        <tr r="I248" s="1"/>
      </tp>
      <tp>
        <v>5.253E-2</v>
        <stp/>
        <stp>GAMMA</stp>
        <stp>.SPY150522C207.5</stp>
        <tr r="I228" s="1"/>
      </tp>
      <tp t="s">
        <v>N/A</v>
        <stp/>
        <stp>GAMMA</stp>
        <stp>.SPY150501C214.5</stp>
        <tr r="I116" s="1"/>
      </tp>
      <tp>
        <v>1.4540000000000001E-2</v>
        <stp/>
        <stp>GAMMA</stp>
        <stp>.SPY150515C200.5</stp>
        <tr r="I172" s="1"/>
      </tp>
      <tp t="s">
        <v>N/A</v>
        <stp/>
        <stp>GAMMA</stp>
        <stp>.SPY150501C204.5</stp>
        <tr r="I96" s="1"/>
      </tp>
      <tp>
        <v>8.9300000000000004E-2</v>
        <stp/>
        <stp>GAMMA</stp>
        <stp>.SPY150515C210.5</stp>
        <tr r="I192" s="1"/>
      </tp>
      <tp t="s">
        <v>N/A</v>
        <stp/>
        <stp>GAMMA</stp>
        <stp>.SPY150630C205.5</stp>
        <tr r="I350" s="1"/>
      </tp>
      <tp t="s">
        <v>N/A</v>
        <stp/>
        <stp>GAMMA</stp>
        <stp>.SPY150630C215.5</stp>
        <tr r="I370" s="1"/>
      </tp>
      <tp t="s">
        <v>N/A</v>
        <stp/>
        <stp>GAMMA</stp>
        <stp>.SPY160617C201.5</stp>
        <tr r="I678" s="1"/>
      </tp>
      <tp t="s">
        <v>N/A</v>
        <stp/>
        <stp>GAMMA</stp>
        <stp>.SPY160617C211.5</stp>
        <tr r="I698" s="1"/>
      </tp>
      <tp t="s">
        <v>N/A</v>
        <stp/>
        <stp>GAMMA</stp>
        <stp>.SPY150717C202.5</stp>
        <tr r="I386" s="1"/>
      </tp>
      <tp t="s">
        <v>N/A</v>
        <stp/>
        <stp>GAMMA</stp>
        <stp>.SPY150717C212.5</stp>
        <tr r="I406" s="1"/>
      </tp>
      <tp t="s">
        <v>N/A</v>
        <stp/>
        <stp>GAMMA</stp>
        <stp>.SPY151231C204.5</stp>
        <tr r="I558" s="1"/>
      </tp>
      <tp t="s">
        <v>N/A</v>
        <stp/>
        <stp>GAMMA</stp>
        <stp>.SPY151231C214.5</stp>
        <tr r="I578" s="1"/>
      </tp>
      <tp t="s">
        <v>N/A</v>
        <stp/>
        <stp>GAMMA</stp>
        <stp>.SPY161216C200.5</stp>
        <tr r="I760" s="1"/>
      </tp>
      <tp t="s">
        <v>N/A</v>
        <stp/>
        <stp>GAMMA</stp>
        <stp>.SPY171215C202.5</stp>
        <tr r="I890" s="1"/>
      </tp>
      <tp t="s">
        <v>N/A</v>
        <stp/>
        <stp>GAMMA</stp>
        <stp>.SPY161216C210.5</stp>
        <tr r="I780" s="1"/>
      </tp>
      <tp t="s">
        <v>N/A</v>
        <stp/>
        <stp>GAMMA</stp>
        <stp>.SPY171215C212.5</stp>
        <tr r="I910" s="1"/>
      </tp>
      <tp t="s">
        <v>N/A</v>
        <stp/>
        <stp>ASK</stp>
        <stp>.SPY151219C206.5</stp>
        <tr r="A520" s="1"/>
      </tp>
      <tp t="s">
        <v>N/A</v>
        <stp/>
        <stp>ASK</stp>
        <stp>.SPY171215C208.5</stp>
        <tr r="A902" s="1"/>
      </tp>
      <tp t="s">
        <v>N/A</v>
        <stp/>
        <stp>ASK</stp>
        <stp>.SPY151219C216.5</stp>
        <tr r="A540" s="1"/>
      </tp>
      <tp t="s">
        <v>N/A</v>
        <stp/>
        <stp>ASK</stp>
        <stp>.SPY171215C218.5</stp>
        <tr r="A922" s="1"/>
      </tp>
      <tp t="s">
        <v>N/A</v>
        <stp/>
        <stp>ASK</stp>
        <stp>.SPY150918C207.5</stp>
        <tr r="A438" s="1"/>
      </tp>
      <tp t="s">
        <v>N/A</v>
        <stp/>
        <stp>ASK</stp>
        <stp>.SPY150918C217.5</stp>
        <tr r="A458" s="1"/>
      </tp>
      <tp t="s">
        <v>N/A</v>
        <stp/>
        <stp>ASK</stp>
        <stp>.SPY160318C204.5</stp>
        <tr r="A642" s="1"/>
      </tp>
      <tp t="s">
        <v>N/A</v>
        <stp/>
        <stp>ASK</stp>
        <stp>.SPY160318C214.5</stp>
        <tr r="A662" s="1"/>
      </tp>
      <tp t="s">
        <v>N/A</v>
        <stp/>
        <stp>ASK</stp>
        <stp>.SPY160115C209.5</stp>
        <tr r="A610" s="1"/>
      </tp>
      <tp t="s">
        <v>N/A</v>
        <stp/>
        <stp>ASK</stp>
        <stp>.SPY160115C219.5</stp>
        <tr r="A630" s="1"/>
      </tp>
      <tp t="s">
        <v>N/A</v>
        <stp/>
        <stp>ASK</stp>
        <stp>.SPY150717C208.5</stp>
        <tr r="A398" s="1"/>
      </tp>
      <tp t="s">
        <v>N/A</v>
        <stp/>
        <stp>ASK</stp>
        <stp>.SPY150717C218.5</stp>
        <tr r="A418" s="1"/>
      </tp>
      <tp t="s">
        <v>N/A</v>
        <stp/>
        <stp>ASK</stp>
        <stp>.SPY150619C206.5</stp>
        <tr r="A310" s="1"/>
      </tp>
      <tp t="s">
        <v>N/A</v>
        <stp/>
        <stp>ASK</stp>
        <stp>.SPY150619C216.5</stp>
        <tr r="A330" s="1"/>
      </tp>
      <tp>
        <v>0.01</v>
        <stp/>
        <stp>ASK</stp>
        <stp>.SPY150508C217.5</stp>
        <tr r="A164" s="1"/>
      </tp>
      <tp>
        <v>4.22</v>
        <stp/>
        <stp>ASK</stp>
        <stp>.SPY150508C207.5</stp>
        <tr r="A144" s="1"/>
      </tp>
      <tp>
        <v>0.37</v>
        <stp/>
        <stp>ASK</stp>
        <stp>.SPY150529C216.5</stp>
        <tr r="A288" s="1"/>
      </tp>
      <tp>
        <v>6.12</v>
        <stp/>
        <stp>ASK</stp>
        <stp>.SPY150529C206.5</stp>
        <tr r="A268" s="1"/>
      </tp>
      <tp>
        <v>0.01</v>
        <stp/>
        <stp>ASK</stp>
        <stp>.SPY150417C208.5</stp>
        <tr r="A20" s="1"/>
      </tp>
      <tp>
        <v>0.01</v>
        <stp/>
        <stp>ASK</stp>
        <stp>.SPY150417C218.5</stp>
        <tr r="A40" s="1"/>
      </tp>
      <tp t="s">
        <v>N/A</v>
        <stp/>
        <stp>ASK</stp>
        <stp>.SPY150918P207.5</stp>
        <tr r="L438" s="1"/>
      </tp>
      <tp t="s">
        <v>N/A</v>
        <stp/>
        <stp>ASK</stp>
        <stp>.SPY150918P217.5</stp>
        <tr r="L458" s="1"/>
      </tp>
      <tp t="s">
        <v>N/A</v>
        <stp/>
        <stp>ASK</stp>
        <stp>.SPY160318P204.5</stp>
        <tr r="L642" s="1"/>
      </tp>
      <tp t="s">
        <v>N/A</v>
        <stp/>
        <stp>ASK</stp>
        <stp>.SPY160318P214.5</stp>
        <tr r="L662" s="1"/>
      </tp>
      <tp t="s">
        <v>N/A</v>
        <stp/>
        <stp>ASK</stp>
        <stp>.SPY160115P209.5</stp>
        <tr r="L610" s="1"/>
      </tp>
      <tp t="s">
        <v>N/A</v>
        <stp/>
        <stp>ASK</stp>
        <stp>.SPY160115P219.5</stp>
        <tr r="L630" s="1"/>
      </tp>
      <tp t="s">
        <v>N/A</v>
        <stp/>
        <stp>ASK</stp>
        <stp>.SPY150717P208.5</stp>
        <tr r="L398" s="1"/>
      </tp>
      <tp t="s">
        <v>N/A</v>
        <stp/>
        <stp>ASK</stp>
        <stp>.SPY150717P218.5</stp>
        <tr r="L418" s="1"/>
      </tp>
      <tp t="s">
        <v>N/A</v>
        <stp/>
        <stp>ASK</stp>
        <stp>.SPY150619P206.5</stp>
        <tr r="L310" s="1"/>
      </tp>
      <tp t="s">
        <v>N/A</v>
        <stp/>
        <stp>ASK</stp>
        <stp>.SPY150619P216.5</stp>
        <tr r="L330" s="1"/>
      </tp>
      <tp>
        <v>6.2</v>
        <stp/>
        <stp>ASK</stp>
        <stp>.SPY150508P217.5</stp>
        <tr r="L164" s="1"/>
      </tp>
      <tp>
        <v>0.2</v>
        <stp/>
        <stp>ASK</stp>
        <stp>.SPY150508P207.5</stp>
        <tr r="L144" s="1"/>
      </tp>
      <tp>
        <v>5.5</v>
        <stp/>
        <stp>ASK</stp>
        <stp>.SPY150529P216.5</stp>
        <tr r="L288" s="1"/>
      </tp>
      <tp>
        <v>1.08</v>
        <stp/>
        <stp>ASK</stp>
        <stp>.SPY150529P206.5</stp>
        <tr r="L268" s="1"/>
      </tp>
      <tp>
        <v>0.4</v>
        <stp/>
        <stp>ASK</stp>
        <stp>.SPY150417P208.5</stp>
        <tr r="L20" s="1"/>
      </tp>
      <tp>
        <v>10.52</v>
        <stp/>
        <stp>ASK</stp>
        <stp>.SPY150417P218.5</stp>
        <tr r="L40" s="1"/>
      </tp>
      <tp t="s">
        <v>N/A</v>
        <stp/>
        <stp>ASK</stp>
        <stp>.SPY151219P206.5</stp>
        <tr r="L520" s="1"/>
      </tp>
      <tp t="s">
        <v>N/A</v>
        <stp/>
        <stp>ASK</stp>
        <stp>.SPY171215P208.5</stp>
        <tr r="L902" s="1"/>
      </tp>
      <tp t="s">
        <v>N/A</v>
        <stp/>
        <stp>ASK</stp>
        <stp>.SPY151219P216.5</stp>
        <tr r="L540" s="1"/>
      </tp>
      <tp t="s">
        <v>N/A</v>
        <stp/>
        <stp>ASK</stp>
        <stp>.SPY171215P218.5</stp>
        <tr r="L922" s="1"/>
      </tp>
      <tp t="s">
        <v>N/A</v>
        <stp/>
        <stp>GAMMA</stp>
        <stp>.SPY151231P207.5</stp>
        <tr r="T564" s="1"/>
      </tp>
      <tp t="s">
        <v>N/A</v>
        <stp/>
        <stp>GAMMA</stp>
        <stp>.SPY151231P217.5</stp>
        <tr r="T584" s="1"/>
      </tp>
      <tp t="s">
        <v>N/A</v>
        <stp/>
        <stp>GAMMA</stp>
        <stp>.SPY161216P203.5</stp>
        <tr r="T766" s="1"/>
      </tp>
      <tp t="s">
        <v>N/A</v>
        <stp/>
        <stp>GAMMA</stp>
        <stp>.SPY171215P201.5</stp>
        <tr r="T888" s="1"/>
      </tp>
      <tp t="s">
        <v>N/A</v>
        <stp/>
        <stp>GAMMA</stp>
        <stp>.SPY161216P213.5</stp>
        <tr r="T786" s="1"/>
      </tp>
      <tp t="s">
        <v>N/A</v>
        <stp/>
        <stp>GAMMA</stp>
        <stp>.SPY171215P211.5</stp>
        <tr r="T908" s="1"/>
      </tp>
      <tp t="s">
        <v>N/A</v>
        <stp/>
        <stp>GAMMA</stp>
        <stp>.SPY150930P206.5</stp>
        <tr r="T478" s="1"/>
      </tp>
      <tp t="s">
        <v>N/A</v>
        <stp/>
        <stp>GAMMA</stp>
        <stp>.SPY150930P216.5</stp>
        <tr r="T498" s="1"/>
      </tp>
      <tp t="s">
        <v>N/A</v>
        <stp/>
        <stp>GAMMA</stp>
        <stp>.SPY160916P203.5</stp>
        <tr r="T724" s="1"/>
      </tp>
      <tp t="s">
        <v>N/A</v>
        <stp/>
        <stp>GAMMA</stp>
        <stp>.SPY160916P213.5</stp>
        <tr r="T744" s="1"/>
      </tp>
      <tp t="s">
        <v>N/A</v>
        <stp/>
        <stp>GAMMA</stp>
        <stp>.SPY170120P214.5</stp>
        <tr r="T830" s="1"/>
      </tp>
      <tp t="s">
        <v>N/A</v>
        <stp/>
        <stp>GAMMA</stp>
        <stp>.SPY170120P204.5</stp>
        <tr r="T810" s="1"/>
      </tp>
      <tp t="s">
        <v>N/A</v>
        <stp/>
        <stp>GAMMA</stp>
        <stp>.SPY160115P200.5</stp>
        <tr r="T592" s="1"/>
      </tp>
      <tp t="s">
        <v>N/A</v>
        <stp/>
        <stp>GAMMA</stp>
        <stp>.SPY160115P210.5</stp>
        <tr r="T612" s="1"/>
      </tp>
      <tp t="s">
        <v>N/A</v>
        <stp/>
        <stp>GAMMA</stp>
        <stp>.SPY170317P203.5</stp>
        <tr r="T850" s="1"/>
      </tp>
      <tp t="s">
        <v>N/A</v>
        <stp/>
        <stp>GAMMA</stp>
        <stp>.SPY170317P213.5</stp>
        <tr r="T870" s="1"/>
      </tp>
      <tp t="s">
        <v>N/A</v>
        <stp/>
        <stp>GAMMA</stp>
        <stp>.SPY150424P212.5</stp>
        <tr r="T70" s="1"/>
      </tp>
      <tp t="s">
        <v>N/A</v>
        <stp/>
        <stp>GAMMA</stp>
        <stp>.SPY150424P202.5</stp>
        <tr r="T50" s="1"/>
      </tp>
      <tp t="s">
        <v>N/A</v>
        <stp/>
        <stp>GAMMA</stp>
        <stp>.SPY150417P201.5</stp>
        <tr r="T6" s="1"/>
      </tp>
      <tp t="s">
        <v>N/A</v>
        <stp/>
        <stp>GAMMA</stp>
        <stp>.SPY150417P211.5</stp>
        <tr r="T26" s="1"/>
      </tp>
      <tp>
        <v>7.3749999999999996E-2</v>
        <stp/>
        <stp>GAMMA</stp>
        <stp>.SPY150522P214.5</stp>
        <tr r="T242" s="1"/>
      </tp>
      <tp>
        <v>3.4360000000000002E-2</v>
        <stp/>
        <stp>GAMMA</stp>
        <stp>.SPY150522P204.5</stp>
        <tr r="T222" s="1"/>
      </tp>
      <tp t="s">
        <v>N/A</v>
        <stp/>
        <stp>GAMMA</stp>
        <stp>.SPY150501P217.5</stp>
        <tr r="T122" s="1"/>
      </tp>
      <tp>
        <v>2.58E-2</v>
        <stp/>
        <stp>GAMMA</stp>
        <stp>.SPY150515P203.5</stp>
        <tr r="T178" s="1"/>
      </tp>
      <tp t="s">
        <v>N/A</v>
        <stp/>
        <stp>GAMMA</stp>
        <stp>.SPY150501P207.5</stp>
        <tr r="T102" s="1"/>
      </tp>
      <tp>
        <v>9.7570000000000004E-2</v>
        <stp/>
        <stp>GAMMA</stp>
        <stp>.SPY150515P213.5</stp>
        <tr r="T198" s="1"/>
      </tp>
      <tp t="s">
        <v>N/A</v>
        <stp/>
        <stp>GAMMA</stp>
        <stp>.SPY150630P206.5</stp>
        <tr r="T352" s="1"/>
      </tp>
      <tp t="s">
        <v>N/A</v>
        <stp/>
        <stp>GAMMA</stp>
        <stp>.SPY150630P216.5</stp>
        <tr r="T372" s="1"/>
      </tp>
      <tp t="s">
        <v>N/A</v>
        <stp/>
        <stp>GAMMA</stp>
        <stp>.SPY160617P202.5</stp>
        <tr r="T680" s="1"/>
      </tp>
      <tp t="s">
        <v>N/A</v>
        <stp/>
        <stp>GAMMA</stp>
        <stp>.SPY160617P212.5</stp>
        <tr r="T700" s="1"/>
      </tp>
      <tp t="s">
        <v>N/A</v>
        <stp/>
        <stp>GAMMA</stp>
        <stp>.SPY150717P201.5</stp>
        <tr r="T384" s="1"/>
      </tp>
      <tp t="s">
        <v>N/A</v>
        <stp/>
        <stp>GAMMA</stp>
        <stp>.SPY150717P211.5</stp>
        <tr r="T404" s="1"/>
      </tp>
      <tp t="s">
        <v>N/A</v>
        <stp/>
        <stp>GAMMA</stp>
        <stp>.SPY150930C206.5</stp>
        <tr r="I478" s="1"/>
      </tp>
      <tp t="s">
        <v>N/A</v>
        <stp/>
        <stp>GAMMA</stp>
        <stp>.SPY150930C216.5</stp>
        <tr r="I498" s="1"/>
      </tp>
      <tp t="s">
        <v>N/A</v>
        <stp/>
        <stp>GAMMA</stp>
        <stp>.SPY160916C203.5</stp>
        <tr r="I724" s="1"/>
      </tp>
      <tp t="s">
        <v>N/A</v>
        <stp/>
        <stp>GAMMA</stp>
        <stp>.SPY160916C213.5</stp>
        <tr r="I744" s="1"/>
      </tp>
      <tp t="s">
        <v>N/A</v>
        <stp/>
        <stp>GAMMA</stp>
        <stp>.SPY170120C214.5</stp>
        <tr r="I830" s="1"/>
      </tp>
      <tp t="s">
        <v>N/A</v>
        <stp/>
        <stp>GAMMA</stp>
        <stp>.SPY170120C204.5</stp>
        <tr r="I810" s="1"/>
      </tp>
      <tp t="s">
        <v>N/A</v>
        <stp/>
        <stp>GAMMA</stp>
        <stp>.SPY160115C200.5</stp>
        <tr r="I592" s="1"/>
      </tp>
      <tp t="s">
        <v>N/A</v>
        <stp/>
        <stp>GAMMA</stp>
        <stp>.SPY160115C210.5</stp>
        <tr r="I612" s="1"/>
      </tp>
      <tp t="s">
        <v>N/A</v>
        <stp/>
        <stp>GAMMA</stp>
        <stp>.SPY170317C203.5</stp>
        <tr r="I850" s="1"/>
      </tp>
      <tp t="s">
        <v>N/A</v>
        <stp/>
        <stp>GAMMA</stp>
        <stp>.SPY170317C213.5</stp>
        <tr r="I870" s="1"/>
      </tp>
      <tp t="s">
        <v>N/A</v>
        <stp/>
        <stp>GAMMA</stp>
        <stp>.SPY150424C212.5</stp>
        <tr r="I70" s="1"/>
      </tp>
      <tp t="s">
        <v>N/A</v>
        <stp/>
        <stp>GAMMA</stp>
        <stp>.SPY150424C202.5</stp>
        <tr r="I50" s="1"/>
      </tp>
      <tp t="s">
        <v>N/A</v>
        <stp/>
        <stp>GAMMA</stp>
        <stp>.SPY150417C201.5</stp>
        <tr r="I6" s="1"/>
      </tp>
      <tp t="s">
        <v>N/A</v>
        <stp/>
        <stp>GAMMA</stp>
        <stp>.SPY150417C211.5</stp>
        <tr r="I26" s="1"/>
      </tp>
      <tp>
        <v>7.016E-2</v>
        <stp/>
        <stp>GAMMA</stp>
        <stp>.SPY150522C214.5</stp>
        <tr r="I242" s="1"/>
      </tp>
      <tp>
        <v>3.5290000000000002E-2</v>
        <stp/>
        <stp>GAMMA</stp>
        <stp>.SPY150522C204.5</stp>
        <tr r="I222" s="1"/>
      </tp>
      <tp t="s">
        <v>N/A</v>
        <stp/>
        <stp>GAMMA</stp>
        <stp>.SPY150501C217.5</stp>
        <tr r="I122" s="1"/>
      </tp>
      <tp>
        <v>2.6970000000000001E-2</v>
        <stp/>
        <stp>GAMMA</stp>
        <stp>.SPY150515C203.5</stp>
        <tr r="I178" s="1"/>
      </tp>
      <tp t="s">
        <v>N/A</v>
        <stp/>
        <stp>GAMMA</stp>
        <stp>.SPY150501C207.5</stp>
        <tr r="I102" s="1"/>
      </tp>
      <tp>
        <v>9.3219999999999997E-2</v>
        <stp/>
        <stp>GAMMA</stp>
        <stp>.SPY150515C213.5</stp>
        <tr r="I198" s="1"/>
      </tp>
      <tp t="s">
        <v>N/A</v>
        <stp/>
        <stp>GAMMA</stp>
        <stp>.SPY150630C206.5</stp>
        <tr r="I352" s="1"/>
      </tp>
      <tp t="s">
        <v>N/A</v>
        <stp/>
        <stp>GAMMA</stp>
        <stp>.SPY150630C216.5</stp>
        <tr r="I372" s="1"/>
      </tp>
      <tp t="s">
        <v>N/A</v>
        <stp/>
        <stp>GAMMA</stp>
        <stp>.SPY160617C202.5</stp>
        <tr r="I680" s="1"/>
      </tp>
      <tp t="s">
        <v>N/A</v>
        <stp/>
        <stp>GAMMA</stp>
        <stp>.SPY160617C212.5</stp>
        <tr r="I700" s="1"/>
      </tp>
      <tp t="s">
        <v>N/A</v>
        <stp/>
        <stp>GAMMA</stp>
        <stp>.SPY150717C201.5</stp>
        <tr r="I384" s="1"/>
      </tp>
      <tp t="s">
        <v>N/A</v>
        <stp/>
        <stp>GAMMA</stp>
        <stp>.SPY150717C211.5</stp>
        <tr r="I404" s="1"/>
      </tp>
      <tp t="s">
        <v>N/A</v>
        <stp/>
        <stp>GAMMA</stp>
        <stp>.SPY151231C207.5</stp>
        <tr r="I564" s="1"/>
      </tp>
      <tp t="s">
        <v>N/A</v>
        <stp/>
        <stp>GAMMA</stp>
        <stp>.SPY151231C217.5</stp>
        <tr r="I584" s="1"/>
      </tp>
      <tp t="s">
        <v>N/A</v>
        <stp/>
        <stp>GAMMA</stp>
        <stp>.SPY161216C203.5</stp>
        <tr r="I766" s="1"/>
      </tp>
      <tp t="s">
        <v>N/A</v>
        <stp/>
        <stp>GAMMA</stp>
        <stp>.SPY171215C201.5</stp>
        <tr r="I888" s="1"/>
      </tp>
      <tp t="s">
        <v>N/A</v>
        <stp/>
        <stp>GAMMA</stp>
        <stp>.SPY161216C213.5</stp>
        <tr r="I786" s="1"/>
      </tp>
      <tp t="s">
        <v>N/A</v>
        <stp/>
        <stp>GAMMA</stp>
        <stp>.SPY171215C211.5</stp>
        <tr r="I908" s="1"/>
      </tp>
      <tp t="s">
        <v>N/A</v>
        <stp/>
        <stp>ASK</stp>
        <stp>.SPY151219C205.5</stp>
        <tr r="A518" s="1"/>
      </tp>
      <tp t="s">
        <v>N/A</v>
        <stp/>
        <stp>ASK</stp>
        <stp>.SPY161216C209.5</stp>
        <tr r="A778" s="1"/>
      </tp>
      <tp t="s">
        <v>N/A</v>
        <stp/>
        <stp>ASK</stp>
        <stp>.SPY151219C215.5</stp>
        <tr r="A538" s="1"/>
      </tp>
      <tp t="s">
        <v>N/A</v>
        <stp/>
        <stp>ASK</stp>
        <stp>.SPY161216C219.5</stp>
        <tr r="A798" s="1"/>
      </tp>
      <tp t="s">
        <v>N/A</v>
        <stp/>
        <stp>ASK</stp>
        <stp>.SPY150918C204.5</stp>
        <tr r="A432" s="1"/>
      </tp>
      <tp t="s">
        <v>N/A</v>
        <stp/>
        <stp>ASK</stp>
        <stp>.SPY160916C209.5</stp>
        <tr r="A736" s="1"/>
      </tp>
      <tp t="s">
        <v>N/A</v>
        <stp/>
        <stp>ASK</stp>
        <stp>.SPY150918C214.5</stp>
        <tr r="A452" s="1"/>
      </tp>
      <tp t="s">
        <v>N/A</v>
        <stp/>
        <stp>ASK</stp>
        <stp>.SPY160916C219.5</stp>
        <tr r="A756" s="1"/>
      </tp>
      <tp t="s">
        <v>N/A</v>
        <stp/>
        <stp>ASK</stp>
        <stp>.SPY160318C207.5</stp>
        <tr r="A648" s="1"/>
      </tp>
      <tp t="s">
        <v>N/A</v>
        <stp/>
        <stp>ASK</stp>
        <stp>.SPY170317C209.5</stp>
        <tr r="A862" s="1"/>
      </tp>
      <tp t="s">
        <v>N/A</v>
        <stp/>
        <stp>ASK</stp>
        <stp>.SPY160318C217.5</stp>
        <tr r="A668" s="1"/>
      </tp>
      <tp t="s">
        <v>N/A</v>
        <stp/>
        <stp>ASK</stp>
        <stp>.SPY170317C219.5</stp>
        <tr r="A882" s="1"/>
      </tp>
      <tp t="s">
        <v>N/A</v>
        <stp/>
        <stp>ASK</stp>
        <stp>.SPY150619C205.5</stp>
        <tr r="A308" s="1"/>
      </tp>
      <tp t="s">
        <v>N/A</v>
        <stp/>
        <stp>ASK</stp>
        <stp>.SPY160617C208.5</stp>
        <tr r="A692" s="1"/>
      </tp>
      <tp t="s">
        <v>N/A</v>
        <stp/>
        <stp>ASK</stp>
        <stp>.SPY150619C215.5</stp>
        <tr r="A328" s="1"/>
      </tp>
      <tp t="s">
        <v>N/A</v>
        <stp/>
        <stp>ASK</stp>
        <stp>.SPY160617C218.5</stp>
        <tr r="A712" s="1"/>
      </tp>
      <tp>
        <v>7.0000000000000007E-2</v>
        <stp/>
        <stp>ASK</stp>
        <stp>.SPY150508C214.5</stp>
        <tr r="A158" s="1"/>
      </tp>
      <tp>
        <v>2.98</v>
        <stp/>
        <stp>ASK</stp>
        <stp>.SPY150515C209.5</stp>
        <tr r="A190" s="1"/>
      </tp>
      <tp>
        <v>7.12</v>
        <stp/>
        <stp>ASK</stp>
        <stp>.SPY150508C204.5</stp>
        <tr r="A138" s="1"/>
      </tp>
      <tp>
        <v>0.02</v>
        <stp/>
        <stp>ASK</stp>
        <stp>.SPY150515C219.5</stp>
        <tr r="A210" s="1"/>
      </tp>
      <tp>
        <v>0.6</v>
        <stp/>
        <stp>ASK</stp>
        <stp>.SPY150529C215.5</stp>
        <tr r="A286" s="1"/>
      </tp>
      <tp>
        <v>6.96</v>
        <stp/>
        <stp>ASK</stp>
        <stp>.SPY150529C205.5</stp>
        <tr r="A266" s="1"/>
      </tp>
      <tp>
        <v>0.01</v>
        <stp/>
        <stp>ASK</stp>
        <stp>.SPY150424C218.5</stp>
        <tr r="A82" s="1"/>
      </tp>
      <tp>
        <v>3.29</v>
        <stp/>
        <stp>ASK</stp>
        <stp>.SPY150424C208.5</stp>
        <tr r="A62" s="1"/>
      </tp>
      <tp t="s">
        <v>N/A</v>
        <stp/>
        <stp>ASK</stp>
        <stp>.SPY150918P204.5</stp>
        <tr r="L432" s="1"/>
      </tp>
      <tp t="s">
        <v>N/A</v>
        <stp/>
        <stp>ASK</stp>
        <stp>.SPY160916P209.5</stp>
        <tr r="L736" s="1"/>
      </tp>
      <tp t="s">
        <v>N/A</v>
        <stp/>
        <stp>ASK</stp>
        <stp>.SPY150918P214.5</stp>
        <tr r="L452" s="1"/>
      </tp>
      <tp t="s">
        <v>N/A</v>
        <stp/>
        <stp>ASK</stp>
        <stp>.SPY160916P219.5</stp>
        <tr r="L756" s="1"/>
      </tp>
      <tp t="s">
        <v>N/A</v>
        <stp/>
        <stp>ASK</stp>
        <stp>.SPY160318P207.5</stp>
        <tr r="L648" s="1"/>
      </tp>
      <tp t="s">
        <v>N/A</v>
        <stp/>
        <stp>ASK</stp>
        <stp>.SPY170317P209.5</stp>
        <tr r="L862" s="1"/>
      </tp>
      <tp t="s">
        <v>N/A</v>
        <stp/>
        <stp>ASK</stp>
        <stp>.SPY160318P217.5</stp>
        <tr r="L668" s="1"/>
      </tp>
      <tp t="s">
        <v>N/A</v>
        <stp/>
        <stp>ASK</stp>
        <stp>.SPY170317P219.5</stp>
        <tr r="L882" s="1"/>
      </tp>
      <tp t="s">
        <v>N/A</v>
        <stp/>
        <stp>ASK</stp>
        <stp>.SPY150619P205.5</stp>
        <tr r="L308" s="1"/>
      </tp>
      <tp t="s">
        <v>N/A</v>
        <stp/>
        <stp>ASK</stp>
        <stp>.SPY160617P208.5</stp>
        <tr r="L692" s="1"/>
      </tp>
      <tp t="s">
        <v>N/A</v>
        <stp/>
        <stp>ASK</stp>
        <stp>.SPY150619P215.5</stp>
        <tr r="L328" s="1"/>
      </tp>
      <tp t="s">
        <v>N/A</v>
        <stp/>
        <stp>ASK</stp>
        <stp>.SPY160617P218.5</stp>
        <tr r="L712" s="1"/>
      </tp>
      <tp>
        <v>3.22</v>
        <stp/>
        <stp>ASK</stp>
        <stp>.SPY150508P214.5</stp>
        <tr r="L158" s="1"/>
      </tp>
      <tp>
        <v>0.99</v>
        <stp/>
        <stp>ASK</stp>
        <stp>.SPY150515P209.5</stp>
        <tr r="L190" s="1"/>
      </tp>
      <tp>
        <v>0.06</v>
        <stp/>
        <stp>ASK</stp>
        <stp>.SPY150508P204.5</stp>
        <tr r="L138" s="1"/>
      </tp>
      <tp>
        <v>8.2100000000000009</v>
        <stp/>
        <stp>ASK</stp>
        <stp>.SPY150515P219.5</stp>
        <tr r="L210" s="1"/>
      </tp>
      <tp>
        <v>4.71</v>
        <stp/>
        <stp>ASK</stp>
        <stp>.SPY150529P215.5</stp>
        <tr r="L286" s="1"/>
      </tp>
      <tp>
        <v>0.91</v>
        <stp/>
        <stp>ASK</stp>
        <stp>.SPY150529P205.5</stp>
        <tr r="L266" s="1"/>
      </tp>
      <tp>
        <v>6.94</v>
        <stp/>
        <stp>ASK</stp>
        <stp>.SPY150424P218.5</stp>
        <tr r="L82" s="1"/>
      </tp>
      <tp>
        <v>0.01</v>
        <stp/>
        <stp>ASK</stp>
        <stp>.SPY150424P208.5</stp>
        <tr r="L62" s="1"/>
      </tp>
      <tp t="s">
        <v>N/A</v>
        <stp/>
        <stp>ASK</stp>
        <stp>.SPY151219P205.5</stp>
        <tr r="L518" s="1"/>
      </tp>
      <tp t="s">
        <v>N/A</v>
        <stp/>
        <stp>ASK</stp>
        <stp>.SPY161216P209.5</stp>
        <tr r="L778" s="1"/>
      </tp>
      <tp t="s">
        <v>N/A</v>
        <stp/>
        <stp>ASK</stp>
        <stp>.SPY151219P215.5</stp>
        <tr r="L538" s="1"/>
      </tp>
      <tp t="s">
        <v>N/A</v>
        <stp/>
        <stp>ASK</stp>
        <stp>.SPY161216P219.5</stp>
        <tr r="L798" s="1"/>
      </tp>
      <tp t="s">
        <v>N/A</v>
        <stp/>
        <stp>GAMMA</stp>
        <stp>.SPY151231P206.5</stp>
        <tr r="T562" s="1"/>
      </tp>
      <tp t="s">
        <v>N/A</v>
        <stp/>
        <stp>GAMMA</stp>
        <stp>.SPY151231P216.5</stp>
        <tr r="T582" s="1"/>
      </tp>
      <tp t="s">
        <v>N/A</v>
        <stp/>
        <stp>GAMMA</stp>
        <stp>.SPY161216P202.5</stp>
        <tr r="T764" s="1"/>
      </tp>
      <tp t="s">
        <v>N/A</v>
        <stp/>
        <stp>GAMMA</stp>
        <stp>.SPY171215P200.5</stp>
        <tr r="T886" s="1"/>
      </tp>
      <tp t="s">
        <v>N/A</v>
        <stp/>
        <stp>GAMMA</stp>
        <stp>.SPY161216P212.5</stp>
        <tr r="T784" s="1"/>
      </tp>
      <tp t="s">
        <v>N/A</v>
        <stp/>
        <stp>GAMMA</stp>
        <stp>.SPY171215P210.5</stp>
        <tr r="T906" s="1"/>
      </tp>
      <tp t="s">
        <v>N/A</v>
        <stp/>
        <stp>GAMMA</stp>
        <stp>.SPY150930P207.5</stp>
        <tr r="T480" s="1"/>
      </tp>
      <tp t="s">
        <v>N/A</v>
        <stp/>
        <stp>GAMMA</stp>
        <stp>.SPY150930P217.5</stp>
        <tr r="T500" s="1"/>
      </tp>
      <tp t="s">
        <v>N/A</v>
        <stp/>
        <stp>GAMMA</stp>
        <stp>.SPY160916P202.5</stp>
        <tr r="T722" s="1"/>
      </tp>
      <tp t="s">
        <v>N/A</v>
        <stp/>
        <stp>GAMMA</stp>
        <stp>.SPY160916P212.5</stp>
        <tr r="T742" s="1"/>
      </tp>
      <tp t="s">
        <v>N/A</v>
        <stp/>
        <stp>GAMMA</stp>
        <stp>.SPY170120P215.5</stp>
        <tr r="T832" s="1"/>
      </tp>
      <tp t="s">
        <v>N/A</v>
        <stp/>
        <stp>GAMMA</stp>
        <stp>.SPY170120P205.5</stp>
        <tr r="T812" s="1"/>
      </tp>
      <tp t="s">
        <v>N/A</v>
        <stp/>
        <stp>GAMMA</stp>
        <stp>.SPY160115P201.5</stp>
        <tr r="T594" s="1"/>
      </tp>
      <tp t="s">
        <v>N/A</v>
        <stp/>
        <stp>GAMMA</stp>
        <stp>.SPY160115P211.5</stp>
        <tr r="T614" s="1"/>
      </tp>
      <tp t="s">
        <v>N/A</v>
        <stp/>
        <stp>GAMMA</stp>
        <stp>.SPY170317P202.5</stp>
        <tr r="T848" s="1"/>
      </tp>
      <tp t="s">
        <v>N/A</v>
        <stp/>
        <stp>GAMMA</stp>
        <stp>.SPY170317P212.5</stp>
        <tr r="T868" s="1"/>
      </tp>
      <tp t="s">
        <v>N/A</v>
        <stp/>
        <stp>GAMMA</stp>
        <stp>.SPY150424P213.5</stp>
        <tr r="T72" s="1"/>
      </tp>
      <tp t="s">
        <v>N/A</v>
        <stp/>
        <stp>GAMMA</stp>
        <stp>.SPY150424P203.5</stp>
        <tr r="T52" s="1"/>
      </tp>
      <tp t="s">
        <v>N/A</v>
        <stp/>
        <stp>GAMMA</stp>
        <stp>.SPY150417P200.5</stp>
        <tr r="T4" s="1"/>
      </tp>
      <tp t="s">
        <v>N/A</v>
        <stp/>
        <stp>GAMMA</stp>
        <stp>.SPY150417P210.5</stp>
        <tr r="T24" s="1"/>
      </tp>
      <tp>
        <v>5.6669999999999998E-2</v>
        <stp/>
        <stp>GAMMA</stp>
        <stp>.SPY150522P215.5</stp>
        <tr r="T244" s="1"/>
      </tp>
      <tp>
        <v>4.0239999999999998E-2</v>
        <stp/>
        <stp>GAMMA</stp>
        <stp>.SPY150522P205.5</stp>
        <tr r="T224" s="1"/>
      </tp>
      <tp t="s">
        <v>N/A</v>
        <stp/>
        <stp>GAMMA</stp>
        <stp>.SPY150501P216.5</stp>
        <tr r="T120" s="1"/>
      </tp>
      <tp>
        <v>2.1080000000000002E-2</v>
        <stp/>
        <stp>GAMMA</stp>
        <stp>.SPY150515P202.5</stp>
        <tr r="T176" s="1"/>
      </tp>
      <tp t="s">
        <v>N/A</v>
        <stp/>
        <stp>GAMMA</stp>
        <stp>.SPY150501P206.5</stp>
        <tr r="T100" s="1"/>
      </tp>
      <tp>
        <v>0.10478999999999999</v>
        <stp/>
        <stp>GAMMA</stp>
        <stp>.SPY150515P212.5</stp>
        <tr r="T196" s="1"/>
      </tp>
      <tp t="s">
        <v>N/A</v>
        <stp/>
        <stp>GAMMA</stp>
        <stp>.SPY150630P207.5</stp>
        <tr r="T354" s="1"/>
      </tp>
      <tp t="s">
        <v>N/A</v>
        <stp/>
        <stp>GAMMA</stp>
        <stp>.SPY150630P217.5</stp>
        <tr r="T374" s="1"/>
      </tp>
      <tp t="s">
        <v>N/A</v>
        <stp/>
        <stp>GAMMA</stp>
        <stp>.SPY160617P203.5</stp>
        <tr r="T682" s="1"/>
      </tp>
      <tp t="s">
        <v>N/A</v>
        <stp/>
        <stp>GAMMA</stp>
        <stp>.SPY160617P213.5</stp>
        <tr r="T702" s="1"/>
      </tp>
      <tp t="s">
        <v>N/A</v>
        <stp/>
        <stp>GAMMA</stp>
        <stp>.SPY150717P200.5</stp>
        <tr r="T382" s="1"/>
      </tp>
      <tp t="s">
        <v>N/A</v>
        <stp/>
        <stp>GAMMA</stp>
        <stp>.SPY150717P210.5</stp>
        <tr r="T402" s="1"/>
      </tp>
      <tp t="s">
        <v>N/A</v>
        <stp/>
        <stp>GAMMA</stp>
        <stp>.SPY150930C207.5</stp>
        <tr r="I480" s="1"/>
      </tp>
      <tp t="s">
        <v>N/A</v>
        <stp/>
        <stp>GAMMA</stp>
        <stp>.SPY150930C217.5</stp>
        <tr r="I500" s="1"/>
      </tp>
      <tp t="s">
        <v>N/A</v>
        <stp/>
        <stp>GAMMA</stp>
        <stp>.SPY160916C202.5</stp>
        <tr r="I722" s="1"/>
      </tp>
      <tp t="s">
        <v>N/A</v>
        <stp/>
        <stp>GAMMA</stp>
        <stp>.SPY160916C212.5</stp>
        <tr r="I742" s="1"/>
      </tp>
      <tp t="s">
        <v>N/A</v>
        <stp/>
        <stp>GAMMA</stp>
        <stp>.SPY170120C215.5</stp>
        <tr r="I832" s="1"/>
      </tp>
      <tp t="s">
        <v>N/A</v>
        <stp/>
        <stp>GAMMA</stp>
        <stp>.SPY170120C205.5</stp>
        <tr r="I812" s="1"/>
      </tp>
      <tp t="s">
        <v>N/A</v>
        <stp/>
        <stp>GAMMA</stp>
        <stp>.SPY160115C201.5</stp>
        <tr r="I594" s="1"/>
      </tp>
      <tp t="s">
        <v>N/A</v>
        <stp/>
        <stp>GAMMA</stp>
        <stp>.SPY160115C211.5</stp>
        <tr r="I614" s="1"/>
      </tp>
      <tp t="s">
        <v>N/A</v>
        <stp/>
        <stp>GAMMA</stp>
        <stp>.SPY170317C202.5</stp>
        <tr r="I848" s="1"/>
      </tp>
      <tp t="s">
        <v>N/A</v>
        <stp/>
        <stp>GAMMA</stp>
        <stp>.SPY170317C212.5</stp>
        <tr r="I868" s="1"/>
      </tp>
      <tp t="s">
        <v>N/A</v>
        <stp/>
        <stp>GAMMA</stp>
        <stp>.SPY150424C213.5</stp>
        <tr r="I72" s="1"/>
      </tp>
      <tp t="s">
        <v>N/A</v>
        <stp/>
        <stp>GAMMA</stp>
        <stp>.SPY150424C203.5</stp>
        <tr r="I52" s="1"/>
      </tp>
      <tp t="s">
        <v>N/A</v>
        <stp/>
        <stp>GAMMA</stp>
        <stp>.SPY150417C200.5</stp>
        <tr r="I4" s="1"/>
      </tp>
      <tp t="s">
        <v>N/A</v>
        <stp/>
        <stp>GAMMA</stp>
        <stp>.SPY150417C210.5</stp>
        <tr r="I24" s="1"/>
      </tp>
      <tp>
        <v>5.867E-2</v>
        <stp/>
        <stp>GAMMA</stp>
        <stp>.SPY150522C215.5</stp>
        <tr r="I244" s="1"/>
      </tp>
      <tp>
        <v>4.0599999999999997E-2</v>
        <stp/>
        <stp>GAMMA</stp>
        <stp>.SPY150522C205.5</stp>
        <tr r="I224" s="1"/>
      </tp>
      <tp t="s">
        <v>N/A</v>
        <stp/>
        <stp>GAMMA</stp>
        <stp>.SPY150501C216.5</stp>
        <tr r="I120" s="1"/>
      </tp>
      <tp>
        <v>2.1760000000000002E-2</v>
        <stp/>
        <stp>GAMMA</stp>
        <stp>.SPY150515C202.5</stp>
        <tr r="I176" s="1"/>
      </tp>
      <tp t="s">
        <v>N/A</v>
        <stp/>
        <stp>GAMMA</stp>
        <stp>.SPY150501C206.5</stp>
        <tr r="I100" s="1"/>
      </tp>
      <tp>
        <v>9.8860000000000003E-2</v>
        <stp/>
        <stp>GAMMA</stp>
        <stp>.SPY150515C212.5</stp>
        <tr r="I196" s="1"/>
      </tp>
      <tp t="s">
        <v>N/A</v>
        <stp/>
        <stp>GAMMA</stp>
        <stp>.SPY150630C207.5</stp>
        <tr r="I354" s="1"/>
      </tp>
      <tp t="s">
        <v>N/A</v>
        <stp/>
        <stp>GAMMA</stp>
        <stp>.SPY150630C217.5</stp>
        <tr r="I374" s="1"/>
      </tp>
      <tp t="s">
        <v>N/A</v>
        <stp/>
        <stp>GAMMA</stp>
        <stp>.SPY160617C203.5</stp>
        <tr r="I682" s="1"/>
      </tp>
      <tp t="s">
        <v>N/A</v>
        <stp/>
        <stp>GAMMA</stp>
        <stp>.SPY160617C213.5</stp>
        <tr r="I702" s="1"/>
      </tp>
      <tp t="s">
        <v>N/A</v>
        <stp/>
        <stp>GAMMA</stp>
        <stp>.SPY150717C200.5</stp>
        <tr r="I382" s="1"/>
      </tp>
      <tp t="s">
        <v>N/A</v>
        <stp/>
        <stp>GAMMA</stp>
        <stp>.SPY150717C210.5</stp>
        <tr r="I402" s="1"/>
      </tp>
      <tp t="s">
        <v>N/A</v>
        <stp/>
        <stp>GAMMA</stp>
        <stp>.SPY151231C206.5</stp>
        <tr r="I562" s="1"/>
      </tp>
      <tp t="s">
        <v>N/A</v>
        <stp/>
        <stp>GAMMA</stp>
        <stp>.SPY151231C216.5</stp>
        <tr r="I582" s="1"/>
      </tp>
      <tp t="s">
        <v>N/A</v>
        <stp/>
        <stp>GAMMA</stp>
        <stp>.SPY161216C202.5</stp>
        <tr r="I764" s="1"/>
      </tp>
      <tp t="s">
        <v>N/A</v>
        <stp/>
        <stp>GAMMA</stp>
        <stp>.SPY171215C200.5</stp>
        <tr r="I886" s="1"/>
      </tp>
      <tp t="s">
        <v>N/A</v>
        <stp/>
        <stp>GAMMA</stp>
        <stp>.SPY161216C212.5</stp>
        <tr r="I784" s="1"/>
      </tp>
      <tp t="s">
        <v>N/A</v>
        <stp/>
        <stp>GAMMA</stp>
        <stp>.SPY171215C210.5</stp>
        <tr r="I906" s="1"/>
      </tp>
      <tp t="s">
        <v>N/A</v>
        <stp/>
        <stp>ASK</stp>
        <stp>.SPY151219C204.5</stp>
        <tr r="A516" s="1"/>
      </tp>
      <tp t="s">
        <v>N/A</v>
        <stp/>
        <stp>ASK</stp>
        <stp>.SPY161216C208.5</stp>
        <tr r="A776" s="1"/>
      </tp>
      <tp t="s">
        <v>N/A</v>
        <stp/>
        <stp>ASK</stp>
        <stp>.SPY151219C214.5</stp>
        <tr r="A536" s="1"/>
      </tp>
      <tp t="s">
        <v>N/A</v>
        <stp/>
        <stp>ASK</stp>
        <stp>.SPY161216C218.5</stp>
        <tr r="A796" s="1"/>
      </tp>
      <tp t="s">
        <v>N/A</v>
        <stp/>
        <stp>ASK</stp>
        <stp>.SPY150918C205.5</stp>
        <tr r="A434" s="1"/>
      </tp>
      <tp t="s">
        <v>N/A</v>
        <stp/>
        <stp>ASK</stp>
        <stp>.SPY160916C208.5</stp>
        <tr r="A734" s="1"/>
      </tp>
      <tp t="s">
        <v>N/A</v>
        <stp/>
        <stp>ASK</stp>
        <stp>.SPY150918C215.5</stp>
        <tr r="A454" s="1"/>
      </tp>
      <tp t="s">
        <v>N/A</v>
        <stp/>
        <stp>ASK</stp>
        <stp>.SPY160916C218.5</stp>
        <tr r="A754" s="1"/>
      </tp>
      <tp t="s">
        <v>N/A</v>
        <stp/>
        <stp>ASK</stp>
        <stp>.SPY160318C206.5</stp>
        <tr r="A646" s="1"/>
      </tp>
      <tp t="s">
        <v>N/A</v>
        <stp/>
        <stp>ASK</stp>
        <stp>.SPY170317C208.5</stp>
        <tr r="A860" s="1"/>
      </tp>
      <tp t="s">
        <v>N/A</v>
        <stp/>
        <stp>ASK</stp>
        <stp>.SPY160318C216.5</stp>
        <tr r="A666" s="1"/>
      </tp>
      <tp t="s">
        <v>N/A</v>
        <stp/>
        <stp>ASK</stp>
        <stp>.SPY170317C218.5</stp>
        <tr r="A880" s="1"/>
      </tp>
      <tp t="s">
        <v>N/A</v>
        <stp/>
        <stp>ASK</stp>
        <stp>.SPY150619C204.5</stp>
        <tr r="A306" s="1"/>
      </tp>
      <tp t="s">
        <v>N/A</v>
        <stp/>
        <stp>ASK</stp>
        <stp>.SPY160617C209.5</stp>
        <tr r="A694" s="1"/>
      </tp>
      <tp t="s">
        <v>N/A</v>
        <stp/>
        <stp>ASK</stp>
        <stp>.SPY150619C214.5</stp>
        <tr r="A326" s="1"/>
      </tp>
      <tp t="s">
        <v>N/A</v>
        <stp/>
        <stp>ASK</stp>
        <stp>.SPY160617C219.5</stp>
        <tr r="A714" s="1"/>
      </tp>
      <tp>
        <v>0.03</v>
        <stp/>
        <stp>ASK</stp>
        <stp>.SPY150508C215.5</stp>
        <tr r="A160" s="1"/>
      </tp>
      <tp>
        <v>3.77</v>
        <stp/>
        <stp>ASK</stp>
        <stp>.SPY150515C208.5</stp>
        <tr r="A188" s="1"/>
      </tp>
      <tp>
        <v>6.14</v>
        <stp/>
        <stp>ASK</stp>
        <stp>.SPY150508C205.5</stp>
        <tr r="A140" s="1"/>
      </tp>
      <tp>
        <v>0.03</v>
        <stp/>
        <stp>ASK</stp>
        <stp>.SPY150515C218.5</stp>
        <tr r="A208" s="1"/>
      </tp>
      <tp>
        <v>0.92</v>
        <stp/>
        <stp>ASK</stp>
        <stp>.SPY150529C214.5</stp>
        <tr r="A284" s="1"/>
      </tp>
      <tp>
        <v>7.83</v>
        <stp/>
        <stp>ASK</stp>
        <stp>.SPY150529C204.5</stp>
        <tr r="A264" s="1"/>
      </tp>
      <tp>
        <v>0.03</v>
        <stp/>
        <stp>ASK</stp>
        <stp>.SPY150424C219.5</stp>
        <tr r="A84" s="1"/>
      </tp>
      <tp>
        <v>2.2000000000000002</v>
        <stp/>
        <stp>ASK</stp>
        <stp>.SPY150424C209.5</stp>
        <tr r="A64" s="1"/>
      </tp>
      <tp t="s">
        <v>N/A</v>
        <stp/>
        <stp>ASK</stp>
        <stp>.SPY150918P205.5</stp>
        <tr r="L434" s="1"/>
      </tp>
      <tp t="s">
        <v>N/A</v>
        <stp/>
        <stp>ASK</stp>
        <stp>.SPY160916P208.5</stp>
        <tr r="L734" s="1"/>
      </tp>
      <tp t="s">
        <v>N/A</v>
        <stp/>
        <stp>ASK</stp>
        <stp>.SPY150918P215.5</stp>
        <tr r="L454" s="1"/>
      </tp>
      <tp t="s">
        <v>N/A</v>
        <stp/>
        <stp>ASK</stp>
        <stp>.SPY160916P218.5</stp>
        <tr r="L754" s="1"/>
      </tp>
      <tp t="s">
        <v>N/A</v>
        <stp/>
        <stp>ASK</stp>
        <stp>.SPY160318P206.5</stp>
        <tr r="L646" s="1"/>
      </tp>
      <tp t="s">
        <v>N/A</v>
        <stp/>
        <stp>ASK</stp>
        <stp>.SPY170317P208.5</stp>
        <tr r="L860" s="1"/>
      </tp>
      <tp t="s">
        <v>N/A</v>
        <stp/>
        <stp>ASK</stp>
        <stp>.SPY160318P216.5</stp>
        <tr r="L666" s="1"/>
      </tp>
      <tp t="s">
        <v>N/A</v>
        <stp/>
        <stp>ASK</stp>
        <stp>.SPY170317P218.5</stp>
        <tr r="L880" s="1"/>
      </tp>
      <tp t="s">
        <v>N/A</v>
        <stp/>
        <stp>ASK</stp>
        <stp>.SPY150619P204.5</stp>
        <tr r="L306" s="1"/>
      </tp>
      <tp t="s">
        <v>N/A</v>
        <stp/>
        <stp>ASK</stp>
        <stp>.SPY160617P209.5</stp>
        <tr r="L694" s="1"/>
      </tp>
      <tp t="s">
        <v>N/A</v>
        <stp/>
        <stp>ASK</stp>
        <stp>.SPY150619P214.5</stp>
        <tr r="L326" s="1"/>
      </tp>
      <tp t="s">
        <v>N/A</v>
        <stp/>
        <stp>ASK</stp>
        <stp>.SPY160617P219.5</stp>
        <tr r="L714" s="1"/>
      </tp>
      <tp>
        <v>4.16</v>
        <stp/>
        <stp>ASK</stp>
        <stp>.SPY150508P215.5</stp>
        <tr r="L160" s="1"/>
      </tp>
      <tp>
        <v>0.76</v>
        <stp/>
        <stp>ASK</stp>
        <stp>.SPY150515P208.5</stp>
        <tr r="L188" s="1"/>
      </tp>
      <tp>
        <v>0.1</v>
        <stp/>
        <stp>ASK</stp>
        <stp>.SPY150508P205.5</stp>
        <tr r="L140" s="1"/>
      </tp>
      <tp>
        <v>7.21</v>
        <stp/>
        <stp>ASK</stp>
        <stp>.SPY150515P218.5</stp>
        <tr r="L208" s="1"/>
      </tp>
      <tp>
        <v>4.01</v>
        <stp/>
        <stp>ASK</stp>
        <stp>.SPY150529P214.5</stp>
        <tr r="L284" s="1"/>
      </tp>
      <tp>
        <v>0.77</v>
        <stp/>
        <stp>ASK</stp>
        <stp>.SPY150529P204.5</stp>
        <tr r="L264" s="1"/>
      </tp>
      <tp>
        <v>7.94</v>
        <stp/>
        <stp>ASK</stp>
        <stp>.SPY150424P219.5</stp>
        <tr r="L84" s="1"/>
      </tp>
      <tp>
        <v>0.01</v>
        <stp/>
        <stp>ASK</stp>
        <stp>.SPY150424P209.5</stp>
        <tr r="L64" s="1"/>
      </tp>
      <tp t="s">
        <v>N/A</v>
        <stp/>
        <stp>ASK</stp>
        <stp>.SPY151219P204.5</stp>
        <tr r="L516" s="1"/>
      </tp>
      <tp t="s">
        <v>N/A</v>
        <stp/>
        <stp>ASK</stp>
        <stp>.SPY161216P208.5</stp>
        <tr r="L776" s="1"/>
      </tp>
      <tp t="s">
        <v>N/A</v>
        <stp/>
        <stp>ASK</stp>
        <stp>.SPY151219P214.5</stp>
        <tr r="L536" s="1"/>
      </tp>
      <tp t="s">
        <v>N/A</v>
        <stp/>
        <stp>ASK</stp>
        <stp>.SPY161216P218.5</stp>
        <tr r="L796" s="1"/>
      </tp>
      <tp t="s">
        <v>N/A</v>
        <stp/>
        <stp>DELTA</stp>
        <stp>.SPY150930P211.5</stp>
        <tr r="R488" s="1"/>
      </tp>
      <tp t="s">
        <v>N/A</v>
        <stp/>
        <stp>DELTA</stp>
        <stp>.SPY150930P201.5</stp>
        <tr r="R468" s="1"/>
      </tp>
      <tp t="s">
        <v>N/A</v>
        <stp/>
        <stp>DELTA</stp>
        <stp>.SPY150918P219.5</stp>
        <tr r="R462" s="1"/>
      </tp>
      <tp t="s">
        <v>N/A</v>
        <stp/>
        <stp>DELTA</stp>
        <stp>.SPY160916P214.5</stp>
        <tr r="R746" s="1"/>
      </tp>
      <tp t="s">
        <v>N/A</v>
        <stp/>
        <stp>DELTA</stp>
        <stp>.SPY150918P209.5</stp>
        <tr r="R442" s="1"/>
      </tp>
      <tp t="s">
        <v>N/A</v>
        <stp/>
        <stp>DELTA</stp>
        <stp>.SPY160916P204.5</stp>
        <tr r="R726" s="1"/>
      </tp>
      <tp t="s">
        <v>N/A</v>
        <stp/>
        <stp>DELTA</stp>
        <stp>.SPY150424P205.5</stp>
        <tr r="R56" s="1"/>
      </tp>
      <tp t="s">
        <v>N/A</v>
        <stp/>
        <stp>DELTA</stp>
        <stp>.SPY150424P215.5</stp>
        <tr r="R76" s="1"/>
      </tp>
      <tp t="s">
        <v>N/A</v>
        <stp/>
        <stp>DELTA</stp>
        <stp>.SPY150417P216.5</stp>
        <tr r="R36" s="1"/>
      </tp>
      <tp t="s">
        <v>N/A</v>
        <stp/>
        <stp>DELTA</stp>
        <stp>.SPY150417P206.5</stp>
        <tr r="R16" s="1"/>
      </tp>
      <tp>
        <v>-0.1197</v>
        <stp/>
        <stp>DELTA</stp>
        <stp>.SPY150522P203.5</stp>
        <tr r="R220" s="1"/>
      </tp>
      <tp>
        <v>-0.33218999999999999</v>
        <stp/>
        <stp>DELTA</stp>
        <stp>.SPY150529P208.5</stp>
        <tr r="R272" s="1"/>
      </tp>
      <tp>
        <v>-0.69257000000000002</v>
        <stp/>
        <stp>DELTA</stp>
        <stp>.SPY150522P213.5</stp>
        <tr r="R240" s="1"/>
      </tp>
      <tp>
        <v>-1</v>
        <stp/>
        <stp>DELTA</stp>
        <stp>.SPY150529P218.5</stp>
        <tr r="R292" s="1"/>
      </tp>
      <tp t="s">
        <v>N/A</v>
        <stp/>
        <stp>DELTA</stp>
        <stp>.SPY150501P200.5</stp>
        <tr r="R88" s="1"/>
      </tp>
      <tp>
        <v>-0.24984999999999999</v>
        <stp/>
        <stp>DELTA</stp>
        <stp>.SPY150508P209.5</stp>
        <tr r="R148" s="1"/>
      </tp>
      <tp>
        <v>-0.84575</v>
        <stp/>
        <stp>DELTA</stp>
        <stp>.SPY150515P214.5</stp>
        <tr r="R200" s="1"/>
      </tp>
      <tp t="s">
        <v>N/A</v>
        <stp/>
        <stp>DELTA</stp>
        <stp>.SPY150501P210.5</stp>
        <tr r="R108" s="1"/>
      </tp>
      <tp>
        <v>-0.99975999999999998</v>
        <stp/>
        <stp>DELTA</stp>
        <stp>.SPY150508P219.5</stp>
        <tr r="R168" s="1"/>
      </tp>
      <tp>
        <v>-0.10143000000000001</v>
        <stp/>
        <stp>DELTA</stp>
        <stp>.SPY150515P204.5</stp>
        <tr r="R180" s="1"/>
      </tp>
      <tp t="s">
        <v>N/A</v>
        <stp/>
        <stp>DELTA</stp>
        <stp>.SPY150630P211.5</stp>
        <tr r="R362" s="1"/>
      </tp>
      <tp t="s">
        <v>N/A</v>
        <stp/>
        <stp>DELTA</stp>
        <stp>.SPY150630P201.5</stp>
        <tr r="R342" s="1"/>
      </tp>
      <tp t="s">
        <v>N/A</v>
        <stp/>
        <stp>DELTA</stp>
        <stp>.SPY150619P218.5</stp>
        <tr r="R334" s="1"/>
      </tp>
      <tp t="s">
        <v>N/A</v>
        <stp/>
        <stp>DELTA</stp>
        <stp>.SPY160617P215.5</stp>
        <tr r="R706" s="1"/>
      </tp>
      <tp t="s">
        <v>N/A</v>
        <stp/>
        <stp>DELTA</stp>
        <stp>.SPY150619P208.5</stp>
        <tr r="R314" s="1"/>
      </tp>
      <tp t="s">
        <v>N/A</v>
        <stp/>
        <stp>DELTA</stp>
        <stp>.SPY160617P205.5</stp>
        <tr r="R686" s="1"/>
      </tp>
      <tp t="s">
        <v>N/A</v>
        <stp/>
        <stp>DELTA</stp>
        <stp>.SPY150717P216.5</stp>
        <tr r="R414" s="1"/>
      </tp>
      <tp t="s">
        <v>N/A</v>
        <stp/>
        <stp>DELTA</stp>
        <stp>.SPY150717P206.5</stp>
        <tr r="R394" s="1"/>
      </tp>
      <tp t="s">
        <v>N/A</v>
        <stp/>
        <stp>DELTA</stp>
        <stp>.SPY170120P203.5</stp>
        <tr r="R808" s="1"/>
      </tp>
      <tp t="s">
        <v>N/A</v>
        <stp/>
        <stp>DELTA</stp>
        <stp>.SPY170120P213.5</stp>
        <tr r="R828" s="1"/>
      </tp>
      <tp t="s">
        <v>N/A</v>
        <stp/>
        <stp>DELTA</stp>
        <stp>.SPY160115P217.5</stp>
        <tr r="R626" s="1"/>
      </tp>
      <tp t="s">
        <v>N/A</v>
        <stp/>
        <stp>DELTA</stp>
        <stp>.SPY160115P207.5</stp>
        <tr r="R606" s="1"/>
      </tp>
      <tp t="s">
        <v>N/A</v>
        <stp/>
        <stp>DELTA</stp>
        <stp>.SPY170317P214.5</stp>
        <tr r="R872" s="1"/>
      </tp>
      <tp t="s">
        <v>N/A</v>
        <stp/>
        <stp>DELTA</stp>
        <stp>.SPY170317P204.5</stp>
        <tr r="R852" s="1"/>
      </tp>
      <tp t="s">
        <v>N/A</v>
        <stp/>
        <stp>DELTA</stp>
        <stp>.SPY151231P210.5</stp>
        <tr r="R570" s="1"/>
      </tp>
      <tp t="s">
        <v>N/A</v>
        <stp/>
        <stp>DELTA</stp>
        <stp>.SPY151231P200.5</stp>
        <tr r="R550" s="1"/>
      </tp>
      <tp t="s">
        <v>N/A</v>
        <stp/>
        <stp>DELTA</stp>
        <stp>.SPY151219P218.5</stp>
        <tr r="R544" s="1"/>
      </tp>
      <tp t="s">
        <v>N/A</v>
        <stp/>
        <stp>DELTA</stp>
        <stp>.SPY161216P214.5</stp>
        <tr r="R788" s="1"/>
      </tp>
      <tp t="s">
        <v>N/A</v>
        <stp/>
        <stp>DELTA</stp>
        <stp>.SPY171215P216.5</stp>
        <tr r="R918" s="1"/>
      </tp>
      <tp t="s">
        <v>N/A</v>
        <stp/>
        <stp>DELTA</stp>
        <stp>.SPY151219P208.5</stp>
        <tr r="R524" s="1"/>
      </tp>
      <tp t="s">
        <v>N/A</v>
        <stp/>
        <stp>DELTA</stp>
        <stp>.SPY161216P204.5</stp>
        <tr r="R768" s="1"/>
      </tp>
      <tp t="s">
        <v>N/A</v>
        <stp/>
        <stp>DELTA</stp>
        <stp>.SPY171215P206.5</stp>
        <tr r="R898" s="1"/>
      </tp>
      <tp t="s">
        <v>N/A</v>
        <stp/>
        <stp>THETA</stp>
        <stp>.SPY151231C200.5</stp>
        <tr r="H550" s="1"/>
      </tp>
      <tp t="s">
        <v>N/A</v>
        <stp/>
        <stp>THETA</stp>
        <stp>.SPY151231C210.5</stp>
        <tr r="H570" s="1"/>
      </tp>
      <tp t="s">
        <v>N/A</v>
        <stp/>
        <stp>THETA</stp>
        <stp>.SPY151219C208.5</stp>
        <tr r="H524" s="1"/>
      </tp>
      <tp t="s">
        <v>N/A</v>
        <stp/>
        <stp>THETA</stp>
        <stp>.SPY161216C204.5</stp>
        <tr r="H768" s="1"/>
      </tp>
      <tp t="s">
        <v>N/A</v>
        <stp/>
        <stp>THETA</stp>
        <stp>.SPY171215C206.5</stp>
        <tr r="H898" s="1"/>
      </tp>
      <tp t="s">
        <v>N/A</v>
        <stp/>
        <stp>THETA</stp>
        <stp>.SPY151219C218.5</stp>
        <tr r="H544" s="1"/>
      </tp>
      <tp t="s">
        <v>N/A</v>
        <stp/>
        <stp>THETA</stp>
        <stp>.SPY161216C214.5</stp>
        <tr r="H788" s="1"/>
      </tp>
      <tp t="s">
        <v>N/A</v>
        <stp/>
        <stp>THETA</stp>
        <stp>.SPY171215C216.5</stp>
        <tr r="H918" s="1"/>
      </tp>
      <tp t="s">
        <v>N/A</v>
        <stp/>
        <stp>THETA</stp>
        <stp>.SPY170120C213.5</stp>
        <tr r="H828" s="1"/>
      </tp>
      <tp t="s">
        <v>N/A</v>
        <stp/>
        <stp>THETA</stp>
        <stp>.SPY170120C203.5</stp>
        <tr r="H808" s="1"/>
      </tp>
      <tp t="s">
        <v>N/A</v>
        <stp/>
        <stp>THETA</stp>
        <stp>.SPY160115C207.5</stp>
        <tr r="H606" s="1"/>
      </tp>
      <tp t="s">
        <v>N/A</v>
        <stp/>
        <stp>THETA</stp>
        <stp>.SPY160115C217.5</stp>
        <tr r="H626" s="1"/>
      </tp>
      <tp t="s">
        <v>N/A</v>
        <stp/>
        <stp>THETA</stp>
        <stp>.SPY170317C204.5</stp>
        <tr r="H852" s="1"/>
      </tp>
      <tp t="s">
        <v>N/A</v>
        <stp/>
        <stp>THETA</stp>
        <stp>.SPY170317C214.5</stp>
        <tr r="H872" s="1"/>
      </tp>
      <tp>
        <v>-4.1099999999999998E-2</v>
        <stp/>
        <stp>THETA</stp>
        <stp>.SPY150522C213.5</stp>
        <tr r="H240" s="1"/>
      </tp>
      <tp>
        <v>-1.055E-2</v>
        <stp/>
        <stp>THETA</stp>
        <stp>.SPY150529C218.5</stp>
        <tr r="H292" s="1"/>
      </tp>
      <tp>
        <v>-3.7719999999999997E-2</v>
        <stp/>
        <stp>THETA</stp>
        <stp>.SPY150522C203.5</stp>
        <tr r="H220" s="1"/>
      </tp>
      <tp>
        <v>-4.5060000000000003E-2</v>
        <stp/>
        <stp>THETA</stp>
        <stp>.SPY150529C208.5</stp>
        <tr r="H272" s="1"/>
      </tp>
      <tp t="s">
        <v>N/A</v>
        <stp/>
        <stp>THETA</stp>
        <stp>.SPY150501C210.5</stp>
        <tr r="H108" s="1"/>
      </tp>
      <tp>
        <v>-5.8300000000000001E-3</v>
        <stp/>
        <stp>THETA</stp>
        <stp>.SPY150508C219.5</stp>
        <tr r="H168" s="1"/>
      </tp>
      <tp>
        <v>-4.1419999999999998E-2</v>
        <stp/>
        <stp>THETA</stp>
        <stp>.SPY150515C204.5</stp>
        <tr r="H180" s="1"/>
      </tp>
      <tp t="s">
        <v>N/A</v>
        <stp/>
        <stp>THETA</stp>
        <stp>.SPY150501C200.5</stp>
        <tr r="H88" s="1"/>
      </tp>
      <tp>
        <v>-8.8220000000000007E-2</v>
        <stp/>
        <stp>THETA</stp>
        <stp>.SPY150508C209.5</stp>
        <tr r="H148" s="1"/>
      </tp>
      <tp>
        <v>-3.5020000000000003E-2</v>
        <stp/>
        <stp>THETA</stp>
        <stp>.SPY150515C214.5</stp>
        <tr r="H200" s="1"/>
      </tp>
      <tp t="s">
        <v>N/A</v>
        <stp/>
        <stp>THETA</stp>
        <stp>.SPY150424C215.5</stp>
        <tr r="H76" s="1"/>
      </tp>
      <tp t="s">
        <v>N/A</v>
        <stp/>
        <stp>THETA</stp>
        <stp>.SPY150424C205.5</stp>
        <tr r="H56" s="1"/>
      </tp>
      <tp t="s">
        <v>N/A</v>
        <stp/>
        <stp>THETA</stp>
        <stp>.SPY150417C206.5</stp>
        <tr r="H16" s="1"/>
      </tp>
      <tp t="s">
        <v>N/A</v>
        <stp/>
        <stp>THETA</stp>
        <stp>.SPY150417C216.5</stp>
        <tr r="H36" s="1"/>
      </tp>
      <tp t="s">
        <v>N/A</v>
        <stp/>
        <stp>THETA</stp>
        <stp>.SPY150717C206.5</stp>
        <tr r="H394" s="1"/>
      </tp>
      <tp t="s">
        <v>N/A</v>
        <stp/>
        <stp>THETA</stp>
        <stp>.SPY150717C216.5</stp>
        <tr r="H414" s="1"/>
      </tp>
      <tp t="s">
        <v>N/A</v>
        <stp/>
        <stp>THETA</stp>
        <stp>.SPY150630C201.5</stp>
        <tr r="H342" s="1"/>
      </tp>
      <tp t="s">
        <v>N/A</v>
        <stp/>
        <stp>THETA</stp>
        <stp>.SPY150630C211.5</stp>
        <tr r="H362" s="1"/>
      </tp>
      <tp t="s">
        <v>N/A</v>
        <stp/>
        <stp>THETA</stp>
        <stp>.SPY150619C208.5</stp>
        <tr r="H314" s="1"/>
      </tp>
      <tp t="s">
        <v>N/A</v>
        <stp/>
        <stp>THETA</stp>
        <stp>.SPY160617C205.5</stp>
        <tr r="H686" s="1"/>
      </tp>
      <tp t="s">
        <v>N/A</v>
        <stp/>
        <stp>THETA</stp>
        <stp>.SPY150619C218.5</stp>
        <tr r="H334" s="1"/>
      </tp>
      <tp t="s">
        <v>N/A</v>
        <stp/>
        <stp>THETA</stp>
        <stp>.SPY160617C215.5</stp>
        <tr r="H706" s="1"/>
      </tp>
      <tp t="s">
        <v>N/A</v>
        <stp/>
        <stp>THETA</stp>
        <stp>.SPY150930C201.5</stp>
        <tr r="H468" s="1"/>
      </tp>
      <tp t="s">
        <v>N/A</v>
        <stp/>
        <stp>THETA</stp>
        <stp>.SPY150930C211.5</stp>
        <tr r="H488" s="1"/>
      </tp>
      <tp t="s">
        <v>N/A</v>
        <stp/>
        <stp>THETA</stp>
        <stp>.SPY150918C209.5</stp>
        <tr r="H442" s="1"/>
      </tp>
      <tp t="s">
        <v>N/A</v>
        <stp/>
        <stp>THETA</stp>
        <stp>.SPY160916C204.5</stp>
        <tr r="H726" s="1"/>
      </tp>
      <tp t="s">
        <v>N/A</v>
        <stp/>
        <stp>THETA</stp>
        <stp>.SPY150918C219.5</stp>
        <tr r="H462" s="1"/>
      </tp>
      <tp t="s">
        <v>N/A</v>
        <stp/>
        <stp>THETA</stp>
        <stp>.SPY160916C214.5</stp>
        <tr r="H746" s="1"/>
      </tp>
      <tp t="s">
        <v>N/A</v>
        <stp/>
        <stp>THETA</stp>
        <stp>.SPY170120P213.5</stp>
        <tr r="S828" s="1"/>
      </tp>
      <tp t="s">
        <v>N/A</v>
        <stp/>
        <stp>THETA</stp>
        <stp>.SPY170120P203.5</stp>
        <tr r="S808" s="1"/>
      </tp>
      <tp t="s">
        <v>N/A</v>
        <stp/>
        <stp>THETA</stp>
        <stp>.SPY160115P207.5</stp>
        <tr r="S606" s="1"/>
      </tp>
      <tp t="s">
        <v>N/A</v>
        <stp/>
        <stp>THETA</stp>
        <stp>.SPY160115P217.5</stp>
        <tr r="S626" s="1"/>
      </tp>
      <tp t="s">
        <v>N/A</v>
        <stp/>
        <stp>THETA</stp>
        <stp>.SPY170317P204.5</stp>
        <tr r="S852" s="1"/>
      </tp>
      <tp t="s">
        <v>N/A</v>
        <stp/>
        <stp>THETA</stp>
        <stp>.SPY170317P214.5</stp>
        <tr r="S872" s="1"/>
      </tp>
      <tp>
        <v>-4.4900000000000002E-2</v>
        <stp/>
        <stp>THETA</stp>
        <stp>.SPY150522P213.5</stp>
        <tr r="S240" s="1"/>
      </tp>
      <tp>
        <v>0</v>
        <stp/>
        <stp>THETA</stp>
        <stp>.SPY150529P218.5</stp>
        <tr r="S292" s="1"/>
      </tp>
      <tp>
        <v>-3.73E-2</v>
        <stp/>
        <stp>THETA</stp>
        <stp>.SPY150522P203.5</stp>
        <tr r="S220" s="1"/>
      </tp>
      <tp>
        <v>-4.8719999999999999E-2</v>
        <stp/>
        <stp>THETA</stp>
        <stp>.SPY150529P208.5</stp>
        <tr r="S272" s="1"/>
      </tp>
      <tp t="s">
        <v>N/A</v>
        <stp/>
        <stp>THETA</stp>
        <stp>.SPY150501P210.5</stp>
        <tr r="S108" s="1"/>
      </tp>
      <tp>
        <v>-8.6999999999999994E-3</v>
        <stp/>
        <stp>THETA</stp>
        <stp>.SPY150508P219.5</stp>
        <tr r="S168" s="1"/>
      </tp>
      <tp>
        <v>-4.2380000000000001E-2</v>
        <stp/>
        <stp>THETA</stp>
        <stp>.SPY150515P204.5</stp>
        <tr r="S180" s="1"/>
      </tp>
      <tp t="s">
        <v>N/A</v>
        <stp/>
        <stp>THETA</stp>
        <stp>.SPY150501P200.5</stp>
        <tr r="S88" s="1"/>
      </tp>
      <tp>
        <v>-9.1789999999999997E-2</v>
        <stp/>
        <stp>THETA</stp>
        <stp>.SPY150508P209.5</stp>
        <tr r="S148" s="1"/>
      </tp>
      <tp>
        <v>-3.7220000000000003E-2</v>
        <stp/>
        <stp>THETA</stp>
        <stp>.SPY150515P214.5</stp>
        <tr r="S200" s="1"/>
      </tp>
      <tp t="s">
        <v>N/A</v>
        <stp/>
        <stp>THETA</stp>
        <stp>.SPY150424P215.5</stp>
        <tr r="S76" s="1"/>
      </tp>
      <tp t="s">
        <v>N/A</v>
        <stp/>
        <stp>THETA</stp>
        <stp>.SPY150424P205.5</stp>
        <tr r="S56" s="1"/>
      </tp>
      <tp t="s">
        <v>N/A</v>
        <stp/>
        <stp>THETA</stp>
        <stp>.SPY150417P206.5</stp>
        <tr r="S16" s="1"/>
      </tp>
      <tp t="s">
        <v>N/A</v>
        <stp/>
        <stp>THETA</stp>
        <stp>.SPY150417P216.5</stp>
        <tr r="S36" s="1"/>
      </tp>
      <tp t="s">
        <v>N/A</v>
        <stp/>
        <stp>THETA</stp>
        <stp>.SPY150717P206.5</stp>
        <tr r="S394" s="1"/>
      </tp>
      <tp t="s">
        <v>N/A</v>
        <stp/>
        <stp>THETA</stp>
        <stp>.SPY150717P216.5</stp>
        <tr r="S414" s="1"/>
      </tp>
      <tp t="s">
        <v>N/A</v>
        <stp/>
        <stp>THETA</stp>
        <stp>.SPY150630P201.5</stp>
        <tr r="S342" s="1"/>
      </tp>
      <tp t="s">
        <v>N/A</v>
        <stp/>
        <stp>THETA</stp>
        <stp>.SPY150630P211.5</stp>
        <tr r="S362" s="1"/>
      </tp>
      <tp t="s">
        <v>N/A</v>
        <stp/>
        <stp>THETA</stp>
        <stp>.SPY150619P208.5</stp>
        <tr r="S314" s="1"/>
      </tp>
      <tp t="s">
        <v>N/A</v>
        <stp/>
        <stp>THETA</stp>
        <stp>.SPY160617P205.5</stp>
        <tr r="S686" s="1"/>
      </tp>
      <tp t="s">
        <v>N/A</v>
        <stp/>
        <stp>THETA</stp>
        <stp>.SPY150619P218.5</stp>
        <tr r="S334" s="1"/>
      </tp>
      <tp t="s">
        <v>N/A</v>
        <stp/>
        <stp>THETA</stp>
        <stp>.SPY160617P215.5</stp>
        <tr r="S706" s="1"/>
      </tp>
      <tp t="s">
        <v>N/A</v>
        <stp/>
        <stp>THETA</stp>
        <stp>.SPY150930P201.5</stp>
        <tr r="S468" s="1"/>
      </tp>
      <tp t="s">
        <v>N/A</v>
        <stp/>
        <stp>THETA</stp>
        <stp>.SPY150930P211.5</stp>
        <tr r="S488" s="1"/>
      </tp>
      <tp t="s">
        <v>N/A</v>
        <stp/>
        <stp>THETA</stp>
        <stp>.SPY150918P209.5</stp>
        <tr r="S442" s="1"/>
      </tp>
      <tp t="s">
        <v>N/A</v>
        <stp/>
        <stp>THETA</stp>
        <stp>.SPY160916P204.5</stp>
        <tr r="S726" s="1"/>
      </tp>
      <tp t="s">
        <v>N/A</v>
        <stp/>
        <stp>THETA</stp>
        <stp>.SPY150918P219.5</stp>
        <tr r="S462" s="1"/>
      </tp>
      <tp t="s">
        <v>N/A</v>
        <stp/>
        <stp>THETA</stp>
        <stp>.SPY160916P214.5</stp>
        <tr r="S746" s="1"/>
      </tp>
      <tp t="s">
        <v>N/A</v>
        <stp/>
        <stp>THETA</stp>
        <stp>.SPY151231P200.5</stp>
        <tr r="S550" s="1"/>
      </tp>
      <tp t="s">
        <v>N/A</v>
        <stp/>
        <stp>THETA</stp>
        <stp>.SPY151231P210.5</stp>
        <tr r="S570" s="1"/>
      </tp>
      <tp t="s">
        <v>N/A</v>
        <stp/>
        <stp>THETA</stp>
        <stp>.SPY151219P208.5</stp>
        <tr r="S524" s="1"/>
      </tp>
      <tp t="s">
        <v>N/A</v>
        <stp/>
        <stp>THETA</stp>
        <stp>.SPY161216P204.5</stp>
        <tr r="S768" s="1"/>
      </tp>
      <tp t="s">
        <v>N/A</v>
        <stp/>
        <stp>THETA</stp>
        <stp>.SPY171215P206.5</stp>
        <tr r="S898" s="1"/>
      </tp>
      <tp t="s">
        <v>N/A</v>
        <stp/>
        <stp>THETA</stp>
        <stp>.SPY151219P218.5</stp>
        <tr r="S544" s="1"/>
      </tp>
      <tp t="s">
        <v>N/A</v>
        <stp/>
        <stp>THETA</stp>
        <stp>.SPY161216P214.5</stp>
        <tr r="S788" s="1"/>
      </tp>
      <tp t="s">
        <v>N/A</v>
        <stp/>
        <stp>THETA</stp>
        <stp>.SPY171215P216.5</stp>
        <tr r="S918" s="1"/>
      </tp>
      <tp t="s">
        <v>N/A</v>
        <stp/>
        <stp>DELTA</stp>
        <stp>.SPY151231C210.5</stp>
        <tr r="G570" s="1"/>
      </tp>
      <tp t="s">
        <v>N/A</v>
        <stp/>
        <stp>DELTA</stp>
        <stp>.SPY151231C200.5</stp>
        <tr r="G550" s="1"/>
      </tp>
      <tp t="s">
        <v>N/A</v>
        <stp/>
        <stp>DELTA</stp>
        <stp>.SPY151219C218.5</stp>
        <tr r="G544" s="1"/>
      </tp>
      <tp t="s">
        <v>N/A</v>
        <stp/>
        <stp>DELTA</stp>
        <stp>.SPY161216C214.5</stp>
        <tr r="G788" s="1"/>
      </tp>
      <tp t="s">
        <v>N/A</v>
        <stp/>
        <stp>DELTA</stp>
        <stp>.SPY171215C216.5</stp>
        <tr r="G918" s="1"/>
      </tp>
      <tp t="s">
        <v>N/A</v>
        <stp/>
        <stp>DELTA</stp>
        <stp>.SPY151219C208.5</stp>
        <tr r="G524" s="1"/>
      </tp>
      <tp t="s">
        <v>N/A</v>
        <stp/>
        <stp>DELTA</stp>
        <stp>.SPY161216C204.5</stp>
        <tr r="G768" s="1"/>
      </tp>
      <tp t="s">
        <v>N/A</v>
        <stp/>
        <stp>DELTA</stp>
        <stp>.SPY171215C206.5</stp>
        <tr r="G898" s="1"/>
      </tp>
      <tp t="s">
        <v>N/A</v>
        <stp/>
        <stp>DELTA</stp>
        <stp>.SPY150930C211.5</stp>
        <tr r="G488" s="1"/>
      </tp>
      <tp t="s">
        <v>N/A</v>
        <stp/>
        <stp>DELTA</stp>
        <stp>.SPY150930C201.5</stp>
        <tr r="G468" s="1"/>
      </tp>
      <tp t="s">
        <v>N/A</v>
        <stp/>
        <stp>DELTA</stp>
        <stp>.SPY150918C219.5</stp>
        <tr r="G462" s="1"/>
      </tp>
      <tp t="s">
        <v>N/A</v>
        <stp/>
        <stp>DELTA</stp>
        <stp>.SPY160916C214.5</stp>
        <tr r="G746" s="1"/>
      </tp>
      <tp t="s">
        <v>N/A</v>
        <stp/>
        <stp>DELTA</stp>
        <stp>.SPY150918C209.5</stp>
        <tr r="G442" s="1"/>
      </tp>
      <tp t="s">
        <v>N/A</v>
        <stp/>
        <stp>DELTA</stp>
        <stp>.SPY160916C204.5</stp>
        <tr r="G726" s="1"/>
      </tp>
      <tp t="s">
        <v>N/A</v>
        <stp/>
        <stp>DELTA</stp>
        <stp>.SPY150424C205.5</stp>
        <tr r="G56" s="1"/>
      </tp>
      <tp t="s">
        <v>N/A</v>
        <stp/>
        <stp>DELTA</stp>
        <stp>.SPY150424C215.5</stp>
        <tr r="G76" s="1"/>
      </tp>
      <tp t="s">
        <v>N/A</v>
        <stp/>
        <stp>DELTA</stp>
        <stp>.SPY150417C216.5</stp>
        <tr r="G36" s="1"/>
      </tp>
      <tp t="s">
        <v>N/A</v>
        <stp/>
        <stp>DELTA</stp>
        <stp>.SPY150417C206.5</stp>
        <tr r="G16" s="1"/>
      </tp>
      <tp>
        <v>0.86400999999999994</v>
        <stp/>
        <stp>DELTA</stp>
        <stp>.SPY150522C203.5</stp>
        <tr r="G220" s="1"/>
      </tp>
      <tp>
        <v>0.65900999999999998</v>
        <stp/>
        <stp>DELTA</stp>
        <stp>.SPY150529C208.5</stp>
        <tr r="G272" s="1"/>
      </tp>
      <tp>
        <v>0.32450000000000001</v>
        <stp/>
        <stp>DELTA</stp>
        <stp>.SPY150522C213.5</stp>
        <tr r="G240" s="1"/>
      </tp>
      <tp>
        <v>6.2829999999999997E-2</v>
        <stp/>
        <stp>DELTA</stp>
        <stp>.SPY150529C218.5</stp>
        <tr r="G292" s="1"/>
      </tp>
      <tp t="s">
        <v>N/A</v>
        <stp/>
        <stp>DELTA</stp>
        <stp>.SPY150501C200.5</stp>
        <tr r="G88" s="1"/>
      </tp>
      <tp>
        <v>0.74419000000000002</v>
        <stp/>
        <stp>DELTA</stp>
        <stp>.SPY150508C209.5</stp>
        <tr r="G148" s="1"/>
      </tp>
      <tp>
        <v>0.1797</v>
        <stp/>
        <stp>DELTA</stp>
        <stp>.SPY150515C214.5</stp>
        <tr r="G200" s="1"/>
      </tp>
      <tp t="s">
        <v>N/A</v>
        <stp/>
        <stp>DELTA</stp>
        <stp>.SPY150501C210.5</stp>
        <tr r="G108" s="1"/>
      </tp>
      <tp>
        <v>5.1799999999999997E-3</v>
        <stp/>
        <stp>DELTA</stp>
        <stp>.SPY150508C219.5</stp>
        <tr r="G168" s="1"/>
      </tp>
      <tp>
        <v>0.88856999999999997</v>
        <stp/>
        <stp>DELTA</stp>
        <stp>.SPY150515C204.5</stp>
        <tr r="G180" s="1"/>
      </tp>
      <tp t="s">
        <v>N/A</v>
        <stp/>
        <stp>DELTA</stp>
        <stp>.SPY150630C211.5</stp>
        <tr r="G362" s="1"/>
      </tp>
      <tp t="s">
        <v>N/A</v>
        <stp/>
        <stp>DELTA</stp>
        <stp>.SPY150630C201.5</stp>
        <tr r="G342" s="1"/>
      </tp>
      <tp t="s">
        <v>N/A</v>
        <stp/>
        <stp>DELTA</stp>
        <stp>.SPY150619C218.5</stp>
        <tr r="G334" s="1"/>
      </tp>
      <tp t="s">
        <v>N/A</v>
        <stp/>
        <stp>DELTA</stp>
        <stp>.SPY160617C215.5</stp>
        <tr r="G706" s="1"/>
      </tp>
      <tp t="s">
        <v>N/A</v>
        <stp/>
        <stp>DELTA</stp>
        <stp>.SPY150619C208.5</stp>
        <tr r="G314" s="1"/>
      </tp>
      <tp t="s">
        <v>N/A</v>
        <stp/>
        <stp>DELTA</stp>
        <stp>.SPY160617C205.5</stp>
        <tr r="G686" s="1"/>
      </tp>
      <tp t="s">
        <v>N/A</v>
        <stp/>
        <stp>DELTA</stp>
        <stp>.SPY150717C216.5</stp>
        <tr r="G414" s="1"/>
      </tp>
      <tp t="s">
        <v>N/A</v>
        <stp/>
        <stp>DELTA</stp>
        <stp>.SPY150717C206.5</stp>
        <tr r="G394" s="1"/>
      </tp>
      <tp t="s">
        <v>N/A</v>
        <stp/>
        <stp>DELTA</stp>
        <stp>.SPY170120C203.5</stp>
        <tr r="G808" s="1"/>
      </tp>
      <tp t="s">
        <v>N/A</v>
        <stp/>
        <stp>DELTA</stp>
        <stp>.SPY170120C213.5</stp>
        <tr r="G828" s="1"/>
      </tp>
      <tp t="s">
        <v>N/A</v>
        <stp/>
        <stp>DELTA</stp>
        <stp>.SPY160115C217.5</stp>
        <tr r="G626" s="1"/>
      </tp>
      <tp t="s">
        <v>N/A</v>
        <stp/>
        <stp>DELTA</stp>
        <stp>.SPY160115C207.5</stp>
        <tr r="G606" s="1"/>
      </tp>
      <tp t="s">
        <v>N/A</v>
        <stp/>
        <stp>DELTA</stp>
        <stp>.SPY170317C214.5</stp>
        <tr r="G872" s="1"/>
      </tp>
      <tp t="s">
        <v>N/A</v>
        <stp/>
        <stp>DELTA</stp>
        <stp>.SPY170317C204.5</stp>
        <tr r="G852" s="1"/>
      </tp>
      <tp t="s">
        <v>N/A</v>
        <stp/>
        <stp>BID</stp>
        <stp>.SPY150930C218.5</stp>
        <tr r="C502" s="1"/>
      </tp>
      <tp t="s">
        <v>N/A</v>
        <stp/>
        <stp>BID</stp>
        <stp>.SPY150930C208.5</stp>
        <tr r="C482" s="1"/>
      </tp>
      <tp t="s">
        <v>N/A</v>
        <stp/>
        <stp>BID</stp>
        <stp>.SPY150918C210.5</stp>
        <tr r="C444" s="1"/>
      </tp>
      <tp t="s">
        <v>N/A</v>
        <stp/>
        <stp>BID</stp>
        <stp>.SPY150918C200.5</stp>
        <tr r="C424" s="1"/>
      </tp>
      <tp t="s">
        <v>N/A</v>
        <stp/>
        <stp>BID</stp>
        <stp>.SPY160318C213.5</stp>
        <tr r="C660" s="1"/>
      </tp>
      <tp t="s">
        <v>N/A</v>
        <stp/>
        <stp>BID</stp>
        <stp>.SPY160318C203.5</stp>
        <tr r="C640" s="1"/>
      </tp>
      <tp t="s">
        <v>N/A</v>
        <stp/>
        <stp>BID</stp>
        <stp>.SPY150630C218.5</stp>
        <tr r="C376" s="1"/>
      </tp>
      <tp t="s">
        <v>N/A</v>
        <stp/>
        <stp>BID</stp>
        <stp>.SPY150630C208.5</stp>
        <tr r="C356" s="1"/>
      </tp>
      <tp t="s">
        <v>N/A</v>
        <stp/>
        <stp>BID</stp>
        <stp>.SPY150619C211.5</stp>
        <tr r="C320" s="1"/>
      </tp>
      <tp t="s">
        <v>N/A</v>
        <stp/>
        <stp>BID</stp>
        <stp>.SPY150619C201.5</stp>
        <tr r="C300" s="1"/>
      </tp>
      <tp>
        <v>10.31</v>
        <stp/>
        <stp>BID</stp>
        <stp>.SPY150529C201.5</stp>
        <tr r="C258" s="1"/>
      </tp>
      <tp>
        <v>2.2999999999999998</v>
        <stp/>
        <stp>BID</stp>
        <stp>.SPY150529C211.5</stp>
        <tr r="C278" s="1"/>
      </tp>
      <tp>
        <v>1.18</v>
        <stp/>
        <stp>BID</stp>
        <stp>.SPY150501C209.5</stp>
        <tr r="C106" s="1"/>
      </tp>
      <tp>
        <v>10.84</v>
        <stp/>
        <stp>BID</stp>
        <stp>.SPY150508C200.5</stp>
        <tr r="C130" s="1"/>
      </tp>
      <tp>
        <v>0</v>
        <stp/>
        <stp>BID</stp>
        <stp>.SPY150501C219.5</stp>
        <tr r="C126" s="1"/>
      </tp>
      <tp>
        <v>1.59</v>
        <stp/>
        <stp>BID</stp>
        <stp>.SPY150508C210.5</stp>
        <tr r="C150" s="1"/>
      </tp>
      <tp t="s">
        <v>N/A</v>
        <stp/>
        <stp>BID</stp>
        <stp>.SPY151231C219.5</stp>
        <tr r="C588" s="1"/>
      </tp>
      <tp t="s">
        <v>N/A</v>
        <stp/>
        <stp>BID</stp>
        <stp>.SPY151231C209.5</stp>
        <tr r="C568" s="1"/>
      </tp>
      <tp t="s">
        <v>N/A</v>
        <stp/>
        <stp>BID</stp>
        <stp>.SPY151219C211.5</stp>
        <tr r="C530" s="1"/>
      </tp>
      <tp t="s">
        <v>N/A</v>
        <stp/>
        <stp>BID</stp>
        <stp>.SPY151219C201.5</stp>
        <tr r="C510" s="1"/>
      </tp>
      <tp t="s">
        <v>N/A</v>
        <stp/>
        <stp>RHO</stp>
        <stp>.SPY151231C218.5</stp>
        <tr r="K586" s="1"/>
      </tp>
      <tp t="s">
        <v>N/A</v>
        <stp/>
        <stp>RHO</stp>
        <stp>.SPY151231C208.5</stp>
        <tr r="K566" s="1"/>
      </tp>
      <tp t="s">
        <v>N/A</v>
        <stp/>
        <stp>RHO</stp>
        <stp>.SPY151219C210.5</stp>
        <tr r="K528" s="1"/>
      </tp>
      <tp t="s">
        <v>N/A</v>
        <stp/>
        <stp>RHO</stp>
        <stp>.SPY151219C200.5</stp>
        <tr r="K508" s="1"/>
      </tp>
      <tp t="s">
        <v>N/A</v>
        <stp/>
        <stp>RHO</stp>
        <stp>.SPY150930C219.5</stp>
        <tr r="K504" s="1"/>
      </tp>
      <tp t="s">
        <v>N/A</v>
        <stp/>
        <stp>RHO</stp>
        <stp>.SPY150930C209.5</stp>
        <tr r="K484" s="1"/>
      </tp>
      <tp t="s">
        <v>N/A</v>
        <stp/>
        <stp>RHO</stp>
        <stp>.SPY150918C211.5</stp>
        <tr r="K446" s="1"/>
      </tp>
      <tp t="s">
        <v>N/A</v>
        <stp/>
        <stp>RHO</stp>
        <stp>.SPY150918C201.5</stp>
        <tr r="K426" s="1"/>
      </tp>
      <tp t="s">
        <v>N/A</v>
        <stp/>
        <stp>RHO</stp>
        <stp>.SPY160318C212.5</stp>
        <tr r="K658" s="1"/>
      </tp>
      <tp t="s">
        <v>N/A</v>
        <stp/>
        <stp>RHO</stp>
        <stp>.SPY160318C202.5</stp>
        <tr r="K638" s="1"/>
      </tp>
      <tp t="s">
        <v>N/A</v>
        <stp/>
        <stp>RHO</stp>
        <stp>.SPY150630C219.5</stp>
        <tr r="K378" s="1"/>
      </tp>
      <tp t="s">
        <v>N/A</v>
        <stp/>
        <stp>RHO</stp>
        <stp>.SPY150630C209.5</stp>
        <tr r="K358" s="1"/>
      </tp>
      <tp t="s">
        <v>N/A</v>
        <stp/>
        <stp>RHO</stp>
        <stp>.SPY150619C210.5</stp>
        <tr r="K318" s="1"/>
      </tp>
      <tp t="s">
        <v>N/A</v>
        <stp/>
        <stp>RHO</stp>
        <stp>.SPY150619C200.5</stp>
        <tr r="K298" s="1"/>
      </tp>
      <tp>
        <v>8.0350000000000005E-2</v>
        <stp/>
        <stp>RHO</stp>
        <stp>.SPY150529C200.5</stp>
        <tr r="K256" s="1"/>
      </tp>
      <tp>
        <v>7.5590000000000004E-2</v>
        <stp/>
        <stp>RHO</stp>
        <stp>.SPY150529C210.5</stp>
        <tr r="K276" s="1"/>
      </tp>
      <tp t="s">
        <v>N/A</v>
        <stp/>
        <stp>RHO</stp>
        <stp>.SPY150501C208.5</stp>
        <tr r="K104" s="1"/>
      </tp>
      <tp>
        <v>6.0099999999999997E-3</v>
        <stp/>
        <stp>RHO</stp>
        <stp>.SPY150508C201.5</stp>
        <tr r="K132" s="1"/>
      </tp>
      <tp t="s">
        <v>N/A</v>
        <stp/>
        <stp>RHO</stp>
        <stp>.SPY150501C218.5</stp>
        <tr r="K124" s="1"/>
      </tp>
      <tp>
        <v>1.357E-2</v>
        <stp/>
        <stp>RHO</stp>
        <stp>.SPY150508C211.5</stp>
        <tr r="K152" s="1"/>
      </tp>
      <tp t="s">
        <v>N/A</v>
        <stp/>
        <stp>BID</stp>
        <stp>.SPY151231P219.5</stp>
        <tr r="N588" s="1"/>
      </tp>
      <tp t="s">
        <v>N/A</v>
        <stp/>
        <stp>BID</stp>
        <stp>.SPY151231P209.5</stp>
        <tr r="N568" s="1"/>
      </tp>
      <tp t="s">
        <v>N/A</v>
        <stp/>
        <stp>BID</stp>
        <stp>.SPY151219P211.5</stp>
        <tr r="N530" s="1"/>
      </tp>
      <tp t="s">
        <v>N/A</v>
        <stp/>
        <stp>BID</stp>
        <stp>.SPY151219P201.5</stp>
        <tr r="N510" s="1"/>
      </tp>
      <tp t="s">
        <v>N/A</v>
        <stp/>
        <stp>BID</stp>
        <stp>.SPY150930P218.5</stp>
        <tr r="N502" s="1"/>
      </tp>
      <tp t="s">
        <v>N/A</v>
        <stp/>
        <stp>BID</stp>
        <stp>.SPY150930P208.5</stp>
        <tr r="N482" s="1"/>
      </tp>
      <tp t="s">
        <v>N/A</v>
        <stp/>
        <stp>BID</stp>
        <stp>.SPY150918P210.5</stp>
        <tr r="N444" s="1"/>
      </tp>
      <tp t="s">
        <v>N/A</v>
        <stp/>
        <stp>BID</stp>
        <stp>.SPY150918P200.5</stp>
        <tr r="N424" s="1"/>
      </tp>
      <tp t="s">
        <v>N/A</v>
        <stp/>
        <stp>BID</stp>
        <stp>.SPY160318P213.5</stp>
        <tr r="N660" s="1"/>
      </tp>
      <tp t="s">
        <v>N/A</v>
        <stp/>
        <stp>BID</stp>
        <stp>.SPY160318P203.5</stp>
        <tr r="N640" s="1"/>
      </tp>
      <tp t="s">
        <v>N/A</v>
        <stp/>
        <stp>BID</stp>
        <stp>.SPY150630P218.5</stp>
        <tr r="N376" s="1"/>
      </tp>
      <tp t="s">
        <v>N/A</v>
        <stp/>
        <stp>BID</stp>
        <stp>.SPY150630P208.5</stp>
        <tr r="N356" s="1"/>
      </tp>
      <tp t="s">
        <v>N/A</v>
        <stp/>
        <stp>BID</stp>
        <stp>.SPY150619P211.5</stp>
        <tr r="N320" s="1"/>
      </tp>
      <tp t="s">
        <v>N/A</v>
        <stp/>
        <stp>BID</stp>
        <stp>.SPY150619P201.5</stp>
        <tr r="N300" s="1"/>
      </tp>
      <tp>
        <v>0.44</v>
        <stp/>
        <stp>BID</stp>
        <stp>.SPY150529P201.5</stp>
        <tr r="N258" s="1"/>
      </tp>
      <tp>
        <v>2.34</v>
        <stp/>
        <stp>BID</stp>
        <stp>.SPY150529P211.5</stp>
        <tr r="N278" s="1"/>
      </tp>
      <tp>
        <v>0</v>
        <stp/>
        <stp>BID</stp>
        <stp>.SPY150501P209.5</stp>
        <tr r="N106" s="1"/>
      </tp>
      <tp>
        <v>0.02</v>
        <stp/>
        <stp>BID</stp>
        <stp>.SPY150508P200.5</stp>
        <tr r="N130" s="1"/>
      </tp>
      <tp>
        <v>8.64</v>
        <stp/>
        <stp>BID</stp>
        <stp>.SPY150501P219.5</stp>
        <tr r="N126" s="1"/>
      </tp>
      <tp>
        <v>0.64</v>
        <stp/>
        <stp>BID</stp>
        <stp>.SPY150508P210.5</stp>
        <tr r="N150" s="1"/>
      </tp>
      <tp t="s">
        <v>N/A</v>
        <stp/>
        <stp>RHO</stp>
        <stp>.SPY150930P219.5</stp>
        <tr r="V504" s="1"/>
      </tp>
      <tp t="s">
        <v>N/A</v>
        <stp/>
        <stp>RHO</stp>
        <stp>.SPY150930P209.5</stp>
        <tr r="V484" s="1"/>
      </tp>
      <tp t="s">
        <v>N/A</v>
        <stp/>
        <stp>RHO</stp>
        <stp>.SPY150918P211.5</stp>
        <tr r="V446" s="1"/>
      </tp>
      <tp t="s">
        <v>N/A</v>
        <stp/>
        <stp>RHO</stp>
        <stp>.SPY150918P201.5</stp>
        <tr r="V426" s="1"/>
      </tp>
      <tp t="s">
        <v>N/A</v>
        <stp/>
        <stp>RHO</stp>
        <stp>.SPY160318P212.5</stp>
        <tr r="V658" s="1"/>
      </tp>
      <tp t="s">
        <v>N/A</v>
        <stp/>
        <stp>RHO</stp>
        <stp>.SPY160318P202.5</stp>
        <tr r="V638" s="1"/>
      </tp>
      <tp t="s">
        <v>N/A</v>
        <stp/>
        <stp>RHO</stp>
        <stp>.SPY150630P219.5</stp>
        <tr r="V378" s="1"/>
      </tp>
      <tp t="s">
        <v>N/A</v>
        <stp/>
        <stp>RHO</stp>
        <stp>.SPY150630P209.5</stp>
        <tr r="V358" s="1"/>
      </tp>
      <tp t="s">
        <v>N/A</v>
        <stp/>
        <stp>RHO</stp>
        <stp>.SPY150619P210.5</stp>
        <tr r="V318" s="1"/>
      </tp>
      <tp t="s">
        <v>N/A</v>
        <stp/>
        <stp>RHO</stp>
        <stp>.SPY150619P200.5</stp>
        <tr r="V298" s="1"/>
      </tp>
      <tp>
        <v>-1.439E-2</v>
        <stp/>
        <stp>RHO</stp>
        <stp>.SPY150529P200.5</stp>
        <tr r="V256" s="1"/>
      </tp>
      <tp>
        <v>-6.8360000000000004E-2</v>
        <stp/>
        <stp>RHO</stp>
        <stp>.SPY150529P210.5</stp>
        <tr r="V276" s="1"/>
      </tp>
      <tp t="s">
        <v>N/A</v>
        <stp/>
        <stp>RHO</stp>
        <stp>.SPY150501P208.5</stp>
        <tr r="V104" s="1"/>
      </tp>
      <tp>
        <v>-4.2999999999999999E-4</v>
        <stp/>
        <stp>RHO</stp>
        <stp>.SPY150508P201.5</stp>
        <tr r="V132" s="1"/>
      </tp>
      <tp t="s">
        <v>N/A</v>
        <stp/>
        <stp>RHO</stp>
        <stp>.SPY150501P218.5</stp>
        <tr r="V124" s="1"/>
      </tp>
      <tp>
        <v>-1.4930000000000001E-2</v>
        <stp/>
        <stp>RHO</stp>
        <stp>.SPY150508P211.5</stp>
        <tr r="V152" s="1"/>
      </tp>
      <tp t="s">
        <v>N/A</v>
        <stp/>
        <stp>RHO</stp>
        <stp>.SPY151231P218.5</stp>
        <tr r="V586" s="1"/>
      </tp>
      <tp t="s">
        <v>N/A</v>
        <stp/>
        <stp>RHO</stp>
        <stp>.SPY151231P208.5</stp>
        <tr r="V566" s="1"/>
      </tp>
      <tp t="s">
        <v>N/A</v>
        <stp/>
        <stp>RHO</stp>
        <stp>.SPY151219P210.5</stp>
        <tr r="V528" s="1"/>
      </tp>
      <tp t="s">
        <v>N/A</v>
        <stp/>
        <stp>RHO</stp>
        <stp>.SPY151219P200.5</stp>
        <tr r="V508" s="1"/>
      </tp>
      <tp t="s">
        <v>N/A</v>
        <stp/>
        <stp>DELTA</stp>
        <stp>.SPY150930P210.5</stp>
        <tr r="R486" s="1"/>
      </tp>
      <tp t="s">
        <v>N/A</v>
        <stp/>
        <stp>DELTA</stp>
        <stp>.SPY150930P200.5</stp>
        <tr r="R466" s="1"/>
      </tp>
      <tp t="s">
        <v>N/A</v>
        <stp/>
        <stp>DELTA</stp>
        <stp>.SPY150918P218.5</stp>
        <tr r="R460" s="1"/>
      </tp>
      <tp t="s">
        <v>N/A</v>
        <stp/>
        <stp>DELTA</stp>
        <stp>.SPY160916P215.5</stp>
        <tr r="R748" s="1"/>
      </tp>
      <tp t="s">
        <v>N/A</v>
        <stp/>
        <stp>DELTA</stp>
        <stp>.SPY150918P208.5</stp>
        <tr r="R440" s="1"/>
      </tp>
      <tp t="s">
        <v>N/A</v>
        <stp/>
        <stp>DELTA</stp>
        <stp>.SPY160916P205.5</stp>
        <tr r="R728" s="1"/>
      </tp>
      <tp t="s">
        <v>N/A</v>
        <stp/>
        <stp>DELTA</stp>
        <stp>.SPY150424P204.5</stp>
        <tr r="R54" s="1"/>
      </tp>
      <tp t="s">
        <v>N/A</v>
        <stp/>
        <stp>DELTA</stp>
        <stp>.SPY150424P214.5</stp>
        <tr r="R74" s="1"/>
      </tp>
      <tp t="s">
        <v>N/A</v>
        <stp/>
        <stp>DELTA</stp>
        <stp>.SPY150417P217.5</stp>
        <tr r="R38" s="1"/>
      </tp>
      <tp t="s">
        <v>N/A</v>
        <stp/>
        <stp>DELTA</stp>
        <stp>.SPY150417P207.5</stp>
        <tr r="R18" s="1"/>
      </tp>
      <tp>
        <v>-9.9709999999999993E-2</v>
        <stp/>
        <stp>DELTA</stp>
        <stp>.SPY150522P202.5</stp>
        <tr r="R218" s="1"/>
      </tp>
      <tp>
        <v>-0.38468000000000002</v>
        <stp/>
        <stp>DELTA</stp>
        <stp>.SPY150529P209.5</stp>
        <tr r="R274" s="1"/>
      </tp>
      <tp>
        <v>-0.59833999999999998</v>
        <stp/>
        <stp>DELTA</stp>
        <stp>.SPY150522P212.5</stp>
        <tr r="R238" s="1"/>
      </tp>
      <tp>
        <v>-0.99875000000000003</v>
        <stp/>
        <stp>DELTA</stp>
        <stp>.SPY150529P219.5</stp>
        <tr r="R294" s="1"/>
      </tp>
      <tp t="s">
        <v>N/A</v>
        <stp/>
        <stp>DELTA</stp>
        <stp>.SPY150501P201.5</stp>
        <tr r="R90" s="1"/>
      </tp>
      <tp>
        <v>-0.16850000000000001</v>
        <stp/>
        <stp>DELTA</stp>
        <stp>.SPY150508P208.5</stp>
        <tr r="R146" s="1"/>
      </tp>
      <tp>
        <v>-0.94660999999999995</v>
        <stp/>
        <stp>DELTA</stp>
        <stp>.SPY150515P215.5</stp>
        <tr r="R202" s="1"/>
      </tp>
      <tp t="s">
        <v>N/A</v>
        <stp/>
        <stp>DELTA</stp>
        <stp>.SPY150501P211.5</stp>
        <tr r="R110" s="1"/>
      </tp>
      <tp>
        <v>-1</v>
        <stp/>
        <stp>DELTA</stp>
        <stp>.SPY150508P218.5</stp>
        <tr r="R166" s="1"/>
      </tp>
      <tp>
        <v>-0.12961</v>
        <stp/>
        <stp>DELTA</stp>
        <stp>.SPY150515P205.5</stp>
        <tr r="R182" s="1"/>
      </tp>
      <tp t="s">
        <v>N/A</v>
        <stp/>
        <stp>DELTA</stp>
        <stp>.SPY150630P210.5</stp>
        <tr r="R360" s="1"/>
      </tp>
      <tp t="s">
        <v>N/A</v>
        <stp/>
        <stp>DELTA</stp>
        <stp>.SPY150630P200.5</stp>
        <tr r="R340" s="1"/>
      </tp>
      <tp t="s">
        <v>N/A</v>
        <stp/>
        <stp>DELTA</stp>
        <stp>.SPY150619P219.5</stp>
        <tr r="R336" s="1"/>
      </tp>
      <tp t="s">
        <v>N/A</v>
        <stp/>
        <stp>DELTA</stp>
        <stp>.SPY160617P214.5</stp>
        <tr r="R704" s="1"/>
      </tp>
      <tp t="s">
        <v>N/A</v>
        <stp/>
        <stp>DELTA</stp>
        <stp>.SPY150619P209.5</stp>
        <tr r="R316" s="1"/>
      </tp>
      <tp t="s">
        <v>N/A</v>
        <stp/>
        <stp>DELTA</stp>
        <stp>.SPY160617P204.5</stp>
        <tr r="R684" s="1"/>
      </tp>
      <tp t="s">
        <v>N/A</v>
        <stp/>
        <stp>DELTA</stp>
        <stp>.SPY150717P217.5</stp>
        <tr r="R416" s="1"/>
      </tp>
      <tp t="s">
        <v>N/A</v>
        <stp/>
        <stp>DELTA</stp>
        <stp>.SPY150717P207.5</stp>
        <tr r="R396" s="1"/>
      </tp>
      <tp t="s">
        <v>N/A</v>
        <stp/>
        <stp>DELTA</stp>
        <stp>.SPY170120P202.5</stp>
        <tr r="R806" s="1"/>
      </tp>
      <tp t="s">
        <v>N/A</v>
        <stp/>
        <stp>DELTA</stp>
        <stp>.SPY170120P212.5</stp>
        <tr r="R826" s="1"/>
      </tp>
      <tp t="s">
        <v>N/A</v>
        <stp/>
        <stp>DELTA</stp>
        <stp>.SPY160115P216.5</stp>
        <tr r="R624" s="1"/>
      </tp>
      <tp t="s">
        <v>N/A</v>
        <stp/>
        <stp>DELTA</stp>
        <stp>.SPY160115P206.5</stp>
        <tr r="R604" s="1"/>
      </tp>
      <tp t="s">
        <v>N/A</v>
        <stp/>
        <stp>DELTA</stp>
        <stp>.SPY170317P215.5</stp>
        <tr r="R874" s="1"/>
      </tp>
      <tp t="s">
        <v>N/A</v>
        <stp/>
        <stp>DELTA</stp>
        <stp>.SPY170317P205.5</stp>
        <tr r="R854" s="1"/>
      </tp>
      <tp t="s">
        <v>N/A</v>
        <stp/>
        <stp>DELTA</stp>
        <stp>.SPY151231P211.5</stp>
        <tr r="R572" s="1"/>
      </tp>
      <tp t="s">
        <v>N/A</v>
        <stp/>
        <stp>DELTA</stp>
        <stp>.SPY151231P201.5</stp>
        <tr r="R552" s="1"/>
      </tp>
      <tp t="s">
        <v>N/A</v>
        <stp/>
        <stp>DELTA</stp>
        <stp>.SPY151219P219.5</stp>
        <tr r="R546" s="1"/>
      </tp>
      <tp t="s">
        <v>N/A</v>
        <stp/>
        <stp>DELTA</stp>
        <stp>.SPY161216P215.5</stp>
        <tr r="R790" s="1"/>
      </tp>
      <tp t="s">
        <v>N/A</v>
        <stp/>
        <stp>DELTA</stp>
        <stp>.SPY171215P217.5</stp>
        <tr r="R920" s="1"/>
      </tp>
      <tp t="s">
        <v>N/A</v>
        <stp/>
        <stp>DELTA</stp>
        <stp>.SPY151219P209.5</stp>
        <tr r="R526" s="1"/>
      </tp>
      <tp t="s">
        <v>N/A</v>
        <stp/>
        <stp>DELTA</stp>
        <stp>.SPY161216P205.5</stp>
        <tr r="R770" s="1"/>
      </tp>
      <tp t="s">
        <v>N/A</v>
        <stp/>
        <stp>DELTA</stp>
        <stp>.SPY171215P207.5</stp>
        <tr r="R900" s="1"/>
      </tp>
      <tp t="s">
        <v>N/A</v>
        <stp/>
        <stp>THETA</stp>
        <stp>.SPY151231C201.5</stp>
        <tr r="H552" s="1"/>
      </tp>
      <tp t="s">
        <v>N/A</v>
        <stp/>
        <stp>THETA</stp>
        <stp>.SPY151231C211.5</stp>
        <tr r="H572" s="1"/>
      </tp>
      <tp t="s">
        <v>N/A</v>
        <stp/>
        <stp>THETA</stp>
        <stp>.SPY151219C209.5</stp>
        <tr r="H526" s="1"/>
      </tp>
      <tp t="s">
        <v>N/A</v>
        <stp/>
        <stp>THETA</stp>
        <stp>.SPY161216C205.5</stp>
        <tr r="H770" s="1"/>
      </tp>
      <tp t="s">
        <v>N/A</v>
        <stp/>
        <stp>THETA</stp>
        <stp>.SPY171215C207.5</stp>
        <tr r="H900" s="1"/>
      </tp>
      <tp t="s">
        <v>N/A</v>
        <stp/>
        <stp>THETA</stp>
        <stp>.SPY151219C219.5</stp>
        <tr r="H546" s="1"/>
      </tp>
      <tp t="s">
        <v>N/A</v>
        <stp/>
        <stp>THETA</stp>
        <stp>.SPY161216C215.5</stp>
        <tr r="H790" s="1"/>
      </tp>
      <tp t="s">
        <v>N/A</v>
        <stp/>
        <stp>THETA</stp>
        <stp>.SPY171215C217.5</stp>
        <tr r="H920" s="1"/>
      </tp>
      <tp t="s">
        <v>N/A</v>
        <stp/>
        <stp>THETA</stp>
        <stp>.SPY170120C212.5</stp>
        <tr r="H826" s="1"/>
      </tp>
      <tp t="s">
        <v>N/A</v>
        <stp/>
        <stp>THETA</stp>
        <stp>.SPY170120C202.5</stp>
        <tr r="H806" s="1"/>
      </tp>
      <tp t="s">
        <v>N/A</v>
        <stp/>
        <stp>THETA</stp>
        <stp>.SPY160115C206.5</stp>
        <tr r="H604" s="1"/>
      </tp>
      <tp t="s">
        <v>N/A</v>
        <stp/>
        <stp>THETA</stp>
        <stp>.SPY160115C216.5</stp>
        <tr r="H624" s="1"/>
      </tp>
      <tp t="s">
        <v>N/A</v>
        <stp/>
        <stp>THETA</stp>
        <stp>.SPY170317C205.5</stp>
        <tr r="H854" s="1"/>
      </tp>
      <tp t="s">
        <v>N/A</v>
        <stp/>
        <stp>THETA</stp>
        <stp>.SPY170317C215.5</stp>
        <tr r="H874" s="1"/>
      </tp>
      <tp>
        <v>-4.7149999999999997E-2</v>
        <stp/>
        <stp>THETA</stp>
        <stp>.SPY150522C212.5</stp>
        <tr r="H238" s="1"/>
      </tp>
      <tp>
        <v>-7.8899999999999994E-3</v>
        <stp/>
        <stp>THETA</stp>
        <stp>.SPY150529C219.5</stp>
        <tr r="H294" s="1"/>
      </tp>
      <tp>
        <v>-3.4410000000000003E-2</v>
        <stp/>
        <stp>THETA</stp>
        <stp>.SPY150522C202.5</stp>
        <tr r="H218" s="1"/>
      </tp>
      <tp>
        <v>-4.5560000000000003E-2</v>
        <stp/>
        <stp>THETA</stp>
        <stp>.SPY150529C209.5</stp>
        <tr r="H274" s="1"/>
      </tp>
      <tp t="s">
        <v>N/A</v>
        <stp/>
        <stp>THETA</stp>
        <stp>.SPY150501C211.5</stp>
        <tr r="H110" s="1"/>
      </tp>
      <tp>
        <v>-5.64E-3</v>
        <stp/>
        <stp>THETA</stp>
        <stp>.SPY150508C218.5</stp>
        <tr r="H166" s="1"/>
      </tp>
      <tp>
        <v>-4.6199999999999998E-2</v>
        <stp/>
        <stp>THETA</stp>
        <stp>.SPY150515C205.5</stp>
        <tr r="H182" s="1"/>
      </tp>
      <tp t="s">
        <v>N/A</v>
        <stp/>
        <stp>THETA</stp>
        <stp>.SPY150501C201.5</stp>
        <tr r="H90" s="1"/>
      </tp>
      <tp>
        <v>-7.1199999999999999E-2</v>
        <stp/>
        <stp>THETA</stp>
        <stp>.SPY150508C208.5</stp>
        <tr r="H146" s="1"/>
      </tp>
      <tp>
        <v>-2.3709999999999998E-2</v>
        <stp/>
        <stp>THETA</stp>
        <stp>.SPY150515C215.5</stp>
        <tr r="H202" s="1"/>
      </tp>
      <tp t="s">
        <v>N/A</v>
        <stp/>
        <stp>THETA</stp>
        <stp>.SPY150424C214.5</stp>
        <tr r="H74" s="1"/>
      </tp>
      <tp t="s">
        <v>N/A</v>
        <stp/>
        <stp>THETA</stp>
        <stp>.SPY150424C204.5</stp>
        <tr r="H54" s="1"/>
      </tp>
      <tp t="s">
        <v>N/A</v>
        <stp/>
        <stp>THETA</stp>
        <stp>.SPY150417C207.5</stp>
        <tr r="H18" s="1"/>
      </tp>
      <tp t="s">
        <v>N/A</v>
        <stp/>
        <stp>THETA</stp>
        <stp>.SPY150417C217.5</stp>
        <tr r="H38" s="1"/>
      </tp>
      <tp t="s">
        <v>N/A</v>
        <stp/>
        <stp>THETA</stp>
        <stp>.SPY150717C207.5</stp>
        <tr r="H396" s="1"/>
      </tp>
      <tp t="s">
        <v>N/A</v>
        <stp/>
        <stp>THETA</stp>
        <stp>.SPY150717C217.5</stp>
        <tr r="H416" s="1"/>
      </tp>
      <tp t="s">
        <v>N/A</v>
        <stp/>
        <stp>THETA</stp>
        <stp>.SPY150630C200.5</stp>
        <tr r="H340" s="1"/>
      </tp>
      <tp t="s">
        <v>N/A</v>
        <stp/>
        <stp>THETA</stp>
        <stp>.SPY150630C210.5</stp>
        <tr r="H360" s="1"/>
      </tp>
      <tp t="s">
        <v>N/A</v>
        <stp/>
        <stp>THETA</stp>
        <stp>.SPY150619C209.5</stp>
        <tr r="H316" s="1"/>
      </tp>
      <tp t="s">
        <v>N/A</v>
        <stp/>
        <stp>THETA</stp>
        <stp>.SPY160617C204.5</stp>
        <tr r="H684" s="1"/>
      </tp>
      <tp t="s">
        <v>N/A</v>
        <stp/>
        <stp>THETA</stp>
        <stp>.SPY150619C219.5</stp>
        <tr r="H336" s="1"/>
      </tp>
      <tp t="s">
        <v>N/A</v>
        <stp/>
        <stp>THETA</stp>
        <stp>.SPY160617C214.5</stp>
        <tr r="H704" s="1"/>
      </tp>
      <tp t="s">
        <v>N/A</v>
        <stp/>
        <stp>THETA</stp>
        <stp>.SPY150930C200.5</stp>
        <tr r="H466" s="1"/>
      </tp>
      <tp t="s">
        <v>N/A</v>
        <stp/>
        <stp>THETA</stp>
        <stp>.SPY150930C210.5</stp>
        <tr r="H486" s="1"/>
      </tp>
      <tp t="s">
        <v>N/A</v>
        <stp/>
        <stp>THETA</stp>
        <stp>.SPY150918C208.5</stp>
        <tr r="H440" s="1"/>
      </tp>
      <tp t="s">
        <v>N/A</v>
        <stp/>
        <stp>THETA</stp>
        <stp>.SPY160916C205.5</stp>
        <tr r="H728" s="1"/>
      </tp>
      <tp t="s">
        <v>N/A</v>
        <stp/>
        <stp>THETA</stp>
        <stp>.SPY150918C218.5</stp>
        <tr r="H460" s="1"/>
      </tp>
      <tp t="s">
        <v>N/A</v>
        <stp/>
        <stp>THETA</stp>
        <stp>.SPY160916C215.5</stp>
        <tr r="H748" s="1"/>
      </tp>
      <tp t="s">
        <v>N/A</v>
        <stp/>
        <stp>THETA</stp>
        <stp>.SPY170120P212.5</stp>
        <tr r="S826" s="1"/>
      </tp>
      <tp t="s">
        <v>N/A</v>
        <stp/>
        <stp>THETA</stp>
        <stp>.SPY170120P202.5</stp>
        <tr r="S806" s="1"/>
      </tp>
      <tp t="s">
        <v>N/A</v>
        <stp/>
        <stp>THETA</stp>
        <stp>.SPY160115P206.5</stp>
        <tr r="S604" s="1"/>
      </tp>
      <tp t="s">
        <v>N/A</v>
        <stp/>
        <stp>THETA</stp>
        <stp>.SPY160115P216.5</stp>
        <tr r="S624" s="1"/>
      </tp>
      <tp t="s">
        <v>N/A</v>
        <stp/>
        <stp>THETA</stp>
        <stp>.SPY170317P205.5</stp>
        <tr r="S854" s="1"/>
      </tp>
      <tp t="s">
        <v>N/A</v>
        <stp/>
        <stp>THETA</stp>
        <stp>.SPY170317P215.5</stp>
        <tr r="S874" s="1"/>
      </tp>
      <tp>
        <v>-5.126E-2</v>
        <stp/>
        <stp>THETA</stp>
        <stp>.SPY150522P212.5</stp>
        <tr r="S238" s="1"/>
      </tp>
      <tp>
        <v>-8.6899999999999998E-3</v>
        <stp/>
        <stp>THETA</stp>
        <stp>.SPY150529P219.5</stp>
        <tr r="S294" s="1"/>
      </tp>
      <tp>
        <v>-3.3930000000000002E-2</v>
        <stp/>
        <stp>THETA</stp>
        <stp>.SPY150522P202.5</stp>
        <tr r="S218" s="1"/>
      </tp>
      <tp>
        <v>-4.9270000000000001E-2</v>
        <stp/>
        <stp>THETA</stp>
        <stp>.SPY150529P209.5</stp>
        <tr r="S274" s="1"/>
      </tp>
      <tp t="s">
        <v>N/A</v>
        <stp/>
        <stp>THETA</stp>
        <stp>.SPY150501P211.5</stp>
        <tr r="S110" s="1"/>
      </tp>
      <tp>
        <v>-5.219E-2</v>
        <stp/>
        <stp>THETA</stp>
        <stp>.SPY150508P218.5</stp>
        <tr r="S166" s="1"/>
      </tp>
      <tp>
        <v>-4.8349999999999997E-2</v>
        <stp/>
        <stp>THETA</stp>
        <stp>.SPY150515P205.5</stp>
        <tr r="S182" s="1"/>
      </tp>
      <tp t="s">
        <v>N/A</v>
        <stp/>
        <stp>THETA</stp>
        <stp>.SPY150501P201.5</stp>
        <tr r="S90" s="1"/>
      </tp>
      <tp>
        <v>-7.8950000000000006E-2</v>
        <stp/>
        <stp>THETA</stp>
        <stp>.SPY150508P208.5</stp>
        <tr r="S146" s="1"/>
      </tp>
      <tp>
        <v>-1.9859999999999999E-2</v>
        <stp/>
        <stp>THETA</stp>
        <stp>.SPY150515P215.5</stp>
        <tr r="S202" s="1"/>
      </tp>
      <tp t="s">
        <v>N/A</v>
        <stp/>
        <stp>THETA</stp>
        <stp>.SPY150424P214.5</stp>
        <tr r="S74" s="1"/>
      </tp>
      <tp t="s">
        <v>N/A</v>
        <stp/>
        <stp>THETA</stp>
        <stp>.SPY150424P204.5</stp>
        <tr r="S54" s="1"/>
      </tp>
      <tp t="s">
        <v>N/A</v>
        <stp/>
        <stp>THETA</stp>
        <stp>.SPY150417P207.5</stp>
        <tr r="S18" s="1"/>
      </tp>
      <tp t="s">
        <v>N/A</v>
        <stp/>
        <stp>THETA</stp>
        <stp>.SPY150417P217.5</stp>
        <tr r="S38" s="1"/>
      </tp>
      <tp t="s">
        <v>N/A</v>
        <stp/>
        <stp>THETA</stp>
        <stp>.SPY150717P207.5</stp>
        <tr r="S396" s="1"/>
      </tp>
      <tp t="s">
        <v>N/A</v>
        <stp/>
        <stp>THETA</stp>
        <stp>.SPY150717P217.5</stp>
        <tr r="S416" s="1"/>
      </tp>
      <tp t="s">
        <v>N/A</v>
        <stp/>
        <stp>THETA</stp>
        <stp>.SPY150630P200.5</stp>
        <tr r="S340" s="1"/>
      </tp>
      <tp t="s">
        <v>N/A</v>
        <stp/>
        <stp>THETA</stp>
        <stp>.SPY150630P210.5</stp>
        <tr r="S360" s="1"/>
      </tp>
      <tp t="s">
        <v>N/A</v>
        <stp/>
        <stp>THETA</stp>
        <stp>.SPY150619P209.5</stp>
        <tr r="S316" s="1"/>
      </tp>
      <tp t="s">
        <v>N/A</v>
        <stp/>
        <stp>THETA</stp>
        <stp>.SPY160617P204.5</stp>
        <tr r="S684" s="1"/>
      </tp>
      <tp t="s">
        <v>N/A</v>
        <stp/>
        <stp>THETA</stp>
        <stp>.SPY150619P219.5</stp>
        <tr r="S336" s="1"/>
      </tp>
      <tp t="s">
        <v>N/A</v>
        <stp/>
        <stp>THETA</stp>
        <stp>.SPY160617P214.5</stp>
        <tr r="S704" s="1"/>
      </tp>
      <tp t="s">
        <v>N/A</v>
        <stp/>
        <stp>THETA</stp>
        <stp>.SPY150930P200.5</stp>
        <tr r="S466" s="1"/>
      </tp>
      <tp t="s">
        <v>N/A</v>
        <stp/>
        <stp>THETA</stp>
        <stp>.SPY150930P210.5</stp>
        <tr r="S486" s="1"/>
      </tp>
      <tp t="s">
        <v>N/A</v>
        <stp/>
        <stp>THETA</stp>
        <stp>.SPY150918P208.5</stp>
        <tr r="S440" s="1"/>
      </tp>
      <tp t="s">
        <v>N/A</v>
        <stp/>
        <stp>THETA</stp>
        <stp>.SPY160916P205.5</stp>
        <tr r="S728" s="1"/>
      </tp>
      <tp t="s">
        <v>N/A</v>
        <stp/>
        <stp>THETA</stp>
        <stp>.SPY150918P218.5</stp>
        <tr r="S460" s="1"/>
      </tp>
      <tp t="s">
        <v>N/A</v>
        <stp/>
        <stp>THETA</stp>
        <stp>.SPY160916P215.5</stp>
        <tr r="S748" s="1"/>
      </tp>
      <tp t="s">
        <v>N/A</v>
        <stp/>
        <stp>THETA</stp>
        <stp>.SPY151231P201.5</stp>
        <tr r="S552" s="1"/>
      </tp>
      <tp t="s">
        <v>N/A</v>
        <stp/>
        <stp>THETA</stp>
        <stp>.SPY151231P211.5</stp>
        <tr r="S572" s="1"/>
      </tp>
      <tp t="s">
        <v>N/A</v>
        <stp/>
        <stp>THETA</stp>
        <stp>.SPY151219P209.5</stp>
        <tr r="S526" s="1"/>
      </tp>
      <tp t="s">
        <v>N/A</v>
        <stp/>
        <stp>THETA</stp>
        <stp>.SPY161216P205.5</stp>
        <tr r="S770" s="1"/>
      </tp>
      <tp t="s">
        <v>N/A</v>
        <stp/>
        <stp>THETA</stp>
        <stp>.SPY171215P207.5</stp>
        <tr r="S900" s="1"/>
      </tp>
      <tp t="s">
        <v>N/A</v>
        <stp/>
        <stp>THETA</stp>
        <stp>.SPY151219P219.5</stp>
        <tr r="S546" s="1"/>
      </tp>
      <tp t="s">
        <v>N/A</v>
        <stp/>
        <stp>THETA</stp>
        <stp>.SPY161216P215.5</stp>
        <tr r="S790" s="1"/>
      </tp>
      <tp t="s">
        <v>N/A</v>
        <stp/>
        <stp>THETA</stp>
        <stp>.SPY171215P217.5</stp>
        <tr r="S920" s="1"/>
      </tp>
      <tp t="s">
        <v>N/A</v>
        <stp/>
        <stp>DELTA</stp>
        <stp>.SPY151231C211.5</stp>
        <tr r="G572" s="1"/>
      </tp>
      <tp t="s">
        <v>N/A</v>
        <stp/>
        <stp>DELTA</stp>
        <stp>.SPY151231C201.5</stp>
        <tr r="G552" s="1"/>
      </tp>
      <tp t="s">
        <v>N/A</v>
        <stp/>
        <stp>DELTA</stp>
        <stp>.SPY151219C219.5</stp>
        <tr r="G546" s="1"/>
      </tp>
      <tp t="s">
        <v>N/A</v>
        <stp/>
        <stp>DELTA</stp>
        <stp>.SPY161216C215.5</stp>
        <tr r="G790" s="1"/>
      </tp>
      <tp t="s">
        <v>N/A</v>
        <stp/>
        <stp>DELTA</stp>
        <stp>.SPY171215C217.5</stp>
        <tr r="G920" s="1"/>
      </tp>
      <tp t="s">
        <v>N/A</v>
        <stp/>
        <stp>DELTA</stp>
        <stp>.SPY151219C209.5</stp>
        <tr r="G526" s="1"/>
      </tp>
      <tp t="s">
        <v>N/A</v>
        <stp/>
        <stp>DELTA</stp>
        <stp>.SPY161216C205.5</stp>
        <tr r="G770" s="1"/>
      </tp>
      <tp t="s">
        <v>N/A</v>
        <stp/>
        <stp>DELTA</stp>
        <stp>.SPY171215C207.5</stp>
        <tr r="G900" s="1"/>
      </tp>
      <tp t="s">
        <v>N/A</v>
        <stp/>
        <stp>DELTA</stp>
        <stp>.SPY150930C210.5</stp>
        <tr r="G486" s="1"/>
      </tp>
      <tp t="s">
        <v>N/A</v>
        <stp/>
        <stp>DELTA</stp>
        <stp>.SPY150930C200.5</stp>
        <tr r="G466" s="1"/>
      </tp>
      <tp t="s">
        <v>N/A</v>
        <stp/>
        <stp>DELTA</stp>
        <stp>.SPY150918C218.5</stp>
        <tr r="G460" s="1"/>
      </tp>
      <tp t="s">
        <v>N/A</v>
        <stp/>
        <stp>DELTA</stp>
        <stp>.SPY160916C215.5</stp>
        <tr r="G748" s="1"/>
      </tp>
      <tp t="s">
        <v>N/A</v>
        <stp/>
        <stp>DELTA</stp>
        <stp>.SPY150918C208.5</stp>
        <tr r="G440" s="1"/>
      </tp>
      <tp t="s">
        <v>N/A</v>
        <stp/>
        <stp>DELTA</stp>
        <stp>.SPY160916C205.5</stp>
        <tr r="G728" s="1"/>
      </tp>
      <tp t="s">
        <v>N/A</v>
        <stp/>
        <stp>DELTA</stp>
        <stp>.SPY150424C204.5</stp>
        <tr r="G54" s="1"/>
      </tp>
      <tp t="s">
        <v>N/A</v>
        <stp/>
        <stp>DELTA</stp>
        <stp>.SPY150424C214.5</stp>
        <tr r="G74" s="1"/>
      </tp>
      <tp t="s">
        <v>N/A</v>
        <stp/>
        <stp>DELTA</stp>
        <stp>.SPY150417C217.5</stp>
        <tr r="G38" s="1"/>
      </tp>
      <tp t="s">
        <v>N/A</v>
        <stp/>
        <stp>DELTA</stp>
        <stp>.SPY150417C207.5</stp>
        <tr r="G18" s="1"/>
      </tp>
      <tp>
        <v>0.88522999999999996</v>
        <stp/>
        <stp>DELTA</stp>
        <stp>.SPY150522C202.5</stp>
        <tr r="G218" s="1"/>
      </tp>
      <tp>
        <v>0.60879000000000005</v>
        <stp/>
        <stp>DELTA</stp>
        <stp>.SPY150529C209.5</stp>
        <tr r="G274" s="1"/>
      </tp>
      <tp>
        <v>0.41077000000000002</v>
        <stp/>
        <stp>DELTA</stp>
        <stp>.SPY150522C212.5</stp>
        <tr r="G238" s="1"/>
      </tp>
      <tp>
        <v>4.249E-2</v>
        <stp/>
        <stp>DELTA</stp>
        <stp>.SPY150529C219.5</stp>
        <tr r="G294" s="1"/>
      </tp>
      <tp t="s">
        <v>N/A</v>
        <stp/>
        <stp>DELTA</stp>
        <stp>.SPY150501C201.5</stp>
        <tr r="G90" s="1"/>
      </tp>
      <tp>
        <v>0.83323000000000003</v>
        <stp/>
        <stp>DELTA</stp>
        <stp>.SPY150508C208.5</stp>
        <tr r="G146" s="1"/>
      </tp>
      <tp>
        <v>0.10437</v>
        <stp/>
        <stp>DELTA</stp>
        <stp>.SPY150515C215.5</stp>
        <tr r="G202" s="1"/>
      </tp>
      <tp t="s">
        <v>N/A</v>
        <stp/>
        <stp>DELTA</stp>
        <stp>.SPY150501C211.5</stp>
        <tr r="G110" s="1"/>
      </tp>
      <tp>
        <v>5.7499999999999999E-3</v>
        <stp/>
        <stp>DELTA</stp>
        <stp>.SPY150508C218.5</stp>
        <tr r="G166" s="1"/>
      </tp>
      <tp>
        <v>0.86177999999999999</v>
        <stp/>
        <stp>DELTA</stp>
        <stp>.SPY150515C205.5</stp>
        <tr r="G182" s="1"/>
      </tp>
      <tp t="s">
        <v>N/A</v>
        <stp/>
        <stp>DELTA</stp>
        <stp>.SPY150630C210.5</stp>
        <tr r="G360" s="1"/>
      </tp>
      <tp t="s">
        <v>N/A</v>
        <stp/>
        <stp>DELTA</stp>
        <stp>.SPY150630C200.5</stp>
        <tr r="G340" s="1"/>
      </tp>
      <tp t="s">
        <v>N/A</v>
        <stp/>
        <stp>DELTA</stp>
        <stp>.SPY150619C219.5</stp>
        <tr r="G336" s="1"/>
      </tp>
      <tp t="s">
        <v>N/A</v>
        <stp/>
        <stp>DELTA</stp>
        <stp>.SPY160617C214.5</stp>
        <tr r="G704" s="1"/>
      </tp>
      <tp t="s">
        <v>N/A</v>
        <stp/>
        <stp>DELTA</stp>
        <stp>.SPY150619C209.5</stp>
        <tr r="G316" s="1"/>
      </tp>
      <tp t="s">
        <v>N/A</v>
        <stp/>
        <stp>DELTA</stp>
        <stp>.SPY160617C204.5</stp>
        <tr r="G684" s="1"/>
      </tp>
      <tp t="s">
        <v>N/A</v>
        <stp/>
        <stp>DELTA</stp>
        <stp>.SPY150717C217.5</stp>
        <tr r="G416" s="1"/>
      </tp>
      <tp t="s">
        <v>N/A</v>
        <stp/>
        <stp>DELTA</stp>
        <stp>.SPY150717C207.5</stp>
        <tr r="G396" s="1"/>
      </tp>
      <tp t="s">
        <v>N/A</v>
        <stp/>
        <stp>DELTA</stp>
        <stp>.SPY170120C202.5</stp>
        <tr r="G806" s="1"/>
      </tp>
      <tp t="s">
        <v>N/A</v>
        <stp/>
        <stp>DELTA</stp>
        <stp>.SPY170120C212.5</stp>
        <tr r="G826" s="1"/>
      </tp>
      <tp t="s">
        <v>N/A</v>
        <stp/>
        <stp>DELTA</stp>
        <stp>.SPY160115C216.5</stp>
        <tr r="G624" s="1"/>
      </tp>
      <tp t="s">
        <v>N/A</v>
        <stp/>
        <stp>DELTA</stp>
        <stp>.SPY160115C206.5</stp>
        <tr r="G604" s="1"/>
      </tp>
      <tp t="s">
        <v>N/A</v>
        <stp/>
        <stp>DELTA</stp>
        <stp>.SPY170317C215.5</stp>
        <tr r="G874" s="1"/>
      </tp>
      <tp t="s">
        <v>N/A</v>
        <stp/>
        <stp>DELTA</stp>
        <stp>.SPY170317C205.5</stp>
        <tr r="G854" s="1"/>
      </tp>
      <tp t="s">
        <v>N/A</v>
        <stp/>
        <stp>VOLUME</stp>
        <stp>.SPY170120P204</stp>
        <tr r="P809" s="1"/>
      </tp>
      <tp t="s">
        <v>N/A</v>
        <stp/>
        <stp>VOLUME</stp>
        <stp>.SPY170120C204</stp>
        <tr r="E809" s="1"/>
      </tp>
      <tp>
        <v>371</v>
        <stp/>
        <stp>VOLUME</stp>
        <stp>.SPY170120P205</stp>
        <tr r="P811" s="1"/>
      </tp>
      <tp>
        <v>0</v>
        <stp/>
        <stp>VOLUME</stp>
        <stp>.SPY170120C205</stp>
        <tr r="E811" s="1"/>
      </tp>
      <tp t="s">
        <v>N/A</v>
        <stp/>
        <stp>VOLUME</stp>
        <stp>.SPY170120P206</stp>
        <tr r="P813" s="1"/>
      </tp>
      <tp t="s">
        <v>N/A</v>
        <stp/>
        <stp>VOLUME</stp>
        <stp>.SPY170120C206</stp>
        <tr r="E813" s="1"/>
      </tp>
      <tp t="s">
        <v>N/A</v>
        <stp/>
        <stp>VOLUME</stp>
        <stp>.SPY170120P207</stp>
        <tr r="P815" s="1"/>
      </tp>
      <tp t="s">
        <v>N/A</v>
        <stp/>
        <stp>VOLUME</stp>
        <stp>.SPY170120C207</stp>
        <tr r="E815" s="1"/>
      </tp>
      <tp>
        <v>0</v>
        <stp/>
        <stp>VOLUME</stp>
        <stp>.SPY170120P200</stp>
        <tr r="P801" s="1"/>
      </tp>
      <tp>
        <v>0</v>
        <stp/>
        <stp>VOLUME</stp>
        <stp>.SPY170120C200</stp>
        <tr r="E801" s="1"/>
      </tp>
      <tp t="s">
        <v>N/A</v>
        <stp/>
        <stp>VOLUME</stp>
        <stp>.SPY170120P201</stp>
        <tr r="P803" s="1"/>
      </tp>
      <tp t="s">
        <v>N/A</v>
        <stp/>
        <stp>VOLUME</stp>
        <stp>.SPY170120C201</stp>
        <tr r="E803" s="1"/>
      </tp>
      <tp t="s">
        <v>N/A</v>
        <stp/>
        <stp>VOLUME</stp>
        <stp>.SPY170120P202</stp>
        <tr r="P805" s="1"/>
      </tp>
      <tp t="s">
        <v>N/A</v>
        <stp/>
        <stp>VOLUME</stp>
        <stp>.SPY170120C202</stp>
        <tr r="E805" s="1"/>
      </tp>
      <tp t="s">
        <v>N/A</v>
        <stp/>
        <stp>VOLUME</stp>
        <stp>.SPY170120P203</stp>
        <tr r="P807" s="1"/>
      </tp>
      <tp t="s">
        <v>N/A</v>
        <stp/>
        <stp>VOLUME</stp>
        <stp>.SPY170120C203</stp>
        <tr r="E807" s="1"/>
      </tp>
      <tp t="s">
        <v>N/A</v>
        <stp/>
        <stp>VOLUME</stp>
        <stp>.SPY170120P208</stp>
        <tr r="P817" s="1"/>
      </tp>
      <tp t="s">
        <v>N/A</v>
        <stp/>
        <stp>VOLUME</stp>
        <stp>.SPY170120C208</stp>
        <tr r="E817" s="1"/>
      </tp>
      <tp t="s">
        <v>N/A</v>
        <stp/>
        <stp>VOLUME</stp>
        <stp>.SPY170120P209</stp>
        <tr r="P819" s="1"/>
      </tp>
      <tp t="s">
        <v>N/A</v>
        <stp/>
        <stp>VOLUME</stp>
        <stp>.SPY170120C209</stp>
        <tr r="E819" s="1"/>
      </tp>
      <tp t="s">
        <v>N/A</v>
        <stp/>
        <stp>VOLUME</stp>
        <stp>.SPY170120P214</stp>
        <tr r="P829" s="1"/>
      </tp>
      <tp t="s">
        <v>N/A</v>
        <stp/>
        <stp>VOLUME</stp>
        <stp>.SPY170120C214</stp>
        <tr r="E829" s="1"/>
      </tp>
      <tp>
        <v>5</v>
        <stp/>
        <stp>VOLUME</stp>
        <stp>.SPY170120P215</stp>
        <tr r="P831" s="1"/>
      </tp>
      <tp>
        <v>2</v>
        <stp/>
        <stp>VOLUME</stp>
        <stp>.SPY170120C215</stp>
        <tr r="E831" s="1"/>
      </tp>
      <tp t="s">
        <v>N/A</v>
        <stp/>
        <stp>VOLUME</stp>
        <stp>.SPY170120P216</stp>
        <tr r="P833" s="1"/>
      </tp>
      <tp t="s">
        <v>N/A</v>
        <stp/>
        <stp>VOLUME</stp>
        <stp>.SPY170120C216</stp>
        <tr r="E833" s="1"/>
      </tp>
      <tp t="s">
        <v>N/A</v>
        <stp/>
        <stp>VOLUME</stp>
        <stp>.SPY170120P217</stp>
        <tr r="P835" s="1"/>
      </tp>
      <tp t="s">
        <v>N/A</v>
        <stp/>
        <stp>VOLUME</stp>
        <stp>.SPY170120C217</stp>
        <tr r="E835" s="1"/>
      </tp>
      <tp>
        <v>1</v>
        <stp/>
        <stp>VOLUME</stp>
        <stp>.SPY170120P210</stp>
        <tr r="P821" s="1"/>
      </tp>
      <tp>
        <v>7</v>
        <stp/>
        <stp>VOLUME</stp>
        <stp>.SPY170120C210</stp>
        <tr r="E821" s="1"/>
      </tp>
      <tp t="s">
        <v>N/A</v>
        <stp/>
        <stp>VOLUME</stp>
        <stp>.SPY170120P211</stp>
        <tr r="P823" s="1"/>
      </tp>
      <tp t="s">
        <v>N/A</v>
        <stp/>
        <stp>VOLUME</stp>
        <stp>.SPY170120C211</stp>
        <tr r="E823" s="1"/>
      </tp>
      <tp t="s">
        <v>N/A</v>
        <stp/>
        <stp>VOLUME</stp>
        <stp>.SPY170120P212</stp>
        <tr r="P825" s="1"/>
      </tp>
      <tp t="s">
        <v>N/A</v>
        <stp/>
        <stp>VOLUME</stp>
        <stp>.SPY170120C212</stp>
        <tr r="E825" s="1"/>
      </tp>
      <tp t="s">
        <v>N/A</v>
        <stp/>
        <stp>VOLUME</stp>
        <stp>.SPY170120P213</stp>
        <tr r="P827" s="1"/>
      </tp>
      <tp t="s">
        <v>N/A</v>
        <stp/>
        <stp>VOLUME</stp>
        <stp>.SPY170120C213</stp>
        <tr r="E827" s="1"/>
      </tp>
      <tp t="s">
        <v>N/A</v>
        <stp/>
        <stp>VOLUME</stp>
        <stp>.SPY170120P218</stp>
        <tr r="P837" s="1"/>
      </tp>
      <tp t="s">
        <v>N/A</v>
        <stp/>
        <stp>VOLUME</stp>
        <stp>.SPY170120C218</stp>
        <tr r="E837" s="1"/>
      </tp>
      <tp t="s">
        <v>N/A</v>
        <stp/>
        <stp>VOLUME</stp>
        <stp>.SPY170120P219</stp>
        <tr r="P839" s="1"/>
      </tp>
      <tp t="s">
        <v>N/A</v>
        <stp/>
        <stp>VOLUME</stp>
        <stp>.SPY170120C219</stp>
        <tr r="E839" s="1"/>
      </tp>
      <tp>
        <v>183</v>
        <stp/>
        <stp>VOLUME</stp>
        <stp>.SPY160115P210</stp>
        <tr r="P611" s="1"/>
      </tp>
      <tp>
        <v>315</v>
        <stp/>
        <stp>VOLUME</stp>
        <stp>.SPY160115C210</stp>
        <tr r="E611" s="1"/>
      </tp>
      <tp>
        <v>561</v>
        <stp/>
        <stp>VOLUME</stp>
        <stp>.SPY160115P211</stp>
        <tr r="P613" s="1"/>
      </tp>
      <tp>
        <v>818</v>
        <stp/>
        <stp>VOLUME</stp>
        <stp>.SPY160115C211</stp>
        <tr r="E613" s="1"/>
      </tp>
      <tp>
        <v>372</v>
        <stp/>
        <stp>VOLUME</stp>
        <stp>.SPY160115P212</stp>
        <tr r="P615" s="1"/>
      </tp>
      <tp>
        <v>141</v>
        <stp/>
        <stp>VOLUME</stp>
        <stp>.SPY160115C212</stp>
        <tr r="E615" s="1"/>
      </tp>
      <tp>
        <v>0</v>
        <stp/>
        <stp>VOLUME</stp>
        <stp>.SPY160115P213</stp>
        <tr r="P617" s="1"/>
      </tp>
      <tp>
        <v>1024</v>
        <stp/>
        <stp>VOLUME</stp>
        <stp>.SPY160115C213</stp>
        <tr r="E617" s="1"/>
      </tp>
      <tp>
        <v>0</v>
        <stp/>
        <stp>VOLUME</stp>
        <stp>.SPY160115P214</stp>
        <tr r="P619" s="1"/>
      </tp>
      <tp>
        <v>52</v>
        <stp/>
        <stp>VOLUME</stp>
        <stp>.SPY160115C214</stp>
        <tr r="E619" s="1"/>
      </tp>
      <tp>
        <v>2</v>
        <stp/>
        <stp>VOLUME</stp>
        <stp>.SPY160115P215</stp>
        <tr r="P621" s="1"/>
      </tp>
      <tp>
        <v>182</v>
        <stp/>
        <stp>VOLUME</stp>
        <stp>.SPY160115C215</stp>
        <tr r="E621" s="1"/>
      </tp>
      <tp>
        <v>1</v>
        <stp/>
        <stp>VOLUME</stp>
        <stp>.SPY160115P216</stp>
        <tr r="P623" s="1"/>
      </tp>
      <tp>
        <v>53</v>
        <stp/>
        <stp>VOLUME</stp>
        <stp>.SPY160115C216</stp>
        <tr r="E623" s="1"/>
      </tp>
      <tp>
        <v>0</v>
        <stp/>
        <stp>VOLUME</stp>
        <stp>.SPY160115P217</stp>
        <tr r="P625" s="1"/>
      </tp>
      <tp>
        <v>50</v>
        <stp/>
        <stp>VOLUME</stp>
        <stp>.SPY160115C217</stp>
        <tr r="E625" s="1"/>
      </tp>
      <tp>
        <v>0</v>
        <stp/>
        <stp>VOLUME</stp>
        <stp>.SPY160115P218</stp>
        <tr r="P627" s="1"/>
      </tp>
      <tp>
        <v>50</v>
        <stp/>
        <stp>VOLUME</stp>
        <stp>.SPY160115C218</stp>
        <tr r="E627" s="1"/>
      </tp>
      <tp t="s">
        <v>N/A</v>
        <stp/>
        <stp>VOLUME</stp>
        <stp>.SPY160115P219</stp>
        <tr r="P629" s="1"/>
      </tp>
      <tp t="s">
        <v>N/A</v>
        <stp/>
        <stp>VOLUME</stp>
        <stp>.SPY160115C219</stp>
        <tr r="E629" s="1"/>
      </tp>
      <tp>
        <v>147</v>
        <stp/>
        <stp>VOLUME</stp>
        <stp>.SPY160115P200</stp>
        <tr r="P591" s="1"/>
      </tp>
      <tp>
        <v>53</v>
        <stp/>
        <stp>VOLUME</stp>
        <stp>.SPY160115C200</stp>
        <tr r="E591" s="1"/>
      </tp>
      <tp>
        <v>93</v>
        <stp/>
        <stp>VOLUME</stp>
        <stp>.SPY160115P201</stp>
        <tr r="P593" s="1"/>
      </tp>
      <tp>
        <v>0</v>
        <stp/>
        <stp>VOLUME</stp>
        <stp>.SPY160115C201</stp>
        <tr r="E593" s="1"/>
      </tp>
      <tp>
        <v>58</v>
        <stp/>
        <stp>VOLUME</stp>
        <stp>.SPY160115P202</stp>
        <tr r="P595" s="1"/>
      </tp>
      <tp>
        <v>10</v>
        <stp/>
        <stp>VOLUME</stp>
        <stp>.SPY160115C202</stp>
        <tr r="E595" s="1"/>
      </tp>
      <tp>
        <v>58</v>
        <stp/>
        <stp>VOLUME</stp>
        <stp>.SPY160115P203</stp>
        <tr r="P597" s="1"/>
      </tp>
      <tp>
        <v>0</v>
        <stp/>
        <stp>VOLUME</stp>
        <stp>.SPY160115C203</stp>
        <tr r="E597" s="1"/>
      </tp>
      <tp>
        <v>58</v>
        <stp/>
        <stp>VOLUME</stp>
        <stp>.SPY160115P204</stp>
        <tr r="P599" s="1"/>
      </tp>
      <tp>
        <v>0</v>
        <stp/>
        <stp>VOLUME</stp>
        <stp>.SPY160115C204</stp>
        <tr r="E599" s="1"/>
      </tp>
      <tp>
        <v>63</v>
        <stp/>
        <stp>VOLUME</stp>
        <stp>.SPY160115P205</stp>
        <tr r="P601" s="1"/>
      </tp>
      <tp>
        <v>30</v>
        <stp/>
        <stp>VOLUME</stp>
        <stp>.SPY160115C205</stp>
        <tr r="E601" s="1"/>
      </tp>
      <tp>
        <v>56</v>
        <stp/>
        <stp>VOLUME</stp>
        <stp>.SPY160115P206</stp>
        <tr r="P603" s="1"/>
      </tp>
      <tp>
        <v>20</v>
        <stp/>
        <stp>VOLUME</stp>
        <stp>.SPY160115C206</stp>
        <tr r="E603" s="1"/>
      </tp>
      <tp>
        <v>306</v>
        <stp/>
        <stp>VOLUME</stp>
        <stp>.SPY160115P207</stp>
        <tr r="P605" s="1"/>
      </tp>
      <tp>
        <v>260</v>
        <stp/>
        <stp>VOLUME</stp>
        <stp>.SPY160115C207</stp>
        <tr r="E605" s="1"/>
      </tp>
      <tp>
        <v>28</v>
        <stp/>
        <stp>VOLUME</stp>
        <stp>.SPY160115P208</stp>
        <tr r="P607" s="1"/>
      </tp>
      <tp>
        <v>26</v>
        <stp/>
        <stp>VOLUME</stp>
        <stp>.SPY160115C208</stp>
        <tr r="E607" s="1"/>
      </tp>
      <tp>
        <v>27</v>
        <stp/>
        <stp>VOLUME</stp>
        <stp>.SPY160115P209</stp>
        <tr r="P609" s="1"/>
      </tp>
      <tp>
        <v>202</v>
        <stp/>
        <stp>VOLUME</stp>
        <stp>.SPY160115C209</stp>
        <tr r="E609" s="1"/>
      </tp>
      <tp t="s">
        <v>N/A</v>
        <stp/>
        <stp>BID</stp>
        <stp>.SPY150930C219.5</stp>
        <tr r="C504" s="1"/>
      </tp>
      <tp t="s">
        <v>N/A</v>
        <stp/>
        <stp>BID</stp>
        <stp>.SPY150930C209.5</stp>
        <tr r="C484" s="1"/>
      </tp>
      <tp t="s">
        <v>N/A</v>
        <stp/>
        <stp>BID</stp>
        <stp>.SPY150918C211.5</stp>
        <tr r="C446" s="1"/>
      </tp>
      <tp t="s">
        <v>N/A</v>
        <stp/>
        <stp>BID</stp>
        <stp>.SPY150918C201.5</stp>
        <tr r="C426" s="1"/>
      </tp>
      <tp t="s">
        <v>N/A</v>
        <stp/>
        <stp>BID</stp>
        <stp>.SPY160318C212.5</stp>
        <tr r="C658" s="1"/>
      </tp>
      <tp t="s">
        <v>N/A</v>
        <stp/>
        <stp>BID</stp>
        <stp>.SPY160318C202.5</stp>
        <tr r="C638" s="1"/>
      </tp>
      <tp t="s">
        <v>N/A</v>
        <stp/>
        <stp>BID</stp>
        <stp>.SPY150630C219.5</stp>
        <tr r="C378" s="1"/>
      </tp>
      <tp t="s">
        <v>N/A</v>
        <stp/>
        <stp>BID</stp>
        <stp>.SPY150630C209.5</stp>
        <tr r="C358" s="1"/>
      </tp>
      <tp t="s">
        <v>N/A</v>
        <stp/>
        <stp>BID</stp>
        <stp>.SPY150619C210.5</stp>
        <tr r="C318" s="1"/>
      </tp>
      <tp t="s">
        <v>N/A</v>
        <stp/>
        <stp>BID</stp>
        <stp>.SPY150619C200.5</stp>
        <tr r="C298" s="1"/>
      </tp>
      <tp>
        <v>11.23</v>
        <stp/>
        <stp>BID</stp>
        <stp>.SPY150529C200.5</stp>
        <tr r="C256" s="1"/>
      </tp>
      <tp>
        <v>2.95</v>
        <stp/>
        <stp>BID</stp>
        <stp>.SPY150529C210.5</stp>
        <tr r="C276" s="1"/>
      </tp>
      <tp>
        <v>2.11</v>
        <stp/>
        <stp>BID</stp>
        <stp>.SPY150501C208.5</stp>
        <tr r="C104" s="1"/>
      </tp>
      <tp>
        <v>9.85</v>
        <stp/>
        <stp>BID</stp>
        <stp>.SPY150508C201.5</stp>
        <tr r="C132" s="1"/>
      </tp>
      <tp>
        <v>0</v>
        <stp/>
        <stp>BID</stp>
        <stp>.SPY150501C218.5</stp>
        <tr r="C124" s="1"/>
      </tp>
      <tp>
        <v>0.95</v>
        <stp/>
        <stp>BID</stp>
        <stp>.SPY150508C211.5</stp>
        <tr r="C152" s="1"/>
      </tp>
      <tp t="s">
        <v>N/A</v>
        <stp/>
        <stp>BID</stp>
        <stp>.SPY151231C218.5</stp>
        <tr r="C586" s="1"/>
      </tp>
      <tp t="s">
        <v>N/A</v>
        <stp/>
        <stp>BID</stp>
        <stp>.SPY151231C208.5</stp>
        <tr r="C566" s="1"/>
      </tp>
      <tp t="s">
        <v>N/A</v>
        <stp/>
        <stp>BID</stp>
        <stp>.SPY151219C210.5</stp>
        <tr r="C528" s="1"/>
      </tp>
      <tp t="s">
        <v>N/A</v>
        <stp/>
        <stp>BID</stp>
        <stp>.SPY151219C200.5</stp>
        <tr r="C508" s="1"/>
      </tp>
      <tp t="s">
        <v>N/A</v>
        <stp/>
        <stp>RHO</stp>
        <stp>.SPY151231C219.5</stp>
        <tr r="K588" s="1"/>
      </tp>
      <tp t="s">
        <v>N/A</v>
        <stp/>
        <stp>RHO</stp>
        <stp>.SPY151231C209.5</stp>
        <tr r="K568" s="1"/>
      </tp>
      <tp t="s">
        <v>N/A</v>
        <stp/>
        <stp>RHO</stp>
        <stp>.SPY151219C211.5</stp>
        <tr r="K530" s="1"/>
      </tp>
      <tp t="s">
        <v>N/A</v>
        <stp/>
        <stp>RHO</stp>
        <stp>.SPY151219C201.5</stp>
        <tr r="K510" s="1"/>
      </tp>
      <tp t="s">
        <v>N/A</v>
        <stp/>
        <stp>RHO</stp>
        <stp>.SPY150930C218.5</stp>
        <tr r="K502" s="1"/>
      </tp>
      <tp t="s">
        <v>N/A</v>
        <stp/>
        <stp>RHO</stp>
        <stp>.SPY150930C208.5</stp>
        <tr r="K482" s="1"/>
      </tp>
      <tp t="s">
        <v>N/A</v>
        <stp/>
        <stp>RHO</stp>
        <stp>.SPY150918C210.5</stp>
        <tr r="K444" s="1"/>
      </tp>
      <tp t="s">
        <v>N/A</v>
        <stp/>
        <stp>RHO</stp>
        <stp>.SPY150918C200.5</stp>
        <tr r="K424" s="1"/>
      </tp>
      <tp t="s">
        <v>N/A</v>
        <stp/>
        <stp>RHO</stp>
        <stp>.SPY160318C213.5</stp>
        <tr r="K660" s="1"/>
      </tp>
      <tp t="s">
        <v>N/A</v>
        <stp/>
        <stp>RHO</stp>
        <stp>.SPY160318C203.5</stp>
        <tr r="K640" s="1"/>
      </tp>
      <tp t="s">
        <v>N/A</v>
        <stp/>
        <stp>RHO</stp>
        <stp>.SPY150630C218.5</stp>
        <tr r="K376" s="1"/>
      </tp>
      <tp t="s">
        <v>N/A</v>
        <stp/>
        <stp>RHO</stp>
        <stp>.SPY150630C208.5</stp>
        <tr r="K356" s="1"/>
      </tp>
      <tp t="s">
        <v>N/A</v>
        <stp/>
        <stp>RHO</stp>
        <stp>.SPY150619C211.5</stp>
        <tr r="K320" s="1"/>
      </tp>
      <tp t="s">
        <v>N/A</v>
        <stp/>
        <stp>RHO</stp>
        <stp>.SPY150619C201.5</stp>
        <tr r="K300" s="1"/>
      </tp>
      <tp>
        <v>8.4220000000000003E-2</v>
        <stp/>
        <stp>RHO</stp>
        <stp>.SPY150529C201.5</stp>
        <tr r="K258" s="1"/>
      </tp>
      <tp>
        <v>6.837E-2</v>
        <stp/>
        <stp>RHO</stp>
        <stp>.SPY150529C211.5</stp>
        <tr r="K278" s="1"/>
      </tp>
      <tp t="s">
        <v>N/A</v>
        <stp/>
        <stp>RHO</stp>
        <stp>.SPY150501C209.5</stp>
        <tr r="K106" s="1"/>
      </tp>
      <tp>
        <v>4.5999999999999999E-3</v>
        <stp/>
        <stp>RHO</stp>
        <stp>.SPY150508C200.5</stp>
        <tr r="K130" s="1"/>
      </tp>
      <tp t="s">
        <v>N/A</v>
        <stp/>
        <stp>RHO</stp>
        <stp>.SPY150501C219.5</stp>
        <tr r="K126" s="1"/>
      </tp>
      <tp>
        <v>1.6889999999999999E-2</v>
        <stp/>
        <stp>RHO</stp>
        <stp>.SPY150508C210.5</stp>
        <tr r="K150" s="1"/>
      </tp>
      <tp t="s">
        <v>N/A</v>
        <stp/>
        <stp>BID</stp>
        <stp>.SPY151231P218.5</stp>
        <tr r="N586" s="1"/>
      </tp>
      <tp t="s">
        <v>N/A</v>
        <stp/>
        <stp>BID</stp>
        <stp>.SPY151231P208.5</stp>
        <tr r="N566" s="1"/>
      </tp>
      <tp t="s">
        <v>N/A</v>
        <stp/>
        <stp>BID</stp>
        <stp>.SPY151219P210.5</stp>
        <tr r="N528" s="1"/>
      </tp>
      <tp t="s">
        <v>N/A</v>
        <stp/>
        <stp>BID</stp>
        <stp>.SPY151219P200.5</stp>
        <tr r="N508" s="1"/>
      </tp>
      <tp t="s">
        <v>N/A</v>
        <stp/>
        <stp>BID</stp>
        <stp>.SPY150930P219.5</stp>
        <tr r="N504" s="1"/>
      </tp>
      <tp t="s">
        <v>N/A</v>
        <stp/>
        <stp>BID</stp>
        <stp>.SPY150930P209.5</stp>
        <tr r="N484" s="1"/>
      </tp>
      <tp t="s">
        <v>N/A</v>
        <stp/>
        <stp>BID</stp>
        <stp>.SPY150918P211.5</stp>
        <tr r="N446" s="1"/>
      </tp>
      <tp t="s">
        <v>N/A</v>
        <stp/>
        <stp>BID</stp>
        <stp>.SPY150918P201.5</stp>
        <tr r="N426" s="1"/>
      </tp>
      <tp t="s">
        <v>N/A</v>
        <stp/>
        <stp>BID</stp>
        <stp>.SPY160318P212.5</stp>
        <tr r="N658" s="1"/>
      </tp>
      <tp t="s">
        <v>N/A</v>
        <stp/>
        <stp>BID</stp>
        <stp>.SPY160318P202.5</stp>
        <tr r="N638" s="1"/>
      </tp>
      <tp t="s">
        <v>N/A</v>
        <stp/>
        <stp>BID</stp>
        <stp>.SPY150630P219.5</stp>
        <tr r="N378" s="1"/>
      </tp>
      <tp t="s">
        <v>N/A</v>
        <stp/>
        <stp>BID</stp>
        <stp>.SPY150630P209.5</stp>
        <tr r="N358" s="1"/>
      </tp>
      <tp t="s">
        <v>N/A</v>
        <stp/>
        <stp>BID</stp>
        <stp>.SPY150619P210.5</stp>
        <tr r="N318" s="1"/>
      </tp>
      <tp t="s">
        <v>N/A</v>
        <stp/>
        <stp>BID</stp>
        <stp>.SPY150619P200.5</stp>
        <tr r="N298" s="1"/>
      </tp>
      <tp>
        <v>0.37</v>
        <stp/>
        <stp>BID</stp>
        <stp>.SPY150529P200.5</stp>
        <tr r="N256" s="1"/>
      </tp>
      <tp>
        <v>1.99</v>
        <stp/>
        <stp>BID</stp>
        <stp>.SPY150529P210.5</stp>
        <tr r="N276" s="1"/>
      </tp>
      <tp>
        <v>0</v>
        <stp/>
        <stp>BID</stp>
        <stp>.SPY150501P208.5</stp>
        <tr r="N104" s="1"/>
      </tp>
      <tp>
        <v>0.02</v>
        <stp/>
        <stp>BID</stp>
        <stp>.SPY150508P201.5</stp>
        <tr r="N132" s="1"/>
      </tp>
      <tp>
        <v>7.64</v>
        <stp/>
        <stp>BID</stp>
        <stp>.SPY150501P218.5</stp>
        <tr r="N124" s="1"/>
      </tp>
      <tp>
        <v>1</v>
        <stp/>
        <stp>BID</stp>
        <stp>.SPY150508P211.5</stp>
        <tr r="N152" s="1"/>
      </tp>
      <tp t="s">
        <v>N/A</v>
        <stp/>
        <stp>RHO</stp>
        <stp>.SPY150930P218.5</stp>
        <tr r="V502" s="1"/>
      </tp>
      <tp t="s">
        <v>N/A</v>
        <stp/>
        <stp>RHO</stp>
        <stp>.SPY150930P208.5</stp>
        <tr r="V482" s="1"/>
      </tp>
      <tp t="s">
        <v>N/A</v>
        <stp/>
        <stp>RHO</stp>
        <stp>.SPY150918P210.5</stp>
        <tr r="V444" s="1"/>
      </tp>
      <tp t="s">
        <v>N/A</v>
        <stp/>
        <stp>RHO</stp>
        <stp>.SPY150918P200.5</stp>
        <tr r="V424" s="1"/>
      </tp>
      <tp t="s">
        <v>N/A</v>
        <stp/>
        <stp>RHO</stp>
        <stp>.SPY160318P213.5</stp>
        <tr r="V660" s="1"/>
      </tp>
      <tp t="s">
        <v>N/A</v>
        <stp/>
        <stp>RHO</stp>
        <stp>.SPY160318P203.5</stp>
        <tr r="V640" s="1"/>
      </tp>
      <tp t="s">
        <v>N/A</v>
        <stp/>
        <stp>RHO</stp>
        <stp>.SPY150630P218.5</stp>
        <tr r="V376" s="1"/>
      </tp>
      <tp t="s">
        <v>N/A</v>
        <stp/>
        <stp>RHO</stp>
        <stp>.SPY150630P208.5</stp>
        <tr r="V356" s="1"/>
      </tp>
      <tp t="s">
        <v>N/A</v>
        <stp/>
        <stp>RHO</stp>
        <stp>.SPY150619P211.5</stp>
        <tr r="V320" s="1"/>
      </tp>
      <tp t="s">
        <v>N/A</v>
        <stp/>
        <stp>RHO</stp>
        <stp>.SPY150619P201.5</stp>
        <tr r="V300" s="1"/>
      </tp>
      <tp>
        <v>-1.6920000000000001E-2</v>
        <stp/>
        <stp>RHO</stp>
        <stp>.SPY150529P201.5</stp>
        <tr r="V258" s="1"/>
      </tp>
      <tp>
        <v>-7.8829999999999997E-2</v>
        <stp/>
        <stp>RHO</stp>
        <stp>.SPY150529P211.5</stp>
        <tr r="V278" s="1"/>
      </tp>
      <tp t="s">
        <v>N/A</v>
        <stp/>
        <stp>RHO</stp>
        <stp>.SPY150501P209.5</stp>
        <tr r="V106" s="1"/>
      </tp>
      <tp>
        <v>-4.0000000000000002E-4</v>
        <stp/>
        <stp>RHO</stp>
        <stp>.SPY150508P200.5</stp>
        <tr r="V130" s="1"/>
      </tp>
      <tp t="s">
        <v>N/A</v>
        <stp/>
        <stp>RHO</stp>
        <stp>.SPY150501P219.5</stp>
        <tr r="V126" s="1"/>
      </tp>
      <tp>
        <v>-1.057E-2</v>
        <stp/>
        <stp>RHO</stp>
        <stp>.SPY150508P210.5</stp>
        <tr r="V150" s="1"/>
      </tp>
      <tp t="s">
        <v>N/A</v>
        <stp/>
        <stp>RHO</stp>
        <stp>.SPY151231P219.5</stp>
        <tr r="V588" s="1"/>
      </tp>
      <tp t="s">
        <v>N/A</v>
        <stp/>
        <stp>RHO</stp>
        <stp>.SPY151231P209.5</stp>
        <tr r="V568" s="1"/>
      </tp>
      <tp t="s">
        <v>N/A</v>
        <stp/>
        <stp>RHO</stp>
        <stp>.SPY151219P211.5</stp>
        <tr r="V530" s="1"/>
      </tp>
      <tp t="s">
        <v>N/A</v>
        <stp/>
        <stp>RHO</stp>
        <stp>.SPY151219P201.5</stp>
        <tr r="V510" s="1"/>
      </tp>
      <tp t="s">
        <v>N/A</v>
        <stp/>
        <stp>DELTA</stp>
        <stp>.SPY150930P213.5</stp>
        <tr r="R492" s="1"/>
      </tp>
      <tp t="s">
        <v>N/A</v>
        <stp/>
        <stp>DELTA</stp>
        <stp>.SPY150930P203.5</stp>
        <tr r="R472" s="1"/>
      </tp>
      <tp t="s">
        <v>N/A</v>
        <stp/>
        <stp>DELTA</stp>
        <stp>.SPY160916P216.5</stp>
        <tr r="R750" s="1"/>
      </tp>
      <tp t="s">
        <v>N/A</v>
        <stp/>
        <stp>DELTA</stp>
        <stp>.SPY160916P206.5</stp>
        <tr r="R730" s="1"/>
      </tp>
      <tp t="s">
        <v>N/A</v>
        <stp/>
        <stp>DELTA</stp>
        <stp>.SPY150424P207.5</stp>
        <tr r="R60" s="1"/>
      </tp>
      <tp t="s">
        <v>N/A</v>
        <stp/>
        <stp>DELTA</stp>
        <stp>.SPY150424P217.5</stp>
        <tr r="R80" s="1"/>
      </tp>
      <tp t="s">
        <v>N/A</v>
        <stp/>
        <stp>DELTA</stp>
        <stp>.SPY150417P214.5</stp>
        <tr r="R32" s="1"/>
      </tp>
      <tp t="s">
        <v>N/A</v>
        <stp/>
        <stp>DELTA</stp>
        <stp>.SPY150417P204.5</stp>
        <tr r="R12" s="1"/>
      </tp>
      <tp>
        <v>-8.1640000000000004E-2</v>
        <stp/>
        <stp>DELTA</stp>
        <stp>.SPY150522P201.5</stp>
        <tr r="R216" s="1"/>
      </tp>
      <tp>
        <v>-0.51165000000000005</v>
        <stp/>
        <stp>DELTA</stp>
        <stp>.SPY150522P211.5</stp>
        <tr r="R236" s="1"/>
      </tp>
      <tp t="s">
        <v>N/A</v>
        <stp/>
        <stp>DELTA</stp>
        <stp>.SPY150501P202.5</stp>
        <tr r="R92" s="1"/>
      </tp>
      <tp>
        <v>-0.99941999999999998</v>
        <stp/>
        <stp>DELTA</stp>
        <stp>.SPY150515P216.5</stp>
        <tr r="R204" s="1"/>
      </tp>
      <tp t="s">
        <v>N/A</v>
        <stp/>
        <stp>DELTA</stp>
        <stp>.SPY150501P212.5</stp>
        <tr r="R112" s="1"/>
      </tp>
      <tp>
        <v>-0.16347999999999999</v>
        <stp/>
        <stp>DELTA</stp>
        <stp>.SPY150515P206.5</stp>
        <tr r="R184" s="1"/>
      </tp>
      <tp t="s">
        <v>N/A</v>
        <stp/>
        <stp>DELTA</stp>
        <stp>.SPY150630P213.5</stp>
        <tr r="R366" s="1"/>
      </tp>
      <tp t="s">
        <v>N/A</v>
        <stp/>
        <stp>DELTA</stp>
        <stp>.SPY150630P203.5</stp>
        <tr r="R346" s="1"/>
      </tp>
      <tp t="s">
        <v>N/A</v>
        <stp/>
        <stp>DELTA</stp>
        <stp>.SPY160617P217.5</stp>
        <tr r="R710" s="1"/>
      </tp>
      <tp t="s">
        <v>N/A</v>
        <stp/>
        <stp>DELTA</stp>
        <stp>.SPY160617P207.5</stp>
        <tr r="R690" s="1"/>
      </tp>
      <tp t="s">
        <v>N/A</v>
        <stp/>
        <stp>DELTA</stp>
        <stp>.SPY150717P214.5</stp>
        <tr r="R410" s="1"/>
      </tp>
      <tp t="s">
        <v>N/A</v>
        <stp/>
        <stp>DELTA</stp>
        <stp>.SPY150717P204.5</stp>
        <tr r="R390" s="1"/>
      </tp>
      <tp t="s">
        <v>N/A</v>
        <stp/>
        <stp>DELTA</stp>
        <stp>.SPY170120P201.5</stp>
        <tr r="R804" s="1"/>
      </tp>
      <tp t="s">
        <v>N/A</v>
        <stp/>
        <stp>DELTA</stp>
        <stp>.SPY170120P211.5</stp>
        <tr r="R824" s="1"/>
      </tp>
      <tp t="s">
        <v>N/A</v>
        <stp/>
        <stp>DELTA</stp>
        <stp>.SPY160115P215.5</stp>
        <tr r="R622" s="1"/>
      </tp>
      <tp t="s">
        <v>N/A</v>
        <stp/>
        <stp>DELTA</stp>
        <stp>.SPY160115P205.5</stp>
        <tr r="R602" s="1"/>
      </tp>
      <tp t="s">
        <v>N/A</v>
        <stp/>
        <stp>DELTA</stp>
        <stp>.SPY160318P218.5</stp>
        <tr r="R670" s="1"/>
      </tp>
      <tp t="s">
        <v>N/A</v>
        <stp/>
        <stp>DELTA</stp>
        <stp>.SPY170317P216.5</stp>
        <tr r="R876" s="1"/>
      </tp>
      <tp t="s">
        <v>N/A</v>
        <stp/>
        <stp>DELTA</stp>
        <stp>.SPY160318P208.5</stp>
        <tr r="R650" s="1"/>
      </tp>
      <tp t="s">
        <v>N/A</v>
        <stp/>
        <stp>DELTA</stp>
        <stp>.SPY170317P206.5</stp>
        <tr r="R856" s="1"/>
      </tp>
      <tp t="s">
        <v>N/A</v>
        <stp/>
        <stp>DELTA</stp>
        <stp>.SPY151231P212.5</stp>
        <tr r="R574" s="1"/>
      </tp>
      <tp t="s">
        <v>N/A</v>
        <stp/>
        <stp>DELTA</stp>
        <stp>.SPY151231P202.5</stp>
        <tr r="R554" s="1"/>
      </tp>
      <tp t="s">
        <v>N/A</v>
        <stp/>
        <stp>DELTA</stp>
        <stp>.SPY161216P216.5</stp>
        <tr r="R792" s="1"/>
      </tp>
      <tp t="s">
        <v>N/A</v>
        <stp/>
        <stp>DELTA</stp>
        <stp>.SPY171215P214.5</stp>
        <tr r="R914" s="1"/>
      </tp>
      <tp t="s">
        <v>N/A</v>
        <stp/>
        <stp>DELTA</stp>
        <stp>.SPY161216P206.5</stp>
        <tr r="R772" s="1"/>
      </tp>
      <tp t="s">
        <v>N/A</v>
        <stp/>
        <stp>DELTA</stp>
        <stp>.SPY171215P204.5</stp>
        <tr r="R894" s="1"/>
      </tp>
      <tp t="s">
        <v>N/A</v>
        <stp/>
        <stp>THETA</stp>
        <stp>.SPY151231C202.5</stp>
        <tr r="H554" s="1"/>
      </tp>
      <tp t="s">
        <v>N/A</v>
        <stp/>
        <stp>THETA</stp>
        <stp>.SPY151231C212.5</stp>
        <tr r="H574" s="1"/>
      </tp>
      <tp t="s">
        <v>N/A</v>
        <stp/>
        <stp>THETA</stp>
        <stp>.SPY161216C206.5</stp>
        <tr r="H772" s="1"/>
      </tp>
      <tp t="s">
        <v>N/A</v>
        <stp/>
        <stp>THETA</stp>
        <stp>.SPY171215C204.5</stp>
        <tr r="H894" s="1"/>
      </tp>
      <tp t="s">
        <v>N/A</v>
        <stp/>
        <stp>THETA</stp>
        <stp>.SPY161216C216.5</stp>
        <tr r="H792" s="1"/>
      </tp>
      <tp t="s">
        <v>N/A</v>
        <stp/>
        <stp>THETA</stp>
        <stp>.SPY171215C214.5</stp>
        <tr r="H914" s="1"/>
      </tp>
      <tp t="s">
        <v>N/A</v>
        <stp/>
        <stp>THETA</stp>
        <stp>.SPY170120C211.5</stp>
        <tr r="H824" s="1"/>
      </tp>
      <tp t="s">
        <v>N/A</v>
        <stp/>
        <stp>THETA</stp>
        <stp>.SPY170120C201.5</stp>
        <tr r="H804" s="1"/>
      </tp>
      <tp t="s">
        <v>N/A</v>
        <stp/>
        <stp>THETA</stp>
        <stp>.SPY160115C205.5</stp>
        <tr r="H602" s="1"/>
      </tp>
      <tp t="s">
        <v>N/A</v>
        <stp/>
        <stp>THETA</stp>
        <stp>.SPY160115C215.5</stp>
        <tr r="H622" s="1"/>
      </tp>
      <tp t="s">
        <v>N/A</v>
        <stp/>
        <stp>THETA</stp>
        <stp>.SPY160318C208.5</stp>
        <tr r="H650" s="1"/>
      </tp>
      <tp t="s">
        <v>N/A</v>
        <stp/>
        <stp>THETA</stp>
        <stp>.SPY170317C206.5</stp>
        <tr r="H856" s="1"/>
      </tp>
      <tp t="s">
        <v>N/A</v>
        <stp/>
        <stp>THETA</stp>
        <stp>.SPY160318C218.5</stp>
        <tr r="H670" s="1"/>
      </tp>
      <tp t="s">
        <v>N/A</v>
        <stp/>
        <stp>THETA</stp>
        <stp>.SPY170317C216.5</stp>
        <tr r="H876" s="1"/>
      </tp>
      <tp>
        <v>-5.0380000000000001E-2</v>
        <stp/>
        <stp>THETA</stp>
        <stp>.SPY150522C211.5</stp>
        <tr r="H236" s="1"/>
      </tp>
      <tp>
        <v>-3.2399999999999998E-2</v>
        <stp/>
        <stp>THETA</stp>
        <stp>.SPY150522C201.5</stp>
        <tr r="H216" s="1"/>
      </tp>
      <tp t="s">
        <v>N/A</v>
        <stp/>
        <stp>THETA</stp>
        <stp>.SPY150501C212.5</stp>
        <tr r="H112" s="1"/>
      </tp>
      <tp>
        <v>-5.1700000000000003E-2</v>
        <stp/>
        <stp>THETA</stp>
        <stp>.SPY150515C206.5</stp>
        <tr r="H184" s="1"/>
      </tp>
      <tp t="s">
        <v>N/A</v>
        <stp/>
        <stp>THETA</stp>
        <stp>.SPY150501C202.5</stp>
        <tr r="H92" s="1"/>
      </tp>
      <tp>
        <v>-1.482E-2</v>
        <stp/>
        <stp>THETA</stp>
        <stp>.SPY150515C216.5</stp>
        <tr r="H204" s="1"/>
      </tp>
      <tp t="s">
        <v>N/A</v>
        <stp/>
        <stp>THETA</stp>
        <stp>.SPY150424C217.5</stp>
        <tr r="H80" s="1"/>
      </tp>
      <tp t="s">
        <v>N/A</v>
        <stp/>
        <stp>THETA</stp>
        <stp>.SPY150424C207.5</stp>
        <tr r="H60" s="1"/>
      </tp>
      <tp t="s">
        <v>N/A</v>
        <stp/>
        <stp>THETA</stp>
        <stp>.SPY150417C204.5</stp>
        <tr r="H12" s="1"/>
      </tp>
      <tp t="s">
        <v>N/A</v>
        <stp/>
        <stp>THETA</stp>
        <stp>.SPY150417C214.5</stp>
        <tr r="H32" s="1"/>
      </tp>
      <tp t="s">
        <v>N/A</v>
        <stp/>
        <stp>THETA</stp>
        <stp>.SPY150717C204.5</stp>
        <tr r="H390" s="1"/>
      </tp>
      <tp t="s">
        <v>N/A</v>
        <stp/>
        <stp>THETA</stp>
        <stp>.SPY150717C214.5</stp>
        <tr r="H410" s="1"/>
      </tp>
      <tp t="s">
        <v>N/A</v>
        <stp/>
        <stp>THETA</stp>
        <stp>.SPY150630C203.5</stp>
        <tr r="H346" s="1"/>
      </tp>
      <tp t="s">
        <v>N/A</v>
        <stp/>
        <stp>THETA</stp>
        <stp>.SPY150630C213.5</stp>
        <tr r="H366" s="1"/>
      </tp>
      <tp t="s">
        <v>N/A</v>
        <stp/>
        <stp>THETA</stp>
        <stp>.SPY160617C207.5</stp>
        <tr r="H690" s="1"/>
      </tp>
      <tp t="s">
        <v>N/A</v>
        <stp/>
        <stp>THETA</stp>
        <stp>.SPY160617C217.5</stp>
        <tr r="H710" s="1"/>
      </tp>
      <tp t="s">
        <v>N/A</v>
        <stp/>
        <stp>THETA</stp>
        <stp>.SPY150930C203.5</stp>
        <tr r="H472" s="1"/>
      </tp>
      <tp t="s">
        <v>N/A</v>
        <stp/>
        <stp>THETA</stp>
        <stp>.SPY150930C213.5</stp>
        <tr r="H492" s="1"/>
      </tp>
      <tp t="s">
        <v>N/A</v>
        <stp/>
        <stp>THETA</stp>
        <stp>.SPY160916C206.5</stp>
        <tr r="H730" s="1"/>
      </tp>
      <tp t="s">
        <v>N/A</v>
        <stp/>
        <stp>THETA</stp>
        <stp>.SPY160916C216.5</stp>
        <tr r="H750" s="1"/>
      </tp>
      <tp t="s">
        <v>N/A</v>
        <stp/>
        <stp>THETA</stp>
        <stp>.SPY170120P211.5</stp>
        <tr r="S824" s="1"/>
      </tp>
      <tp t="s">
        <v>N/A</v>
        <stp/>
        <stp>THETA</stp>
        <stp>.SPY170120P201.5</stp>
        <tr r="S804" s="1"/>
      </tp>
      <tp t="s">
        <v>N/A</v>
        <stp/>
        <stp>THETA</stp>
        <stp>.SPY160115P205.5</stp>
        <tr r="S602" s="1"/>
      </tp>
      <tp t="s">
        <v>N/A</v>
        <stp/>
        <stp>THETA</stp>
        <stp>.SPY160115P215.5</stp>
        <tr r="S622" s="1"/>
      </tp>
      <tp t="s">
        <v>N/A</v>
        <stp/>
        <stp>THETA</stp>
        <stp>.SPY160318P208.5</stp>
        <tr r="S650" s="1"/>
      </tp>
      <tp t="s">
        <v>N/A</v>
        <stp/>
        <stp>THETA</stp>
        <stp>.SPY170317P206.5</stp>
        <tr r="S856" s="1"/>
      </tp>
      <tp t="s">
        <v>N/A</v>
        <stp/>
        <stp>THETA</stp>
        <stp>.SPY160318P218.5</stp>
        <tr r="S670" s="1"/>
      </tp>
      <tp t="s">
        <v>N/A</v>
        <stp/>
        <stp>THETA</stp>
        <stp>.SPY170317P216.5</stp>
        <tr r="S876" s="1"/>
      </tp>
      <tp>
        <v>-5.4429999999999999E-2</v>
        <stp/>
        <stp>THETA</stp>
        <stp>.SPY150522P211.5</stp>
        <tr r="S236" s="1"/>
      </tp>
      <tp>
        <v>-3.0089999999999999E-2</v>
        <stp/>
        <stp>THETA</stp>
        <stp>.SPY150522P201.5</stp>
        <tr r="S216" s="1"/>
      </tp>
      <tp t="s">
        <v>N/A</v>
        <stp/>
        <stp>THETA</stp>
        <stp>.SPY150501P212.5</stp>
        <tr r="S112" s="1"/>
      </tp>
      <tp>
        <v>-5.3710000000000001E-2</v>
        <stp/>
        <stp>THETA</stp>
        <stp>.SPY150515P206.5</stp>
        <tr r="S184" s="1"/>
      </tp>
      <tp t="s">
        <v>N/A</v>
        <stp/>
        <stp>THETA</stp>
        <stp>.SPY150501P202.5</stp>
        <tr r="S92" s="1"/>
      </tp>
      <tp>
        <v>-8.7100000000000007E-3</v>
        <stp/>
        <stp>THETA</stp>
        <stp>.SPY150515P216.5</stp>
        <tr r="S204" s="1"/>
      </tp>
      <tp t="s">
        <v>N/A</v>
        <stp/>
        <stp>THETA</stp>
        <stp>.SPY150424P217.5</stp>
        <tr r="S80" s="1"/>
      </tp>
      <tp t="s">
        <v>N/A</v>
        <stp/>
        <stp>THETA</stp>
        <stp>.SPY150424P207.5</stp>
        <tr r="S60" s="1"/>
      </tp>
      <tp t="s">
        <v>N/A</v>
        <stp/>
        <stp>THETA</stp>
        <stp>.SPY150417P204.5</stp>
        <tr r="S12" s="1"/>
      </tp>
      <tp t="s">
        <v>N/A</v>
        <stp/>
        <stp>THETA</stp>
        <stp>.SPY150417P214.5</stp>
        <tr r="S32" s="1"/>
      </tp>
      <tp t="s">
        <v>N/A</v>
        <stp/>
        <stp>THETA</stp>
        <stp>.SPY150717P204.5</stp>
        <tr r="S390" s="1"/>
      </tp>
      <tp t="s">
        <v>N/A</v>
        <stp/>
        <stp>THETA</stp>
        <stp>.SPY150717P214.5</stp>
        <tr r="S410" s="1"/>
      </tp>
      <tp t="s">
        <v>N/A</v>
        <stp/>
        <stp>THETA</stp>
        <stp>.SPY150630P203.5</stp>
        <tr r="S346" s="1"/>
      </tp>
      <tp t="s">
        <v>N/A</v>
        <stp/>
        <stp>THETA</stp>
        <stp>.SPY150630P213.5</stp>
        <tr r="S366" s="1"/>
      </tp>
      <tp t="s">
        <v>N/A</v>
        <stp/>
        <stp>THETA</stp>
        <stp>.SPY160617P207.5</stp>
        <tr r="S690" s="1"/>
      </tp>
      <tp t="s">
        <v>N/A</v>
        <stp/>
        <stp>THETA</stp>
        <stp>.SPY160617P217.5</stp>
        <tr r="S710" s="1"/>
      </tp>
      <tp t="s">
        <v>N/A</v>
        <stp/>
        <stp>THETA</stp>
        <stp>.SPY150930P203.5</stp>
        <tr r="S472" s="1"/>
      </tp>
      <tp t="s">
        <v>N/A</v>
        <stp/>
        <stp>THETA</stp>
        <stp>.SPY150930P213.5</stp>
        <tr r="S492" s="1"/>
      </tp>
      <tp t="s">
        <v>N/A</v>
        <stp/>
        <stp>THETA</stp>
        <stp>.SPY160916P206.5</stp>
        <tr r="S730" s="1"/>
      </tp>
      <tp t="s">
        <v>N/A</v>
        <stp/>
        <stp>THETA</stp>
        <stp>.SPY160916P216.5</stp>
        <tr r="S750" s="1"/>
      </tp>
      <tp t="s">
        <v>N/A</v>
        <stp/>
        <stp>THETA</stp>
        <stp>.SPY151231P202.5</stp>
        <tr r="S554" s="1"/>
      </tp>
      <tp t="s">
        <v>N/A</v>
        <stp/>
        <stp>THETA</stp>
        <stp>.SPY151231P212.5</stp>
        <tr r="S574" s="1"/>
      </tp>
      <tp t="s">
        <v>N/A</v>
        <stp/>
        <stp>THETA</stp>
        <stp>.SPY161216P206.5</stp>
        <tr r="S772" s="1"/>
      </tp>
      <tp t="s">
        <v>N/A</v>
        <stp/>
        <stp>THETA</stp>
        <stp>.SPY171215P204.5</stp>
        <tr r="S894" s="1"/>
      </tp>
      <tp t="s">
        <v>N/A</v>
        <stp/>
        <stp>THETA</stp>
        <stp>.SPY161216P216.5</stp>
        <tr r="S792" s="1"/>
      </tp>
      <tp t="s">
        <v>N/A</v>
        <stp/>
        <stp>THETA</stp>
        <stp>.SPY171215P214.5</stp>
        <tr r="S914" s="1"/>
      </tp>
      <tp t="s">
        <v>N/A</v>
        <stp/>
        <stp>DELTA</stp>
        <stp>.SPY151231C212.5</stp>
        <tr r="G574" s="1"/>
      </tp>
      <tp t="s">
        <v>N/A</v>
        <stp/>
        <stp>DELTA</stp>
        <stp>.SPY151231C202.5</stp>
        <tr r="G554" s="1"/>
      </tp>
      <tp t="s">
        <v>N/A</v>
        <stp/>
        <stp>DELTA</stp>
        <stp>.SPY161216C216.5</stp>
        <tr r="G792" s="1"/>
      </tp>
      <tp t="s">
        <v>N/A</v>
        <stp/>
        <stp>DELTA</stp>
        <stp>.SPY171215C214.5</stp>
        <tr r="G914" s="1"/>
      </tp>
      <tp t="s">
        <v>N/A</v>
        <stp/>
        <stp>DELTA</stp>
        <stp>.SPY161216C206.5</stp>
        <tr r="G772" s="1"/>
      </tp>
      <tp t="s">
        <v>N/A</v>
        <stp/>
        <stp>DELTA</stp>
        <stp>.SPY171215C204.5</stp>
        <tr r="G894" s="1"/>
      </tp>
      <tp t="s">
        <v>N/A</v>
        <stp/>
        <stp>DELTA</stp>
        <stp>.SPY150930C213.5</stp>
        <tr r="G492" s="1"/>
      </tp>
      <tp t="s">
        <v>N/A</v>
        <stp/>
        <stp>DELTA</stp>
        <stp>.SPY150930C203.5</stp>
        <tr r="G472" s="1"/>
      </tp>
      <tp t="s">
        <v>N/A</v>
        <stp/>
        <stp>DELTA</stp>
        <stp>.SPY160916C216.5</stp>
        <tr r="G750" s="1"/>
      </tp>
      <tp t="s">
        <v>N/A</v>
        <stp/>
        <stp>DELTA</stp>
        <stp>.SPY160916C206.5</stp>
        <tr r="G730" s="1"/>
      </tp>
      <tp t="s">
        <v>N/A</v>
        <stp/>
        <stp>DELTA</stp>
        <stp>.SPY150424C207.5</stp>
        <tr r="G60" s="1"/>
      </tp>
      <tp t="s">
        <v>N/A</v>
        <stp/>
        <stp>DELTA</stp>
        <stp>.SPY150424C217.5</stp>
        <tr r="G80" s="1"/>
      </tp>
      <tp t="s">
        <v>N/A</v>
        <stp/>
        <stp>DELTA</stp>
        <stp>.SPY150417C214.5</stp>
        <tr r="G32" s="1"/>
      </tp>
      <tp t="s">
        <v>N/A</v>
        <stp/>
        <stp>DELTA</stp>
        <stp>.SPY150417C204.5</stp>
        <tr r="G12" s="1"/>
      </tp>
      <tp>
        <v>0.90010000000000001</v>
        <stp/>
        <stp>DELTA</stp>
        <stp>.SPY150522C201.5</stp>
        <tr r="G216" s="1"/>
      </tp>
      <tp>
        <v>0.49079</v>
        <stp/>
        <stp>DELTA</stp>
        <stp>.SPY150522C211.5</stp>
        <tr r="G236" s="1"/>
      </tp>
      <tp t="s">
        <v>N/A</v>
        <stp/>
        <stp>DELTA</stp>
        <stp>.SPY150501C202.5</stp>
        <tr r="G92" s="1"/>
      </tp>
      <tp>
        <v>5.5960000000000003E-2</v>
        <stp/>
        <stp>DELTA</stp>
        <stp>.SPY150515C216.5</stp>
        <tr r="G204" s="1"/>
      </tp>
      <tp t="s">
        <v>N/A</v>
        <stp/>
        <stp>DELTA</stp>
        <stp>.SPY150501C212.5</stp>
        <tr r="G112" s="1"/>
      </tp>
      <tp>
        <v>0.82640999999999998</v>
        <stp/>
        <stp>DELTA</stp>
        <stp>.SPY150515C206.5</stp>
        <tr r="G184" s="1"/>
      </tp>
      <tp t="s">
        <v>N/A</v>
        <stp/>
        <stp>DELTA</stp>
        <stp>.SPY150630C213.5</stp>
        <tr r="G366" s="1"/>
      </tp>
      <tp t="s">
        <v>N/A</v>
        <stp/>
        <stp>DELTA</stp>
        <stp>.SPY150630C203.5</stp>
        <tr r="G346" s="1"/>
      </tp>
      <tp t="s">
        <v>N/A</v>
        <stp/>
        <stp>DELTA</stp>
        <stp>.SPY160617C217.5</stp>
        <tr r="G710" s="1"/>
      </tp>
      <tp t="s">
        <v>N/A</v>
        <stp/>
        <stp>DELTA</stp>
        <stp>.SPY160617C207.5</stp>
        <tr r="G690" s="1"/>
      </tp>
      <tp t="s">
        <v>N/A</v>
        <stp/>
        <stp>DELTA</stp>
        <stp>.SPY150717C214.5</stp>
        <tr r="G410" s="1"/>
      </tp>
      <tp t="s">
        <v>N/A</v>
        <stp/>
        <stp>DELTA</stp>
        <stp>.SPY150717C204.5</stp>
        <tr r="G390" s="1"/>
      </tp>
      <tp t="s">
        <v>N/A</v>
        <stp/>
        <stp>DELTA</stp>
        <stp>.SPY170120C201.5</stp>
        <tr r="G804" s="1"/>
      </tp>
      <tp t="s">
        <v>N/A</v>
        <stp/>
        <stp>DELTA</stp>
        <stp>.SPY170120C211.5</stp>
        <tr r="G824" s="1"/>
      </tp>
      <tp t="s">
        <v>N/A</v>
        <stp/>
        <stp>DELTA</stp>
        <stp>.SPY160115C215.5</stp>
        <tr r="G622" s="1"/>
      </tp>
      <tp t="s">
        <v>N/A</v>
        <stp/>
        <stp>DELTA</stp>
        <stp>.SPY160115C205.5</stp>
        <tr r="G602" s="1"/>
      </tp>
      <tp t="s">
        <v>N/A</v>
        <stp/>
        <stp>DELTA</stp>
        <stp>.SPY160318C218.5</stp>
        <tr r="G670" s="1"/>
      </tp>
      <tp t="s">
        <v>N/A</v>
        <stp/>
        <stp>DELTA</stp>
        <stp>.SPY170317C216.5</stp>
        <tr r="G876" s="1"/>
      </tp>
      <tp t="s">
        <v>N/A</v>
        <stp/>
        <stp>DELTA</stp>
        <stp>.SPY160318C208.5</stp>
        <tr r="G650" s="1"/>
      </tp>
      <tp t="s">
        <v>N/A</v>
        <stp/>
        <stp>DELTA</stp>
        <stp>.SPY170317C206.5</stp>
        <tr r="G856" s="1"/>
      </tp>
      <tp t="s">
        <v>N/A</v>
        <stp/>
        <stp>VOLUME</stp>
        <stp>.SPY151231P217</stp>
        <tr r="P583" s="1"/>
      </tp>
      <tp>
        <v>0</v>
        <stp/>
        <stp>VOLUME</stp>
        <stp>.SPY151231C217</stp>
        <tr r="E583" s="1"/>
      </tp>
      <tp>
        <v>0</v>
        <stp/>
        <stp>VOLUME</stp>
        <stp>.SPY151231P216</stp>
        <tr r="P581" s="1"/>
      </tp>
      <tp>
        <v>0</v>
        <stp/>
        <stp>VOLUME</stp>
        <stp>.SPY151231C216</stp>
        <tr r="E581" s="1"/>
      </tp>
      <tp>
        <v>10</v>
        <stp/>
        <stp>VOLUME</stp>
        <stp>.SPY151231P215</stp>
        <tr r="P579" s="1"/>
      </tp>
      <tp>
        <v>4</v>
        <stp/>
        <stp>VOLUME</stp>
        <stp>.SPY151231C215</stp>
        <tr r="E579" s="1"/>
      </tp>
      <tp t="s">
        <v>N/A</v>
        <stp/>
        <stp>VOLUME</stp>
        <stp>.SPY151231P214</stp>
        <tr r="P577" s="1"/>
      </tp>
      <tp t="s">
        <v>N/A</v>
        <stp/>
        <stp>VOLUME</stp>
        <stp>.SPY151231C214</stp>
        <tr r="E577" s="1"/>
      </tp>
      <tp t="s">
        <v>N/A</v>
        <stp/>
        <stp>VOLUME</stp>
        <stp>.SPY151231P213</stp>
        <tr r="P575" s="1"/>
      </tp>
      <tp>
        <v>0</v>
        <stp/>
        <stp>VOLUME</stp>
        <stp>.SPY151231C213</stp>
        <tr r="E575" s="1"/>
      </tp>
      <tp>
        <v>1</v>
        <stp/>
        <stp>VOLUME</stp>
        <stp>.SPY151231P212</stp>
        <tr r="P573" s="1"/>
      </tp>
      <tp>
        <v>0</v>
        <stp/>
        <stp>VOLUME</stp>
        <stp>.SPY151231C212</stp>
        <tr r="E573" s="1"/>
      </tp>
      <tp>
        <v>1</v>
        <stp/>
        <stp>VOLUME</stp>
        <stp>.SPY151231P211</stp>
        <tr r="P571" s="1"/>
      </tp>
      <tp>
        <v>10</v>
        <stp/>
        <stp>VOLUME</stp>
        <stp>.SPY151231C211</stp>
        <tr r="E571" s="1"/>
      </tp>
      <tp>
        <v>20</v>
        <stp/>
        <stp>VOLUME</stp>
        <stp>.SPY151231P210</stp>
        <tr r="P569" s="1"/>
      </tp>
      <tp>
        <v>12</v>
        <stp/>
        <stp>VOLUME</stp>
        <stp>.SPY151231C210</stp>
        <tr r="E569" s="1"/>
      </tp>
      <tp t="s">
        <v>N/A</v>
        <stp/>
        <stp>VOLUME</stp>
        <stp>.SPY151231P219</stp>
        <tr r="P587" s="1"/>
      </tp>
      <tp t="s">
        <v>N/A</v>
        <stp/>
        <stp>VOLUME</stp>
        <stp>.SPY151231C219</stp>
        <tr r="E587" s="1"/>
      </tp>
      <tp>
        <v>0</v>
        <stp/>
        <stp>VOLUME</stp>
        <stp>.SPY151231P218</stp>
        <tr r="P585" s="1"/>
      </tp>
      <tp t="s">
        <v>N/A</v>
        <stp/>
        <stp>VOLUME</stp>
        <stp>.SPY151231C218</stp>
        <tr r="E585" s="1"/>
      </tp>
      <tp>
        <v>0</v>
        <stp/>
        <stp>VOLUME</stp>
        <stp>.SPY151231P207</stp>
        <tr r="P563" s="1"/>
      </tp>
      <tp>
        <v>31</v>
        <stp/>
        <stp>VOLUME</stp>
        <stp>.SPY151231C207</stp>
        <tr r="E563" s="1"/>
      </tp>
      <tp>
        <v>0</v>
        <stp/>
        <stp>VOLUME</stp>
        <stp>.SPY151231P206</stp>
        <tr r="P561" s="1"/>
      </tp>
      <tp>
        <v>0</v>
        <stp/>
        <stp>VOLUME</stp>
        <stp>.SPY151231C206</stp>
        <tr r="E561" s="1"/>
      </tp>
      <tp>
        <v>31</v>
        <stp/>
        <stp>VOLUME</stp>
        <stp>.SPY151231P205</stp>
        <tr r="P559" s="1"/>
      </tp>
      <tp>
        <v>1</v>
        <stp/>
        <stp>VOLUME</stp>
        <stp>.SPY151231C205</stp>
        <tr r="E559" s="1"/>
      </tp>
      <tp>
        <v>0</v>
        <stp/>
        <stp>VOLUME</stp>
        <stp>.SPY151231P204</stp>
        <tr r="P557" s="1"/>
      </tp>
      <tp t="s">
        <v>N/A</v>
        <stp/>
        <stp>VOLUME</stp>
        <stp>.SPY151231C204</stp>
        <tr r="E557" s="1"/>
      </tp>
      <tp>
        <v>0</v>
        <stp/>
        <stp>VOLUME</stp>
        <stp>.SPY151231P203</stp>
        <tr r="P555" s="1"/>
      </tp>
      <tp>
        <v>3</v>
        <stp/>
        <stp>VOLUME</stp>
        <stp>.SPY151231C203</stp>
        <tr r="E555" s="1"/>
      </tp>
      <tp>
        <v>0</v>
        <stp/>
        <stp>VOLUME</stp>
        <stp>.SPY151231P202</stp>
        <tr r="P553" s="1"/>
      </tp>
      <tp t="s">
        <v>N/A</v>
        <stp/>
        <stp>VOLUME</stp>
        <stp>.SPY151231C202</stp>
        <tr r="E553" s="1"/>
      </tp>
      <tp>
        <v>0</v>
        <stp/>
        <stp>VOLUME</stp>
        <stp>.SPY151231P201</stp>
        <tr r="P551" s="1"/>
      </tp>
      <tp>
        <v>0</v>
        <stp/>
        <stp>VOLUME</stp>
        <stp>.SPY151231C201</stp>
        <tr r="E551" s="1"/>
      </tp>
      <tp>
        <v>5</v>
        <stp/>
        <stp>VOLUME</stp>
        <stp>.SPY151231P200</stp>
        <tr r="P549" s="1"/>
      </tp>
      <tp>
        <v>42</v>
        <stp/>
        <stp>VOLUME</stp>
        <stp>.SPY151231C200</stp>
        <tr r="E549" s="1"/>
      </tp>
      <tp>
        <v>0</v>
        <stp/>
        <stp>VOLUME</stp>
        <stp>.SPY151231P209</stp>
        <tr r="P567" s="1"/>
      </tp>
      <tp>
        <v>58</v>
        <stp/>
        <stp>VOLUME</stp>
        <stp>.SPY151231C209</stp>
        <tr r="E567" s="1"/>
      </tp>
      <tp>
        <v>5</v>
        <stp/>
        <stp>VOLUME</stp>
        <stp>.SPY151231P208</stp>
        <tr r="P565" s="1"/>
      </tp>
      <tp>
        <v>13</v>
        <stp/>
        <stp>VOLUME</stp>
        <stp>.SPY151231C208</stp>
        <tr r="E565" s="1"/>
      </tp>
      <tp t="s">
        <v>N/A</v>
        <stp/>
        <stp>VOLUME</stp>
        <stp>.SPY161216P213</stp>
        <tr r="P785" s="1"/>
      </tp>
      <tp t="s">
        <v>N/A</v>
        <stp/>
        <stp>VOLUME</stp>
        <stp>.SPY171215P211</stp>
        <tr r="P907" s="1"/>
      </tp>
      <tp t="s">
        <v>N/A</v>
        <stp/>
        <stp>VOLUME</stp>
        <stp>.SPY161216C213</stp>
        <tr r="E785" s="1"/>
      </tp>
      <tp t="s">
        <v>N/A</v>
        <stp/>
        <stp>VOLUME</stp>
        <stp>.SPY171215C211</stp>
        <tr r="E907" s="1"/>
      </tp>
      <tp t="s">
        <v>N/A</v>
        <stp/>
        <stp>VOLUME</stp>
        <stp>.SPY161216P212</stp>
        <tr r="P783" s="1"/>
      </tp>
      <tp>
        <v>10</v>
        <stp/>
        <stp>VOLUME</stp>
        <stp>.SPY171215P210</stp>
        <tr r="P905" s="1"/>
      </tp>
      <tp t="s">
        <v>N/A</v>
        <stp/>
        <stp>VOLUME</stp>
        <stp>.SPY161216C212</stp>
        <tr r="E783" s="1"/>
      </tp>
      <tp>
        <v>10</v>
        <stp/>
        <stp>VOLUME</stp>
        <stp>.SPY171215C210</stp>
        <tr r="E905" s="1"/>
      </tp>
      <tp t="s">
        <v>N/A</v>
        <stp/>
        <stp>VOLUME</stp>
        <stp>.SPY161216P211</stp>
        <tr r="P781" s="1"/>
      </tp>
      <tp t="s">
        <v>N/A</v>
        <stp/>
        <stp>VOLUME</stp>
        <stp>.SPY171215P213</stp>
        <tr r="P911" s="1"/>
      </tp>
      <tp t="s">
        <v>N/A</v>
        <stp/>
        <stp>VOLUME</stp>
        <stp>.SPY161216C211</stp>
        <tr r="E781" s="1"/>
      </tp>
      <tp t="s">
        <v>N/A</v>
        <stp/>
        <stp>VOLUME</stp>
        <stp>.SPY171215C213</stp>
        <tr r="E911" s="1"/>
      </tp>
      <tp>
        <v>0</v>
        <stp/>
        <stp>VOLUME</stp>
        <stp>.SPY161216P210</stp>
        <tr r="P779" s="1"/>
      </tp>
      <tp t="s">
        <v>N/A</v>
        <stp/>
        <stp>VOLUME</stp>
        <stp>.SPY171215P212</stp>
        <tr r="P909" s="1"/>
      </tp>
      <tp>
        <v>0</v>
        <stp/>
        <stp>VOLUME</stp>
        <stp>.SPY161216C210</stp>
        <tr r="E779" s="1"/>
      </tp>
      <tp t="s">
        <v>N/A</v>
        <stp/>
        <stp>VOLUME</stp>
        <stp>.SPY171215C212</stp>
        <tr r="E909" s="1"/>
      </tp>
      <tp t="s">
        <v>N/A</v>
        <stp/>
        <stp>VOLUME</stp>
        <stp>.SPY161216P217</stp>
        <tr r="P793" s="1"/>
      </tp>
      <tp>
        <v>0</v>
        <stp/>
        <stp>VOLUME</stp>
        <stp>.SPY171215P215</stp>
        <tr r="P915" s="1"/>
      </tp>
      <tp t="s">
        <v>N/A</v>
        <stp/>
        <stp>VOLUME</stp>
        <stp>.SPY161216C217</stp>
        <tr r="E793" s="1"/>
      </tp>
      <tp>
        <v>0</v>
        <stp/>
        <stp>VOLUME</stp>
        <stp>.SPY171215C215</stp>
        <tr r="E915" s="1"/>
      </tp>
      <tp t="s">
        <v>N/A</v>
        <stp/>
        <stp>VOLUME</stp>
        <stp>.SPY161216P216</stp>
        <tr r="P791" s="1"/>
      </tp>
      <tp t="s">
        <v>N/A</v>
        <stp/>
        <stp>VOLUME</stp>
        <stp>.SPY171215P214</stp>
        <tr r="P913" s="1"/>
      </tp>
      <tp t="s">
        <v>N/A</v>
        <stp/>
        <stp>VOLUME</stp>
        <stp>.SPY161216C216</stp>
        <tr r="E791" s="1"/>
      </tp>
      <tp t="s">
        <v>N/A</v>
        <stp/>
        <stp>VOLUME</stp>
        <stp>.SPY171215C214</stp>
        <tr r="E913" s="1"/>
      </tp>
      <tp>
        <v>0</v>
        <stp/>
        <stp>VOLUME</stp>
        <stp>.SPY151219P219</stp>
        <tr r="P545" s="1"/>
      </tp>
      <tp>
        <v>0</v>
        <stp/>
        <stp>VOLUME</stp>
        <stp>.SPY161216P215</stp>
        <tr r="P789" s="1"/>
      </tp>
      <tp t="s">
        <v>N/A</v>
        <stp/>
        <stp>VOLUME</stp>
        <stp>.SPY171215P217</stp>
        <tr r="P919" s="1"/>
      </tp>
      <tp>
        <v>0</v>
        <stp/>
        <stp>VOLUME</stp>
        <stp>.SPY151219C219</stp>
        <tr r="E545" s="1"/>
      </tp>
      <tp>
        <v>0</v>
        <stp/>
        <stp>VOLUME</stp>
        <stp>.SPY161216C215</stp>
        <tr r="E789" s="1"/>
      </tp>
      <tp t="s">
        <v>N/A</v>
        <stp/>
        <stp>VOLUME</stp>
        <stp>.SPY171215C217</stp>
        <tr r="E919" s="1"/>
      </tp>
      <tp>
        <v>0</v>
        <stp/>
        <stp>VOLUME</stp>
        <stp>.SPY151219P218</stp>
        <tr r="P543" s="1"/>
      </tp>
      <tp t="s">
        <v>N/A</v>
        <stp/>
        <stp>VOLUME</stp>
        <stp>.SPY161216P214</stp>
        <tr r="P787" s="1"/>
      </tp>
      <tp t="s">
        <v>N/A</v>
        <stp/>
        <stp>VOLUME</stp>
        <stp>.SPY171215P216</stp>
        <tr r="P917" s="1"/>
      </tp>
      <tp>
        <v>0</v>
        <stp/>
        <stp>VOLUME</stp>
        <stp>.SPY151219C218</stp>
        <tr r="E543" s="1"/>
      </tp>
      <tp t="s">
        <v>N/A</v>
        <stp/>
        <stp>VOLUME</stp>
        <stp>.SPY161216C214</stp>
        <tr r="E787" s="1"/>
      </tp>
      <tp t="s">
        <v>N/A</v>
        <stp/>
        <stp>VOLUME</stp>
        <stp>.SPY171215C216</stp>
        <tr r="E917" s="1"/>
      </tp>
      <tp>
        <v>0</v>
        <stp/>
        <stp>VOLUME</stp>
        <stp>.SPY151219P217</stp>
        <tr r="P541" s="1"/>
      </tp>
      <tp t="s">
        <v>N/A</v>
        <stp/>
        <stp>VOLUME</stp>
        <stp>.SPY171215P219</stp>
        <tr r="P923" s="1"/>
      </tp>
      <tp>
        <v>68</v>
        <stp/>
        <stp>VOLUME</stp>
        <stp>.SPY151219C217</stp>
        <tr r="E541" s="1"/>
      </tp>
      <tp t="s">
        <v>N/A</v>
        <stp/>
        <stp>VOLUME</stp>
        <stp>.SPY171215C219</stp>
        <tr r="E923" s="1"/>
      </tp>
      <tp>
        <v>21</v>
        <stp/>
        <stp>VOLUME</stp>
        <stp>.SPY151219P216</stp>
        <tr r="P539" s="1"/>
      </tp>
      <tp t="s">
        <v>N/A</v>
        <stp/>
        <stp>VOLUME</stp>
        <stp>.SPY171215P218</stp>
        <tr r="P921" s="1"/>
      </tp>
      <tp>
        <v>1</v>
        <stp/>
        <stp>VOLUME</stp>
        <stp>.SPY151219C216</stp>
        <tr r="E539" s="1"/>
      </tp>
      <tp t="s">
        <v>N/A</v>
        <stp/>
        <stp>VOLUME</stp>
        <stp>.SPY171215C218</stp>
        <tr r="E921" s="1"/>
      </tp>
      <tp>
        <v>10</v>
        <stp/>
        <stp>VOLUME</stp>
        <stp>.SPY151219P215</stp>
        <tr r="P537" s="1"/>
      </tp>
      <tp t="s">
        <v>N/A</v>
        <stp/>
        <stp>VOLUME</stp>
        <stp>.SPY161216P219</stp>
        <tr r="P797" s="1"/>
      </tp>
      <tp>
        <v>51</v>
        <stp/>
        <stp>VOLUME</stp>
        <stp>.SPY151219C215</stp>
        <tr r="E537" s="1"/>
      </tp>
      <tp t="s">
        <v>N/A</v>
        <stp/>
        <stp>VOLUME</stp>
        <stp>.SPY161216C219</stp>
        <tr r="E797" s="1"/>
      </tp>
      <tp>
        <v>25</v>
        <stp/>
        <stp>VOLUME</stp>
        <stp>.SPY151219P214</stp>
        <tr r="P535" s="1"/>
      </tp>
      <tp t="s">
        <v>N/A</v>
        <stp/>
        <stp>VOLUME</stp>
        <stp>.SPY161216P218</stp>
        <tr r="P795" s="1"/>
      </tp>
      <tp>
        <v>23</v>
        <stp/>
        <stp>VOLUME</stp>
        <stp>.SPY151219C214</stp>
        <tr r="E535" s="1"/>
      </tp>
      <tp t="s">
        <v>N/A</v>
        <stp/>
        <stp>VOLUME</stp>
        <stp>.SPY161216C218</stp>
        <tr r="E795" s="1"/>
      </tp>
      <tp>
        <v>0</v>
        <stp/>
        <stp>VOLUME</stp>
        <stp>.SPY151219P213</stp>
        <tr r="P533" s="1"/>
      </tp>
      <tp>
        <v>67</v>
        <stp/>
        <stp>VOLUME</stp>
        <stp>.SPY151219C213</stp>
        <tr r="E533" s="1"/>
      </tp>
      <tp>
        <v>365</v>
        <stp/>
        <stp>VOLUME</stp>
        <stp>.SPY151219P212</stp>
        <tr r="P531" s="1"/>
      </tp>
      <tp>
        <v>54</v>
        <stp/>
        <stp>VOLUME</stp>
        <stp>.SPY151219C212</stp>
        <tr r="E531" s="1"/>
      </tp>
      <tp>
        <v>56</v>
        <stp/>
        <stp>VOLUME</stp>
        <stp>.SPY151219P211</stp>
        <tr r="P529" s="1"/>
      </tp>
      <tp>
        <v>67</v>
        <stp/>
        <stp>VOLUME</stp>
        <stp>.SPY151219C211</stp>
        <tr r="E529" s="1"/>
      </tp>
      <tp>
        <v>42</v>
        <stp/>
        <stp>VOLUME</stp>
        <stp>.SPY151219P210</stp>
        <tr r="P527" s="1"/>
      </tp>
      <tp>
        <v>34</v>
        <stp/>
        <stp>VOLUME</stp>
        <stp>.SPY151219C210</stp>
        <tr r="E527" s="1"/>
      </tp>
      <tp t="s">
        <v>N/A</v>
        <stp/>
        <stp>VOLUME</stp>
        <stp>.SPY161216P203</stp>
        <tr r="P765" s="1"/>
      </tp>
      <tp t="s">
        <v>N/A</v>
        <stp/>
        <stp>VOLUME</stp>
        <stp>.SPY171215P201</stp>
        <tr r="P887" s="1"/>
      </tp>
      <tp t="s">
        <v>N/A</v>
        <stp/>
        <stp>VOLUME</stp>
        <stp>.SPY161216C203</stp>
        <tr r="E765" s="1"/>
      </tp>
      <tp t="s">
        <v>N/A</v>
        <stp/>
        <stp>VOLUME</stp>
        <stp>.SPY171215C201</stp>
        <tr r="E887" s="1"/>
      </tp>
      <tp t="s">
        <v>N/A</v>
        <stp/>
        <stp>VOLUME</stp>
        <stp>.SPY161216P202</stp>
        <tr r="P763" s="1"/>
      </tp>
      <tp>
        <v>10</v>
        <stp/>
        <stp>VOLUME</stp>
        <stp>.SPY171215P200</stp>
        <tr r="P885" s="1"/>
      </tp>
      <tp t="s">
        <v>N/A</v>
        <stp/>
        <stp>VOLUME</stp>
        <stp>.SPY161216C202</stp>
        <tr r="E763" s="1"/>
      </tp>
      <tp>
        <v>0</v>
        <stp/>
        <stp>VOLUME</stp>
        <stp>.SPY171215C200</stp>
        <tr r="E885" s="1"/>
      </tp>
      <tp t="s">
        <v>N/A</v>
        <stp/>
        <stp>VOLUME</stp>
        <stp>.SPY161216P201</stp>
        <tr r="P761" s="1"/>
      </tp>
      <tp t="s">
        <v>N/A</v>
        <stp/>
        <stp>VOLUME</stp>
        <stp>.SPY171215P203</stp>
        <tr r="P891" s="1"/>
      </tp>
      <tp t="s">
        <v>N/A</v>
        <stp/>
        <stp>VOLUME</stp>
        <stp>.SPY161216C201</stp>
        <tr r="E761" s="1"/>
      </tp>
      <tp t="s">
        <v>N/A</v>
        <stp/>
        <stp>VOLUME</stp>
        <stp>.SPY171215C203</stp>
        <tr r="E891" s="1"/>
      </tp>
      <tp>
        <v>43</v>
        <stp/>
        <stp>VOLUME</stp>
        <stp>.SPY161216P200</stp>
        <tr r="P759" s="1"/>
      </tp>
      <tp t="s">
        <v>N/A</v>
        <stp/>
        <stp>VOLUME</stp>
        <stp>.SPY171215P202</stp>
        <tr r="P889" s="1"/>
      </tp>
      <tp>
        <v>5</v>
        <stp/>
        <stp>VOLUME</stp>
        <stp>.SPY161216C200</stp>
        <tr r="E759" s="1"/>
      </tp>
      <tp t="s">
        <v>N/A</v>
        <stp/>
        <stp>VOLUME</stp>
        <stp>.SPY171215C202</stp>
        <tr r="E889" s="1"/>
      </tp>
      <tp t="s">
        <v>N/A</v>
        <stp/>
        <stp>VOLUME</stp>
        <stp>.SPY161216P207</stp>
        <tr r="P773" s="1"/>
      </tp>
      <tp>
        <v>11</v>
        <stp/>
        <stp>VOLUME</stp>
        <stp>.SPY171215P205</stp>
        <tr r="P895" s="1"/>
      </tp>
      <tp t="s">
        <v>N/A</v>
        <stp/>
        <stp>VOLUME</stp>
        <stp>.SPY161216C207</stp>
        <tr r="E773" s="1"/>
      </tp>
      <tp>
        <v>13</v>
        <stp/>
        <stp>VOLUME</stp>
        <stp>.SPY171215C205</stp>
        <tr r="E895" s="1"/>
      </tp>
      <tp t="s">
        <v>N/A</v>
        <stp/>
        <stp>VOLUME</stp>
        <stp>.SPY161216P206</stp>
        <tr r="P771" s="1"/>
      </tp>
      <tp t="s">
        <v>N/A</v>
        <stp/>
        <stp>VOLUME</stp>
        <stp>.SPY171215P204</stp>
        <tr r="P893" s="1"/>
      </tp>
      <tp t="s">
        <v>N/A</v>
        <stp/>
        <stp>VOLUME</stp>
        <stp>.SPY161216C206</stp>
        <tr r="E771" s="1"/>
      </tp>
      <tp t="s">
        <v>N/A</v>
        <stp/>
        <stp>VOLUME</stp>
        <stp>.SPY171215C204</stp>
        <tr r="E893" s="1"/>
      </tp>
      <tp>
        <v>5</v>
        <stp/>
        <stp>VOLUME</stp>
        <stp>.SPY151219P209</stp>
        <tr r="P525" s="1"/>
      </tp>
      <tp>
        <v>0</v>
        <stp/>
        <stp>VOLUME</stp>
        <stp>.SPY161216P205</stp>
        <tr r="P769" s="1"/>
      </tp>
      <tp t="s">
        <v>N/A</v>
        <stp/>
        <stp>VOLUME</stp>
        <stp>.SPY171215P207</stp>
        <tr r="P899" s="1"/>
      </tp>
      <tp>
        <v>73</v>
        <stp/>
        <stp>VOLUME</stp>
        <stp>.SPY151219C209</stp>
        <tr r="E525" s="1"/>
      </tp>
      <tp>
        <v>2</v>
        <stp/>
        <stp>VOLUME</stp>
        <stp>.SPY161216C205</stp>
        <tr r="E769" s="1"/>
      </tp>
      <tp t="s">
        <v>N/A</v>
        <stp/>
        <stp>VOLUME</stp>
        <stp>.SPY171215C207</stp>
        <tr r="E899" s="1"/>
      </tp>
      <tp>
        <v>12</v>
        <stp/>
        <stp>VOLUME</stp>
        <stp>.SPY151219P208</stp>
        <tr r="P523" s="1"/>
      </tp>
      <tp t="s">
        <v>N/A</v>
        <stp/>
        <stp>VOLUME</stp>
        <stp>.SPY161216P204</stp>
        <tr r="P767" s="1"/>
      </tp>
      <tp t="s">
        <v>N/A</v>
        <stp/>
        <stp>VOLUME</stp>
        <stp>.SPY171215P206</stp>
        <tr r="P897" s="1"/>
      </tp>
      <tp>
        <v>2</v>
        <stp/>
        <stp>VOLUME</stp>
        <stp>.SPY151219C208</stp>
        <tr r="E523" s="1"/>
      </tp>
      <tp t="s">
        <v>N/A</v>
        <stp/>
        <stp>VOLUME</stp>
        <stp>.SPY161216C204</stp>
        <tr r="E767" s="1"/>
      </tp>
      <tp t="s">
        <v>N/A</v>
        <stp/>
        <stp>VOLUME</stp>
        <stp>.SPY171215C206</stp>
        <tr r="E897" s="1"/>
      </tp>
      <tp>
        <v>2</v>
        <stp/>
        <stp>VOLUME</stp>
        <stp>.SPY151219P207</stp>
        <tr r="P521" s="1"/>
      </tp>
      <tp t="s">
        <v>N/A</v>
        <stp/>
        <stp>VOLUME</stp>
        <stp>.SPY171215P209</stp>
        <tr r="P903" s="1"/>
      </tp>
      <tp>
        <v>168</v>
        <stp/>
        <stp>VOLUME</stp>
        <stp>.SPY151219C207</stp>
        <tr r="E521" s="1"/>
      </tp>
      <tp t="s">
        <v>N/A</v>
        <stp/>
        <stp>VOLUME</stp>
        <stp>.SPY171215C209</stp>
        <tr r="E903" s="1"/>
      </tp>
      <tp>
        <v>0</v>
        <stp/>
        <stp>VOLUME</stp>
        <stp>.SPY151219P206</stp>
        <tr r="P519" s="1"/>
      </tp>
      <tp t="s">
        <v>N/A</v>
        <stp/>
        <stp>VOLUME</stp>
        <stp>.SPY171215P208</stp>
        <tr r="P901" s="1"/>
      </tp>
      <tp>
        <v>57</v>
        <stp/>
        <stp>VOLUME</stp>
        <stp>.SPY151219C206</stp>
        <tr r="E519" s="1"/>
      </tp>
      <tp t="s">
        <v>N/A</v>
        <stp/>
        <stp>VOLUME</stp>
        <stp>.SPY171215C208</stp>
        <tr r="E901" s="1"/>
      </tp>
      <tp>
        <v>22</v>
        <stp/>
        <stp>VOLUME</stp>
        <stp>.SPY151219P205</stp>
        <tr r="P517" s="1"/>
      </tp>
      <tp t="s">
        <v>N/A</v>
        <stp/>
        <stp>VOLUME</stp>
        <stp>.SPY161216P209</stp>
        <tr r="P777" s="1"/>
      </tp>
      <tp>
        <v>200</v>
        <stp/>
        <stp>VOLUME</stp>
        <stp>.SPY151219C205</stp>
        <tr r="E517" s="1"/>
      </tp>
      <tp t="s">
        <v>N/A</v>
        <stp/>
        <stp>VOLUME</stp>
        <stp>.SPY161216C209</stp>
        <tr r="E777" s="1"/>
      </tp>
      <tp>
        <v>10</v>
        <stp/>
        <stp>VOLUME</stp>
        <stp>.SPY151219P204</stp>
        <tr r="P515" s="1"/>
      </tp>
      <tp t="s">
        <v>N/A</v>
        <stp/>
        <stp>VOLUME</stp>
        <stp>.SPY161216P208</stp>
        <tr r="P775" s="1"/>
      </tp>
      <tp>
        <v>0</v>
        <stp/>
        <stp>VOLUME</stp>
        <stp>.SPY151219C204</stp>
        <tr r="E515" s="1"/>
      </tp>
      <tp t="s">
        <v>N/A</v>
        <stp/>
        <stp>VOLUME</stp>
        <stp>.SPY161216C208</stp>
        <tr r="E775" s="1"/>
      </tp>
      <tp>
        <v>0</v>
        <stp/>
        <stp>VOLUME</stp>
        <stp>.SPY151219P203</stp>
        <tr r="P513" s="1"/>
      </tp>
      <tp>
        <v>60</v>
        <stp/>
        <stp>VOLUME</stp>
        <stp>.SPY151219C203</stp>
        <tr r="E513" s="1"/>
      </tp>
      <tp>
        <v>0</v>
        <stp/>
        <stp>VOLUME</stp>
        <stp>.SPY151219P202</stp>
        <tr r="P511" s="1"/>
      </tp>
      <tp>
        <v>0</v>
        <stp/>
        <stp>VOLUME</stp>
        <stp>.SPY151219C202</stp>
        <tr r="E511" s="1"/>
      </tp>
      <tp>
        <v>0</v>
        <stp/>
        <stp>VOLUME</stp>
        <stp>.SPY151219P201</stp>
        <tr r="P509" s="1"/>
      </tp>
      <tp>
        <v>0</v>
        <stp/>
        <stp>VOLUME</stp>
        <stp>.SPY151219C201</stp>
        <tr r="E509" s="1"/>
      </tp>
      <tp>
        <v>1631</v>
        <stp/>
        <stp>VOLUME</stp>
        <stp>.SPY151219P200</stp>
        <tr r="P507" s="1"/>
      </tp>
      <tp>
        <v>4</v>
        <stp/>
        <stp>VOLUME</stp>
        <stp>.SPY151219C200</stp>
        <tr r="E507" s="1"/>
      </tp>
      <tp t="s">
        <v>N/A</v>
        <stp/>
        <stp>BID</stp>
        <stp>.SPY150918C212.5</stp>
        <tr r="C448" s="1"/>
      </tp>
      <tp t="s">
        <v>N/A</v>
        <stp/>
        <stp>BID</stp>
        <stp>.SPY150918C202.5</stp>
        <tr r="C428" s="1"/>
      </tp>
      <tp t="s">
        <v>N/A</v>
        <stp/>
        <stp>BID</stp>
        <stp>.SPY160318C211.5</stp>
        <tr r="C656" s="1"/>
      </tp>
      <tp t="s">
        <v>N/A</v>
        <stp/>
        <stp>BID</stp>
        <stp>.SPY160318C201.5</stp>
        <tr r="C636" s="1"/>
      </tp>
      <tp t="s">
        <v>N/A</v>
        <stp/>
        <stp>BID</stp>
        <stp>.SPY170120C208.5</stp>
        <tr r="C818" s="1"/>
      </tp>
      <tp t="s">
        <v>N/A</v>
        <stp/>
        <stp>BID</stp>
        <stp>.SPY170120C218.5</stp>
        <tr r="C838" s="1"/>
      </tp>
      <tp t="s">
        <v>N/A</v>
        <stp/>
        <stp>BID</stp>
        <stp>.SPY150619C213.5</stp>
        <tr r="C324" s="1"/>
      </tp>
      <tp t="s">
        <v>N/A</v>
        <stp/>
        <stp>BID</stp>
        <stp>.SPY150619C203.5</stp>
        <tr r="C304" s="1"/>
      </tp>
      <tp>
        <v>4.04</v>
        <stp/>
        <stp>BID</stp>
        <stp>.SPY150522C208.5</stp>
        <tr r="C230" s="1"/>
      </tp>
      <tp>
        <v>8.51</v>
        <stp/>
        <stp>BID</stp>
        <stp>.SPY150529C203.5</stp>
        <tr r="C262" s="1"/>
      </tp>
      <tp>
        <v>0.05</v>
        <stp/>
        <stp>BID</stp>
        <stp>.SPY150522C218.5</stp>
        <tr r="C250" s="1"/>
      </tp>
      <tp>
        <v>1.27</v>
        <stp/>
        <stp>BID</stp>
        <stp>.SPY150529C213.5</stp>
        <tr r="C282" s="1"/>
      </tp>
      <tp>
        <v>8.85</v>
        <stp/>
        <stp>BID</stp>
        <stp>.SPY150508C202.5</stp>
        <tr r="C134" s="1"/>
      </tp>
      <tp>
        <v>0.44</v>
        <stp/>
        <stp>BID</stp>
        <stp>.SPY150508C212.5</stp>
        <tr r="C154" s="1"/>
      </tp>
      <tp t="s">
        <v>N/A</v>
        <stp/>
        <stp>BID</stp>
        <stp>.SPY151219C213.5</stp>
        <tr r="C534" s="1"/>
      </tp>
      <tp t="s">
        <v>N/A</v>
        <stp/>
        <stp>BID</stp>
        <stp>.SPY151219C203.5</stp>
        <tr r="C514" s="1"/>
      </tp>
      <tp t="s">
        <v>N/A</v>
        <stp/>
        <stp>RHO</stp>
        <stp>.SPY151219C212.5</stp>
        <tr r="K532" s="1"/>
      </tp>
      <tp t="s">
        <v>N/A</v>
        <stp/>
        <stp>RHO</stp>
        <stp>.SPY151219C202.5</stp>
        <tr r="K512" s="1"/>
      </tp>
      <tp t="s">
        <v>N/A</v>
        <stp/>
        <stp>RHO</stp>
        <stp>.SPY150918C213.5</stp>
        <tr r="K450" s="1"/>
      </tp>
      <tp t="s">
        <v>N/A</v>
        <stp/>
        <stp>RHO</stp>
        <stp>.SPY150918C203.5</stp>
        <tr r="K430" s="1"/>
      </tp>
      <tp t="s">
        <v>N/A</v>
        <stp/>
        <stp>RHO</stp>
        <stp>.SPY160318C210.5</stp>
        <tr r="K654" s="1"/>
      </tp>
      <tp t="s">
        <v>N/A</v>
        <stp/>
        <stp>RHO</stp>
        <stp>.SPY160318C200.5</stp>
        <tr r="K634" s="1"/>
      </tp>
      <tp t="s">
        <v>N/A</v>
        <stp/>
        <stp>RHO</stp>
        <stp>.SPY170120C209.5</stp>
        <tr r="K820" s="1"/>
      </tp>
      <tp t="s">
        <v>N/A</v>
        <stp/>
        <stp>RHO</stp>
        <stp>.SPY170120C219.5</stp>
        <tr r="K840" s="1"/>
      </tp>
      <tp t="s">
        <v>N/A</v>
        <stp/>
        <stp>RHO</stp>
        <stp>.SPY150619C212.5</stp>
        <tr r="K322" s="1"/>
      </tp>
      <tp t="s">
        <v>N/A</v>
        <stp/>
        <stp>RHO</stp>
        <stp>.SPY150619C202.5</stp>
        <tr r="K302" s="1"/>
      </tp>
      <tp>
        <v>6.1539999999999997E-2</v>
        <stp/>
        <stp>RHO</stp>
        <stp>.SPY150522C209.5</stp>
        <tr r="K232" s="1"/>
      </tp>
      <tp>
        <v>8.7290000000000006E-2</v>
        <stp/>
        <stp>RHO</stp>
        <stp>.SPY150529C202.5</stp>
        <tr r="K260" s="1"/>
      </tp>
      <tp>
        <v>2.5500000000000002E-3</v>
        <stp/>
        <stp>RHO</stp>
        <stp>.SPY150522C219.5</stp>
        <tr r="K252" s="1"/>
      </tp>
      <tp>
        <v>5.987E-2</v>
        <stp/>
        <stp>RHO</stp>
        <stp>.SPY150529C212.5</stp>
        <tr r="K280" s="1"/>
      </tp>
      <tp>
        <v>7.0899999999999999E-3</v>
        <stp/>
        <stp>RHO</stp>
        <stp>.SPY150508C203.5</stp>
        <tr r="K136" s="1"/>
      </tp>
      <tp>
        <v>4.5300000000000002E-3</v>
        <stp/>
        <stp>RHO</stp>
        <stp>.SPY150508C213.5</stp>
        <tr r="K156" s="1"/>
      </tp>
      <tp t="s">
        <v>N/A</v>
        <stp/>
        <stp>BID</stp>
        <stp>.SPY151219P213.5</stp>
        <tr r="N534" s="1"/>
      </tp>
      <tp t="s">
        <v>N/A</v>
        <stp/>
        <stp>BID</stp>
        <stp>.SPY151219P203.5</stp>
        <tr r="N514" s="1"/>
      </tp>
      <tp t="s">
        <v>N/A</v>
        <stp/>
        <stp>BID</stp>
        <stp>.SPY150918P212.5</stp>
        <tr r="N448" s="1"/>
      </tp>
      <tp t="s">
        <v>N/A</v>
        <stp/>
        <stp>BID</stp>
        <stp>.SPY150918P202.5</stp>
        <tr r="N428" s="1"/>
      </tp>
      <tp t="s">
        <v>N/A</v>
        <stp/>
        <stp>BID</stp>
        <stp>.SPY160318P211.5</stp>
        <tr r="N656" s="1"/>
      </tp>
      <tp t="s">
        <v>N/A</v>
        <stp/>
        <stp>BID</stp>
        <stp>.SPY160318P201.5</stp>
        <tr r="N636" s="1"/>
      </tp>
      <tp t="s">
        <v>N/A</v>
        <stp/>
        <stp>BID</stp>
        <stp>.SPY170120P208.5</stp>
        <tr r="N818" s="1"/>
      </tp>
      <tp t="s">
        <v>N/A</v>
        <stp/>
        <stp>BID</stp>
        <stp>.SPY170120P218.5</stp>
        <tr r="N838" s="1"/>
      </tp>
      <tp t="s">
        <v>N/A</v>
        <stp/>
        <stp>BID</stp>
        <stp>.SPY150619P213.5</stp>
        <tr r="N324" s="1"/>
      </tp>
      <tp t="s">
        <v>N/A</v>
        <stp/>
        <stp>BID</stp>
        <stp>.SPY150619P203.5</stp>
        <tr r="N304" s="1"/>
      </tp>
      <tp>
        <v>1.1100000000000001</v>
        <stp/>
        <stp>BID</stp>
        <stp>.SPY150522P208.5</stp>
        <tr r="N230" s="1"/>
      </tp>
      <tp>
        <v>0.62</v>
        <stp/>
        <stp>BID</stp>
        <stp>.SPY150529P203.5</stp>
        <tr r="N262" s="1"/>
      </tp>
      <tp>
        <v>6.97</v>
        <stp/>
        <stp>BID</stp>
        <stp>.SPY150522P218.5</stp>
        <tr r="N250" s="1"/>
      </tp>
      <tp>
        <v>3.26</v>
        <stp/>
        <stp>BID</stp>
        <stp>.SPY150529P213.5</stp>
        <tr r="N282" s="1"/>
      </tp>
      <tp>
        <v>0.03</v>
        <stp/>
        <stp>BID</stp>
        <stp>.SPY150508P202.5</stp>
        <tr r="N134" s="1"/>
      </tp>
      <tp>
        <v>1.46</v>
        <stp/>
        <stp>BID</stp>
        <stp>.SPY150508P212.5</stp>
        <tr r="N154" s="1"/>
      </tp>
      <tp t="s">
        <v>N/A</v>
        <stp/>
        <stp>RHO</stp>
        <stp>.SPY150918P213.5</stp>
        <tr r="V450" s="1"/>
      </tp>
      <tp t="s">
        <v>N/A</v>
        <stp/>
        <stp>RHO</stp>
        <stp>.SPY150918P203.5</stp>
        <tr r="V430" s="1"/>
      </tp>
      <tp t="s">
        <v>N/A</v>
        <stp/>
        <stp>RHO</stp>
        <stp>.SPY160318P210.5</stp>
        <tr r="V654" s="1"/>
      </tp>
      <tp t="s">
        <v>N/A</v>
        <stp/>
        <stp>RHO</stp>
        <stp>.SPY160318P200.5</stp>
        <tr r="V634" s="1"/>
      </tp>
      <tp t="s">
        <v>N/A</v>
        <stp/>
        <stp>RHO</stp>
        <stp>.SPY170120P209.5</stp>
        <tr r="V820" s="1"/>
      </tp>
      <tp t="s">
        <v>N/A</v>
        <stp/>
        <stp>RHO</stp>
        <stp>.SPY170120P219.5</stp>
        <tr r="V840" s="1"/>
      </tp>
      <tp t="s">
        <v>N/A</v>
        <stp/>
        <stp>RHO</stp>
        <stp>.SPY150619P212.5</stp>
        <tr r="V322" s="1"/>
      </tp>
      <tp t="s">
        <v>N/A</v>
        <stp/>
        <stp>RHO</stp>
        <stp>.SPY150619P202.5</stp>
        <tr r="V302" s="1"/>
      </tp>
      <tp>
        <v>-4.079E-2</v>
        <stp/>
        <stp>RHO</stp>
        <stp>.SPY150522P209.5</stp>
        <tr r="V232" s="1"/>
      </tp>
      <tp>
        <v>-1.993E-2</v>
        <stp/>
        <stp>RHO</stp>
        <stp>.SPY150529P202.5</stp>
        <tr r="V260" s="1"/>
      </tp>
      <tp>
        <v>-0.11416999999999999</v>
        <stp/>
        <stp>RHO</stp>
        <stp>.SPY150522P219.5</stp>
        <tr r="V252" s="1"/>
      </tp>
      <tp>
        <v>-9.042E-2</v>
        <stp/>
        <stp>RHO</stp>
        <stp>.SPY150529P212.5</stp>
        <tr r="V280" s="1"/>
      </tp>
      <tp>
        <v>-8.0999999999999996E-4</v>
        <stp/>
        <stp>RHO</stp>
        <stp>.SPY150508P203.5</stp>
        <tr r="V136" s="1"/>
      </tp>
      <tp>
        <v>-2.494E-2</v>
        <stp/>
        <stp>RHO</stp>
        <stp>.SPY150508P213.5</stp>
        <tr r="V156" s="1"/>
      </tp>
      <tp t="s">
        <v>N/A</v>
        <stp/>
        <stp>RHO</stp>
        <stp>.SPY151219P212.5</stp>
        <tr r="V532" s="1"/>
      </tp>
      <tp t="s">
        <v>N/A</v>
        <stp/>
        <stp>RHO</stp>
        <stp>.SPY151219P202.5</stp>
        <tr r="V512" s="1"/>
      </tp>
      <tp t="s">
        <v>N/A</v>
        <stp/>
        <stp>DELTA</stp>
        <stp>.SPY150930P212.5</stp>
        <tr r="R490" s="1"/>
      </tp>
      <tp t="s">
        <v>N/A</v>
        <stp/>
        <stp>DELTA</stp>
        <stp>.SPY150930P202.5</stp>
        <tr r="R470" s="1"/>
      </tp>
      <tp t="s">
        <v>N/A</v>
        <stp/>
        <stp>DELTA</stp>
        <stp>.SPY160916P217.5</stp>
        <tr r="R752" s="1"/>
      </tp>
      <tp t="s">
        <v>N/A</v>
        <stp/>
        <stp>DELTA</stp>
        <stp>.SPY160916P207.5</stp>
        <tr r="R732" s="1"/>
      </tp>
      <tp t="s">
        <v>N/A</v>
        <stp/>
        <stp>DELTA</stp>
        <stp>.SPY150424P206.5</stp>
        <tr r="R58" s="1"/>
      </tp>
      <tp t="s">
        <v>N/A</v>
        <stp/>
        <stp>DELTA</stp>
        <stp>.SPY150424P216.5</stp>
        <tr r="R78" s="1"/>
      </tp>
      <tp t="s">
        <v>N/A</v>
        <stp/>
        <stp>DELTA</stp>
        <stp>.SPY150417P215.5</stp>
        <tr r="R34" s="1"/>
      </tp>
      <tp t="s">
        <v>N/A</v>
        <stp/>
        <stp>DELTA</stp>
        <stp>.SPY150417P205.5</stp>
        <tr r="R14" s="1"/>
      </tp>
      <tp>
        <v>-6.8260000000000001E-2</v>
        <stp/>
        <stp>DELTA</stp>
        <stp>.SPY150522P200.5</stp>
        <tr r="R214" s="1"/>
      </tp>
      <tp>
        <v>-0.43297999999999998</v>
        <stp/>
        <stp>DELTA</stp>
        <stp>.SPY150522P210.5</stp>
        <tr r="R234" s="1"/>
      </tp>
      <tp t="s">
        <v>N/A</v>
        <stp/>
        <stp>DELTA</stp>
        <stp>.SPY150501P203.5</stp>
        <tr r="R94" s="1"/>
      </tp>
      <tp>
        <v>-0.99941999999999998</v>
        <stp/>
        <stp>DELTA</stp>
        <stp>.SPY150515P217.5</stp>
        <tr r="R206" s="1"/>
      </tp>
      <tp t="s">
        <v>N/A</v>
        <stp/>
        <stp>DELTA</stp>
        <stp>.SPY150501P213.5</stp>
        <tr r="R114" s="1"/>
      </tp>
      <tp>
        <v>-0.20745</v>
        <stp/>
        <stp>DELTA</stp>
        <stp>.SPY150515P207.5</stp>
        <tr r="R186" s="1"/>
      </tp>
      <tp t="s">
        <v>N/A</v>
        <stp/>
        <stp>DELTA</stp>
        <stp>.SPY150630P212.5</stp>
        <tr r="R364" s="1"/>
      </tp>
      <tp t="s">
        <v>N/A</v>
        <stp/>
        <stp>DELTA</stp>
        <stp>.SPY150630P202.5</stp>
        <tr r="R344" s="1"/>
      </tp>
      <tp t="s">
        <v>N/A</v>
        <stp/>
        <stp>DELTA</stp>
        <stp>.SPY160617P216.5</stp>
        <tr r="R708" s="1"/>
      </tp>
      <tp t="s">
        <v>N/A</v>
        <stp/>
        <stp>DELTA</stp>
        <stp>.SPY160617P206.5</stp>
        <tr r="R688" s="1"/>
      </tp>
      <tp t="s">
        <v>N/A</v>
        <stp/>
        <stp>DELTA</stp>
        <stp>.SPY150717P215.5</stp>
        <tr r="R412" s="1"/>
      </tp>
      <tp t="s">
        <v>N/A</v>
        <stp/>
        <stp>DELTA</stp>
        <stp>.SPY150717P205.5</stp>
        <tr r="R392" s="1"/>
      </tp>
      <tp t="s">
        <v>N/A</v>
        <stp/>
        <stp>DELTA</stp>
        <stp>.SPY170120P200.5</stp>
        <tr r="R802" s="1"/>
      </tp>
      <tp t="s">
        <v>N/A</v>
        <stp/>
        <stp>DELTA</stp>
        <stp>.SPY170120P210.5</stp>
        <tr r="R822" s="1"/>
      </tp>
      <tp t="s">
        <v>N/A</v>
        <stp/>
        <stp>DELTA</stp>
        <stp>.SPY160115P214.5</stp>
        <tr r="R620" s="1"/>
      </tp>
      <tp t="s">
        <v>N/A</v>
        <stp/>
        <stp>DELTA</stp>
        <stp>.SPY160115P204.5</stp>
        <tr r="R600" s="1"/>
      </tp>
      <tp t="s">
        <v>N/A</v>
        <stp/>
        <stp>DELTA</stp>
        <stp>.SPY160318P219.5</stp>
        <tr r="R672" s="1"/>
      </tp>
      <tp t="s">
        <v>N/A</v>
        <stp/>
        <stp>DELTA</stp>
        <stp>.SPY170317P217.5</stp>
        <tr r="R878" s="1"/>
      </tp>
      <tp t="s">
        <v>N/A</v>
        <stp/>
        <stp>DELTA</stp>
        <stp>.SPY160318P209.5</stp>
        <tr r="R652" s="1"/>
      </tp>
      <tp t="s">
        <v>N/A</v>
        <stp/>
        <stp>DELTA</stp>
        <stp>.SPY170317P207.5</stp>
        <tr r="R858" s="1"/>
      </tp>
      <tp t="s">
        <v>N/A</v>
        <stp/>
        <stp>DELTA</stp>
        <stp>.SPY151231P213.5</stp>
        <tr r="R576" s="1"/>
      </tp>
      <tp t="s">
        <v>N/A</v>
        <stp/>
        <stp>DELTA</stp>
        <stp>.SPY151231P203.5</stp>
        <tr r="R556" s="1"/>
      </tp>
      <tp t="s">
        <v>N/A</v>
        <stp/>
        <stp>DELTA</stp>
        <stp>.SPY161216P217.5</stp>
        <tr r="R794" s="1"/>
      </tp>
      <tp t="s">
        <v>N/A</v>
        <stp/>
        <stp>DELTA</stp>
        <stp>.SPY171215P215.5</stp>
        <tr r="R916" s="1"/>
      </tp>
      <tp t="s">
        <v>N/A</v>
        <stp/>
        <stp>DELTA</stp>
        <stp>.SPY161216P207.5</stp>
        <tr r="R774" s="1"/>
      </tp>
      <tp t="s">
        <v>N/A</v>
        <stp/>
        <stp>DELTA</stp>
        <stp>.SPY171215P205.5</stp>
        <tr r="R896" s="1"/>
      </tp>
      <tp t="s">
        <v>N/A</v>
        <stp/>
        <stp>THETA</stp>
        <stp>.SPY151231C203.5</stp>
        <tr r="H556" s="1"/>
      </tp>
      <tp t="s">
        <v>N/A</v>
        <stp/>
        <stp>THETA</stp>
        <stp>.SPY151231C213.5</stp>
        <tr r="H576" s="1"/>
      </tp>
      <tp t="s">
        <v>N/A</v>
        <stp/>
        <stp>THETA</stp>
        <stp>.SPY161216C207.5</stp>
        <tr r="H774" s="1"/>
      </tp>
      <tp t="s">
        <v>N/A</v>
        <stp/>
        <stp>THETA</stp>
        <stp>.SPY171215C205.5</stp>
        <tr r="H896" s="1"/>
      </tp>
      <tp t="s">
        <v>N/A</v>
        <stp/>
        <stp>THETA</stp>
        <stp>.SPY161216C217.5</stp>
        <tr r="H794" s="1"/>
      </tp>
      <tp t="s">
        <v>N/A</v>
        <stp/>
        <stp>THETA</stp>
        <stp>.SPY171215C215.5</stp>
        <tr r="H916" s="1"/>
      </tp>
      <tp t="s">
        <v>N/A</v>
        <stp/>
        <stp>THETA</stp>
        <stp>.SPY170120C210.5</stp>
        <tr r="H822" s="1"/>
      </tp>
      <tp t="s">
        <v>N/A</v>
        <stp/>
        <stp>THETA</stp>
        <stp>.SPY170120C200.5</stp>
        <tr r="H802" s="1"/>
      </tp>
      <tp t="s">
        <v>N/A</v>
        <stp/>
        <stp>THETA</stp>
        <stp>.SPY160115C204.5</stp>
        <tr r="H600" s="1"/>
      </tp>
      <tp t="s">
        <v>N/A</v>
        <stp/>
        <stp>THETA</stp>
        <stp>.SPY160115C214.5</stp>
        <tr r="H620" s="1"/>
      </tp>
      <tp t="s">
        <v>N/A</v>
        <stp/>
        <stp>THETA</stp>
        <stp>.SPY160318C209.5</stp>
        <tr r="H652" s="1"/>
      </tp>
      <tp t="s">
        <v>N/A</v>
        <stp/>
        <stp>THETA</stp>
        <stp>.SPY170317C207.5</stp>
        <tr r="H858" s="1"/>
      </tp>
      <tp t="s">
        <v>N/A</v>
        <stp/>
        <stp>THETA</stp>
        <stp>.SPY160318C219.5</stp>
        <tr r="H672" s="1"/>
      </tp>
      <tp t="s">
        <v>N/A</v>
        <stp/>
        <stp>THETA</stp>
        <stp>.SPY170317C217.5</stp>
        <tr r="H878" s="1"/>
      </tp>
      <tp>
        <v>-5.2470000000000003E-2</v>
        <stp/>
        <stp>THETA</stp>
        <stp>.SPY150522C210.5</stp>
        <tr r="H234" s="1"/>
      </tp>
      <tp>
        <v>-3.0370000000000001E-2</v>
        <stp/>
        <stp>THETA</stp>
        <stp>.SPY150522C200.5</stp>
        <tr r="H214" s="1"/>
      </tp>
      <tp t="s">
        <v>N/A</v>
        <stp/>
        <stp>THETA</stp>
        <stp>.SPY150501C213.5</stp>
        <tr r="H114" s="1"/>
      </tp>
      <tp>
        <v>-5.4919999999999997E-2</v>
        <stp/>
        <stp>THETA</stp>
        <stp>.SPY150515C207.5</stp>
        <tr r="H186" s="1"/>
      </tp>
      <tp t="s">
        <v>N/A</v>
        <stp/>
        <stp>THETA</stp>
        <stp>.SPY150501C203.5</stp>
        <tr r="H94" s="1"/>
      </tp>
      <tp>
        <v>-9.8899999999999995E-3</v>
        <stp/>
        <stp>THETA</stp>
        <stp>.SPY150515C217.5</stp>
        <tr r="H206" s="1"/>
      </tp>
      <tp t="s">
        <v>N/A</v>
        <stp/>
        <stp>THETA</stp>
        <stp>.SPY150424C216.5</stp>
        <tr r="H78" s="1"/>
      </tp>
      <tp t="s">
        <v>N/A</v>
        <stp/>
        <stp>THETA</stp>
        <stp>.SPY150424C206.5</stp>
        <tr r="H58" s="1"/>
      </tp>
      <tp t="s">
        <v>N/A</v>
        <stp/>
        <stp>THETA</stp>
        <stp>.SPY150417C205.5</stp>
        <tr r="H14" s="1"/>
      </tp>
      <tp t="s">
        <v>N/A</v>
        <stp/>
        <stp>THETA</stp>
        <stp>.SPY150417C215.5</stp>
        <tr r="H34" s="1"/>
      </tp>
      <tp t="s">
        <v>N/A</v>
        <stp/>
        <stp>THETA</stp>
        <stp>.SPY150717C205.5</stp>
        <tr r="H392" s="1"/>
      </tp>
      <tp t="s">
        <v>N/A</v>
        <stp/>
        <stp>THETA</stp>
        <stp>.SPY150717C215.5</stp>
        <tr r="H412" s="1"/>
      </tp>
      <tp t="s">
        <v>N/A</v>
        <stp/>
        <stp>THETA</stp>
        <stp>.SPY150630C202.5</stp>
        <tr r="H344" s="1"/>
      </tp>
      <tp t="s">
        <v>N/A</v>
        <stp/>
        <stp>THETA</stp>
        <stp>.SPY150630C212.5</stp>
        <tr r="H364" s="1"/>
      </tp>
      <tp t="s">
        <v>N/A</v>
        <stp/>
        <stp>THETA</stp>
        <stp>.SPY160617C206.5</stp>
        <tr r="H688" s="1"/>
      </tp>
      <tp t="s">
        <v>N/A</v>
        <stp/>
        <stp>THETA</stp>
        <stp>.SPY160617C216.5</stp>
        <tr r="H708" s="1"/>
      </tp>
      <tp t="s">
        <v>N/A</v>
        <stp/>
        <stp>THETA</stp>
        <stp>.SPY150930C202.5</stp>
        <tr r="H470" s="1"/>
      </tp>
      <tp t="s">
        <v>N/A</v>
        <stp/>
        <stp>THETA</stp>
        <stp>.SPY150930C212.5</stp>
        <tr r="H490" s="1"/>
      </tp>
      <tp t="s">
        <v>N/A</v>
        <stp/>
        <stp>THETA</stp>
        <stp>.SPY160916C207.5</stp>
        <tr r="H732" s="1"/>
      </tp>
      <tp t="s">
        <v>N/A</v>
        <stp/>
        <stp>THETA</stp>
        <stp>.SPY160916C217.5</stp>
        <tr r="H752" s="1"/>
      </tp>
      <tp t="s">
        <v>N/A</v>
        <stp/>
        <stp>THETA</stp>
        <stp>.SPY170120P210.5</stp>
        <tr r="S822" s="1"/>
      </tp>
      <tp t="s">
        <v>N/A</v>
        <stp/>
        <stp>THETA</stp>
        <stp>.SPY170120P200.5</stp>
        <tr r="S802" s="1"/>
      </tp>
      <tp t="s">
        <v>N/A</v>
        <stp/>
        <stp>THETA</stp>
        <stp>.SPY160115P204.5</stp>
        <tr r="S600" s="1"/>
      </tp>
      <tp t="s">
        <v>N/A</v>
        <stp/>
        <stp>THETA</stp>
        <stp>.SPY160115P214.5</stp>
        <tr r="S620" s="1"/>
      </tp>
      <tp t="s">
        <v>N/A</v>
        <stp/>
        <stp>THETA</stp>
        <stp>.SPY160318P209.5</stp>
        <tr r="S652" s="1"/>
      </tp>
      <tp t="s">
        <v>N/A</v>
        <stp/>
        <stp>THETA</stp>
        <stp>.SPY170317P207.5</stp>
        <tr r="S858" s="1"/>
      </tp>
      <tp t="s">
        <v>N/A</v>
        <stp/>
        <stp>THETA</stp>
        <stp>.SPY160318P219.5</stp>
        <tr r="S672" s="1"/>
      </tp>
      <tp t="s">
        <v>N/A</v>
        <stp/>
        <stp>THETA</stp>
        <stp>.SPY170317P217.5</stp>
        <tr r="S878" s="1"/>
      </tp>
      <tp>
        <v>-5.6370000000000003E-2</v>
        <stp/>
        <stp>THETA</stp>
        <stp>.SPY150522P210.5</stp>
        <tr r="S234" s="1"/>
      </tp>
      <tp>
        <v>-2.7189999999999999E-2</v>
        <stp/>
        <stp>THETA</stp>
        <stp>.SPY150522P200.5</stp>
        <tr r="S214" s="1"/>
      </tp>
      <tp t="s">
        <v>N/A</v>
        <stp/>
        <stp>THETA</stp>
        <stp>.SPY150501P213.5</stp>
        <tr r="S114" s="1"/>
      </tp>
      <tp>
        <v>-5.9330000000000001E-2</v>
        <stp/>
        <stp>THETA</stp>
        <stp>.SPY150515P207.5</stp>
        <tr r="S186" s="1"/>
      </tp>
      <tp t="s">
        <v>N/A</v>
        <stp/>
        <stp>THETA</stp>
        <stp>.SPY150501P203.5</stp>
        <tr r="S94" s="1"/>
      </tp>
      <tp>
        <v>-8.7100000000000007E-3</v>
        <stp/>
        <stp>THETA</stp>
        <stp>.SPY150515P217.5</stp>
        <tr r="S206" s="1"/>
      </tp>
      <tp t="s">
        <v>N/A</v>
        <stp/>
        <stp>THETA</stp>
        <stp>.SPY150424P216.5</stp>
        <tr r="S78" s="1"/>
      </tp>
      <tp t="s">
        <v>N/A</v>
        <stp/>
        <stp>THETA</stp>
        <stp>.SPY150424P206.5</stp>
        <tr r="S58" s="1"/>
      </tp>
      <tp t="s">
        <v>N/A</v>
        <stp/>
        <stp>THETA</stp>
        <stp>.SPY150417P205.5</stp>
        <tr r="S14" s="1"/>
      </tp>
      <tp t="s">
        <v>N/A</v>
        <stp/>
        <stp>THETA</stp>
        <stp>.SPY150417P215.5</stp>
        <tr r="S34" s="1"/>
      </tp>
      <tp t="s">
        <v>N/A</v>
        <stp/>
        <stp>THETA</stp>
        <stp>.SPY150717P205.5</stp>
        <tr r="S392" s="1"/>
      </tp>
      <tp t="s">
        <v>N/A</v>
        <stp/>
        <stp>THETA</stp>
        <stp>.SPY150717P215.5</stp>
        <tr r="S412" s="1"/>
      </tp>
      <tp t="s">
        <v>N/A</v>
        <stp/>
        <stp>THETA</stp>
        <stp>.SPY150630P202.5</stp>
        <tr r="S344" s="1"/>
      </tp>
      <tp t="s">
        <v>N/A</v>
        <stp/>
        <stp>THETA</stp>
        <stp>.SPY150630P212.5</stp>
        <tr r="S364" s="1"/>
      </tp>
      <tp t="s">
        <v>N/A</v>
        <stp/>
        <stp>THETA</stp>
        <stp>.SPY160617P206.5</stp>
        <tr r="S688" s="1"/>
      </tp>
      <tp t="s">
        <v>N/A</v>
        <stp/>
        <stp>THETA</stp>
        <stp>.SPY160617P216.5</stp>
        <tr r="S708" s="1"/>
      </tp>
      <tp t="s">
        <v>N/A</v>
        <stp/>
        <stp>THETA</stp>
        <stp>.SPY150930P202.5</stp>
        <tr r="S470" s="1"/>
      </tp>
      <tp t="s">
        <v>N/A</v>
        <stp/>
        <stp>THETA</stp>
        <stp>.SPY150930P212.5</stp>
        <tr r="S490" s="1"/>
      </tp>
      <tp t="s">
        <v>N/A</v>
        <stp/>
        <stp>THETA</stp>
        <stp>.SPY160916P207.5</stp>
        <tr r="S732" s="1"/>
      </tp>
      <tp t="s">
        <v>N/A</v>
        <stp/>
        <stp>THETA</stp>
        <stp>.SPY160916P217.5</stp>
        <tr r="S752" s="1"/>
      </tp>
      <tp t="s">
        <v>N/A</v>
        <stp/>
        <stp>THETA</stp>
        <stp>.SPY151231P203.5</stp>
        <tr r="S556" s="1"/>
      </tp>
      <tp t="s">
        <v>N/A</v>
        <stp/>
        <stp>THETA</stp>
        <stp>.SPY151231P213.5</stp>
        <tr r="S576" s="1"/>
      </tp>
      <tp t="s">
        <v>N/A</v>
        <stp/>
        <stp>THETA</stp>
        <stp>.SPY161216P207.5</stp>
        <tr r="S774" s="1"/>
      </tp>
      <tp t="s">
        <v>N/A</v>
        <stp/>
        <stp>THETA</stp>
        <stp>.SPY171215P205.5</stp>
        <tr r="S896" s="1"/>
      </tp>
      <tp t="s">
        <v>N/A</v>
        <stp/>
        <stp>THETA</stp>
        <stp>.SPY161216P217.5</stp>
        <tr r="S794" s="1"/>
      </tp>
      <tp t="s">
        <v>N/A</v>
        <stp/>
        <stp>THETA</stp>
        <stp>.SPY171215P215.5</stp>
        <tr r="S916" s="1"/>
      </tp>
      <tp t="s">
        <v>N/A</v>
        <stp/>
        <stp>DELTA</stp>
        <stp>.SPY151231C213.5</stp>
        <tr r="G576" s="1"/>
      </tp>
      <tp t="s">
        <v>N/A</v>
        <stp/>
        <stp>DELTA</stp>
        <stp>.SPY151231C203.5</stp>
        <tr r="G556" s="1"/>
      </tp>
      <tp t="s">
        <v>N/A</v>
        <stp/>
        <stp>DELTA</stp>
        <stp>.SPY161216C217.5</stp>
        <tr r="G794" s="1"/>
      </tp>
      <tp t="s">
        <v>N/A</v>
        <stp/>
        <stp>DELTA</stp>
        <stp>.SPY171215C215.5</stp>
        <tr r="G916" s="1"/>
      </tp>
      <tp t="s">
        <v>N/A</v>
        <stp/>
        <stp>DELTA</stp>
        <stp>.SPY161216C207.5</stp>
        <tr r="G774" s="1"/>
      </tp>
      <tp t="s">
        <v>N/A</v>
        <stp/>
        <stp>DELTA</stp>
        <stp>.SPY171215C205.5</stp>
        <tr r="G896" s="1"/>
      </tp>
      <tp t="s">
        <v>N/A</v>
        <stp/>
        <stp>DELTA</stp>
        <stp>.SPY150930C212.5</stp>
        <tr r="G490" s="1"/>
      </tp>
      <tp t="s">
        <v>N/A</v>
        <stp/>
        <stp>DELTA</stp>
        <stp>.SPY150930C202.5</stp>
        <tr r="G470" s="1"/>
      </tp>
      <tp t="s">
        <v>N/A</v>
        <stp/>
        <stp>DELTA</stp>
        <stp>.SPY160916C217.5</stp>
        <tr r="G752" s="1"/>
      </tp>
      <tp t="s">
        <v>N/A</v>
        <stp/>
        <stp>DELTA</stp>
        <stp>.SPY160916C207.5</stp>
        <tr r="G732" s="1"/>
      </tp>
      <tp t="s">
        <v>N/A</v>
        <stp/>
        <stp>DELTA</stp>
        <stp>.SPY150424C206.5</stp>
        <tr r="G58" s="1"/>
      </tp>
      <tp t="s">
        <v>N/A</v>
        <stp/>
        <stp>DELTA</stp>
        <stp>.SPY150424C216.5</stp>
        <tr r="G78" s="1"/>
      </tp>
      <tp t="s">
        <v>N/A</v>
        <stp/>
        <stp>DELTA</stp>
        <stp>.SPY150417C215.5</stp>
        <tr r="G34" s="1"/>
      </tp>
      <tp t="s">
        <v>N/A</v>
        <stp/>
        <stp>DELTA</stp>
        <stp>.SPY150417C205.5</stp>
        <tr r="G14" s="1"/>
      </tp>
      <tp>
        <v>0.91276999999999997</v>
        <stp/>
        <stp>DELTA</stp>
        <stp>.SPY150522C200.5</stp>
        <tr r="G214" s="1"/>
      </tp>
      <tp>
        <v>0.56396999999999997</v>
        <stp/>
        <stp>DELTA</stp>
        <stp>.SPY150522C210.5</stp>
        <tr r="G234" s="1"/>
      </tp>
      <tp t="s">
        <v>N/A</v>
        <stp/>
        <stp>DELTA</stp>
        <stp>.SPY150501C203.5</stp>
        <tr r="G94" s="1"/>
      </tp>
      <tp>
        <v>3.2070000000000001E-2</v>
        <stp/>
        <stp>DELTA</stp>
        <stp>.SPY150515C217.5</stp>
        <tr r="G206" s="1"/>
      </tp>
      <tp t="s">
        <v>N/A</v>
        <stp/>
        <stp>DELTA</stp>
        <stp>.SPY150501C213.5</stp>
        <tr r="G114" s="1"/>
      </tp>
      <tp>
        <v>0.78710000000000002</v>
        <stp/>
        <stp>DELTA</stp>
        <stp>.SPY150515C207.5</stp>
        <tr r="G186" s="1"/>
      </tp>
      <tp t="s">
        <v>N/A</v>
        <stp/>
        <stp>DELTA</stp>
        <stp>.SPY150630C212.5</stp>
        <tr r="G364" s="1"/>
      </tp>
      <tp t="s">
        <v>N/A</v>
        <stp/>
        <stp>DELTA</stp>
        <stp>.SPY150630C202.5</stp>
        <tr r="G344" s="1"/>
      </tp>
      <tp t="s">
        <v>N/A</v>
        <stp/>
        <stp>DELTA</stp>
        <stp>.SPY160617C216.5</stp>
        <tr r="G708" s="1"/>
      </tp>
      <tp t="s">
        <v>N/A</v>
        <stp/>
        <stp>DELTA</stp>
        <stp>.SPY160617C206.5</stp>
        <tr r="G688" s="1"/>
      </tp>
      <tp t="s">
        <v>N/A</v>
        <stp/>
        <stp>DELTA</stp>
        <stp>.SPY150717C215.5</stp>
        <tr r="G412" s="1"/>
      </tp>
      <tp t="s">
        <v>N/A</v>
        <stp/>
        <stp>DELTA</stp>
        <stp>.SPY150717C205.5</stp>
        <tr r="G392" s="1"/>
      </tp>
      <tp t="s">
        <v>N/A</v>
        <stp/>
        <stp>DELTA</stp>
        <stp>.SPY170120C200.5</stp>
        <tr r="G802" s="1"/>
      </tp>
      <tp t="s">
        <v>N/A</v>
        <stp/>
        <stp>DELTA</stp>
        <stp>.SPY170120C210.5</stp>
        <tr r="G822" s="1"/>
      </tp>
      <tp t="s">
        <v>N/A</v>
        <stp/>
        <stp>DELTA</stp>
        <stp>.SPY160115C214.5</stp>
        <tr r="G620" s="1"/>
      </tp>
      <tp t="s">
        <v>N/A</v>
        <stp/>
        <stp>DELTA</stp>
        <stp>.SPY160115C204.5</stp>
        <tr r="G600" s="1"/>
      </tp>
      <tp t="s">
        <v>N/A</v>
        <stp/>
        <stp>DELTA</stp>
        <stp>.SPY160318C219.5</stp>
        <tr r="G672" s="1"/>
      </tp>
      <tp t="s">
        <v>N/A</v>
        <stp/>
        <stp>DELTA</stp>
        <stp>.SPY170317C217.5</stp>
        <tr r="G878" s="1"/>
      </tp>
      <tp t="s">
        <v>N/A</v>
        <stp/>
        <stp>DELTA</stp>
        <stp>.SPY160318C209.5</stp>
        <tr r="G652" s="1"/>
      </tp>
      <tp t="s">
        <v>N/A</v>
        <stp/>
        <stp>DELTA</stp>
        <stp>.SPY170317C207.5</stp>
        <tr r="G858" s="1"/>
      </tp>
      <tp t="s">
        <v>N/A</v>
        <stp/>
        <stp>VOLUME</stp>
        <stp>.SPY170317P213</stp>
        <tr r="P869" s="1"/>
      </tp>
      <tp t="s">
        <v>N/A</v>
        <stp/>
        <stp>VOLUME</stp>
        <stp>.SPY170317C213</stp>
        <tr r="E869" s="1"/>
      </tp>
      <tp t="s">
        <v>N/A</v>
        <stp/>
        <stp>VOLUME</stp>
        <stp>.SPY170317P212</stp>
        <tr r="P867" s="1"/>
      </tp>
      <tp t="s">
        <v>N/A</v>
        <stp/>
        <stp>VOLUME</stp>
        <stp>.SPY170317C212</stp>
        <tr r="E867" s="1"/>
      </tp>
      <tp t="s">
        <v>N/A</v>
        <stp/>
        <stp>VOLUME</stp>
        <stp>.SPY170317P211</stp>
        <tr r="P865" s="1"/>
      </tp>
      <tp t="s">
        <v>N/A</v>
        <stp/>
        <stp>VOLUME</stp>
        <stp>.SPY170317C211</stp>
        <tr r="E865" s="1"/>
      </tp>
      <tp>
        <v>2</v>
        <stp/>
        <stp>VOLUME</stp>
        <stp>.SPY170317P210</stp>
        <tr r="P863" s="1"/>
      </tp>
      <tp>
        <v>0</v>
        <stp/>
        <stp>VOLUME</stp>
        <stp>.SPY170317C210</stp>
        <tr r="E863" s="1"/>
      </tp>
      <tp t="s">
        <v>N/A</v>
        <stp/>
        <stp>VOLUME</stp>
        <stp>.SPY160318P219</stp>
        <tr r="P671" s="1"/>
      </tp>
      <tp t="s">
        <v>N/A</v>
        <stp/>
        <stp>VOLUME</stp>
        <stp>.SPY170317P217</stp>
        <tr r="P877" s="1"/>
      </tp>
      <tp t="s">
        <v>N/A</v>
        <stp/>
        <stp>VOLUME</stp>
        <stp>.SPY160318C219</stp>
        <tr r="E671" s="1"/>
      </tp>
      <tp t="s">
        <v>N/A</v>
        <stp/>
        <stp>VOLUME</stp>
        <stp>.SPY170317C217</stp>
        <tr r="E877" s="1"/>
      </tp>
      <tp t="s">
        <v>N/A</v>
        <stp/>
        <stp>VOLUME</stp>
        <stp>.SPY160318P218</stp>
        <tr r="P669" s="1"/>
      </tp>
      <tp t="s">
        <v>N/A</v>
        <stp/>
        <stp>VOLUME</stp>
        <stp>.SPY170317P216</stp>
        <tr r="P875" s="1"/>
      </tp>
      <tp t="s">
        <v>N/A</v>
        <stp/>
        <stp>VOLUME</stp>
        <stp>.SPY160318C218</stp>
        <tr r="E669" s="1"/>
      </tp>
      <tp t="s">
        <v>N/A</v>
        <stp/>
        <stp>VOLUME</stp>
        <stp>.SPY170317C216</stp>
        <tr r="E875" s="1"/>
      </tp>
      <tp>
        <v>0</v>
        <stp/>
        <stp>VOLUME</stp>
        <stp>.SPY170317P215</stp>
        <tr r="P873" s="1"/>
      </tp>
      <tp>
        <v>20</v>
        <stp/>
        <stp>VOLUME</stp>
        <stp>.SPY170317C215</stp>
        <tr r="E873" s="1"/>
      </tp>
      <tp t="s">
        <v>N/A</v>
        <stp/>
        <stp>VOLUME</stp>
        <stp>.SPY170317P214</stp>
        <tr r="P871" s="1"/>
      </tp>
      <tp t="s">
        <v>N/A</v>
        <stp/>
        <stp>VOLUME</stp>
        <stp>.SPY170317C214</stp>
        <tr r="E871" s="1"/>
      </tp>
      <tp>
        <v>3</v>
        <stp/>
        <stp>VOLUME</stp>
        <stp>.SPY160318P215</stp>
        <tr r="P663" s="1"/>
      </tp>
      <tp>
        <v>8</v>
        <stp/>
        <stp>VOLUME</stp>
        <stp>.SPY160318C215</stp>
        <tr r="E663" s="1"/>
      </tp>
      <tp t="s">
        <v>N/A</v>
        <stp/>
        <stp>VOLUME</stp>
        <stp>.SPY160318P214</stp>
        <tr r="P661" s="1"/>
      </tp>
      <tp t="s">
        <v>N/A</v>
        <stp/>
        <stp>VOLUME</stp>
        <stp>.SPY160318C214</stp>
        <tr r="E661" s="1"/>
      </tp>
      <tp t="s">
        <v>N/A</v>
        <stp/>
        <stp>VOLUME</stp>
        <stp>.SPY160318P217</stp>
        <tr r="P667" s="1"/>
      </tp>
      <tp t="s">
        <v>N/A</v>
        <stp/>
        <stp>VOLUME</stp>
        <stp>.SPY170317P219</stp>
        <tr r="P881" s="1"/>
      </tp>
      <tp t="s">
        <v>N/A</v>
        <stp/>
        <stp>VOLUME</stp>
        <stp>.SPY160318C217</stp>
        <tr r="E667" s="1"/>
      </tp>
      <tp t="s">
        <v>N/A</v>
        <stp/>
        <stp>VOLUME</stp>
        <stp>.SPY170317C219</stp>
        <tr r="E881" s="1"/>
      </tp>
      <tp t="s">
        <v>N/A</v>
        <stp/>
        <stp>VOLUME</stp>
        <stp>.SPY160318P216</stp>
        <tr r="P665" s="1"/>
      </tp>
      <tp t="s">
        <v>N/A</v>
        <stp/>
        <stp>VOLUME</stp>
        <stp>.SPY170317P218</stp>
        <tr r="P879" s="1"/>
      </tp>
      <tp t="s">
        <v>N/A</v>
        <stp/>
        <stp>VOLUME</stp>
        <stp>.SPY160318C216</stp>
        <tr r="E665" s="1"/>
      </tp>
      <tp t="s">
        <v>N/A</v>
        <stp/>
        <stp>VOLUME</stp>
        <stp>.SPY170317C218</stp>
        <tr r="E879" s="1"/>
      </tp>
      <tp t="s">
        <v>N/A</v>
        <stp/>
        <stp>VOLUME</stp>
        <stp>.SPY160318P211</stp>
        <tr r="P655" s="1"/>
      </tp>
      <tp t="s">
        <v>N/A</v>
        <stp/>
        <stp>VOLUME</stp>
        <stp>.SPY160318C211</stp>
        <tr r="E655" s="1"/>
      </tp>
      <tp>
        <v>111</v>
        <stp/>
        <stp>VOLUME</stp>
        <stp>.SPY160318P210</stp>
        <tr r="P653" s="1"/>
      </tp>
      <tp>
        <v>6</v>
        <stp/>
        <stp>VOLUME</stp>
        <stp>.SPY160318C210</stp>
        <tr r="E653" s="1"/>
      </tp>
      <tp t="s">
        <v>N/A</v>
        <stp/>
        <stp>VOLUME</stp>
        <stp>.SPY160318P213</stp>
        <tr r="P659" s="1"/>
      </tp>
      <tp t="s">
        <v>N/A</v>
        <stp/>
        <stp>VOLUME</stp>
        <stp>.SPY160318C213</stp>
        <tr r="E659" s="1"/>
      </tp>
      <tp t="s">
        <v>N/A</v>
        <stp/>
        <stp>VOLUME</stp>
        <stp>.SPY160318P212</stp>
        <tr r="P657" s="1"/>
      </tp>
      <tp t="s">
        <v>N/A</v>
        <stp/>
        <stp>VOLUME</stp>
        <stp>.SPY160318C212</stp>
        <tr r="E657" s="1"/>
      </tp>
      <tp t="s">
        <v>N/A</v>
        <stp/>
        <stp>VOLUME</stp>
        <stp>.SPY170317P203</stp>
        <tr r="P849" s="1"/>
      </tp>
      <tp t="s">
        <v>N/A</v>
        <stp/>
        <stp>VOLUME</stp>
        <stp>.SPY170317C203</stp>
        <tr r="E849" s="1"/>
      </tp>
      <tp t="s">
        <v>N/A</v>
        <stp/>
        <stp>VOLUME</stp>
        <stp>.SPY170317P202</stp>
        <tr r="P847" s="1"/>
      </tp>
      <tp t="s">
        <v>N/A</v>
        <stp/>
        <stp>VOLUME</stp>
        <stp>.SPY170317C202</stp>
        <tr r="E847" s="1"/>
      </tp>
      <tp t="s">
        <v>N/A</v>
        <stp/>
        <stp>VOLUME</stp>
        <stp>.SPY170317P201</stp>
        <tr r="P845" s="1"/>
      </tp>
      <tp t="s">
        <v>N/A</v>
        <stp/>
        <stp>VOLUME</stp>
        <stp>.SPY170317C201</stp>
        <tr r="E845" s="1"/>
      </tp>
      <tp>
        <v>1</v>
        <stp/>
        <stp>VOLUME</stp>
        <stp>.SPY170317P200</stp>
        <tr r="P843" s="1"/>
      </tp>
      <tp>
        <v>0</v>
        <stp/>
        <stp>VOLUME</stp>
        <stp>.SPY170317C200</stp>
        <tr r="E843" s="1"/>
      </tp>
      <tp t="s">
        <v>N/A</v>
        <stp/>
        <stp>VOLUME</stp>
        <stp>.SPY160318P209</stp>
        <tr r="P651" s="1"/>
      </tp>
      <tp t="s">
        <v>N/A</v>
        <stp/>
        <stp>VOLUME</stp>
        <stp>.SPY170317P207</stp>
        <tr r="P857" s="1"/>
      </tp>
      <tp t="s">
        <v>N/A</v>
        <stp/>
        <stp>VOLUME</stp>
        <stp>.SPY160318C209</stp>
        <tr r="E651" s="1"/>
      </tp>
      <tp t="s">
        <v>N/A</v>
        <stp/>
        <stp>VOLUME</stp>
        <stp>.SPY170317C207</stp>
        <tr r="E857" s="1"/>
      </tp>
      <tp t="s">
        <v>N/A</v>
        <stp/>
        <stp>VOLUME</stp>
        <stp>.SPY160318P208</stp>
        <tr r="P649" s="1"/>
      </tp>
      <tp t="s">
        <v>N/A</v>
        <stp/>
        <stp>VOLUME</stp>
        <stp>.SPY170317P206</stp>
        <tr r="P855" s="1"/>
      </tp>
      <tp t="s">
        <v>N/A</v>
        <stp/>
        <stp>VOLUME</stp>
        <stp>.SPY160318C208</stp>
        <tr r="E649" s="1"/>
      </tp>
      <tp t="s">
        <v>N/A</v>
        <stp/>
        <stp>VOLUME</stp>
        <stp>.SPY170317C206</stp>
        <tr r="E855" s="1"/>
      </tp>
      <tp>
        <v>0</v>
        <stp/>
        <stp>VOLUME</stp>
        <stp>.SPY170317P205</stp>
        <tr r="P853" s="1"/>
      </tp>
      <tp>
        <v>0</v>
        <stp/>
        <stp>VOLUME</stp>
        <stp>.SPY170317C205</stp>
        <tr r="E853" s="1"/>
      </tp>
      <tp t="s">
        <v>N/A</v>
        <stp/>
        <stp>VOLUME</stp>
        <stp>.SPY170317P204</stp>
        <tr r="P851" s="1"/>
      </tp>
      <tp t="s">
        <v>N/A</v>
        <stp/>
        <stp>VOLUME</stp>
        <stp>.SPY170317C204</stp>
        <tr r="E851" s="1"/>
      </tp>
      <tp>
        <v>1</v>
        <stp/>
        <stp>VOLUME</stp>
        <stp>.SPY160318P205</stp>
        <tr r="P643" s="1"/>
      </tp>
      <tp>
        <v>1</v>
        <stp/>
        <stp>VOLUME</stp>
        <stp>.SPY160318C205</stp>
        <tr r="E643" s="1"/>
      </tp>
      <tp t="s">
        <v>N/A</v>
        <stp/>
        <stp>VOLUME</stp>
        <stp>.SPY160318P204</stp>
        <tr r="P641" s="1"/>
      </tp>
      <tp t="s">
        <v>N/A</v>
        <stp/>
        <stp>VOLUME</stp>
        <stp>.SPY160318C204</stp>
        <tr r="E641" s="1"/>
      </tp>
      <tp t="s">
        <v>N/A</v>
        <stp/>
        <stp>VOLUME</stp>
        <stp>.SPY160318P207</stp>
        <tr r="P647" s="1"/>
      </tp>
      <tp t="s">
        <v>N/A</v>
        <stp/>
        <stp>VOLUME</stp>
        <stp>.SPY170317P209</stp>
        <tr r="P861" s="1"/>
      </tp>
      <tp t="s">
        <v>N/A</v>
        <stp/>
        <stp>VOLUME</stp>
        <stp>.SPY160318C207</stp>
        <tr r="E647" s="1"/>
      </tp>
      <tp t="s">
        <v>N/A</v>
        <stp/>
        <stp>VOLUME</stp>
        <stp>.SPY170317C209</stp>
        <tr r="E861" s="1"/>
      </tp>
      <tp t="s">
        <v>N/A</v>
        <stp/>
        <stp>VOLUME</stp>
        <stp>.SPY160318P206</stp>
        <tr r="P645" s="1"/>
      </tp>
      <tp t="s">
        <v>N/A</v>
        <stp/>
        <stp>VOLUME</stp>
        <stp>.SPY170317P208</stp>
        <tr r="P859" s="1"/>
      </tp>
      <tp t="s">
        <v>N/A</v>
        <stp/>
        <stp>VOLUME</stp>
        <stp>.SPY160318C206</stp>
        <tr r="E645" s="1"/>
      </tp>
      <tp t="s">
        <v>N/A</v>
        <stp/>
        <stp>VOLUME</stp>
        <stp>.SPY170317C208</stp>
        <tr r="E859" s="1"/>
      </tp>
      <tp t="s">
        <v>N/A</v>
        <stp/>
        <stp>VOLUME</stp>
        <stp>.SPY160318P201</stp>
        <tr r="P635" s="1"/>
      </tp>
      <tp t="s">
        <v>N/A</v>
        <stp/>
        <stp>VOLUME</stp>
        <stp>.SPY160318C201</stp>
        <tr r="E635" s="1"/>
      </tp>
      <tp>
        <v>640</v>
        <stp/>
        <stp>VOLUME</stp>
        <stp>.SPY160318P200</stp>
        <tr r="P633" s="1"/>
      </tp>
      <tp>
        <v>0</v>
        <stp/>
        <stp>VOLUME</stp>
        <stp>.SPY160318C200</stp>
        <tr r="E633" s="1"/>
      </tp>
      <tp t="s">
        <v>N/A</v>
        <stp/>
        <stp>VOLUME</stp>
        <stp>.SPY160318P203</stp>
        <tr r="P639" s="1"/>
      </tp>
      <tp t="s">
        <v>N/A</v>
        <stp/>
        <stp>VOLUME</stp>
        <stp>.SPY160318C203</stp>
        <tr r="E639" s="1"/>
      </tp>
      <tp t="s">
        <v>N/A</v>
        <stp/>
        <stp>VOLUME</stp>
        <stp>.SPY160318P202</stp>
        <tr r="P637" s="1"/>
      </tp>
      <tp t="s">
        <v>N/A</v>
        <stp/>
        <stp>VOLUME</stp>
        <stp>.SPY160318C202</stp>
        <tr r="E637" s="1"/>
      </tp>
      <tp t="s">
        <v>N/A</v>
        <stp/>
        <stp>BID</stp>
        <stp>.SPY150918C213.5</stp>
        <tr r="C450" s="1"/>
      </tp>
      <tp t="s">
        <v>N/A</v>
        <stp/>
        <stp>BID</stp>
        <stp>.SPY150918C203.5</stp>
        <tr r="C430" s="1"/>
      </tp>
      <tp t="s">
        <v>N/A</v>
        <stp/>
        <stp>BID</stp>
        <stp>.SPY160318C210.5</stp>
        <tr r="C654" s="1"/>
      </tp>
      <tp t="s">
        <v>N/A</v>
        <stp/>
        <stp>BID</stp>
        <stp>.SPY160318C200.5</stp>
        <tr r="C634" s="1"/>
      </tp>
      <tp t="s">
        <v>N/A</v>
        <stp/>
        <stp>BID</stp>
        <stp>.SPY170120C209.5</stp>
        <tr r="C820" s="1"/>
      </tp>
      <tp t="s">
        <v>N/A</v>
        <stp/>
        <stp>BID</stp>
        <stp>.SPY170120C219.5</stp>
        <tr r="C840" s="1"/>
      </tp>
      <tp t="s">
        <v>N/A</v>
        <stp/>
        <stp>BID</stp>
        <stp>.SPY150619C212.5</stp>
        <tr r="C322" s="1"/>
      </tp>
      <tp t="s">
        <v>N/A</v>
        <stp/>
        <stp>BID</stp>
        <stp>.SPY150619C202.5</stp>
        <tr r="C302" s="1"/>
      </tp>
      <tp>
        <v>3.32</v>
        <stp/>
        <stp>BID</stp>
        <stp>.SPY150522C209.5</stp>
        <tr r="C232" s="1"/>
      </tp>
      <tp>
        <v>9.4</v>
        <stp/>
        <stp>BID</stp>
        <stp>.SPY150529C202.5</stp>
        <tr r="C260" s="1"/>
      </tp>
      <tp>
        <v>0.03</v>
        <stp/>
        <stp>BID</stp>
        <stp>.SPY150522C219.5</stp>
        <tr r="C252" s="1"/>
      </tp>
      <tp>
        <v>1.77</v>
        <stp/>
        <stp>BID</stp>
        <stp>.SPY150529C212.5</stp>
        <tr r="C280" s="1"/>
      </tp>
      <tp>
        <v>7.86</v>
        <stp/>
        <stp>BID</stp>
        <stp>.SPY150508C203.5</stp>
        <tr r="C136" s="1"/>
      </tp>
      <tp>
        <v>0.16</v>
        <stp/>
        <stp>BID</stp>
        <stp>.SPY150508C213.5</stp>
        <tr r="C156" s="1"/>
      </tp>
      <tp t="s">
        <v>N/A</v>
        <stp/>
        <stp>BID</stp>
        <stp>.SPY151219C212.5</stp>
        <tr r="C532" s="1"/>
      </tp>
      <tp t="s">
        <v>N/A</v>
        <stp/>
        <stp>BID</stp>
        <stp>.SPY151219C202.5</stp>
        <tr r="C512" s="1"/>
      </tp>
      <tp t="s">
        <v>N/A</v>
        <stp/>
        <stp>RHO</stp>
        <stp>.SPY151219C213.5</stp>
        <tr r="K534" s="1"/>
      </tp>
      <tp t="s">
        <v>N/A</v>
        <stp/>
        <stp>RHO</stp>
        <stp>.SPY151219C203.5</stp>
        <tr r="K514" s="1"/>
      </tp>
      <tp t="s">
        <v>N/A</v>
        <stp/>
        <stp>RHO</stp>
        <stp>.SPY150918C212.5</stp>
        <tr r="K448" s="1"/>
      </tp>
      <tp t="s">
        <v>N/A</v>
        <stp/>
        <stp>RHO</stp>
        <stp>.SPY150918C202.5</stp>
        <tr r="K428" s="1"/>
      </tp>
      <tp t="s">
        <v>N/A</v>
        <stp/>
        <stp>RHO</stp>
        <stp>.SPY160318C211.5</stp>
        <tr r="K656" s="1"/>
      </tp>
      <tp t="s">
        <v>N/A</v>
        <stp/>
        <stp>RHO</stp>
        <stp>.SPY160318C201.5</stp>
        <tr r="K636" s="1"/>
      </tp>
      <tp t="s">
        <v>N/A</v>
        <stp/>
        <stp>RHO</stp>
        <stp>.SPY170120C208.5</stp>
        <tr r="K818" s="1"/>
      </tp>
      <tp t="s">
        <v>N/A</v>
        <stp/>
        <stp>RHO</stp>
        <stp>.SPY170120C218.5</stp>
        <tr r="K838" s="1"/>
      </tp>
      <tp t="s">
        <v>N/A</v>
        <stp/>
        <stp>RHO</stp>
        <stp>.SPY150619C213.5</stp>
        <tr r="K324" s="1"/>
      </tp>
      <tp t="s">
        <v>N/A</v>
        <stp/>
        <stp>RHO</stp>
        <stp>.SPY150619C203.5</stp>
        <tr r="K304" s="1"/>
      </tp>
      <tp>
        <v>6.5070000000000003E-2</v>
        <stp/>
        <stp>RHO</stp>
        <stp>.SPY150522C208.5</stp>
        <tr r="K230" s="1"/>
      </tp>
      <tp>
        <v>8.9569999999999997E-2</v>
        <stp/>
        <stp>RHO</stp>
        <stp>.SPY150529C203.5</stp>
        <tr r="K262" s="1"/>
      </tp>
      <tp>
        <v>4.1599999999999996E-3</v>
        <stp/>
        <stp>RHO</stp>
        <stp>.SPY150522C218.5</stp>
        <tr r="K250" s="1"/>
      </tp>
      <tp>
        <v>5.0259999999999999E-2</v>
        <stp/>
        <stp>RHO</stp>
        <stp>.SPY150529C213.5</stp>
        <tr r="K282" s="1"/>
      </tp>
      <tp>
        <v>7.0299999999999998E-3</v>
        <stp/>
        <stp>RHO</stp>
        <stp>.SPY150508C202.5</stp>
        <tr r="K134" s="1"/>
      </tp>
      <tp>
        <v>8.9999999999999993E-3</v>
        <stp/>
        <stp>RHO</stp>
        <stp>.SPY150508C212.5</stp>
        <tr r="K154" s="1"/>
      </tp>
      <tp t="s">
        <v>N/A</v>
        <stp/>
        <stp>BID</stp>
        <stp>.SPY151219P212.5</stp>
        <tr r="N532" s="1"/>
      </tp>
      <tp t="s">
        <v>N/A</v>
        <stp/>
        <stp>BID</stp>
        <stp>.SPY151219P202.5</stp>
        <tr r="N512" s="1"/>
      </tp>
      <tp t="s">
        <v>N/A</v>
        <stp/>
        <stp>BID</stp>
        <stp>.SPY150918P213.5</stp>
        <tr r="N450" s="1"/>
      </tp>
      <tp t="s">
        <v>N/A</v>
        <stp/>
        <stp>BID</stp>
        <stp>.SPY150918P203.5</stp>
        <tr r="N430" s="1"/>
      </tp>
      <tp t="s">
        <v>N/A</v>
        <stp/>
        <stp>BID</stp>
        <stp>.SPY160318P210.5</stp>
        <tr r="N654" s="1"/>
      </tp>
      <tp t="s">
        <v>N/A</v>
        <stp/>
        <stp>BID</stp>
        <stp>.SPY160318P200.5</stp>
        <tr r="N634" s="1"/>
      </tp>
      <tp t="s">
        <v>N/A</v>
        <stp/>
        <stp>BID</stp>
        <stp>.SPY170120P209.5</stp>
        <tr r="N820" s="1"/>
      </tp>
      <tp t="s">
        <v>N/A</v>
        <stp/>
        <stp>BID</stp>
        <stp>.SPY170120P219.5</stp>
        <tr r="N840" s="1"/>
      </tp>
      <tp t="s">
        <v>N/A</v>
        <stp/>
        <stp>BID</stp>
        <stp>.SPY150619P212.5</stp>
        <tr r="N322" s="1"/>
      </tp>
      <tp t="s">
        <v>N/A</v>
        <stp/>
        <stp>BID</stp>
        <stp>.SPY150619P202.5</stp>
        <tr r="N302" s="1"/>
      </tp>
      <tp>
        <v>1.35</v>
        <stp/>
        <stp>BID</stp>
        <stp>.SPY150522P209.5</stp>
        <tr r="N232" s="1"/>
      </tp>
      <tp>
        <v>0.52</v>
        <stp/>
        <stp>BID</stp>
        <stp>.SPY150529P202.5</stp>
        <tr r="N260" s="1"/>
      </tp>
      <tp>
        <v>7.92</v>
        <stp/>
        <stp>BID</stp>
        <stp>.SPY150522P219.5</stp>
        <tr r="N252" s="1"/>
      </tp>
      <tp>
        <v>2.77</v>
        <stp/>
        <stp>BID</stp>
        <stp>.SPY150529P212.5</stp>
        <tr r="N280" s="1"/>
      </tp>
      <tp>
        <v>0.04</v>
        <stp/>
        <stp>BID</stp>
        <stp>.SPY150508P203.5</stp>
        <tr r="N136" s="1"/>
      </tp>
      <tp>
        <v>2.14</v>
        <stp/>
        <stp>BID</stp>
        <stp>.SPY150508P213.5</stp>
        <tr r="N156" s="1"/>
      </tp>
      <tp t="s">
        <v>N/A</v>
        <stp/>
        <stp>RHO</stp>
        <stp>.SPY150918P212.5</stp>
        <tr r="V448" s="1"/>
      </tp>
      <tp t="s">
        <v>N/A</v>
        <stp/>
        <stp>RHO</stp>
        <stp>.SPY150918P202.5</stp>
        <tr r="V428" s="1"/>
      </tp>
      <tp t="s">
        <v>N/A</v>
        <stp/>
        <stp>RHO</stp>
        <stp>.SPY160318P211.5</stp>
        <tr r="V656" s="1"/>
      </tp>
      <tp t="s">
        <v>N/A</v>
        <stp/>
        <stp>RHO</stp>
        <stp>.SPY160318P201.5</stp>
        <tr r="V636" s="1"/>
      </tp>
      <tp t="s">
        <v>N/A</v>
        <stp/>
        <stp>RHO</stp>
        <stp>.SPY170120P208.5</stp>
        <tr r="V818" s="1"/>
      </tp>
      <tp t="s">
        <v>N/A</v>
        <stp/>
        <stp>RHO</stp>
        <stp>.SPY170120P218.5</stp>
        <tr r="V838" s="1"/>
      </tp>
      <tp t="s">
        <v>N/A</v>
        <stp/>
        <stp>RHO</stp>
        <stp>.SPY150619P213.5</stp>
        <tr r="V324" s="1"/>
      </tp>
      <tp t="s">
        <v>N/A</v>
        <stp/>
        <stp>RHO</stp>
        <stp>.SPY150619P203.5</stp>
        <tr r="V304" s="1"/>
      </tp>
      <tp>
        <v>-3.4180000000000002E-2</v>
        <stp/>
        <stp>RHO</stp>
        <stp>.SPY150522P208.5</stp>
        <tr r="V230" s="1"/>
      </tp>
      <tp>
        <v>-2.3429999999999999E-2</v>
        <stp/>
        <stp>RHO</stp>
        <stp>.SPY150529P203.5</stp>
        <tr r="V262" s="1"/>
      </tp>
      <tp>
        <v>-0.11365</v>
        <stp/>
        <stp>RHO</stp>
        <stp>.SPY150522P218.5</stp>
        <tr r="V250" s="1"/>
      </tp>
      <tp>
        <v>-0.10304000000000001</v>
        <stp/>
        <stp>RHO</stp>
        <stp>.SPY150529P213.5</stp>
        <tr r="V282" s="1"/>
      </tp>
      <tp>
        <v>-6.0999999999999997E-4</v>
        <stp/>
        <stp>RHO</stp>
        <stp>.SPY150508P202.5</stp>
        <tr r="V134" s="1"/>
      </tp>
      <tp>
        <v>-2.0140000000000002E-2</v>
        <stp/>
        <stp>RHO</stp>
        <stp>.SPY150508P212.5</stp>
        <tr r="V154" s="1"/>
      </tp>
      <tp t="s">
        <v>N/A</v>
        <stp/>
        <stp>RHO</stp>
        <stp>.SPY151219P213.5</stp>
        <tr r="V534" s="1"/>
      </tp>
      <tp t="s">
        <v>N/A</v>
        <stp/>
        <stp>RHO</stp>
        <stp>.SPY151219P203.5</stp>
        <tr r="V514" s="1"/>
      </tp>
      <tp t="s">
        <v>N/A</v>
        <stp/>
        <stp>DELTA</stp>
        <stp>.SPY150930P215.5</stp>
        <tr r="R496" s="1"/>
      </tp>
      <tp t="s">
        <v>N/A</v>
        <stp/>
        <stp>DELTA</stp>
        <stp>.SPY150930P205.5</stp>
        <tr r="R476" s="1"/>
      </tp>
      <tp t="s">
        <v>N/A</v>
        <stp/>
        <stp>DELTA</stp>
        <stp>.SPY160916P210.5</stp>
        <tr r="R738" s="1"/>
      </tp>
      <tp t="s">
        <v>N/A</v>
        <stp/>
        <stp>DELTA</stp>
        <stp>.SPY160916P200.5</stp>
        <tr r="R718" s="1"/>
      </tp>
      <tp t="s">
        <v>N/A</v>
        <stp/>
        <stp>DELTA</stp>
        <stp>.SPY150424P201.5</stp>
        <tr r="R48" s="1"/>
      </tp>
      <tp t="s">
        <v>N/A</v>
        <stp/>
        <stp>DELTA</stp>
        <stp>.SPY150424P211.5</stp>
        <tr r="R68" s="1"/>
      </tp>
      <tp t="s">
        <v>N/A</v>
        <stp/>
        <stp>DELTA</stp>
        <stp>.SPY150417P212.5</stp>
        <tr r="R28" s="1"/>
      </tp>
      <tp t="s">
        <v>N/A</v>
        <stp/>
        <stp>DELTA</stp>
        <stp>.SPY150417P202.5</stp>
        <tr r="R8" s="1"/>
      </tp>
      <tp>
        <v>-0.25481999999999999</v>
        <stp/>
        <stp>DELTA</stp>
        <stp>.SPY150522P207.5</stp>
        <tr r="R228" s="1"/>
      </tp>
      <tp>
        <v>-0.99907999999999997</v>
        <stp/>
        <stp>DELTA</stp>
        <stp>.SPY150522P217.5</stp>
        <tr r="R248" s="1"/>
      </tp>
      <tp t="s">
        <v>N/A</v>
        <stp/>
        <stp>DELTA</stp>
        <stp>.SPY150501P204.5</stp>
        <tr r="R96" s="1"/>
      </tp>
      <tp>
        <v>-0.41370000000000001</v>
        <stp/>
        <stp>DELTA</stp>
        <stp>.SPY150515P210.5</stp>
        <tr r="R192" s="1"/>
      </tp>
      <tp t="s">
        <v>N/A</v>
        <stp/>
        <stp>DELTA</stp>
        <stp>.SPY150501P214.5</stp>
        <tr r="R116" s="1"/>
      </tp>
      <tp>
        <v>-4.129E-2</v>
        <stp/>
        <stp>DELTA</stp>
        <stp>.SPY150515P200.5</stp>
        <tr r="R172" s="1"/>
      </tp>
      <tp t="s">
        <v>N/A</v>
        <stp/>
        <stp>DELTA</stp>
        <stp>.SPY150630P215.5</stp>
        <tr r="R370" s="1"/>
      </tp>
      <tp t="s">
        <v>N/A</v>
        <stp/>
        <stp>DELTA</stp>
        <stp>.SPY150630P205.5</stp>
        <tr r="R350" s="1"/>
      </tp>
      <tp t="s">
        <v>N/A</v>
        <stp/>
        <stp>DELTA</stp>
        <stp>.SPY160617P211.5</stp>
        <tr r="R698" s="1"/>
      </tp>
      <tp t="s">
        <v>N/A</v>
        <stp/>
        <stp>DELTA</stp>
        <stp>.SPY160617P201.5</stp>
        <tr r="R678" s="1"/>
      </tp>
      <tp t="s">
        <v>N/A</v>
        <stp/>
        <stp>DELTA</stp>
        <stp>.SPY150717P212.5</stp>
        <tr r="R406" s="1"/>
      </tp>
      <tp t="s">
        <v>N/A</v>
        <stp/>
        <stp>DELTA</stp>
        <stp>.SPY150717P202.5</stp>
        <tr r="R386" s="1"/>
      </tp>
      <tp t="s">
        <v>N/A</v>
        <stp/>
        <stp>DELTA</stp>
        <stp>.SPY170120P207.5</stp>
        <tr r="R816" s="1"/>
      </tp>
      <tp t="s">
        <v>N/A</v>
        <stp/>
        <stp>DELTA</stp>
        <stp>.SPY170120P217.5</stp>
        <tr r="R836" s="1"/>
      </tp>
      <tp t="s">
        <v>N/A</v>
        <stp/>
        <stp>DELTA</stp>
        <stp>.SPY160115P213.5</stp>
        <tr r="R618" s="1"/>
      </tp>
      <tp t="s">
        <v>N/A</v>
        <stp/>
        <stp>DELTA</stp>
        <stp>.SPY160115P203.5</stp>
        <tr r="R598" s="1"/>
      </tp>
      <tp t="s">
        <v>N/A</v>
        <stp/>
        <stp>DELTA</stp>
        <stp>.SPY170317P210.5</stp>
        <tr r="R864" s="1"/>
      </tp>
      <tp t="s">
        <v>N/A</v>
        <stp/>
        <stp>DELTA</stp>
        <stp>.SPY170317P200.5</stp>
        <tr r="R844" s="1"/>
      </tp>
      <tp t="s">
        <v>N/A</v>
        <stp/>
        <stp>DELTA</stp>
        <stp>.SPY151231P214.5</stp>
        <tr r="R578" s="1"/>
      </tp>
      <tp t="s">
        <v>N/A</v>
        <stp/>
        <stp>DELTA</stp>
        <stp>.SPY151231P204.5</stp>
        <tr r="R558" s="1"/>
      </tp>
      <tp t="s">
        <v>N/A</v>
        <stp/>
        <stp>DELTA</stp>
        <stp>.SPY161216P210.5</stp>
        <tr r="R780" s="1"/>
      </tp>
      <tp t="s">
        <v>N/A</v>
        <stp/>
        <stp>DELTA</stp>
        <stp>.SPY171215P212.5</stp>
        <tr r="R910" s="1"/>
      </tp>
      <tp t="s">
        <v>N/A</v>
        <stp/>
        <stp>DELTA</stp>
        <stp>.SPY161216P200.5</stp>
        <tr r="R760" s="1"/>
      </tp>
      <tp t="s">
        <v>N/A</v>
        <stp/>
        <stp>DELTA</stp>
        <stp>.SPY171215P202.5</stp>
        <tr r="R890" s="1"/>
      </tp>
      <tp t="s">
        <v>N/A</v>
        <stp/>
        <stp>THETA</stp>
        <stp>.SPY151231C204.5</stp>
        <tr r="H558" s="1"/>
      </tp>
      <tp t="s">
        <v>N/A</v>
        <stp/>
        <stp>THETA</stp>
        <stp>.SPY151231C214.5</stp>
        <tr r="H578" s="1"/>
      </tp>
      <tp t="s">
        <v>N/A</v>
        <stp/>
        <stp>THETA</stp>
        <stp>.SPY161216C200.5</stp>
        <tr r="H760" s="1"/>
      </tp>
      <tp t="s">
        <v>N/A</v>
        <stp/>
        <stp>THETA</stp>
        <stp>.SPY171215C202.5</stp>
        <tr r="H890" s="1"/>
      </tp>
      <tp t="s">
        <v>N/A</v>
        <stp/>
        <stp>THETA</stp>
        <stp>.SPY161216C210.5</stp>
        <tr r="H780" s="1"/>
      </tp>
      <tp t="s">
        <v>N/A</v>
        <stp/>
        <stp>THETA</stp>
        <stp>.SPY171215C212.5</stp>
        <tr r="H910" s="1"/>
      </tp>
      <tp t="s">
        <v>N/A</v>
        <stp/>
        <stp>THETA</stp>
        <stp>.SPY170120C217.5</stp>
        <tr r="H836" s="1"/>
      </tp>
      <tp t="s">
        <v>N/A</v>
        <stp/>
        <stp>THETA</stp>
        <stp>.SPY170120C207.5</stp>
        <tr r="H816" s="1"/>
      </tp>
      <tp t="s">
        <v>N/A</v>
        <stp/>
        <stp>THETA</stp>
        <stp>.SPY160115C203.5</stp>
        <tr r="H598" s="1"/>
      </tp>
      <tp t="s">
        <v>N/A</v>
        <stp/>
        <stp>THETA</stp>
        <stp>.SPY160115C213.5</stp>
        <tr r="H618" s="1"/>
      </tp>
      <tp t="s">
        <v>N/A</v>
        <stp/>
        <stp>THETA</stp>
        <stp>.SPY170317C200.5</stp>
        <tr r="H844" s="1"/>
      </tp>
      <tp t="s">
        <v>N/A</v>
        <stp/>
        <stp>THETA</stp>
        <stp>.SPY170317C210.5</stp>
        <tr r="H864" s="1"/>
      </tp>
      <tp>
        <v>-1.2330000000000001E-2</v>
        <stp/>
        <stp>THETA</stp>
        <stp>.SPY150522C217.5</stp>
        <tr r="H248" s="1"/>
      </tp>
      <tp>
        <v>-4.9770000000000002E-2</v>
        <stp/>
        <stp>THETA</stp>
        <stp>.SPY150522C207.5</stp>
        <tr r="H228" s="1"/>
      </tp>
      <tp t="s">
        <v>N/A</v>
        <stp/>
        <stp>THETA</stp>
        <stp>.SPY150501C214.5</stp>
        <tr r="H116" s="1"/>
      </tp>
      <tp>
        <v>-3.2149999999999998E-2</v>
        <stp/>
        <stp>THETA</stp>
        <stp>.SPY150515C200.5</stp>
        <tr r="H172" s="1"/>
      </tp>
      <tp t="s">
        <v>N/A</v>
        <stp/>
        <stp>THETA</stp>
        <stp>.SPY150501C204.5</stp>
        <tr r="H96" s="1"/>
      </tp>
      <tp>
        <v>-6.5600000000000006E-2</v>
        <stp/>
        <stp>THETA</stp>
        <stp>.SPY150515C210.5</stp>
        <tr r="H192" s="1"/>
      </tp>
      <tp t="s">
        <v>N/A</v>
        <stp/>
        <stp>THETA</stp>
        <stp>.SPY150424C211.5</stp>
        <tr r="H68" s="1"/>
      </tp>
      <tp t="s">
        <v>N/A</v>
        <stp/>
        <stp>THETA</stp>
        <stp>.SPY150424C201.5</stp>
        <tr r="H48" s="1"/>
      </tp>
      <tp t="s">
        <v>N/A</v>
        <stp/>
        <stp>THETA</stp>
        <stp>.SPY150417C202.5</stp>
        <tr r="H8" s="1"/>
      </tp>
      <tp t="s">
        <v>N/A</v>
        <stp/>
        <stp>THETA</stp>
        <stp>.SPY150417C212.5</stp>
        <tr r="H28" s="1"/>
      </tp>
      <tp t="s">
        <v>N/A</v>
        <stp/>
        <stp>THETA</stp>
        <stp>.SPY150717C202.5</stp>
        <tr r="H386" s="1"/>
      </tp>
      <tp t="s">
        <v>N/A</v>
        <stp/>
        <stp>THETA</stp>
        <stp>.SPY150717C212.5</stp>
        <tr r="H406" s="1"/>
      </tp>
      <tp t="s">
        <v>N/A</v>
        <stp/>
        <stp>THETA</stp>
        <stp>.SPY150630C205.5</stp>
        <tr r="H350" s="1"/>
      </tp>
      <tp t="s">
        <v>N/A</v>
        <stp/>
        <stp>THETA</stp>
        <stp>.SPY150630C215.5</stp>
        <tr r="H370" s="1"/>
      </tp>
      <tp t="s">
        <v>N/A</v>
        <stp/>
        <stp>THETA</stp>
        <stp>.SPY160617C201.5</stp>
        <tr r="H678" s="1"/>
      </tp>
      <tp t="s">
        <v>N/A</v>
        <stp/>
        <stp>THETA</stp>
        <stp>.SPY160617C211.5</stp>
        <tr r="H698" s="1"/>
      </tp>
      <tp t="s">
        <v>N/A</v>
        <stp/>
        <stp>THETA</stp>
        <stp>.SPY150930C205.5</stp>
        <tr r="H476" s="1"/>
      </tp>
      <tp t="s">
        <v>N/A</v>
        <stp/>
        <stp>THETA</stp>
        <stp>.SPY150930C215.5</stp>
        <tr r="H496" s="1"/>
      </tp>
      <tp t="s">
        <v>N/A</v>
        <stp/>
        <stp>THETA</stp>
        <stp>.SPY160916C200.5</stp>
        <tr r="H718" s="1"/>
      </tp>
      <tp t="s">
        <v>N/A</v>
        <stp/>
        <stp>THETA</stp>
        <stp>.SPY160916C210.5</stp>
        <tr r="H738" s="1"/>
      </tp>
      <tp t="s">
        <v>N/A</v>
        <stp/>
        <stp>THETA</stp>
        <stp>.SPY170120P217.5</stp>
        <tr r="S836" s="1"/>
      </tp>
      <tp t="s">
        <v>N/A</v>
        <stp/>
        <stp>THETA</stp>
        <stp>.SPY170120P207.5</stp>
        <tr r="S816" s="1"/>
      </tp>
      <tp t="s">
        <v>N/A</v>
        <stp/>
        <stp>THETA</stp>
        <stp>.SPY160115P203.5</stp>
        <tr r="S598" s="1"/>
      </tp>
      <tp t="s">
        <v>N/A</v>
        <stp/>
        <stp>THETA</stp>
        <stp>.SPY160115P213.5</stp>
        <tr r="S618" s="1"/>
      </tp>
      <tp t="s">
        <v>N/A</v>
        <stp/>
        <stp>THETA</stp>
        <stp>.SPY170317P200.5</stp>
        <tr r="S844" s="1"/>
      </tp>
      <tp t="s">
        <v>N/A</v>
        <stp/>
        <stp>THETA</stp>
        <stp>.SPY170317P210.5</stp>
        <tr r="S864" s="1"/>
      </tp>
      <tp>
        <v>-8.6999999999999994E-3</v>
        <stp/>
        <stp>THETA</stp>
        <stp>.SPY150522P217.5</stp>
        <tr r="S248" s="1"/>
      </tp>
      <tp>
        <v>-5.2170000000000001E-2</v>
        <stp/>
        <stp>THETA</stp>
        <stp>.SPY150522P207.5</stp>
        <tr r="S228" s="1"/>
      </tp>
      <tp t="s">
        <v>N/A</v>
        <stp/>
        <stp>THETA</stp>
        <stp>.SPY150501P214.5</stp>
        <tr r="S116" s="1"/>
      </tp>
      <tp>
        <v>-2.5270000000000001E-2</v>
        <stp/>
        <stp>THETA</stp>
        <stp>.SPY150515P200.5</stp>
        <tr r="S172" s="1"/>
      </tp>
      <tp t="s">
        <v>N/A</v>
        <stp/>
        <stp>THETA</stp>
        <stp>.SPY150501P204.5</stp>
        <tr r="S96" s="1"/>
      </tp>
      <tp>
        <v>-6.9750000000000006E-2</v>
        <stp/>
        <stp>THETA</stp>
        <stp>.SPY150515P210.5</stp>
        <tr r="S192" s="1"/>
      </tp>
      <tp t="s">
        <v>N/A</v>
        <stp/>
        <stp>THETA</stp>
        <stp>.SPY150424P211.5</stp>
        <tr r="S68" s="1"/>
      </tp>
      <tp t="s">
        <v>N/A</v>
        <stp/>
        <stp>THETA</stp>
        <stp>.SPY150424P201.5</stp>
        <tr r="S48" s="1"/>
      </tp>
      <tp t="s">
        <v>N/A</v>
        <stp/>
        <stp>THETA</stp>
        <stp>.SPY150417P202.5</stp>
        <tr r="S8" s="1"/>
      </tp>
      <tp t="s">
        <v>N/A</v>
        <stp/>
        <stp>THETA</stp>
        <stp>.SPY150417P212.5</stp>
        <tr r="S28" s="1"/>
      </tp>
      <tp t="s">
        <v>N/A</v>
        <stp/>
        <stp>THETA</stp>
        <stp>.SPY150717P202.5</stp>
        <tr r="S386" s="1"/>
      </tp>
      <tp t="s">
        <v>N/A</v>
        <stp/>
        <stp>THETA</stp>
        <stp>.SPY150717P212.5</stp>
        <tr r="S406" s="1"/>
      </tp>
      <tp t="s">
        <v>N/A</v>
        <stp/>
        <stp>THETA</stp>
        <stp>.SPY150630P205.5</stp>
        <tr r="S350" s="1"/>
      </tp>
      <tp t="s">
        <v>N/A</v>
        <stp/>
        <stp>THETA</stp>
        <stp>.SPY150630P215.5</stp>
        <tr r="S370" s="1"/>
      </tp>
      <tp t="s">
        <v>N/A</v>
        <stp/>
        <stp>THETA</stp>
        <stp>.SPY160617P201.5</stp>
        <tr r="S678" s="1"/>
      </tp>
      <tp t="s">
        <v>N/A</v>
        <stp/>
        <stp>THETA</stp>
        <stp>.SPY160617P211.5</stp>
        <tr r="S698" s="1"/>
      </tp>
      <tp t="s">
        <v>N/A</v>
        <stp/>
        <stp>THETA</stp>
        <stp>.SPY150930P205.5</stp>
        <tr r="S476" s="1"/>
      </tp>
      <tp t="s">
        <v>N/A</v>
        <stp/>
        <stp>THETA</stp>
        <stp>.SPY150930P215.5</stp>
        <tr r="S496" s="1"/>
      </tp>
      <tp t="s">
        <v>N/A</v>
        <stp/>
        <stp>THETA</stp>
        <stp>.SPY160916P200.5</stp>
        <tr r="S718" s="1"/>
      </tp>
      <tp t="s">
        <v>N/A</v>
        <stp/>
        <stp>THETA</stp>
        <stp>.SPY160916P210.5</stp>
        <tr r="S738" s="1"/>
      </tp>
      <tp t="s">
        <v>N/A</v>
        <stp/>
        <stp>THETA</stp>
        <stp>.SPY151231P204.5</stp>
        <tr r="S558" s="1"/>
      </tp>
      <tp t="s">
        <v>N/A</v>
        <stp/>
        <stp>THETA</stp>
        <stp>.SPY151231P214.5</stp>
        <tr r="S578" s="1"/>
      </tp>
      <tp t="s">
        <v>N/A</v>
        <stp/>
        <stp>THETA</stp>
        <stp>.SPY161216P200.5</stp>
        <tr r="S760" s="1"/>
      </tp>
      <tp t="s">
        <v>N/A</v>
        <stp/>
        <stp>THETA</stp>
        <stp>.SPY171215P202.5</stp>
        <tr r="S890" s="1"/>
      </tp>
      <tp t="s">
        <v>N/A</v>
        <stp/>
        <stp>THETA</stp>
        <stp>.SPY161216P210.5</stp>
        <tr r="S780" s="1"/>
      </tp>
      <tp t="s">
        <v>N/A</v>
        <stp/>
        <stp>THETA</stp>
        <stp>.SPY171215P212.5</stp>
        <tr r="S910" s="1"/>
      </tp>
      <tp t="s">
        <v>N/A</v>
        <stp/>
        <stp>DELTA</stp>
        <stp>.SPY151231C214.5</stp>
        <tr r="G578" s="1"/>
      </tp>
      <tp t="s">
        <v>N/A</v>
        <stp/>
        <stp>DELTA</stp>
        <stp>.SPY151231C204.5</stp>
        <tr r="G558" s="1"/>
      </tp>
      <tp t="s">
        <v>N/A</v>
        <stp/>
        <stp>DELTA</stp>
        <stp>.SPY161216C210.5</stp>
        <tr r="G780" s="1"/>
      </tp>
      <tp t="s">
        <v>N/A</v>
        <stp/>
        <stp>DELTA</stp>
        <stp>.SPY171215C212.5</stp>
        <tr r="G910" s="1"/>
      </tp>
      <tp t="s">
        <v>N/A</v>
        <stp/>
        <stp>DELTA</stp>
        <stp>.SPY161216C200.5</stp>
        <tr r="G760" s="1"/>
      </tp>
      <tp t="s">
        <v>N/A</v>
        <stp/>
        <stp>DELTA</stp>
        <stp>.SPY171215C202.5</stp>
        <tr r="G890" s="1"/>
      </tp>
      <tp t="s">
        <v>N/A</v>
        <stp/>
        <stp>DELTA</stp>
        <stp>.SPY150930C215.5</stp>
        <tr r="G496" s="1"/>
      </tp>
      <tp t="s">
        <v>N/A</v>
        <stp/>
        <stp>DELTA</stp>
        <stp>.SPY150930C205.5</stp>
        <tr r="G476" s="1"/>
      </tp>
      <tp t="s">
        <v>N/A</v>
        <stp/>
        <stp>DELTA</stp>
        <stp>.SPY160916C210.5</stp>
        <tr r="G738" s="1"/>
      </tp>
      <tp t="s">
        <v>N/A</v>
        <stp/>
        <stp>DELTA</stp>
        <stp>.SPY160916C200.5</stp>
        <tr r="G718" s="1"/>
      </tp>
      <tp t="s">
        <v>N/A</v>
        <stp/>
        <stp>DELTA</stp>
        <stp>.SPY150424C201.5</stp>
        <tr r="G48" s="1"/>
      </tp>
      <tp t="s">
        <v>N/A</v>
        <stp/>
        <stp>DELTA</stp>
        <stp>.SPY150424C211.5</stp>
        <tr r="G68" s="1"/>
      </tp>
      <tp t="s">
        <v>N/A</v>
        <stp/>
        <stp>DELTA</stp>
        <stp>.SPY150417C212.5</stp>
        <tr r="G28" s="1"/>
      </tp>
      <tp t="s">
        <v>N/A</v>
        <stp/>
        <stp>DELTA</stp>
        <stp>.SPY150417C202.5</stp>
        <tr r="G8" s="1"/>
      </tp>
      <tp>
        <v>0.7329</v>
        <stp/>
        <stp>DELTA</stp>
        <stp>.SPY150522C207.5</stp>
        <tr r="G228" s="1"/>
      </tp>
      <tp>
        <v>6.1990000000000003E-2</v>
        <stp/>
        <stp>DELTA</stp>
        <stp>.SPY150522C217.5</stp>
        <tr r="G248" s="1"/>
      </tp>
      <tp t="s">
        <v>N/A</v>
        <stp/>
        <stp>DELTA</stp>
        <stp>.SPY150501C204.5</stp>
        <tr r="G96" s="1"/>
      </tp>
      <tp>
        <v>0.58296999999999999</v>
        <stp/>
        <stp>DELTA</stp>
        <stp>.SPY150515C210.5</stp>
        <tr r="G192" s="1"/>
      </tp>
      <tp t="s">
        <v>N/A</v>
        <stp/>
        <stp>DELTA</stp>
        <stp>.SPY150501C214.5</stp>
        <tr r="G116" s="1"/>
      </tp>
      <tp>
        <v>0.93877999999999995</v>
        <stp/>
        <stp>DELTA</stp>
        <stp>.SPY150515C200.5</stp>
        <tr r="G172" s="1"/>
      </tp>
      <tp t="s">
        <v>N/A</v>
        <stp/>
        <stp>DELTA</stp>
        <stp>.SPY150630C215.5</stp>
        <tr r="G370" s="1"/>
      </tp>
      <tp t="s">
        <v>N/A</v>
        <stp/>
        <stp>DELTA</stp>
        <stp>.SPY150630C205.5</stp>
        <tr r="G350" s="1"/>
      </tp>
      <tp t="s">
        <v>N/A</v>
        <stp/>
        <stp>DELTA</stp>
        <stp>.SPY160617C211.5</stp>
        <tr r="G698" s="1"/>
      </tp>
      <tp t="s">
        <v>N/A</v>
        <stp/>
        <stp>DELTA</stp>
        <stp>.SPY160617C201.5</stp>
        <tr r="G678" s="1"/>
      </tp>
      <tp t="s">
        <v>N/A</v>
        <stp/>
        <stp>DELTA</stp>
        <stp>.SPY150717C212.5</stp>
        <tr r="G406" s="1"/>
      </tp>
      <tp t="s">
        <v>N/A</v>
        <stp/>
        <stp>DELTA</stp>
        <stp>.SPY150717C202.5</stp>
        <tr r="G386" s="1"/>
      </tp>
      <tp t="s">
        <v>N/A</v>
        <stp/>
        <stp>DELTA</stp>
        <stp>.SPY170120C207.5</stp>
        <tr r="G816" s="1"/>
      </tp>
      <tp t="s">
        <v>N/A</v>
        <stp/>
        <stp>DELTA</stp>
        <stp>.SPY170120C217.5</stp>
        <tr r="G836" s="1"/>
      </tp>
      <tp t="s">
        <v>N/A</v>
        <stp/>
        <stp>DELTA</stp>
        <stp>.SPY160115C213.5</stp>
        <tr r="G618" s="1"/>
      </tp>
      <tp t="s">
        <v>N/A</v>
        <stp/>
        <stp>DELTA</stp>
        <stp>.SPY160115C203.5</stp>
        <tr r="G598" s="1"/>
      </tp>
      <tp t="s">
        <v>N/A</v>
        <stp/>
        <stp>DELTA</stp>
        <stp>.SPY170317C210.5</stp>
        <tr r="G864" s="1"/>
      </tp>
      <tp t="s">
        <v>N/A</v>
        <stp/>
        <stp>DELTA</stp>
        <stp>.SPY170317C200.5</stp>
        <tr r="G844" s="1"/>
      </tp>
      <tp>
        <v>0</v>
        <stp/>
        <stp>VOLUME</stp>
        <stp>.SPY150424P202</stp>
        <tr r="P49" s="1"/>
      </tp>
      <tp>
        <v>0</v>
        <stp/>
        <stp>VOLUME</stp>
        <stp>.SPY150424C202</stp>
        <tr r="E49" s="1"/>
      </tp>
      <tp>
        <v>0</v>
        <stp/>
        <stp>VOLUME</stp>
        <stp>.SPY150424P203</stp>
        <tr r="P51" s="1"/>
      </tp>
      <tp>
        <v>0</v>
        <stp/>
        <stp>VOLUME</stp>
        <stp>.SPY150424C203</stp>
        <tr r="E51" s="1"/>
      </tp>
      <tp>
        <v>0</v>
        <stp/>
        <stp>VOLUME</stp>
        <stp>.SPY150424P200</stp>
        <tr r="P45" s="1"/>
      </tp>
      <tp>
        <v>0</v>
        <stp/>
        <stp>VOLUME</stp>
        <stp>.SPY150424C200</stp>
        <tr r="E45" s="1"/>
      </tp>
      <tp>
        <v>0</v>
        <stp/>
        <stp>VOLUME</stp>
        <stp>.SPY150424P201</stp>
        <tr r="P47" s="1"/>
      </tp>
      <tp>
        <v>0</v>
        <stp/>
        <stp>VOLUME</stp>
        <stp>.SPY150424C201</stp>
        <tr r="E47" s="1"/>
      </tp>
      <tp>
        <v>0</v>
        <stp/>
        <stp>VOLUME</stp>
        <stp>.SPY150424P206</stp>
        <tr r="P57" s="1"/>
      </tp>
      <tp>
        <v>0</v>
        <stp/>
        <stp>VOLUME</stp>
        <stp>.SPY150424C206</stp>
        <tr r="E57" s="1"/>
      </tp>
      <tp>
        <v>0</v>
        <stp/>
        <stp>VOLUME</stp>
        <stp>.SPY150424P207</stp>
        <tr r="P59" s="1"/>
      </tp>
      <tp>
        <v>0</v>
        <stp/>
        <stp>VOLUME</stp>
        <stp>.SPY150424C207</stp>
        <tr r="E59" s="1"/>
      </tp>
      <tp>
        <v>0</v>
        <stp/>
        <stp>VOLUME</stp>
        <stp>.SPY150424P204</stp>
        <tr r="P53" s="1"/>
      </tp>
      <tp>
        <v>0</v>
        <stp/>
        <stp>VOLUME</stp>
        <stp>.SPY150424C204</stp>
        <tr r="E53" s="1"/>
      </tp>
      <tp>
        <v>0</v>
        <stp/>
        <stp>VOLUME</stp>
        <stp>.SPY150424P205</stp>
        <tr r="P55" s="1"/>
      </tp>
      <tp>
        <v>0</v>
        <stp/>
        <stp>VOLUME</stp>
        <stp>.SPY150424C205</stp>
        <tr r="E55" s="1"/>
      </tp>
      <tp>
        <v>0</v>
        <stp/>
        <stp>VOLUME</stp>
        <stp>.SPY150424P208</stp>
        <tr r="P61" s="1"/>
      </tp>
      <tp>
        <v>0</v>
        <stp/>
        <stp>VOLUME</stp>
        <stp>.SPY150424C208</stp>
        <tr r="E61" s="1"/>
      </tp>
      <tp>
        <v>0</v>
        <stp/>
        <stp>VOLUME</stp>
        <stp>.SPY150424P209</stp>
        <tr r="P63" s="1"/>
      </tp>
      <tp>
        <v>0</v>
        <stp/>
        <stp>VOLUME</stp>
        <stp>.SPY150424C209</stp>
        <tr r="E63" s="1"/>
      </tp>
      <tp>
        <v>0</v>
        <stp/>
        <stp>VOLUME</stp>
        <stp>.SPY150424P212</stp>
        <tr r="P69" s="1"/>
      </tp>
      <tp>
        <v>0</v>
        <stp/>
        <stp>VOLUME</stp>
        <stp>.SPY150424C212</stp>
        <tr r="E69" s="1"/>
      </tp>
      <tp>
        <v>0</v>
        <stp/>
        <stp>VOLUME</stp>
        <stp>.SPY150424P213</stp>
        <tr r="P71" s="1"/>
      </tp>
      <tp>
        <v>0</v>
        <stp/>
        <stp>VOLUME</stp>
        <stp>.SPY150424C213</stp>
        <tr r="E71" s="1"/>
      </tp>
      <tp>
        <v>0</v>
        <stp/>
        <stp>VOLUME</stp>
        <stp>.SPY150424P210</stp>
        <tr r="P65" s="1"/>
      </tp>
      <tp>
        <v>0</v>
        <stp/>
        <stp>VOLUME</stp>
        <stp>.SPY150424C210</stp>
        <tr r="E65" s="1"/>
      </tp>
      <tp>
        <v>0</v>
        <stp/>
        <stp>VOLUME</stp>
        <stp>.SPY150424P211</stp>
        <tr r="P67" s="1"/>
      </tp>
      <tp>
        <v>0</v>
        <stp/>
        <stp>VOLUME</stp>
        <stp>.SPY150424C211</stp>
        <tr r="E67" s="1"/>
      </tp>
      <tp>
        <v>0</v>
        <stp/>
        <stp>VOLUME</stp>
        <stp>.SPY150424P216</stp>
        <tr r="P77" s="1"/>
      </tp>
      <tp>
        <v>0</v>
        <stp/>
        <stp>VOLUME</stp>
        <stp>.SPY150424C216</stp>
        <tr r="E77" s="1"/>
      </tp>
      <tp>
        <v>0</v>
        <stp/>
        <stp>VOLUME</stp>
        <stp>.SPY150424P217</stp>
        <tr r="P79" s="1"/>
      </tp>
      <tp>
        <v>0</v>
        <stp/>
        <stp>VOLUME</stp>
        <stp>.SPY150424C217</stp>
        <tr r="E79" s="1"/>
      </tp>
      <tp>
        <v>0</v>
        <stp/>
        <stp>VOLUME</stp>
        <stp>.SPY150424P214</stp>
        <tr r="P73" s="1"/>
      </tp>
      <tp>
        <v>0</v>
        <stp/>
        <stp>VOLUME</stp>
        <stp>.SPY150424C214</stp>
        <tr r="E73" s="1"/>
      </tp>
      <tp>
        <v>0</v>
        <stp/>
        <stp>VOLUME</stp>
        <stp>.SPY150424P215</stp>
        <tr r="P75" s="1"/>
      </tp>
      <tp>
        <v>0</v>
        <stp/>
        <stp>VOLUME</stp>
        <stp>.SPY150424C215</stp>
        <tr r="E75" s="1"/>
      </tp>
      <tp>
        <v>0</v>
        <stp/>
        <stp>VOLUME</stp>
        <stp>.SPY150424P218</stp>
        <tr r="P81" s="1"/>
      </tp>
      <tp>
        <v>0</v>
        <stp/>
        <stp>VOLUME</stp>
        <stp>.SPY150424C218</stp>
        <tr r="E81" s="1"/>
      </tp>
      <tp>
        <v>0</v>
        <stp/>
        <stp>VOLUME</stp>
        <stp>.SPY150424P219</stp>
        <tr r="P83" s="1"/>
      </tp>
      <tp>
        <v>0</v>
        <stp/>
        <stp>VOLUME</stp>
        <stp>.SPY150424C219</stp>
        <tr r="E83" s="1"/>
      </tp>
      <tp>
        <v>0</v>
        <stp/>
        <stp>VOLUME</stp>
        <stp>.SPY150417P211</stp>
        <tr r="P25" s="1"/>
      </tp>
      <tp>
        <v>0</v>
        <stp/>
        <stp>VOLUME</stp>
        <stp>.SPY150417C211</stp>
        <tr r="E25" s="1"/>
      </tp>
      <tp>
        <v>0</v>
        <stp/>
        <stp>VOLUME</stp>
        <stp>.SPY150417P210</stp>
        <tr r="P23" s="1"/>
      </tp>
      <tp>
        <v>0</v>
        <stp/>
        <stp>VOLUME</stp>
        <stp>.SPY150417C210</stp>
        <tr r="E23" s="1"/>
      </tp>
      <tp>
        <v>0</v>
        <stp/>
        <stp>VOLUME</stp>
        <stp>.SPY150417P213</stp>
        <tr r="P29" s="1"/>
      </tp>
      <tp>
        <v>0</v>
        <stp/>
        <stp>VOLUME</stp>
        <stp>.SPY150417C213</stp>
        <tr r="E29" s="1"/>
      </tp>
      <tp>
        <v>0</v>
        <stp/>
        <stp>VOLUME</stp>
        <stp>.SPY150417P212</stp>
        <tr r="P27" s="1"/>
      </tp>
      <tp>
        <v>0</v>
        <stp/>
        <stp>VOLUME</stp>
        <stp>.SPY150417C212</stp>
        <tr r="E27" s="1"/>
      </tp>
      <tp>
        <v>0</v>
        <stp/>
        <stp>VOLUME</stp>
        <stp>.SPY150417P215</stp>
        <tr r="P33" s="1"/>
      </tp>
      <tp>
        <v>0</v>
        <stp/>
        <stp>VOLUME</stp>
        <stp>.SPY150417C215</stp>
        <tr r="E33" s="1"/>
      </tp>
      <tp>
        <v>0</v>
        <stp/>
        <stp>VOLUME</stp>
        <stp>.SPY150417P214</stp>
        <tr r="P31" s="1"/>
      </tp>
      <tp>
        <v>0</v>
        <stp/>
        <stp>VOLUME</stp>
        <stp>.SPY150417C214</stp>
        <tr r="E31" s="1"/>
      </tp>
      <tp>
        <v>0</v>
        <stp/>
        <stp>VOLUME</stp>
        <stp>.SPY150417P217</stp>
        <tr r="P37" s="1"/>
      </tp>
      <tp>
        <v>0</v>
        <stp/>
        <stp>VOLUME</stp>
        <stp>.SPY150417C217</stp>
        <tr r="E37" s="1"/>
      </tp>
      <tp>
        <v>0</v>
        <stp/>
        <stp>VOLUME</stp>
        <stp>.SPY150417P216</stp>
        <tr r="P35" s="1"/>
      </tp>
      <tp>
        <v>0</v>
        <stp/>
        <stp>VOLUME</stp>
        <stp>.SPY150417C216</stp>
        <tr r="E35" s="1"/>
      </tp>
      <tp>
        <v>0</v>
        <stp/>
        <stp>VOLUME</stp>
        <stp>.SPY150417P219</stp>
        <tr r="P41" s="1"/>
      </tp>
      <tp>
        <v>0</v>
        <stp/>
        <stp>VOLUME</stp>
        <stp>.SPY150417C219</stp>
        <tr r="E41" s="1"/>
      </tp>
      <tp>
        <v>0</v>
        <stp/>
        <stp>VOLUME</stp>
        <stp>.SPY150417P218</stp>
        <tr r="P39" s="1"/>
      </tp>
      <tp>
        <v>0</v>
        <stp/>
        <stp>VOLUME</stp>
        <stp>.SPY150417C218</stp>
        <tr r="E39" s="1"/>
      </tp>
      <tp>
        <v>0</v>
        <stp/>
        <stp>VOLUME</stp>
        <stp>.SPY150417P201</stp>
        <tr r="P5" s="1"/>
      </tp>
      <tp>
        <v>0</v>
        <stp/>
        <stp>VOLUME</stp>
        <stp>.SPY150417C201</stp>
        <tr r="E5" s="1"/>
      </tp>
      <tp>
        <v>0</v>
        <stp/>
        <stp>VOLUME</stp>
        <stp>.SPY150417P200</stp>
        <tr r="P3" s="1"/>
      </tp>
      <tp>
        <v>0</v>
        <stp/>
        <stp>VOLUME</stp>
        <stp>.SPY150417C200</stp>
        <tr r="E3" s="1"/>
      </tp>
      <tp>
        <v>0</v>
        <stp/>
        <stp>VOLUME</stp>
        <stp>.SPY150417P203</stp>
        <tr r="P9" s="1"/>
      </tp>
      <tp>
        <v>0</v>
        <stp/>
        <stp>VOLUME</stp>
        <stp>.SPY150417C203</stp>
        <tr r="E9" s="1"/>
      </tp>
      <tp>
        <v>0</v>
        <stp/>
        <stp>VOLUME</stp>
        <stp>.SPY150417P202</stp>
        <tr r="P7" s="1"/>
      </tp>
      <tp>
        <v>0</v>
        <stp/>
        <stp>VOLUME</stp>
        <stp>.SPY150417C202</stp>
        <tr r="E7" s="1"/>
      </tp>
      <tp>
        <v>0</v>
        <stp/>
        <stp>VOLUME</stp>
        <stp>.SPY150417P205</stp>
        <tr r="P13" s="1"/>
      </tp>
      <tp>
        <v>0</v>
        <stp/>
        <stp>VOLUME</stp>
        <stp>.SPY150417C205</stp>
        <tr r="E13" s="1"/>
      </tp>
      <tp>
        <v>0</v>
        <stp/>
        <stp>VOLUME</stp>
        <stp>.SPY150417P204</stp>
        <tr r="P11" s="1"/>
      </tp>
      <tp>
        <v>0</v>
        <stp/>
        <stp>VOLUME</stp>
        <stp>.SPY150417C204</stp>
        <tr r="E11" s="1"/>
      </tp>
      <tp>
        <v>0</v>
        <stp/>
        <stp>VOLUME</stp>
        <stp>.SPY150417P207</stp>
        <tr r="P17" s="1"/>
      </tp>
      <tp>
        <v>0</v>
        <stp/>
        <stp>VOLUME</stp>
        <stp>.SPY150417C207</stp>
        <tr r="E17" s="1"/>
      </tp>
      <tp>
        <v>0</v>
        <stp/>
        <stp>VOLUME</stp>
        <stp>.SPY150417P206</stp>
        <tr r="P15" s="1"/>
      </tp>
      <tp>
        <v>0</v>
        <stp/>
        <stp>VOLUME</stp>
        <stp>.SPY150417C206</stp>
        <tr r="E15" s="1"/>
      </tp>
      <tp>
        <v>0</v>
        <stp/>
        <stp>VOLUME</stp>
        <stp>.SPY150417P209</stp>
        <tr r="P21" s="1"/>
      </tp>
      <tp>
        <v>0</v>
        <stp/>
        <stp>VOLUME</stp>
        <stp>.SPY150417C209</stp>
        <tr r="E21" s="1"/>
      </tp>
      <tp>
        <v>0</v>
        <stp/>
        <stp>VOLUME</stp>
        <stp>.SPY150417P208</stp>
        <tr r="P19" s="1"/>
      </tp>
      <tp>
        <v>0</v>
        <stp/>
        <stp>VOLUME</stp>
        <stp>.SPY150417C208</stp>
        <tr r="E19" s="1"/>
      </tp>
      <tp t="s">
        <v>N/A</v>
        <stp/>
        <stp>BID</stp>
        <stp>.SPY150918C214.5</stp>
        <tr r="C452" s="1"/>
      </tp>
      <tp t="s">
        <v>N/A</v>
        <stp/>
        <stp>BID</stp>
        <stp>.SPY160916C219.5</stp>
        <tr r="C756" s="1"/>
      </tp>
      <tp t="s">
        <v>N/A</v>
        <stp/>
        <stp>BID</stp>
        <stp>.SPY150918C204.5</stp>
        <tr r="C432" s="1"/>
      </tp>
      <tp t="s">
        <v>N/A</v>
        <stp/>
        <stp>BID</stp>
        <stp>.SPY160916C209.5</stp>
        <tr r="C736" s="1"/>
      </tp>
      <tp t="s">
        <v>N/A</v>
        <stp/>
        <stp>BID</stp>
        <stp>.SPY160318C217.5</stp>
        <tr r="C668" s="1"/>
      </tp>
      <tp t="s">
        <v>N/A</v>
        <stp/>
        <stp>BID</stp>
        <stp>.SPY170317C219.5</stp>
        <tr r="C882" s="1"/>
      </tp>
      <tp t="s">
        <v>N/A</v>
        <stp/>
        <stp>BID</stp>
        <stp>.SPY160318C207.5</stp>
        <tr r="C648" s="1"/>
      </tp>
      <tp t="s">
        <v>N/A</v>
        <stp/>
        <stp>BID</stp>
        <stp>.SPY170317C209.5</stp>
        <tr r="C862" s="1"/>
      </tp>
      <tp t="s">
        <v>N/A</v>
        <stp/>
        <stp>BID</stp>
        <stp>.SPY150619C215.5</stp>
        <tr r="C328" s="1"/>
      </tp>
      <tp t="s">
        <v>N/A</v>
        <stp/>
        <stp>BID</stp>
        <stp>.SPY160617C218.5</stp>
        <tr r="C712" s="1"/>
      </tp>
      <tp t="s">
        <v>N/A</v>
        <stp/>
        <stp>BID</stp>
        <stp>.SPY150619C205.5</stp>
        <tr r="C308" s="1"/>
      </tp>
      <tp t="s">
        <v>N/A</v>
        <stp/>
        <stp>BID</stp>
        <stp>.SPY160617C208.5</stp>
        <tr r="C692" s="1"/>
      </tp>
      <tp>
        <v>6.77</v>
        <stp/>
        <stp>BID</stp>
        <stp>.SPY150529C205.5</stp>
        <tr r="C266" s="1"/>
      </tp>
      <tp>
        <v>0.56000000000000005</v>
        <stp/>
        <stp>BID</stp>
        <stp>.SPY150529C215.5</stp>
        <tr r="C286" s="1"/>
      </tp>
      <tp>
        <v>6.88</v>
        <stp/>
        <stp>BID</stp>
        <stp>.SPY150508C204.5</stp>
        <tr r="C138" s="1"/>
      </tp>
      <tp>
        <v>0.01</v>
        <stp/>
        <stp>BID</stp>
        <stp>.SPY150515C219.5</stp>
        <tr r="C210" s="1"/>
      </tp>
      <tp>
        <v>0.05</v>
        <stp/>
        <stp>BID</stp>
        <stp>.SPY150508C214.5</stp>
        <tr r="C158" s="1"/>
      </tp>
      <tp>
        <v>2.83</v>
        <stp/>
        <stp>BID</stp>
        <stp>.SPY150515C209.5</stp>
        <tr r="C190" s="1"/>
      </tp>
      <tp>
        <v>3.07</v>
        <stp/>
        <stp>BID</stp>
        <stp>.SPY150424C208.5</stp>
        <tr r="C62" s="1"/>
      </tp>
      <tp>
        <v>0</v>
        <stp/>
        <stp>BID</stp>
        <stp>.SPY150424C218.5</stp>
        <tr r="C82" s="1"/>
      </tp>
      <tp t="s">
        <v>N/A</v>
        <stp/>
        <stp>BID</stp>
        <stp>.SPY151219C215.5</stp>
        <tr r="C538" s="1"/>
      </tp>
      <tp t="s">
        <v>N/A</v>
        <stp/>
        <stp>BID</stp>
        <stp>.SPY161216C219.5</stp>
        <tr r="C798" s="1"/>
      </tp>
      <tp t="s">
        <v>N/A</v>
        <stp/>
        <stp>BID</stp>
        <stp>.SPY151219C205.5</stp>
        <tr r="C518" s="1"/>
      </tp>
      <tp t="s">
        <v>N/A</v>
        <stp/>
        <stp>BID</stp>
        <stp>.SPY161216C209.5</stp>
        <tr r="C778" s="1"/>
      </tp>
      <tp t="s">
        <v>N/A</v>
        <stp/>
        <stp>RHO</stp>
        <stp>.SPY151219C214.5</stp>
        <tr r="K536" s="1"/>
      </tp>
      <tp t="s">
        <v>N/A</v>
        <stp/>
        <stp>RHO</stp>
        <stp>.SPY161216C218.5</stp>
        <tr r="K796" s="1"/>
      </tp>
      <tp t="s">
        <v>N/A</v>
        <stp/>
        <stp>RHO</stp>
        <stp>.SPY151219C204.5</stp>
        <tr r="K516" s="1"/>
      </tp>
      <tp t="s">
        <v>N/A</v>
        <stp/>
        <stp>RHO</stp>
        <stp>.SPY161216C208.5</stp>
        <tr r="K776" s="1"/>
      </tp>
      <tp t="s">
        <v>N/A</v>
        <stp/>
        <stp>RHO</stp>
        <stp>.SPY150918C215.5</stp>
        <tr r="K454" s="1"/>
      </tp>
      <tp t="s">
        <v>N/A</v>
        <stp/>
        <stp>RHO</stp>
        <stp>.SPY160916C218.5</stp>
        <tr r="K754" s="1"/>
      </tp>
      <tp t="s">
        <v>N/A</v>
        <stp/>
        <stp>RHO</stp>
        <stp>.SPY150918C205.5</stp>
        <tr r="K434" s="1"/>
      </tp>
      <tp t="s">
        <v>N/A</v>
        <stp/>
        <stp>RHO</stp>
        <stp>.SPY160916C208.5</stp>
        <tr r="K734" s="1"/>
      </tp>
      <tp t="s">
        <v>N/A</v>
        <stp/>
        <stp>RHO</stp>
        <stp>.SPY160318C216.5</stp>
        <tr r="K666" s="1"/>
      </tp>
      <tp t="s">
        <v>N/A</v>
        <stp/>
        <stp>RHO</stp>
        <stp>.SPY170317C218.5</stp>
        <tr r="K880" s="1"/>
      </tp>
      <tp t="s">
        <v>N/A</v>
        <stp/>
        <stp>RHO</stp>
        <stp>.SPY160318C206.5</stp>
        <tr r="K646" s="1"/>
      </tp>
      <tp t="s">
        <v>N/A</v>
        <stp/>
        <stp>RHO</stp>
        <stp>.SPY170317C208.5</stp>
        <tr r="K860" s="1"/>
      </tp>
      <tp t="s">
        <v>N/A</v>
        <stp/>
        <stp>RHO</stp>
        <stp>.SPY150619C214.5</stp>
        <tr r="K326" s="1"/>
      </tp>
      <tp t="s">
        <v>N/A</v>
        <stp/>
        <stp>RHO</stp>
        <stp>.SPY160617C219.5</stp>
        <tr r="K714" s="1"/>
      </tp>
      <tp t="s">
        <v>N/A</v>
        <stp/>
        <stp>RHO</stp>
        <stp>.SPY150619C204.5</stp>
        <tr r="K306" s="1"/>
      </tp>
      <tp t="s">
        <v>N/A</v>
        <stp/>
        <stp>RHO</stp>
        <stp>.SPY160617C209.5</stp>
        <tr r="K694" s="1"/>
      </tp>
      <tp>
        <v>9.0950000000000003E-2</v>
        <stp/>
        <stp>RHO</stp>
        <stp>.SPY150529C204.5</stp>
        <tr r="K264" s="1"/>
      </tp>
      <tp>
        <v>4.0140000000000002E-2</v>
        <stp/>
        <stp>RHO</stp>
        <stp>.SPY150529C214.5</stp>
        <tr r="K284" s="1"/>
      </tp>
      <tp>
        <v>1.1679999999999999E-2</v>
        <stp/>
        <stp>RHO</stp>
        <stp>.SPY150508C205.5</stp>
        <tr r="K140" s="1"/>
      </tp>
      <tp>
        <v>1.39E-3</v>
        <stp/>
        <stp>RHO</stp>
        <stp>.SPY150515C218.5</stp>
        <tr r="K208" s="1"/>
      </tp>
      <tp>
        <v>8.7000000000000001E-4</v>
        <stp/>
        <stp>RHO</stp>
        <stp>.SPY150508C215.5</stp>
        <tr r="K160" s="1"/>
      </tp>
      <tp>
        <v>4.326E-2</v>
        <stp/>
        <stp>RHO</stp>
        <stp>.SPY150515C208.5</stp>
        <tr r="K188" s="1"/>
      </tp>
      <tp t="s">
        <v>N/A</v>
        <stp/>
        <stp>RHO</stp>
        <stp>.SPY150424C209.5</stp>
        <tr r="K64" s="1"/>
      </tp>
      <tp t="s">
        <v>N/A</v>
        <stp/>
        <stp>RHO</stp>
        <stp>.SPY150424C219.5</stp>
        <tr r="K84" s="1"/>
      </tp>
      <tp t="s">
        <v>N/A</v>
        <stp/>
        <stp>BID</stp>
        <stp>.SPY151219P215.5</stp>
        <tr r="N538" s="1"/>
      </tp>
      <tp t="s">
        <v>N/A</v>
        <stp/>
        <stp>BID</stp>
        <stp>.SPY161216P219.5</stp>
        <tr r="N798" s="1"/>
      </tp>
      <tp t="s">
        <v>N/A</v>
        <stp/>
        <stp>BID</stp>
        <stp>.SPY151219P205.5</stp>
        <tr r="N518" s="1"/>
      </tp>
      <tp t="s">
        <v>N/A</v>
        <stp/>
        <stp>BID</stp>
        <stp>.SPY161216P209.5</stp>
        <tr r="N778" s="1"/>
      </tp>
      <tp t="s">
        <v>N/A</v>
        <stp/>
        <stp>BID</stp>
        <stp>.SPY150918P214.5</stp>
        <tr r="N452" s="1"/>
      </tp>
      <tp t="s">
        <v>N/A</v>
        <stp/>
        <stp>BID</stp>
        <stp>.SPY160916P219.5</stp>
        <tr r="N756" s="1"/>
      </tp>
      <tp t="s">
        <v>N/A</v>
        <stp/>
        <stp>BID</stp>
        <stp>.SPY150918P204.5</stp>
        <tr r="N432" s="1"/>
      </tp>
      <tp t="s">
        <v>N/A</v>
        <stp/>
        <stp>BID</stp>
        <stp>.SPY160916P209.5</stp>
        <tr r="N736" s="1"/>
      </tp>
      <tp t="s">
        <v>N/A</v>
        <stp/>
        <stp>BID</stp>
        <stp>.SPY160318P217.5</stp>
        <tr r="N668" s="1"/>
      </tp>
      <tp t="s">
        <v>N/A</v>
        <stp/>
        <stp>BID</stp>
        <stp>.SPY170317P219.5</stp>
        <tr r="N882" s="1"/>
      </tp>
      <tp t="s">
        <v>N/A</v>
        <stp/>
        <stp>BID</stp>
        <stp>.SPY160318P207.5</stp>
        <tr r="N648" s="1"/>
      </tp>
      <tp t="s">
        <v>N/A</v>
        <stp/>
        <stp>BID</stp>
        <stp>.SPY170317P209.5</stp>
        <tr r="N862" s="1"/>
      </tp>
      <tp t="s">
        <v>N/A</v>
        <stp/>
        <stp>BID</stp>
        <stp>.SPY150619P215.5</stp>
        <tr r="N328" s="1"/>
      </tp>
      <tp t="s">
        <v>N/A</v>
        <stp/>
        <stp>BID</stp>
        <stp>.SPY160617P218.5</stp>
        <tr r="N712" s="1"/>
      </tp>
      <tp t="s">
        <v>N/A</v>
        <stp/>
        <stp>BID</stp>
        <stp>.SPY150619P205.5</stp>
        <tr r="N308" s="1"/>
      </tp>
      <tp t="s">
        <v>N/A</v>
        <stp/>
        <stp>BID</stp>
        <stp>.SPY160617P208.5</stp>
        <tr r="N692" s="1"/>
      </tp>
      <tp>
        <v>0.87</v>
        <stp/>
        <stp>BID</stp>
        <stp>.SPY150529P205.5</stp>
        <tr r="N266" s="1"/>
      </tp>
      <tp>
        <v>4.51</v>
        <stp/>
        <stp>BID</stp>
        <stp>.SPY150529P215.5</stp>
        <tr r="N286" s="1"/>
      </tp>
      <tp>
        <v>0.05</v>
        <stp/>
        <stp>BID</stp>
        <stp>.SPY150508P204.5</stp>
        <tr r="N138" s="1"/>
      </tp>
      <tp>
        <v>7.9</v>
        <stp/>
        <stp>BID</stp>
        <stp>.SPY150515P219.5</stp>
        <tr r="N210" s="1"/>
      </tp>
      <tp>
        <v>3</v>
        <stp/>
        <stp>BID</stp>
        <stp>.SPY150508P214.5</stp>
        <tr r="N158" s="1"/>
      </tp>
      <tp>
        <v>0.97</v>
        <stp/>
        <stp>BID</stp>
        <stp>.SPY150515P209.5</stp>
        <tr r="N190" s="1"/>
      </tp>
      <tp>
        <v>0</v>
        <stp/>
        <stp>BID</stp>
        <stp>.SPY150424P208.5</stp>
        <tr r="N62" s="1"/>
      </tp>
      <tp>
        <v>6.67</v>
        <stp/>
        <stp>BID</stp>
        <stp>.SPY150424P218.5</stp>
        <tr r="N82" s="1"/>
      </tp>
      <tp t="s">
        <v>N/A</v>
        <stp/>
        <stp>RHO</stp>
        <stp>.SPY150918P215.5</stp>
        <tr r="V454" s="1"/>
      </tp>
      <tp t="s">
        <v>N/A</v>
        <stp/>
        <stp>RHO</stp>
        <stp>.SPY160916P218.5</stp>
        <tr r="V754" s="1"/>
      </tp>
      <tp t="s">
        <v>N/A</v>
        <stp/>
        <stp>RHO</stp>
        <stp>.SPY150918P205.5</stp>
        <tr r="V434" s="1"/>
      </tp>
      <tp t="s">
        <v>N/A</v>
        <stp/>
        <stp>RHO</stp>
        <stp>.SPY160916P208.5</stp>
        <tr r="V734" s="1"/>
      </tp>
      <tp t="s">
        <v>N/A</v>
        <stp/>
        <stp>RHO</stp>
        <stp>.SPY160318P216.5</stp>
        <tr r="V666" s="1"/>
      </tp>
      <tp t="s">
        <v>N/A</v>
        <stp/>
        <stp>RHO</stp>
        <stp>.SPY170317P218.5</stp>
        <tr r="V880" s="1"/>
      </tp>
      <tp t="s">
        <v>N/A</v>
        <stp/>
        <stp>RHO</stp>
        <stp>.SPY160318P206.5</stp>
        <tr r="V646" s="1"/>
      </tp>
      <tp t="s">
        <v>N/A</v>
        <stp/>
        <stp>RHO</stp>
        <stp>.SPY170317P208.5</stp>
        <tr r="V860" s="1"/>
      </tp>
      <tp t="s">
        <v>N/A</v>
        <stp/>
        <stp>RHO</stp>
        <stp>.SPY150619P214.5</stp>
        <tr r="V326" s="1"/>
      </tp>
      <tp t="s">
        <v>N/A</v>
        <stp/>
        <stp>RHO</stp>
        <stp>.SPY160617P219.5</stp>
        <tr r="V714" s="1"/>
      </tp>
      <tp t="s">
        <v>N/A</v>
        <stp/>
        <stp>RHO</stp>
        <stp>.SPY150619P204.5</stp>
        <tr r="V306" s="1"/>
      </tp>
      <tp t="s">
        <v>N/A</v>
        <stp/>
        <stp>RHO</stp>
        <stp>.SPY160617P209.5</stp>
        <tr r="V694" s="1"/>
      </tp>
      <tp>
        <v>-2.7529999999999999E-2</v>
        <stp/>
        <stp>RHO</stp>
        <stp>.SPY150529P204.5</stp>
        <tr r="V264" s="1"/>
      </tp>
      <tp>
        <v>-0.11648</v>
        <stp/>
        <stp>RHO</stp>
        <stp>.SPY150529P214.5</stp>
        <tr r="V284" s="1"/>
      </tp>
      <tp>
        <v>-1.6199999999999999E-3</v>
        <stp/>
        <stp>RHO</stp>
        <stp>.SPY150508P205.5</stp>
        <tr r="V140" s="1"/>
      </tp>
      <tp>
        <v>0</v>
        <stp/>
        <stp>RHO</stp>
        <stp>.SPY150515P218.5</stp>
        <tr r="V208" s="1"/>
      </tp>
      <tp>
        <v>0</v>
        <stp/>
        <stp>RHO</stp>
        <stp>.SPY150508P215.5</stp>
        <tr r="V160" s="1"/>
      </tp>
      <tp>
        <v>-1.8499999999999999E-2</v>
        <stp/>
        <stp>RHO</stp>
        <stp>.SPY150515P208.5</stp>
        <tr r="V188" s="1"/>
      </tp>
      <tp t="s">
        <v>N/A</v>
        <stp/>
        <stp>RHO</stp>
        <stp>.SPY150424P209.5</stp>
        <tr r="V64" s="1"/>
      </tp>
      <tp t="s">
        <v>N/A</v>
        <stp/>
        <stp>RHO</stp>
        <stp>.SPY150424P219.5</stp>
        <tr r="V84" s="1"/>
      </tp>
      <tp t="s">
        <v>N/A</v>
        <stp/>
        <stp>RHO</stp>
        <stp>.SPY151219P214.5</stp>
        <tr r="V536" s="1"/>
      </tp>
      <tp t="s">
        <v>N/A</v>
        <stp/>
        <stp>RHO</stp>
        <stp>.SPY161216P218.5</stp>
        <tr r="V796" s="1"/>
      </tp>
      <tp t="s">
        <v>N/A</v>
        <stp/>
        <stp>RHO</stp>
        <stp>.SPY151219P204.5</stp>
        <tr r="V516" s="1"/>
      </tp>
      <tp t="s">
        <v>N/A</v>
        <stp/>
        <stp>RHO</stp>
        <stp>.SPY161216P208.5</stp>
        <tr r="V776" s="1"/>
      </tp>
      <tp t="s">
        <v>N/A</v>
        <stp/>
        <stp>DELTA</stp>
        <stp>.SPY150930P214.5</stp>
        <tr r="R494" s="1"/>
      </tp>
      <tp t="s">
        <v>N/A</v>
        <stp/>
        <stp>DELTA</stp>
        <stp>.SPY150930P204.5</stp>
        <tr r="R474" s="1"/>
      </tp>
      <tp t="s">
        <v>N/A</v>
        <stp/>
        <stp>DELTA</stp>
        <stp>.SPY160916P211.5</stp>
        <tr r="R740" s="1"/>
      </tp>
      <tp t="s">
        <v>N/A</v>
        <stp/>
        <stp>DELTA</stp>
        <stp>.SPY160916P201.5</stp>
        <tr r="R720" s="1"/>
      </tp>
      <tp t="s">
        <v>N/A</v>
        <stp/>
        <stp>DELTA</stp>
        <stp>.SPY150424P200.5</stp>
        <tr r="R46" s="1"/>
      </tp>
      <tp t="s">
        <v>N/A</v>
        <stp/>
        <stp>DELTA</stp>
        <stp>.SPY150424P210.5</stp>
        <tr r="R66" s="1"/>
      </tp>
      <tp t="s">
        <v>N/A</v>
        <stp/>
        <stp>DELTA</stp>
        <stp>.SPY150417P213.5</stp>
        <tr r="R30" s="1"/>
      </tp>
      <tp t="s">
        <v>N/A</v>
        <stp/>
        <stp>DELTA</stp>
        <stp>.SPY150417P203.5</stp>
        <tr r="R10" s="1"/>
      </tp>
      <tp>
        <v>-0.21171999999999999</v>
        <stp/>
        <stp>DELTA</stp>
        <stp>.SPY150522P206.5</stp>
        <tr r="R226" s="1"/>
      </tp>
      <tp>
        <v>-0.97014</v>
        <stp/>
        <stp>DELTA</stp>
        <stp>.SPY150522P216.5</stp>
        <tr r="R246" s="1"/>
      </tp>
      <tp t="s">
        <v>N/A</v>
        <stp/>
        <stp>DELTA</stp>
        <stp>.SPY150501P205.5</stp>
        <tr r="R98" s="1"/>
      </tp>
      <tp>
        <v>-0.51049999999999995</v>
        <stp/>
        <stp>DELTA</stp>
        <stp>.SPY150515P211.5</stp>
        <tr r="R194" s="1"/>
      </tp>
      <tp t="s">
        <v>N/A</v>
        <stp/>
        <stp>DELTA</stp>
        <stp>.SPY150501P215.5</stp>
        <tr r="R118" s="1"/>
      </tp>
      <tp>
        <v>-4.9689999999999998E-2</v>
        <stp/>
        <stp>DELTA</stp>
        <stp>.SPY150515P201.5</stp>
        <tr r="R174" s="1"/>
      </tp>
      <tp t="s">
        <v>N/A</v>
        <stp/>
        <stp>DELTA</stp>
        <stp>.SPY150630P214.5</stp>
        <tr r="R368" s="1"/>
      </tp>
      <tp t="s">
        <v>N/A</v>
        <stp/>
        <stp>DELTA</stp>
        <stp>.SPY150630P204.5</stp>
        <tr r="R348" s="1"/>
      </tp>
      <tp t="s">
        <v>N/A</v>
        <stp/>
        <stp>DELTA</stp>
        <stp>.SPY160617P210.5</stp>
        <tr r="R696" s="1"/>
      </tp>
      <tp t="s">
        <v>N/A</v>
        <stp/>
        <stp>DELTA</stp>
        <stp>.SPY160617P200.5</stp>
        <tr r="R676" s="1"/>
      </tp>
      <tp t="s">
        <v>N/A</v>
        <stp/>
        <stp>DELTA</stp>
        <stp>.SPY150717P213.5</stp>
        <tr r="R408" s="1"/>
      </tp>
      <tp t="s">
        <v>N/A</v>
        <stp/>
        <stp>DELTA</stp>
        <stp>.SPY150717P203.5</stp>
        <tr r="R388" s="1"/>
      </tp>
      <tp t="s">
        <v>N/A</v>
        <stp/>
        <stp>DELTA</stp>
        <stp>.SPY170120P206.5</stp>
        <tr r="R814" s="1"/>
      </tp>
      <tp t="s">
        <v>N/A</v>
        <stp/>
        <stp>DELTA</stp>
        <stp>.SPY170120P216.5</stp>
        <tr r="R834" s="1"/>
      </tp>
      <tp t="s">
        <v>N/A</v>
        <stp/>
        <stp>DELTA</stp>
        <stp>.SPY160115P212.5</stp>
        <tr r="R616" s="1"/>
      </tp>
      <tp t="s">
        <v>N/A</v>
        <stp/>
        <stp>DELTA</stp>
        <stp>.SPY160115P202.5</stp>
        <tr r="R596" s="1"/>
      </tp>
      <tp t="s">
        <v>N/A</v>
        <stp/>
        <stp>DELTA</stp>
        <stp>.SPY170317P211.5</stp>
        <tr r="R866" s="1"/>
      </tp>
      <tp t="s">
        <v>N/A</v>
        <stp/>
        <stp>DELTA</stp>
        <stp>.SPY170317P201.5</stp>
        <tr r="R846" s="1"/>
      </tp>
      <tp t="s">
        <v>N/A</v>
        <stp/>
        <stp>DELTA</stp>
        <stp>.SPY151231P215.5</stp>
        <tr r="R580" s="1"/>
      </tp>
      <tp t="s">
        <v>N/A</v>
        <stp/>
        <stp>DELTA</stp>
        <stp>.SPY151231P205.5</stp>
        <tr r="R560" s="1"/>
      </tp>
      <tp t="s">
        <v>N/A</v>
        <stp/>
        <stp>DELTA</stp>
        <stp>.SPY161216P211.5</stp>
        <tr r="R782" s="1"/>
      </tp>
      <tp t="s">
        <v>N/A</v>
        <stp/>
        <stp>DELTA</stp>
        <stp>.SPY171215P213.5</stp>
        <tr r="R912" s="1"/>
      </tp>
      <tp t="s">
        <v>N/A</v>
        <stp/>
        <stp>DELTA</stp>
        <stp>.SPY161216P201.5</stp>
        <tr r="R762" s="1"/>
      </tp>
      <tp t="s">
        <v>N/A</v>
        <stp/>
        <stp>DELTA</stp>
        <stp>.SPY171215P203.5</stp>
        <tr r="R892" s="1"/>
      </tp>
      <tp t="s">
        <v>N/A</v>
        <stp/>
        <stp>THETA</stp>
        <stp>.SPY151231C205.5</stp>
        <tr r="H560" s="1"/>
      </tp>
      <tp t="s">
        <v>N/A</v>
        <stp/>
        <stp>THETA</stp>
        <stp>.SPY151231C215.5</stp>
        <tr r="H580" s="1"/>
      </tp>
      <tp t="s">
        <v>N/A</v>
        <stp/>
        <stp>THETA</stp>
        <stp>.SPY161216C201.5</stp>
        <tr r="H762" s="1"/>
      </tp>
      <tp t="s">
        <v>N/A</v>
        <stp/>
        <stp>THETA</stp>
        <stp>.SPY171215C203.5</stp>
        <tr r="H892" s="1"/>
      </tp>
      <tp t="s">
        <v>N/A</v>
        <stp/>
        <stp>THETA</stp>
        <stp>.SPY161216C211.5</stp>
        <tr r="H782" s="1"/>
      </tp>
      <tp t="s">
        <v>N/A</v>
        <stp/>
        <stp>THETA</stp>
        <stp>.SPY171215C213.5</stp>
        <tr r="H912" s="1"/>
      </tp>
      <tp t="s">
        <v>N/A</v>
        <stp/>
        <stp>THETA</stp>
        <stp>.SPY170120C216.5</stp>
        <tr r="H834" s="1"/>
      </tp>
      <tp t="s">
        <v>N/A</v>
        <stp/>
        <stp>THETA</stp>
        <stp>.SPY170120C206.5</stp>
        <tr r="H814" s="1"/>
      </tp>
      <tp t="s">
        <v>N/A</v>
        <stp/>
        <stp>THETA</stp>
        <stp>.SPY160115C202.5</stp>
        <tr r="H596" s="1"/>
      </tp>
      <tp t="s">
        <v>N/A</v>
        <stp/>
        <stp>THETA</stp>
        <stp>.SPY160115C212.5</stp>
        <tr r="H616" s="1"/>
      </tp>
      <tp t="s">
        <v>N/A</v>
        <stp/>
        <stp>THETA</stp>
        <stp>.SPY170317C201.5</stp>
        <tr r="H846" s="1"/>
      </tp>
      <tp t="s">
        <v>N/A</v>
        <stp/>
        <stp>THETA</stp>
        <stp>.SPY170317C211.5</stp>
        <tr r="H866" s="1"/>
      </tp>
      <tp>
        <v>-1.8159999999999999E-2</v>
        <stp/>
        <stp>THETA</stp>
        <stp>.SPY150522C216.5</stp>
        <tr r="H246" s="1"/>
      </tp>
      <tp>
        <v>-4.7300000000000002E-2</v>
        <stp/>
        <stp>THETA</stp>
        <stp>.SPY150522C206.5</stp>
        <tr r="H226" s="1"/>
      </tp>
      <tp t="s">
        <v>N/A</v>
        <stp/>
        <stp>THETA</stp>
        <stp>.SPY150501C215.5</stp>
        <tr r="H118" s="1"/>
      </tp>
      <tp>
        <v>-3.175E-2</v>
        <stp/>
        <stp>THETA</stp>
        <stp>.SPY150515C201.5</stp>
        <tr r="H174" s="1"/>
      </tp>
      <tp t="s">
        <v>N/A</v>
        <stp/>
        <stp>THETA</stp>
        <stp>.SPY150501C205.5</stp>
        <tr r="H98" s="1"/>
      </tp>
      <tp>
        <v>-6.3810000000000006E-2</v>
        <stp/>
        <stp>THETA</stp>
        <stp>.SPY150515C211.5</stp>
        <tr r="H194" s="1"/>
      </tp>
      <tp t="s">
        <v>N/A</v>
        <stp/>
        <stp>THETA</stp>
        <stp>.SPY150424C210.5</stp>
        <tr r="H66" s="1"/>
      </tp>
      <tp t="s">
        <v>N/A</v>
        <stp/>
        <stp>THETA</stp>
        <stp>.SPY150424C200.5</stp>
        <tr r="H46" s="1"/>
      </tp>
      <tp t="s">
        <v>N/A</v>
        <stp/>
        <stp>THETA</stp>
        <stp>.SPY150417C203.5</stp>
        <tr r="H10" s="1"/>
      </tp>
      <tp t="s">
        <v>N/A</v>
        <stp/>
        <stp>THETA</stp>
        <stp>.SPY150417C213.5</stp>
        <tr r="H30" s="1"/>
      </tp>
      <tp t="s">
        <v>N/A</v>
        <stp/>
        <stp>THETA</stp>
        <stp>.SPY150717C203.5</stp>
        <tr r="H388" s="1"/>
      </tp>
      <tp t="s">
        <v>N/A</v>
        <stp/>
        <stp>THETA</stp>
        <stp>.SPY150717C213.5</stp>
        <tr r="H408" s="1"/>
      </tp>
      <tp t="s">
        <v>N/A</v>
        <stp/>
        <stp>THETA</stp>
        <stp>.SPY150630C204.5</stp>
        <tr r="H348" s="1"/>
      </tp>
      <tp t="s">
        <v>N/A</v>
        <stp/>
        <stp>THETA</stp>
        <stp>.SPY150630C214.5</stp>
        <tr r="H368" s="1"/>
      </tp>
      <tp t="s">
        <v>N/A</v>
        <stp/>
        <stp>THETA</stp>
        <stp>.SPY160617C200.5</stp>
        <tr r="H676" s="1"/>
      </tp>
      <tp t="s">
        <v>N/A</v>
        <stp/>
        <stp>THETA</stp>
        <stp>.SPY160617C210.5</stp>
        <tr r="H696" s="1"/>
      </tp>
      <tp t="s">
        <v>N/A</v>
        <stp/>
        <stp>THETA</stp>
        <stp>.SPY150930C204.5</stp>
        <tr r="H474" s="1"/>
      </tp>
      <tp t="s">
        <v>N/A</v>
        <stp/>
        <stp>THETA</stp>
        <stp>.SPY150930C214.5</stp>
        <tr r="H494" s="1"/>
      </tp>
      <tp t="s">
        <v>N/A</v>
        <stp/>
        <stp>THETA</stp>
        <stp>.SPY160916C201.5</stp>
        <tr r="H720" s="1"/>
      </tp>
      <tp t="s">
        <v>N/A</v>
        <stp/>
        <stp>THETA</stp>
        <stp>.SPY160916C211.5</stp>
        <tr r="H740" s="1"/>
      </tp>
      <tp t="s">
        <v>N/A</v>
        <stp/>
        <stp>THETA</stp>
        <stp>.SPY170120P216.5</stp>
        <tr r="S834" s="1"/>
      </tp>
      <tp t="s">
        <v>N/A</v>
        <stp/>
        <stp>THETA</stp>
        <stp>.SPY170120P206.5</stp>
        <tr r="S814" s="1"/>
      </tp>
      <tp t="s">
        <v>N/A</v>
        <stp/>
        <stp>THETA</stp>
        <stp>.SPY160115P202.5</stp>
        <tr r="S596" s="1"/>
      </tp>
      <tp t="s">
        <v>N/A</v>
        <stp/>
        <stp>THETA</stp>
        <stp>.SPY160115P212.5</stp>
        <tr r="S616" s="1"/>
      </tp>
      <tp t="s">
        <v>N/A</v>
        <stp/>
        <stp>THETA</stp>
        <stp>.SPY170317P201.5</stp>
        <tr r="S846" s="1"/>
      </tp>
      <tp t="s">
        <v>N/A</v>
        <stp/>
        <stp>THETA</stp>
        <stp>.SPY170317P211.5</stp>
        <tr r="S866" s="1"/>
      </tp>
      <tp>
        <v>-1.3270000000000001E-2</v>
        <stp/>
        <stp>THETA</stp>
        <stp>.SPY150522P216.5</stp>
        <tr r="S246" s="1"/>
      </tp>
      <tp>
        <v>-4.8820000000000002E-2</v>
        <stp/>
        <stp>THETA</stp>
        <stp>.SPY150522P206.5</stp>
        <tr r="S226" s="1"/>
      </tp>
      <tp t="s">
        <v>N/A</v>
        <stp/>
        <stp>THETA</stp>
        <stp>.SPY150501P215.5</stp>
        <tr r="S118" s="1"/>
      </tp>
      <tp>
        <v>-2.7859999999999999E-2</v>
        <stp/>
        <stp>THETA</stp>
        <stp>.SPY150515P201.5</stp>
        <tr r="S174" s="1"/>
      </tp>
      <tp t="s">
        <v>N/A</v>
        <stp/>
        <stp>THETA</stp>
        <stp>.SPY150501P205.5</stp>
        <tr r="S98" s="1"/>
      </tp>
      <tp>
        <v>-6.7559999999999995E-2</v>
        <stp/>
        <stp>THETA</stp>
        <stp>.SPY150515P211.5</stp>
        <tr r="S194" s="1"/>
      </tp>
      <tp t="s">
        <v>N/A</v>
        <stp/>
        <stp>THETA</stp>
        <stp>.SPY150424P210.5</stp>
        <tr r="S66" s="1"/>
      </tp>
      <tp t="s">
        <v>N/A</v>
        <stp/>
        <stp>THETA</stp>
        <stp>.SPY150424P200.5</stp>
        <tr r="S46" s="1"/>
      </tp>
      <tp t="s">
        <v>N/A</v>
        <stp/>
        <stp>THETA</stp>
        <stp>.SPY150417P203.5</stp>
        <tr r="S10" s="1"/>
      </tp>
      <tp t="s">
        <v>N/A</v>
        <stp/>
        <stp>THETA</stp>
        <stp>.SPY150417P213.5</stp>
        <tr r="S30" s="1"/>
      </tp>
      <tp t="s">
        <v>N/A</v>
        <stp/>
        <stp>THETA</stp>
        <stp>.SPY150717P203.5</stp>
        <tr r="S388" s="1"/>
      </tp>
      <tp t="s">
        <v>N/A</v>
        <stp/>
        <stp>THETA</stp>
        <stp>.SPY150717P213.5</stp>
        <tr r="S408" s="1"/>
      </tp>
      <tp t="s">
        <v>N/A</v>
        <stp/>
        <stp>THETA</stp>
        <stp>.SPY150630P204.5</stp>
        <tr r="S348" s="1"/>
      </tp>
      <tp t="s">
        <v>N/A</v>
        <stp/>
        <stp>THETA</stp>
        <stp>.SPY150630P214.5</stp>
        <tr r="S368" s="1"/>
      </tp>
      <tp t="s">
        <v>N/A</v>
        <stp/>
        <stp>THETA</stp>
        <stp>.SPY160617P200.5</stp>
        <tr r="S676" s="1"/>
      </tp>
      <tp t="s">
        <v>N/A</v>
        <stp/>
        <stp>THETA</stp>
        <stp>.SPY160617P210.5</stp>
        <tr r="S696" s="1"/>
      </tp>
      <tp t="s">
        <v>N/A</v>
        <stp/>
        <stp>THETA</stp>
        <stp>.SPY150930P204.5</stp>
        <tr r="S474" s="1"/>
      </tp>
      <tp t="s">
        <v>N/A</v>
        <stp/>
        <stp>THETA</stp>
        <stp>.SPY150930P214.5</stp>
        <tr r="S494" s="1"/>
      </tp>
      <tp t="s">
        <v>N/A</v>
        <stp/>
        <stp>THETA</stp>
        <stp>.SPY160916P201.5</stp>
        <tr r="S720" s="1"/>
      </tp>
      <tp t="s">
        <v>N/A</v>
        <stp/>
        <stp>THETA</stp>
        <stp>.SPY160916P211.5</stp>
        <tr r="S740" s="1"/>
      </tp>
      <tp t="s">
        <v>N/A</v>
        <stp/>
        <stp>THETA</stp>
        <stp>.SPY151231P205.5</stp>
        <tr r="S560" s="1"/>
      </tp>
      <tp t="s">
        <v>N/A</v>
        <stp/>
        <stp>THETA</stp>
        <stp>.SPY151231P215.5</stp>
        <tr r="S580" s="1"/>
      </tp>
      <tp t="s">
        <v>N/A</v>
        <stp/>
        <stp>THETA</stp>
        <stp>.SPY161216P201.5</stp>
        <tr r="S762" s="1"/>
      </tp>
      <tp t="s">
        <v>N/A</v>
        <stp/>
        <stp>THETA</stp>
        <stp>.SPY171215P203.5</stp>
        <tr r="S892" s="1"/>
      </tp>
      <tp t="s">
        <v>N/A</v>
        <stp/>
        <stp>THETA</stp>
        <stp>.SPY161216P211.5</stp>
        <tr r="S782" s="1"/>
      </tp>
      <tp t="s">
        <v>N/A</v>
        <stp/>
        <stp>THETA</stp>
        <stp>.SPY171215P213.5</stp>
        <tr r="S912" s="1"/>
      </tp>
      <tp t="s">
        <v>N/A</v>
        <stp/>
        <stp>DELTA</stp>
        <stp>.SPY151231C215.5</stp>
        <tr r="G580" s="1"/>
      </tp>
      <tp t="s">
        <v>N/A</v>
        <stp/>
        <stp>DELTA</stp>
        <stp>.SPY151231C205.5</stp>
        <tr r="G560" s="1"/>
      </tp>
      <tp t="s">
        <v>N/A</v>
        <stp/>
        <stp>DELTA</stp>
        <stp>.SPY161216C211.5</stp>
        <tr r="G782" s="1"/>
      </tp>
      <tp t="s">
        <v>N/A</v>
        <stp/>
        <stp>DELTA</stp>
        <stp>.SPY171215C213.5</stp>
        <tr r="G912" s="1"/>
      </tp>
      <tp t="s">
        <v>N/A</v>
        <stp/>
        <stp>DELTA</stp>
        <stp>.SPY161216C201.5</stp>
        <tr r="G762" s="1"/>
      </tp>
      <tp t="s">
        <v>N/A</v>
        <stp/>
        <stp>DELTA</stp>
        <stp>.SPY171215C203.5</stp>
        <tr r="G892" s="1"/>
      </tp>
      <tp t="s">
        <v>N/A</v>
        <stp/>
        <stp>DELTA</stp>
        <stp>.SPY150930C214.5</stp>
        <tr r="G494" s="1"/>
      </tp>
      <tp t="s">
        <v>N/A</v>
        <stp/>
        <stp>DELTA</stp>
        <stp>.SPY150930C204.5</stp>
        <tr r="G474" s="1"/>
      </tp>
      <tp t="s">
        <v>N/A</v>
        <stp/>
        <stp>DELTA</stp>
        <stp>.SPY160916C211.5</stp>
        <tr r="G740" s="1"/>
      </tp>
      <tp t="s">
        <v>N/A</v>
        <stp/>
        <stp>DELTA</stp>
        <stp>.SPY160916C201.5</stp>
        <tr r="G720" s="1"/>
      </tp>
      <tp t="s">
        <v>N/A</v>
        <stp/>
        <stp>DELTA</stp>
        <stp>.SPY150424C200.5</stp>
        <tr r="G46" s="1"/>
      </tp>
      <tp t="s">
        <v>N/A</v>
        <stp/>
        <stp>DELTA</stp>
        <stp>.SPY150424C210.5</stp>
        <tr r="G66" s="1"/>
      </tp>
      <tp t="s">
        <v>N/A</v>
        <stp/>
        <stp>DELTA</stp>
        <stp>.SPY150417C213.5</stp>
        <tr r="G30" s="1"/>
      </tp>
      <tp t="s">
        <v>N/A</v>
        <stp/>
        <stp>DELTA</stp>
        <stp>.SPY150417C203.5</stp>
        <tr r="G10" s="1"/>
      </tp>
      <tp>
        <v>0.77388000000000001</v>
        <stp/>
        <stp>DELTA</stp>
        <stp>.SPY150522C206.5</stp>
        <tr r="G226" s="1"/>
      </tp>
      <tp>
        <v>0.10274999999999999</v>
        <stp/>
        <stp>DELTA</stp>
        <stp>.SPY150522C216.5</stp>
        <tr r="G246" s="1"/>
      </tp>
      <tp t="s">
        <v>N/A</v>
        <stp/>
        <stp>DELTA</stp>
        <stp>.SPY150501C205.5</stp>
        <tr r="G98" s="1"/>
      </tp>
      <tp>
        <v>0.49136999999999997</v>
        <stp/>
        <stp>DELTA</stp>
        <stp>.SPY150515C211.5</stp>
        <tr r="G194" s="1"/>
      </tp>
      <tp t="s">
        <v>N/A</v>
        <stp/>
        <stp>DELTA</stp>
        <stp>.SPY150501C215.5</stp>
        <tr r="G118" s="1"/>
      </tp>
      <tp>
        <v>0.93428</v>
        <stp/>
        <stp>DELTA</stp>
        <stp>.SPY150515C201.5</stp>
        <tr r="G174" s="1"/>
      </tp>
      <tp t="s">
        <v>N/A</v>
        <stp/>
        <stp>DELTA</stp>
        <stp>.SPY150630C214.5</stp>
        <tr r="G368" s="1"/>
      </tp>
      <tp t="s">
        <v>N/A</v>
        <stp/>
        <stp>DELTA</stp>
        <stp>.SPY150630C204.5</stp>
        <tr r="G348" s="1"/>
      </tp>
      <tp t="s">
        <v>N/A</v>
        <stp/>
        <stp>DELTA</stp>
        <stp>.SPY160617C210.5</stp>
        <tr r="G696" s="1"/>
      </tp>
      <tp t="s">
        <v>N/A</v>
        <stp/>
        <stp>DELTA</stp>
        <stp>.SPY160617C200.5</stp>
        <tr r="G676" s="1"/>
      </tp>
      <tp t="s">
        <v>N/A</v>
        <stp/>
        <stp>DELTA</stp>
        <stp>.SPY150717C213.5</stp>
        <tr r="G408" s="1"/>
      </tp>
      <tp t="s">
        <v>N/A</v>
        <stp/>
        <stp>DELTA</stp>
        <stp>.SPY150717C203.5</stp>
        <tr r="G388" s="1"/>
      </tp>
      <tp t="s">
        <v>N/A</v>
        <stp/>
        <stp>DELTA</stp>
        <stp>.SPY170120C206.5</stp>
        <tr r="G814" s="1"/>
      </tp>
      <tp t="s">
        <v>N/A</v>
        <stp/>
        <stp>DELTA</stp>
        <stp>.SPY170120C216.5</stp>
        <tr r="G834" s="1"/>
      </tp>
      <tp t="s">
        <v>N/A</v>
        <stp/>
        <stp>DELTA</stp>
        <stp>.SPY160115C212.5</stp>
        <tr r="G616" s="1"/>
      </tp>
      <tp t="s">
        <v>N/A</v>
        <stp/>
        <stp>DELTA</stp>
        <stp>.SPY160115C202.5</stp>
        <tr r="G596" s="1"/>
      </tp>
      <tp t="s">
        <v>N/A</v>
        <stp/>
        <stp>DELTA</stp>
        <stp>.SPY170317C211.5</stp>
        <tr r="G866" s="1"/>
      </tp>
      <tp t="s">
        <v>N/A</v>
        <stp/>
        <stp>DELTA</stp>
        <stp>.SPY170317C201.5</stp>
        <tr r="G846" s="1"/>
      </tp>
      <tp>
        <v>319</v>
        <stp/>
        <stp>VOLUME</stp>
        <stp>.SPY150522P204</stp>
        <tr r="P221" s="1"/>
      </tp>
      <tp>
        <v>4</v>
        <stp/>
        <stp>VOLUME</stp>
        <stp>.SPY150522C204</stp>
        <tr r="E221" s="1"/>
      </tp>
      <tp>
        <v>413</v>
        <stp/>
        <stp>VOLUME</stp>
        <stp>.SPY150522P205</stp>
        <tr r="P223" s="1"/>
      </tp>
      <tp>
        <v>3</v>
        <stp/>
        <stp>VOLUME</stp>
        <stp>.SPY150522C205</stp>
        <tr r="E223" s="1"/>
      </tp>
      <tp>
        <v>1692</v>
        <stp/>
        <stp>VOLUME</stp>
        <stp>.SPY150522P206</stp>
        <tr r="P225" s="1"/>
      </tp>
      <tp>
        <v>6</v>
        <stp/>
        <stp>VOLUME</stp>
        <stp>.SPY150522C206</stp>
        <tr r="E225" s="1"/>
      </tp>
      <tp>
        <v>464</v>
        <stp/>
        <stp>VOLUME</stp>
        <stp>.SPY150522P207</stp>
        <tr r="P227" s="1"/>
      </tp>
      <tp>
        <v>703</v>
        <stp/>
        <stp>VOLUME</stp>
        <stp>.SPY150522C207</stp>
        <tr r="E227" s="1"/>
      </tp>
      <tp>
        <v>391</v>
        <stp/>
        <stp>VOLUME</stp>
        <stp>.SPY150522P200</stp>
        <tr r="P213" s="1"/>
      </tp>
      <tp>
        <v>0</v>
        <stp/>
        <stp>VOLUME</stp>
        <stp>.SPY150522C200</stp>
        <tr r="E213" s="1"/>
      </tp>
      <tp>
        <v>37</v>
        <stp/>
        <stp>VOLUME</stp>
        <stp>.SPY150522P201</stp>
        <tr r="P215" s="1"/>
      </tp>
      <tp>
        <v>2</v>
        <stp/>
        <stp>VOLUME</stp>
        <stp>.SPY150522C201</stp>
        <tr r="E215" s="1"/>
      </tp>
      <tp>
        <v>203</v>
        <stp/>
        <stp>VOLUME</stp>
        <stp>.SPY150522P202</stp>
        <tr r="P217" s="1"/>
      </tp>
      <tp>
        <v>544</v>
        <stp/>
        <stp>VOLUME</stp>
        <stp>.SPY150529P209</stp>
        <tr r="P273" s="1"/>
      </tp>
      <tp>
        <v>12</v>
        <stp/>
        <stp>VOLUME</stp>
        <stp>.SPY150522C202</stp>
        <tr r="E217" s="1"/>
      </tp>
      <tp>
        <v>408</v>
        <stp/>
        <stp>VOLUME</stp>
        <stp>.SPY150529C209</stp>
        <tr r="E273" s="1"/>
      </tp>
      <tp>
        <v>53</v>
        <stp/>
        <stp>VOLUME</stp>
        <stp>.SPY150522P203</stp>
        <tr r="P219" s="1"/>
      </tp>
      <tp>
        <v>1143</v>
        <stp/>
        <stp>VOLUME</stp>
        <stp>.SPY150529P208</stp>
        <tr r="P271" s="1"/>
      </tp>
      <tp>
        <v>3</v>
        <stp/>
        <stp>VOLUME</stp>
        <stp>.SPY150522C203</stp>
        <tr r="E219" s="1"/>
      </tp>
      <tp>
        <v>75</v>
        <stp/>
        <stp>VOLUME</stp>
        <stp>.SPY150529C208</stp>
        <tr r="E271" s="1"/>
      </tp>
      <tp>
        <v>1149</v>
        <stp/>
        <stp>VOLUME</stp>
        <stp>.SPY150529P207</stp>
        <tr r="P269" s="1"/>
      </tp>
      <tp>
        <v>14</v>
        <stp/>
        <stp>VOLUME</stp>
        <stp>.SPY150529C207</stp>
        <tr r="E269" s="1"/>
      </tp>
      <tp>
        <v>726</v>
        <stp/>
        <stp>VOLUME</stp>
        <stp>.SPY150529P206</stp>
        <tr r="P267" s="1"/>
      </tp>
      <tp>
        <v>2</v>
        <stp/>
        <stp>VOLUME</stp>
        <stp>.SPY150529C206</stp>
        <tr r="E267" s="1"/>
      </tp>
      <tp>
        <v>168</v>
        <stp/>
        <stp>VOLUME</stp>
        <stp>.SPY150529P205</stp>
        <tr r="P265" s="1"/>
      </tp>
      <tp>
        <v>12</v>
        <stp/>
        <stp>VOLUME</stp>
        <stp>.SPY150529C205</stp>
        <tr r="E265" s="1"/>
      </tp>
      <tp>
        <v>779</v>
        <stp/>
        <stp>VOLUME</stp>
        <stp>.SPY150529P204</stp>
        <tr r="P263" s="1"/>
      </tp>
      <tp>
        <v>0</v>
        <stp/>
        <stp>VOLUME</stp>
        <stp>.SPY150529C204</stp>
        <tr r="E263" s="1"/>
      </tp>
      <tp>
        <v>1106</v>
        <stp/>
        <stp>VOLUME</stp>
        <stp>.SPY150522P208</stp>
        <tr r="P229" s="1"/>
      </tp>
      <tp>
        <v>1018</v>
        <stp/>
        <stp>VOLUME</stp>
        <stp>.SPY150529P203</stp>
        <tr r="P261" s="1"/>
      </tp>
      <tp>
        <v>719</v>
        <stp/>
        <stp>VOLUME</stp>
        <stp>.SPY150522C208</stp>
        <tr r="E229" s="1"/>
      </tp>
      <tp>
        <v>2</v>
        <stp/>
        <stp>VOLUME</stp>
        <stp>.SPY150529C203</stp>
        <tr r="E261" s="1"/>
      </tp>
      <tp>
        <v>528</v>
        <stp/>
        <stp>VOLUME</stp>
        <stp>.SPY150522P209</stp>
        <tr r="P231" s="1"/>
      </tp>
      <tp>
        <v>96</v>
        <stp/>
        <stp>VOLUME</stp>
        <stp>.SPY150529P202</stp>
        <tr r="P259" s="1"/>
      </tp>
      <tp>
        <v>50</v>
        <stp/>
        <stp>VOLUME</stp>
        <stp>.SPY150522C209</stp>
        <tr r="E231" s="1"/>
      </tp>
      <tp>
        <v>11</v>
        <stp/>
        <stp>VOLUME</stp>
        <stp>.SPY150529C202</stp>
        <tr r="E259" s="1"/>
      </tp>
      <tp>
        <v>29</v>
        <stp/>
        <stp>VOLUME</stp>
        <stp>.SPY150529P201</stp>
        <tr r="P257" s="1"/>
      </tp>
      <tp>
        <v>2</v>
        <stp/>
        <stp>VOLUME</stp>
        <stp>.SPY150529C201</stp>
        <tr r="E257" s="1"/>
      </tp>
      <tp>
        <v>1308</v>
        <stp/>
        <stp>VOLUME</stp>
        <stp>.SPY150529P200</stp>
        <tr r="P255" s="1"/>
      </tp>
      <tp>
        <v>182</v>
        <stp/>
        <stp>VOLUME</stp>
        <stp>.SPY150529C200</stp>
        <tr r="E255" s="1"/>
      </tp>
      <tp>
        <v>24</v>
        <stp/>
        <stp>VOLUME</stp>
        <stp>.SPY150522P214</stp>
        <tr r="P241" s="1"/>
      </tp>
      <tp>
        <v>436</v>
        <stp/>
        <stp>VOLUME</stp>
        <stp>.SPY150522C214</stp>
        <tr r="E241" s="1"/>
      </tp>
      <tp>
        <v>991</v>
        <stp/>
        <stp>VOLUME</stp>
        <stp>.SPY150522P215</stp>
        <tr r="P243" s="1"/>
      </tp>
      <tp>
        <v>549</v>
        <stp/>
        <stp>VOLUME</stp>
        <stp>.SPY150522C215</stp>
        <tr r="E243" s="1"/>
      </tp>
      <tp>
        <v>10</v>
        <stp/>
        <stp>VOLUME</stp>
        <stp>.SPY150522P216</stp>
        <tr r="P245" s="1"/>
      </tp>
      <tp>
        <v>224</v>
        <stp/>
        <stp>VOLUME</stp>
        <stp>.SPY150522C216</stp>
        <tr r="E245" s="1"/>
      </tp>
      <tp>
        <v>3</v>
        <stp/>
        <stp>VOLUME</stp>
        <stp>.SPY150522P217</stp>
        <tr r="P247" s="1"/>
      </tp>
      <tp>
        <v>474</v>
        <stp/>
        <stp>VOLUME</stp>
        <stp>.SPY150522C217</stp>
        <tr r="E247" s="1"/>
      </tp>
      <tp>
        <v>2750</v>
        <stp/>
        <stp>VOLUME</stp>
        <stp>.SPY150522P210</stp>
        <tr r="P233" s="1"/>
      </tp>
      <tp>
        <v>564</v>
        <stp/>
        <stp>VOLUME</stp>
        <stp>.SPY150522C210</stp>
        <tr r="E233" s="1"/>
      </tp>
      <tp>
        <v>2889</v>
        <stp/>
        <stp>VOLUME</stp>
        <stp>.SPY150522P211</stp>
        <tr r="P235" s="1"/>
      </tp>
      <tp>
        <v>1579</v>
        <stp/>
        <stp>VOLUME</stp>
        <stp>.SPY150522C211</stp>
        <tr r="E235" s="1"/>
      </tp>
      <tp>
        <v>4396</v>
        <stp/>
        <stp>VOLUME</stp>
        <stp>.SPY150522P212</stp>
        <tr r="P237" s="1"/>
      </tp>
      <tp>
        <v>1</v>
        <stp/>
        <stp>VOLUME</stp>
        <stp>.SPY150529P219</stp>
        <tr r="P293" s="1"/>
      </tp>
      <tp>
        <v>1541</v>
        <stp/>
        <stp>VOLUME</stp>
        <stp>.SPY150522C212</stp>
        <tr r="E237" s="1"/>
      </tp>
      <tp>
        <v>556</v>
        <stp/>
        <stp>VOLUME</stp>
        <stp>.SPY150529C219</stp>
        <tr r="E293" s="1"/>
      </tp>
      <tp>
        <v>199</v>
        <stp/>
        <stp>VOLUME</stp>
        <stp>.SPY150522P213</stp>
        <tr r="P239" s="1"/>
      </tp>
      <tp>
        <v>1</v>
        <stp/>
        <stp>VOLUME</stp>
        <stp>.SPY150529P218</stp>
        <tr r="P291" s="1"/>
      </tp>
      <tp>
        <v>1620</v>
        <stp/>
        <stp>VOLUME</stp>
        <stp>.SPY150522C213</stp>
        <tr r="E239" s="1"/>
      </tp>
      <tp>
        <v>880</v>
        <stp/>
        <stp>VOLUME</stp>
        <stp>.SPY150529C218</stp>
        <tr r="E291" s="1"/>
      </tp>
      <tp>
        <v>3</v>
        <stp/>
        <stp>VOLUME</stp>
        <stp>.SPY150529P217</stp>
        <tr r="P289" s="1"/>
      </tp>
      <tp>
        <v>124</v>
        <stp/>
        <stp>VOLUME</stp>
        <stp>.SPY150529C217</stp>
        <tr r="E289" s="1"/>
      </tp>
      <tp>
        <v>40</v>
        <stp/>
        <stp>VOLUME</stp>
        <stp>.SPY150529P216</stp>
        <tr r="P287" s="1"/>
      </tp>
      <tp>
        <v>570</v>
        <stp/>
        <stp>VOLUME</stp>
        <stp>.SPY150529C216</stp>
        <tr r="E287" s="1"/>
      </tp>
      <tp>
        <v>93</v>
        <stp/>
        <stp>VOLUME</stp>
        <stp>.SPY150529P215</stp>
        <tr r="P285" s="1"/>
      </tp>
      <tp>
        <v>5970</v>
        <stp/>
        <stp>VOLUME</stp>
        <stp>.SPY150529C215</stp>
        <tr r="E285" s="1"/>
      </tp>
      <tp>
        <v>72</v>
        <stp/>
        <stp>VOLUME</stp>
        <stp>.SPY150529P214</stp>
        <tr r="P283" s="1"/>
      </tp>
      <tp>
        <v>395</v>
        <stp/>
        <stp>VOLUME</stp>
        <stp>.SPY150529C214</stp>
        <tr r="E283" s="1"/>
      </tp>
      <tp>
        <v>21</v>
        <stp/>
        <stp>VOLUME</stp>
        <stp>.SPY150522P218</stp>
        <tr r="P249" s="1"/>
      </tp>
      <tp>
        <v>637</v>
        <stp/>
        <stp>VOLUME</stp>
        <stp>.SPY150529P213</stp>
        <tr r="P281" s="1"/>
      </tp>
      <tp>
        <v>77</v>
        <stp/>
        <stp>VOLUME</stp>
        <stp>.SPY150522C218</stp>
        <tr r="E249" s="1"/>
      </tp>
      <tp>
        <v>55</v>
        <stp/>
        <stp>VOLUME</stp>
        <stp>.SPY150529C213</stp>
        <tr r="E281" s="1"/>
      </tp>
      <tp t="s">
        <v>N/A</v>
        <stp/>
        <stp>VOLUME</stp>
        <stp>.SPY150522P219</stp>
        <tr r="P251" s="1"/>
      </tp>
      <tp>
        <v>420</v>
        <stp/>
        <stp>VOLUME</stp>
        <stp>.SPY150529P212</stp>
        <tr r="P279" s="1"/>
      </tp>
      <tp>
        <v>45</v>
        <stp/>
        <stp>VOLUME</stp>
        <stp>.SPY150522C219</stp>
        <tr r="E251" s="1"/>
      </tp>
      <tp>
        <v>5822</v>
        <stp/>
        <stp>VOLUME</stp>
        <stp>.SPY150529C212</stp>
        <tr r="E279" s="1"/>
      </tp>
      <tp>
        <v>282</v>
        <stp/>
        <stp>VOLUME</stp>
        <stp>.SPY150529P211</stp>
        <tr r="P277" s="1"/>
      </tp>
      <tp>
        <v>219</v>
        <stp/>
        <stp>VOLUME</stp>
        <stp>.SPY150529C211</stp>
        <tr r="E277" s="1"/>
      </tp>
      <tp>
        <v>1811</v>
        <stp/>
        <stp>VOLUME</stp>
        <stp>.SPY150529P210</stp>
        <tr r="P275" s="1"/>
      </tp>
      <tp>
        <v>268</v>
        <stp/>
        <stp>VOLUME</stp>
        <stp>.SPY150529C210</stp>
        <tr r="E275" s="1"/>
      </tp>
      <tp>
        <v>0</v>
        <stp/>
        <stp>VOLUME</stp>
        <stp>.SPY150501P207</stp>
        <tr r="P101" s="1"/>
      </tp>
      <tp>
        <v>544</v>
        <stp/>
        <stp>VOLUME</stp>
        <stp>.SPY150515P213</stp>
        <tr r="P197" s="1"/>
      </tp>
      <tp>
        <v>0</v>
        <stp/>
        <stp>VOLUME</stp>
        <stp>.SPY150501C207</stp>
        <tr r="E101" s="1"/>
      </tp>
      <tp>
        <v>9324</v>
        <stp/>
        <stp>VOLUME</stp>
        <stp>.SPY150515C213</stp>
        <tr r="E197" s="1"/>
      </tp>
      <tp>
        <v>0</v>
        <stp/>
        <stp>VOLUME</stp>
        <stp>.SPY150501P206</stp>
        <tr r="P99" s="1"/>
      </tp>
      <tp>
        <v>15345</v>
        <stp/>
        <stp>VOLUME</stp>
        <stp>.SPY150515P212</stp>
        <tr r="P195" s="1"/>
      </tp>
      <tp>
        <v>0</v>
        <stp/>
        <stp>VOLUME</stp>
        <stp>.SPY150501C206</stp>
        <tr r="E99" s="1"/>
      </tp>
      <tp>
        <v>13557</v>
        <stp/>
        <stp>VOLUME</stp>
        <stp>.SPY150515C212</stp>
        <tr r="E195" s="1"/>
      </tp>
      <tp>
        <v>0</v>
        <stp/>
        <stp>VOLUME</stp>
        <stp>.SPY150501P205</stp>
        <tr r="P97" s="1"/>
      </tp>
      <tp>
        <v>13954</v>
        <stp/>
        <stp>VOLUME</stp>
        <stp>.SPY150515P211</stp>
        <tr r="P193" s="1"/>
      </tp>
      <tp>
        <v>0</v>
        <stp/>
        <stp>VOLUME</stp>
        <stp>.SPY150501C205</stp>
        <tr r="E97" s="1"/>
      </tp>
      <tp>
        <v>11356</v>
        <stp/>
        <stp>VOLUME</stp>
        <stp>.SPY150515C211</stp>
        <tr r="E193" s="1"/>
      </tp>
      <tp>
        <v>0</v>
        <stp/>
        <stp>VOLUME</stp>
        <stp>.SPY150501P204</stp>
        <tr r="P95" s="1"/>
      </tp>
      <tp>
        <v>21531</v>
        <stp/>
        <stp>VOLUME</stp>
        <stp>.SPY150515P210</stp>
        <tr r="P191" s="1"/>
      </tp>
      <tp>
        <v>0</v>
        <stp/>
        <stp>VOLUME</stp>
        <stp>.SPY150501C204</stp>
        <tr r="E95" s="1"/>
      </tp>
      <tp>
        <v>8837</v>
        <stp/>
        <stp>VOLUME</stp>
        <stp>.SPY150515C210</stp>
        <tr r="E191" s="1"/>
      </tp>
      <tp>
        <v>0</v>
        <stp/>
        <stp>VOLUME</stp>
        <stp>.SPY150501P203</stp>
        <tr r="P93" s="1"/>
      </tp>
      <tp>
        <v>10</v>
        <stp/>
        <stp>VOLUME</stp>
        <stp>.SPY150515P217</stp>
        <tr r="P205" s="1"/>
      </tp>
      <tp>
        <v>0</v>
        <stp/>
        <stp>VOLUME</stp>
        <stp>.SPY150501C203</stp>
        <tr r="E93" s="1"/>
      </tp>
      <tp>
        <v>2892</v>
        <stp/>
        <stp>VOLUME</stp>
        <stp>.SPY150515C217</stp>
        <tr r="E205" s="1"/>
      </tp>
      <tp>
        <v>0</v>
        <stp/>
        <stp>VOLUME</stp>
        <stp>.SPY150501P202</stp>
        <tr r="P91" s="1"/>
      </tp>
      <tp>
        <v>130</v>
        <stp/>
        <stp>VOLUME</stp>
        <stp>.SPY150515P216</stp>
        <tr r="P203" s="1"/>
      </tp>
      <tp>
        <v>0</v>
        <stp/>
        <stp>VOLUME</stp>
        <stp>.SPY150501C202</stp>
        <tr r="E91" s="1"/>
      </tp>
      <tp>
        <v>1537</v>
        <stp/>
        <stp>VOLUME</stp>
        <stp>.SPY150515C216</stp>
        <tr r="E203" s="1"/>
      </tp>
      <tp>
        <v>0</v>
        <stp/>
        <stp>VOLUME</stp>
        <stp>.SPY150501P201</stp>
        <tr r="P89" s="1"/>
      </tp>
      <tp>
        <v>27693</v>
        <stp/>
        <stp>VOLUME</stp>
        <stp>.SPY150508P208</stp>
        <tr r="P145" s="1"/>
      </tp>
      <tp>
        <v>2648</v>
        <stp/>
        <stp>VOLUME</stp>
        <stp>.SPY150515P215</stp>
        <tr r="P201" s="1"/>
      </tp>
      <tp>
        <v>0</v>
        <stp/>
        <stp>VOLUME</stp>
        <stp>.SPY150501C201</stp>
        <tr r="E89" s="1"/>
      </tp>
      <tp>
        <v>997</v>
        <stp/>
        <stp>VOLUME</stp>
        <stp>.SPY150508C208</stp>
        <tr r="E145" s="1"/>
      </tp>
      <tp>
        <v>5705</v>
        <stp/>
        <stp>VOLUME</stp>
        <stp>.SPY150515C215</stp>
        <tr r="E201" s="1"/>
      </tp>
      <tp>
        <v>0</v>
        <stp/>
        <stp>VOLUME</stp>
        <stp>.SPY150501P200</stp>
        <tr r="P87" s="1"/>
      </tp>
      <tp>
        <v>43979</v>
        <stp/>
        <stp>VOLUME</stp>
        <stp>.SPY150508P209</stp>
        <tr r="P147" s="1"/>
      </tp>
      <tp>
        <v>609</v>
        <stp/>
        <stp>VOLUME</stp>
        <stp>.SPY150515P214</stp>
        <tr r="P199" s="1"/>
      </tp>
      <tp>
        <v>0</v>
        <stp/>
        <stp>VOLUME</stp>
        <stp>.SPY150501C200</stp>
        <tr r="E87" s="1"/>
      </tp>
      <tp>
        <v>1795</v>
        <stp/>
        <stp>VOLUME</stp>
        <stp>.SPY150508C209</stp>
        <tr r="E147" s="1"/>
      </tp>
      <tp>
        <v>7677</v>
        <stp/>
        <stp>VOLUME</stp>
        <stp>.SPY150515C214</stp>
        <tr r="E199" s="1"/>
      </tp>
      <tp>
        <v>8902</v>
        <stp/>
        <stp>VOLUME</stp>
        <stp>.SPY150508P206</stp>
        <tr r="P141" s="1"/>
      </tp>
      <tp>
        <v>36</v>
        <stp/>
        <stp>VOLUME</stp>
        <stp>.SPY150508C206</stp>
        <tr r="E141" s="1"/>
      </tp>
      <tp>
        <v>24747</v>
        <stp/>
        <stp>VOLUME</stp>
        <stp>.SPY150508P207</stp>
        <tr r="P143" s="1"/>
      </tp>
      <tp>
        <v>21</v>
        <stp/>
        <stp>VOLUME</stp>
        <stp>.SPY150508C207</stp>
        <tr r="E143" s="1"/>
      </tp>
      <tp>
        <v>751</v>
        <stp/>
        <stp>VOLUME</stp>
        <stp>.SPY150508P204</stp>
        <tr r="P137" s="1"/>
      </tp>
      <tp>
        <v>75</v>
        <stp/>
        <stp>VOLUME</stp>
        <stp>.SPY150515P219</stp>
        <tr r="P209" s="1"/>
      </tp>
      <tp>
        <v>37</v>
        <stp/>
        <stp>VOLUME</stp>
        <stp>.SPY150508C204</stp>
        <tr r="E137" s="1"/>
      </tp>
      <tp>
        <v>2655</v>
        <stp/>
        <stp>VOLUME</stp>
        <stp>.SPY150515C219</stp>
        <tr r="E209" s="1"/>
      </tp>
      <tp>
        <v>751</v>
        <stp/>
        <stp>VOLUME</stp>
        <stp>.SPY150508P205</stp>
        <tr r="P139" s="1"/>
      </tp>
      <tp>
        <v>36</v>
        <stp/>
        <stp>VOLUME</stp>
        <stp>.SPY150515P218</stp>
        <tr r="P207" s="1"/>
      </tp>
      <tp>
        <v>18</v>
        <stp/>
        <stp>VOLUME</stp>
        <stp>.SPY150508C205</stp>
        <tr r="E139" s="1"/>
      </tp>
      <tp>
        <v>360</v>
        <stp/>
        <stp>VOLUME</stp>
        <stp>.SPY150515C218</stp>
        <tr r="E207" s="1"/>
      </tp>
      <tp>
        <v>2622</v>
        <stp/>
        <stp>VOLUME</stp>
        <stp>.SPY150508P202</stp>
        <tr r="P133" s="1"/>
      </tp>
      <tp>
        <v>3</v>
        <stp/>
        <stp>VOLUME</stp>
        <stp>.SPY150508C202</stp>
        <tr r="E133" s="1"/>
      </tp>
      <tp>
        <v>1497</v>
        <stp/>
        <stp>VOLUME</stp>
        <stp>.SPY150508P203</stp>
        <tr r="P135" s="1"/>
      </tp>
      <tp>
        <v>0</v>
        <stp/>
        <stp>VOLUME</stp>
        <stp>.SPY150508C203</stp>
        <tr r="E135" s="1"/>
      </tp>
      <tp>
        <v>0</v>
        <stp/>
        <stp>VOLUME</stp>
        <stp>.SPY150501P209</stp>
        <tr r="P105" s="1"/>
      </tp>
      <tp>
        <v>10418</v>
        <stp/>
        <stp>VOLUME</stp>
        <stp>.SPY150508P200</stp>
        <tr r="P129" s="1"/>
      </tp>
      <tp>
        <v>0</v>
        <stp/>
        <stp>VOLUME</stp>
        <stp>.SPY150501C209</stp>
        <tr r="E105" s="1"/>
      </tp>
      <tp>
        <v>18</v>
        <stp/>
        <stp>VOLUME</stp>
        <stp>.SPY150508C200</stp>
        <tr r="E129" s="1"/>
      </tp>
      <tp>
        <v>0</v>
        <stp/>
        <stp>VOLUME</stp>
        <stp>.SPY150501P208</stp>
        <tr r="P103" s="1"/>
      </tp>
      <tp>
        <v>885</v>
        <stp/>
        <stp>VOLUME</stp>
        <stp>.SPY150508P201</stp>
        <tr r="P131" s="1"/>
      </tp>
      <tp>
        <v>0</v>
        <stp/>
        <stp>VOLUME</stp>
        <stp>.SPY150501C208</stp>
        <tr r="E103" s="1"/>
      </tp>
      <tp>
        <v>0</v>
        <stp/>
        <stp>VOLUME</stp>
        <stp>.SPY150508C201</stp>
        <tr r="E131" s="1"/>
      </tp>
      <tp>
        <v>0</v>
        <stp/>
        <stp>VOLUME</stp>
        <stp>.SPY150501P217</stp>
        <tr r="P121" s="1"/>
      </tp>
      <tp>
        <v>10316</v>
        <stp/>
        <stp>VOLUME</stp>
        <stp>.SPY150515P203</stp>
        <tr r="P177" s="1"/>
      </tp>
      <tp>
        <v>0</v>
        <stp/>
        <stp>VOLUME</stp>
        <stp>.SPY150501C217</stp>
        <tr r="E121" s="1"/>
      </tp>
      <tp>
        <v>6</v>
        <stp/>
        <stp>VOLUME</stp>
        <stp>.SPY150515C203</stp>
        <tr r="E177" s="1"/>
      </tp>
      <tp>
        <v>0</v>
        <stp/>
        <stp>VOLUME</stp>
        <stp>.SPY150501P216</stp>
        <tr r="P119" s="1"/>
      </tp>
      <tp>
        <v>23127</v>
        <stp/>
        <stp>VOLUME</stp>
        <stp>.SPY150515P202</stp>
        <tr r="P175" s="1"/>
      </tp>
      <tp>
        <v>0</v>
        <stp/>
        <stp>VOLUME</stp>
        <stp>.SPY150501C216</stp>
        <tr r="E119" s="1"/>
      </tp>
      <tp>
        <v>12</v>
        <stp/>
        <stp>VOLUME</stp>
        <stp>.SPY150515C202</stp>
        <tr r="E175" s="1"/>
      </tp>
      <tp>
        <v>0</v>
        <stp/>
        <stp>VOLUME</stp>
        <stp>.SPY150501P215</stp>
        <tr r="P117" s="1"/>
      </tp>
      <tp>
        <v>3359</v>
        <stp/>
        <stp>VOLUME</stp>
        <stp>.SPY150515P201</stp>
        <tr r="P173" s="1"/>
      </tp>
      <tp>
        <v>0</v>
        <stp/>
        <stp>VOLUME</stp>
        <stp>.SPY150501C215</stp>
        <tr r="E117" s="1"/>
      </tp>
      <tp>
        <v>1</v>
        <stp/>
        <stp>VOLUME</stp>
        <stp>.SPY150515C201</stp>
        <tr r="E173" s="1"/>
      </tp>
      <tp>
        <v>0</v>
        <stp/>
        <stp>VOLUME</stp>
        <stp>.SPY150501P214</stp>
        <tr r="P115" s="1"/>
      </tp>
      <tp>
        <v>8276</v>
        <stp/>
        <stp>VOLUME</stp>
        <stp>.SPY150515P200</stp>
        <tr r="P171" s="1"/>
      </tp>
      <tp>
        <v>0</v>
        <stp/>
        <stp>VOLUME</stp>
        <stp>.SPY150501C214</stp>
        <tr r="E115" s="1"/>
      </tp>
      <tp>
        <v>16</v>
        <stp/>
        <stp>VOLUME</stp>
        <stp>.SPY150515C200</stp>
        <tr r="E171" s="1"/>
      </tp>
      <tp>
        <v>0</v>
        <stp/>
        <stp>VOLUME</stp>
        <stp>.SPY150501P213</stp>
        <tr r="P113" s="1"/>
      </tp>
      <tp>
        <v>26628</v>
        <stp/>
        <stp>VOLUME</stp>
        <stp>.SPY150515P207</stp>
        <tr r="P185" s="1"/>
      </tp>
      <tp>
        <v>0</v>
        <stp/>
        <stp>VOLUME</stp>
        <stp>.SPY150501C213</stp>
        <tr r="E113" s="1"/>
      </tp>
      <tp>
        <v>564</v>
        <stp/>
        <stp>VOLUME</stp>
        <stp>.SPY150515C207</stp>
        <tr r="E185" s="1"/>
      </tp>
      <tp>
        <v>0</v>
        <stp/>
        <stp>VOLUME</stp>
        <stp>.SPY150501P212</stp>
        <tr r="P111" s="1"/>
      </tp>
      <tp>
        <v>2547</v>
        <stp/>
        <stp>VOLUME</stp>
        <stp>.SPY150515P206</stp>
        <tr r="P183" s="1"/>
      </tp>
      <tp>
        <v>0</v>
        <stp/>
        <stp>VOLUME</stp>
        <stp>.SPY150501C212</stp>
        <tr r="E111" s="1"/>
      </tp>
      <tp>
        <v>105</v>
        <stp/>
        <stp>VOLUME</stp>
        <stp>.SPY150515C206</stp>
        <tr r="E183" s="1"/>
      </tp>
      <tp>
        <v>0</v>
        <stp/>
        <stp>VOLUME</stp>
        <stp>.SPY150501P211</stp>
        <tr r="P109" s="1"/>
      </tp>
      <tp>
        <v>20</v>
        <stp/>
        <stp>VOLUME</stp>
        <stp>.SPY150508P218</stp>
        <tr r="P165" s="1"/>
      </tp>
      <tp>
        <v>13637</v>
        <stp/>
        <stp>VOLUME</stp>
        <stp>.SPY150515P205</stp>
        <tr r="P181" s="1"/>
      </tp>
      <tp>
        <v>0</v>
        <stp/>
        <stp>VOLUME</stp>
        <stp>.SPY150501C211</stp>
        <tr r="E109" s="1"/>
      </tp>
      <tp>
        <v>0</v>
        <stp/>
        <stp>VOLUME</stp>
        <stp>.SPY150508C218</stp>
        <tr r="E165" s="1"/>
      </tp>
      <tp>
        <v>438</v>
        <stp/>
        <stp>VOLUME</stp>
        <stp>.SPY150515C205</stp>
        <tr r="E181" s="1"/>
      </tp>
      <tp>
        <v>0</v>
        <stp/>
        <stp>VOLUME</stp>
        <stp>.SPY150501P210</stp>
        <tr r="P107" s="1"/>
      </tp>
      <tp>
        <v>0</v>
        <stp/>
        <stp>VOLUME</stp>
        <stp>.SPY150508P219</stp>
        <tr r="P167" s="1"/>
      </tp>
      <tp>
        <v>8678</v>
        <stp/>
        <stp>VOLUME</stp>
        <stp>.SPY150515P204</stp>
        <tr r="P179" s="1"/>
      </tp>
      <tp>
        <v>0</v>
        <stp/>
        <stp>VOLUME</stp>
        <stp>.SPY150501C210</stp>
        <tr r="E107" s="1"/>
      </tp>
      <tp>
        <v>0</v>
        <stp/>
        <stp>VOLUME</stp>
        <stp>.SPY150508C219</stp>
        <tr r="E167" s="1"/>
      </tp>
      <tp>
        <v>351</v>
        <stp/>
        <stp>VOLUME</stp>
        <stp>.SPY150515C204</stp>
        <tr r="E179" s="1"/>
      </tp>
      <tp>
        <v>59</v>
        <stp/>
        <stp>VOLUME</stp>
        <stp>.SPY150508P216</stp>
        <tr r="P161" s="1"/>
      </tp>
      <tp>
        <v>862</v>
        <stp/>
        <stp>VOLUME</stp>
        <stp>.SPY150508C216</stp>
        <tr r="E161" s="1"/>
      </tp>
      <tp>
        <v>10</v>
        <stp/>
        <stp>VOLUME</stp>
        <stp>.SPY150508P217</stp>
        <tr r="P163" s="1"/>
      </tp>
      <tp>
        <v>493</v>
        <stp/>
        <stp>VOLUME</stp>
        <stp>.SPY150508C217</stp>
        <tr r="E163" s="1"/>
      </tp>
      <tp>
        <v>1067</v>
        <stp/>
        <stp>VOLUME</stp>
        <stp>.SPY150508P214</stp>
        <tr r="P157" s="1"/>
      </tp>
      <tp>
        <v>9569</v>
        <stp/>
        <stp>VOLUME</stp>
        <stp>.SPY150515P209</stp>
        <tr r="P189" s="1"/>
      </tp>
      <tp>
        <v>6506</v>
        <stp/>
        <stp>VOLUME</stp>
        <stp>.SPY150508C214</stp>
        <tr r="E157" s="1"/>
      </tp>
      <tp>
        <v>809</v>
        <stp/>
        <stp>VOLUME</stp>
        <stp>.SPY150515C209</stp>
        <tr r="E189" s="1"/>
      </tp>
      <tp>
        <v>2035</v>
        <stp/>
        <stp>VOLUME</stp>
        <stp>.SPY150508P215</stp>
        <tr r="P159" s="1"/>
      </tp>
      <tp>
        <v>10895</v>
        <stp/>
        <stp>VOLUME</stp>
        <stp>.SPY150515P208</stp>
        <tr r="P187" s="1"/>
      </tp>
      <tp>
        <v>51347</v>
        <stp/>
        <stp>VOLUME</stp>
        <stp>.SPY150508C215</stp>
        <tr r="E159" s="1"/>
      </tp>
      <tp>
        <v>2199</v>
        <stp/>
        <stp>VOLUME</stp>
        <stp>.SPY150515C208</stp>
        <tr r="E187" s="1"/>
      </tp>
      <tp>
        <v>23595</v>
        <stp/>
        <stp>VOLUME</stp>
        <stp>.SPY150508P212</stp>
        <tr r="P153" s="1"/>
      </tp>
      <tp>
        <v>21794</v>
        <stp/>
        <stp>VOLUME</stp>
        <stp>.SPY150508C212</stp>
        <tr r="E153" s="1"/>
      </tp>
      <tp>
        <v>1541</v>
        <stp/>
        <stp>VOLUME</stp>
        <stp>.SPY150508P213</stp>
        <tr r="P155" s="1"/>
      </tp>
      <tp>
        <v>19071</v>
        <stp/>
        <stp>VOLUME</stp>
        <stp>.SPY150508C213</stp>
        <tr r="E155" s="1"/>
      </tp>
      <tp>
        <v>0</v>
        <stp/>
        <stp>VOLUME</stp>
        <stp>.SPY150501P219</stp>
        <tr r="P125" s="1"/>
      </tp>
      <tp>
        <v>39745</v>
        <stp/>
        <stp>VOLUME</stp>
        <stp>.SPY150508P210</stp>
        <tr r="P149" s="1"/>
      </tp>
      <tp>
        <v>0</v>
        <stp/>
        <stp>VOLUME</stp>
        <stp>.SPY150501C219</stp>
        <tr r="E125" s="1"/>
      </tp>
      <tp>
        <v>3262</v>
        <stp/>
        <stp>VOLUME</stp>
        <stp>.SPY150508C210</stp>
        <tr r="E149" s="1"/>
      </tp>
      <tp>
        <v>0</v>
        <stp/>
        <stp>VOLUME</stp>
        <stp>.SPY150501P218</stp>
        <tr r="P123" s="1"/>
      </tp>
      <tp>
        <v>52226</v>
        <stp/>
        <stp>VOLUME</stp>
        <stp>.SPY150508P211</stp>
        <tr r="P151" s="1"/>
      </tp>
      <tp>
        <v>0</v>
        <stp/>
        <stp>VOLUME</stp>
        <stp>.SPY150501C218</stp>
        <tr r="E123" s="1"/>
      </tp>
      <tp>
        <v>12782</v>
        <stp/>
        <stp>VOLUME</stp>
        <stp>.SPY150508C211</stp>
        <tr r="E151" s="1"/>
      </tp>
      <tp t="s">
        <v>N/A</v>
        <stp/>
        <stp>BID</stp>
        <stp>.SPY150918C215.5</stp>
        <tr r="C454" s="1"/>
      </tp>
      <tp t="s">
        <v>N/A</v>
        <stp/>
        <stp>BID</stp>
        <stp>.SPY160916C218.5</stp>
        <tr r="C754" s="1"/>
      </tp>
      <tp t="s">
        <v>N/A</v>
        <stp/>
        <stp>BID</stp>
        <stp>.SPY150918C205.5</stp>
        <tr r="C434" s="1"/>
      </tp>
      <tp t="s">
        <v>N/A</v>
        <stp/>
        <stp>BID</stp>
        <stp>.SPY160916C208.5</stp>
        <tr r="C734" s="1"/>
      </tp>
      <tp t="s">
        <v>N/A</v>
        <stp/>
        <stp>BID</stp>
        <stp>.SPY160318C216.5</stp>
        <tr r="C666" s="1"/>
      </tp>
      <tp t="s">
        <v>N/A</v>
        <stp/>
        <stp>BID</stp>
        <stp>.SPY170317C218.5</stp>
        <tr r="C880" s="1"/>
      </tp>
      <tp t="s">
        <v>N/A</v>
        <stp/>
        <stp>BID</stp>
        <stp>.SPY160318C206.5</stp>
        <tr r="C646" s="1"/>
      </tp>
      <tp t="s">
        <v>N/A</v>
        <stp/>
        <stp>BID</stp>
        <stp>.SPY170317C208.5</stp>
        <tr r="C860" s="1"/>
      </tp>
      <tp t="s">
        <v>N/A</v>
        <stp/>
        <stp>BID</stp>
        <stp>.SPY150619C214.5</stp>
        <tr r="C326" s="1"/>
      </tp>
      <tp t="s">
        <v>N/A</v>
        <stp/>
        <stp>BID</stp>
        <stp>.SPY160617C219.5</stp>
        <tr r="C714" s="1"/>
      </tp>
      <tp t="s">
        <v>N/A</v>
        <stp/>
        <stp>BID</stp>
        <stp>.SPY150619C204.5</stp>
        <tr r="C306" s="1"/>
      </tp>
      <tp t="s">
        <v>N/A</v>
        <stp/>
        <stp>BID</stp>
        <stp>.SPY160617C209.5</stp>
        <tr r="C694" s="1"/>
      </tp>
      <tp>
        <v>7.63</v>
        <stp/>
        <stp>BID</stp>
        <stp>.SPY150529C204.5</stp>
        <tr r="C264" s="1"/>
      </tp>
      <tp>
        <v>0.87</v>
        <stp/>
        <stp>BID</stp>
        <stp>.SPY150529C214.5</stp>
        <tr r="C284" s="1"/>
      </tp>
      <tp>
        <v>5.89</v>
        <stp/>
        <stp>BID</stp>
        <stp>.SPY150508C205.5</stp>
        <tr r="C140" s="1"/>
      </tp>
      <tp>
        <v>0.02</v>
        <stp/>
        <stp>BID</stp>
        <stp>.SPY150515C218.5</stp>
        <tr r="C208" s="1"/>
      </tp>
      <tp>
        <v>0.02</v>
        <stp/>
        <stp>BID</stp>
        <stp>.SPY150508C215.5</stp>
        <tr r="C160" s="1"/>
      </tp>
      <tp>
        <v>3.59</v>
        <stp/>
        <stp>BID</stp>
        <stp>.SPY150515C208.5</stp>
        <tr r="C188" s="1"/>
      </tp>
      <tp>
        <v>2.08</v>
        <stp/>
        <stp>BID</stp>
        <stp>.SPY150424C209.5</stp>
        <tr r="C64" s="1"/>
      </tp>
      <tp>
        <v>0</v>
        <stp/>
        <stp>BID</stp>
        <stp>.SPY150424C219.5</stp>
        <tr r="C84" s="1"/>
      </tp>
      <tp t="s">
        <v>N/A</v>
        <stp/>
        <stp>BID</stp>
        <stp>.SPY151219C214.5</stp>
        <tr r="C536" s="1"/>
      </tp>
      <tp t="s">
        <v>N/A</v>
        <stp/>
        <stp>BID</stp>
        <stp>.SPY161216C218.5</stp>
        <tr r="C796" s="1"/>
      </tp>
      <tp t="s">
        <v>N/A</v>
        <stp/>
        <stp>BID</stp>
        <stp>.SPY151219C204.5</stp>
        <tr r="C516" s="1"/>
      </tp>
      <tp t="s">
        <v>N/A</v>
        <stp/>
        <stp>BID</stp>
        <stp>.SPY161216C208.5</stp>
        <tr r="C776" s="1"/>
      </tp>
      <tp t="s">
        <v>N/A</v>
        <stp/>
        <stp>RHO</stp>
        <stp>.SPY151219C215.5</stp>
        <tr r="K538" s="1"/>
      </tp>
      <tp t="s">
        <v>N/A</v>
        <stp/>
        <stp>RHO</stp>
        <stp>.SPY161216C219.5</stp>
        <tr r="K798" s="1"/>
      </tp>
      <tp t="s">
        <v>N/A</v>
        <stp/>
        <stp>RHO</stp>
        <stp>.SPY151219C205.5</stp>
        <tr r="K518" s="1"/>
      </tp>
      <tp t="s">
        <v>N/A</v>
        <stp/>
        <stp>RHO</stp>
        <stp>.SPY161216C209.5</stp>
        <tr r="K778" s="1"/>
      </tp>
      <tp t="s">
        <v>N/A</v>
        <stp/>
        <stp>RHO</stp>
        <stp>.SPY150918C214.5</stp>
        <tr r="K452" s="1"/>
      </tp>
      <tp t="s">
        <v>N/A</v>
        <stp/>
        <stp>RHO</stp>
        <stp>.SPY160916C219.5</stp>
        <tr r="K756" s="1"/>
      </tp>
      <tp t="s">
        <v>N/A</v>
        <stp/>
        <stp>RHO</stp>
        <stp>.SPY150918C204.5</stp>
        <tr r="K432" s="1"/>
      </tp>
      <tp t="s">
        <v>N/A</v>
        <stp/>
        <stp>RHO</stp>
        <stp>.SPY160916C209.5</stp>
        <tr r="K736" s="1"/>
      </tp>
      <tp t="s">
        <v>N/A</v>
        <stp/>
        <stp>RHO</stp>
        <stp>.SPY160318C217.5</stp>
        <tr r="K668" s="1"/>
      </tp>
      <tp t="s">
        <v>N/A</v>
        <stp/>
        <stp>RHO</stp>
        <stp>.SPY170317C219.5</stp>
        <tr r="K882" s="1"/>
      </tp>
      <tp t="s">
        <v>N/A</v>
        <stp/>
        <stp>RHO</stp>
        <stp>.SPY160318C207.5</stp>
        <tr r="K648" s="1"/>
      </tp>
      <tp t="s">
        <v>N/A</v>
        <stp/>
        <stp>RHO</stp>
        <stp>.SPY170317C209.5</stp>
        <tr r="K862" s="1"/>
      </tp>
      <tp t="s">
        <v>N/A</v>
        <stp/>
        <stp>RHO</stp>
        <stp>.SPY150619C215.5</stp>
        <tr r="K328" s="1"/>
      </tp>
      <tp t="s">
        <v>N/A</v>
        <stp/>
        <stp>RHO</stp>
        <stp>.SPY160617C218.5</stp>
        <tr r="K712" s="1"/>
      </tp>
      <tp t="s">
        <v>N/A</v>
        <stp/>
        <stp>RHO</stp>
        <stp>.SPY150619C205.5</stp>
        <tr r="K308" s="1"/>
      </tp>
      <tp t="s">
        <v>N/A</v>
        <stp/>
        <stp>RHO</stp>
        <stp>.SPY160617C208.5</stp>
        <tr r="K692" s="1"/>
      </tp>
      <tp>
        <v>9.1359999999999997E-2</v>
        <stp/>
        <stp>RHO</stp>
        <stp>.SPY150529C205.5</stp>
        <tr r="K266" s="1"/>
      </tp>
      <tp>
        <v>3.0190000000000002E-2</v>
        <stp/>
        <stp>RHO</stp>
        <stp>.SPY150529C215.5</stp>
        <tr r="K286" s="1"/>
      </tp>
      <tp>
        <v>9.4299999999999991E-3</v>
        <stp/>
        <stp>RHO</stp>
        <stp>.SPY150508C204.5</stp>
        <tr r="K138" s="1"/>
      </tp>
      <tp>
        <v>8.5999999999999998E-4</v>
        <stp/>
        <stp>RHO</stp>
        <stp>.SPY150515C219.5</stp>
        <tr r="K210" s="1"/>
      </tp>
      <tp>
        <v>1.9400000000000001E-3</v>
        <stp/>
        <stp>RHO</stp>
        <stp>.SPY150508C214.5</stp>
        <tr r="K158" s="1"/>
      </tp>
      <tp>
        <v>4.1029999999999997E-2</v>
        <stp/>
        <stp>RHO</stp>
        <stp>.SPY150515C209.5</stp>
        <tr r="K190" s="1"/>
      </tp>
      <tp t="s">
        <v>N/A</v>
        <stp/>
        <stp>RHO</stp>
        <stp>.SPY150424C208.5</stp>
        <tr r="K62" s="1"/>
      </tp>
      <tp t="s">
        <v>N/A</v>
        <stp/>
        <stp>RHO</stp>
        <stp>.SPY150424C218.5</stp>
        <tr r="K82" s="1"/>
      </tp>
      <tp t="s">
        <v>N/A</v>
        <stp/>
        <stp>BID</stp>
        <stp>.SPY151219P214.5</stp>
        <tr r="N536" s="1"/>
      </tp>
      <tp t="s">
        <v>N/A</v>
        <stp/>
        <stp>BID</stp>
        <stp>.SPY161216P218.5</stp>
        <tr r="N796" s="1"/>
      </tp>
      <tp t="s">
        <v>N/A</v>
        <stp/>
        <stp>BID</stp>
        <stp>.SPY151219P204.5</stp>
        <tr r="N516" s="1"/>
      </tp>
      <tp t="s">
        <v>N/A</v>
        <stp/>
        <stp>BID</stp>
        <stp>.SPY161216P208.5</stp>
        <tr r="N776" s="1"/>
      </tp>
      <tp t="s">
        <v>N/A</v>
        <stp/>
        <stp>BID</stp>
        <stp>.SPY150918P215.5</stp>
        <tr r="N454" s="1"/>
      </tp>
      <tp t="s">
        <v>N/A</v>
        <stp/>
        <stp>BID</stp>
        <stp>.SPY160916P218.5</stp>
        <tr r="N754" s="1"/>
      </tp>
      <tp t="s">
        <v>N/A</v>
        <stp/>
        <stp>BID</stp>
        <stp>.SPY150918P205.5</stp>
        <tr r="N434" s="1"/>
      </tp>
      <tp t="s">
        <v>N/A</v>
        <stp/>
        <stp>BID</stp>
        <stp>.SPY160916P208.5</stp>
        <tr r="N734" s="1"/>
      </tp>
      <tp t="s">
        <v>N/A</v>
        <stp/>
        <stp>BID</stp>
        <stp>.SPY160318P216.5</stp>
        <tr r="N666" s="1"/>
      </tp>
      <tp t="s">
        <v>N/A</v>
        <stp/>
        <stp>BID</stp>
        <stp>.SPY170317P218.5</stp>
        <tr r="N880" s="1"/>
      </tp>
      <tp t="s">
        <v>N/A</v>
        <stp/>
        <stp>BID</stp>
        <stp>.SPY160318P206.5</stp>
        <tr r="N646" s="1"/>
      </tp>
      <tp t="s">
        <v>N/A</v>
        <stp/>
        <stp>BID</stp>
        <stp>.SPY170317P208.5</stp>
        <tr r="N860" s="1"/>
      </tp>
      <tp t="s">
        <v>N/A</v>
        <stp/>
        <stp>BID</stp>
        <stp>.SPY150619P214.5</stp>
        <tr r="N326" s="1"/>
      </tp>
      <tp t="s">
        <v>N/A</v>
        <stp/>
        <stp>BID</stp>
        <stp>.SPY160617P219.5</stp>
        <tr r="N714" s="1"/>
      </tp>
      <tp t="s">
        <v>N/A</v>
        <stp/>
        <stp>BID</stp>
        <stp>.SPY150619P204.5</stp>
        <tr r="N306" s="1"/>
      </tp>
      <tp t="s">
        <v>N/A</v>
        <stp/>
        <stp>BID</stp>
        <stp>.SPY160617P209.5</stp>
        <tr r="N694" s="1"/>
      </tp>
      <tp>
        <v>0.74</v>
        <stp/>
        <stp>BID</stp>
        <stp>.SPY150529P204.5</stp>
        <tr r="N264" s="1"/>
      </tp>
      <tp>
        <v>3.83</v>
        <stp/>
        <stp>BID</stp>
        <stp>.SPY150529P214.5</stp>
        <tr r="N284" s="1"/>
      </tp>
      <tp>
        <v>0.08</v>
        <stp/>
        <stp>BID</stp>
        <stp>.SPY150508P205.5</stp>
        <tr r="N140" s="1"/>
      </tp>
      <tp>
        <v>6.92</v>
        <stp/>
        <stp>BID</stp>
        <stp>.SPY150515P218.5</stp>
        <tr r="N208" s="1"/>
      </tp>
      <tp>
        <v>4</v>
        <stp/>
        <stp>BID</stp>
        <stp>.SPY150508P215.5</stp>
        <tr r="N160" s="1"/>
      </tp>
      <tp>
        <v>0.73</v>
        <stp/>
        <stp>BID</stp>
        <stp>.SPY150515P208.5</stp>
        <tr r="N188" s="1"/>
      </tp>
      <tp>
        <v>0</v>
        <stp/>
        <stp>BID</stp>
        <stp>.SPY150424P209.5</stp>
        <tr r="N64" s="1"/>
      </tp>
      <tp>
        <v>7.67</v>
        <stp/>
        <stp>BID</stp>
        <stp>.SPY150424P219.5</stp>
        <tr r="N84" s="1"/>
      </tp>
      <tp t="s">
        <v>N/A</v>
        <stp/>
        <stp>RHO</stp>
        <stp>.SPY150918P214.5</stp>
        <tr r="V452" s="1"/>
      </tp>
      <tp t="s">
        <v>N/A</v>
        <stp/>
        <stp>RHO</stp>
        <stp>.SPY160916P219.5</stp>
        <tr r="V756" s="1"/>
      </tp>
      <tp t="s">
        <v>N/A</v>
        <stp/>
        <stp>RHO</stp>
        <stp>.SPY150918P204.5</stp>
        <tr r="V432" s="1"/>
      </tp>
      <tp t="s">
        <v>N/A</v>
        <stp/>
        <stp>RHO</stp>
        <stp>.SPY160916P209.5</stp>
        <tr r="V736" s="1"/>
      </tp>
      <tp t="s">
        <v>N/A</v>
        <stp/>
        <stp>RHO</stp>
        <stp>.SPY160318P217.5</stp>
        <tr r="V668" s="1"/>
      </tp>
      <tp t="s">
        <v>N/A</v>
        <stp/>
        <stp>RHO</stp>
        <stp>.SPY170317P219.5</stp>
        <tr r="V882" s="1"/>
      </tp>
      <tp t="s">
        <v>N/A</v>
        <stp/>
        <stp>RHO</stp>
        <stp>.SPY160318P207.5</stp>
        <tr r="V648" s="1"/>
      </tp>
      <tp t="s">
        <v>N/A</v>
        <stp/>
        <stp>RHO</stp>
        <stp>.SPY170317P209.5</stp>
        <tr r="V862" s="1"/>
      </tp>
      <tp t="s">
        <v>N/A</v>
        <stp/>
        <stp>RHO</stp>
        <stp>.SPY150619P215.5</stp>
        <tr r="V328" s="1"/>
      </tp>
      <tp t="s">
        <v>N/A</v>
        <stp/>
        <stp>RHO</stp>
        <stp>.SPY160617P218.5</stp>
        <tr r="V712" s="1"/>
      </tp>
      <tp t="s">
        <v>N/A</v>
        <stp/>
        <stp>RHO</stp>
        <stp>.SPY150619P205.5</stp>
        <tr r="V308" s="1"/>
      </tp>
      <tp t="s">
        <v>N/A</v>
        <stp/>
        <stp>RHO</stp>
        <stp>.SPY160617P208.5</stp>
        <tr r="V692" s="1"/>
      </tp>
      <tp>
        <v>-3.2160000000000001E-2</v>
        <stp/>
        <stp>RHO</stp>
        <stp>.SPY150529P205.5</stp>
        <tr r="V266" s="1"/>
      </tp>
      <tp>
        <v>-0.12977</v>
        <stp/>
        <stp>RHO</stp>
        <stp>.SPY150529P215.5</stp>
        <tr r="V286" s="1"/>
      </tp>
      <tp>
        <v>-1.0300000000000001E-3</v>
        <stp/>
        <stp>RHO</stp>
        <stp>.SPY150508P204.5</stp>
        <tr r="V138" s="1"/>
      </tp>
      <tp>
        <v>-7.2109999999999994E-2</v>
        <stp/>
        <stp>RHO</stp>
        <stp>.SPY150515P219.5</stp>
        <tr r="V210" s="1"/>
      </tp>
      <tp>
        <v>-2.8250000000000001E-2</v>
        <stp/>
        <stp>RHO</stp>
        <stp>.SPY150508P214.5</stp>
        <tr r="V158" s="1"/>
      </tp>
      <tp>
        <v>-2.341E-2</v>
        <stp/>
        <stp>RHO</stp>
        <stp>.SPY150515P209.5</stp>
        <tr r="V190" s="1"/>
      </tp>
      <tp t="s">
        <v>N/A</v>
        <stp/>
        <stp>RHO</stp>
        <stp>.SPY150424P208.5</stp>
        <tr r="V62" s="1"/>
      </tp>
      <tp t="s">
        <v>N/A</v>
        <stp/>
        <stp>RHO</stp>
        <stp>.SPY150424P218.5</stp>
        <tr r="V82" s="1"/>
      </tp>
      <tp t="s">
        <v>N/A</v>
        <stp/>
        <stp>RHO</stp>
        <stp>.SPY151219P215.5</stp>
        <tr r="V538" s="1"/>
      </tp>
      <tp t="s">
        <v>N/A</v>
        <stp/>
        <stp>RHO</stp>
        <stp>.SPY161216P219.5</stp>
        <tr r="V798" s="1"/>
      </tp>
      <tp t="s">
        <v>N/A</v>
        <stp/>
        <stp>RHO</stp>
        <stp>.SPY151219P205.5</stp>
        <tr r="V518" s="1"/>
      </tp>
      <tp t="s">
        <v>N/A</v>
        <stp/>
        <stp>RHO</stp>
        <stp>.SPY161216P209.5</stp>
        <tr r="V778" s="1"/>
      </tp>
      <tp t="s">
        <v>N/A</v>
        <stp/>
        <stp>DELTA</stp>
        <stp>.SPY150930P217.5</stp>
        <tr r="R500" s="1"/>
      </tp>
      <tp t="s">
        <v>N/A</v>
        <stp/>
        <stp>DELTA</stp>
        <stp>.SPY150930P207.5</stp>
        <tr r="R480" s="1"/>
      </tp>
      <tp t="s">
        <v>N/A</v>
        <stp/>
        <stp>DELTA</stp>
        <stp>.SPY160916P212.5</stp>
        <tr r="R742" s="1"/>
      </tp>
      <tp t="s">
        <v>N/A</v>
        <stp/>
        <stp>DELTA</stp>
        <stp>.SPY160916P202.5</stp>
        <tr r="R722" s="1"/>
      </tp>
      <tp t="s">
        <v>N/A</v>
        <stp/>
        <stp>DELTA</stp>
        <stp>.SPY150424P203.5</stp>
        <tr r="R52" s="1"/>
      </tp>
      <tp t="s">
        <v>N/A</v>
        <stp/>
        <stp>DELTA</stp>
        <stp>.SPY150424P213.5</stp>
        <tr r="R72" s="1"/>
      </tp>
      <tp t="s">
        <v>N/A</v>
        <stp/>
        <stp>DELTA</stp>
        <stp>.SPY150417P210.5</stp>
        <tr r="R24" s="1"/>
      </tp>
      <tp t="s">
        <v>N/A</v>
        <stp/>
        <stp>DELTA</stp>
        <stp>.SPY150417P200.5</stp>
        <tr r="R4" s="1"/>
      </tp>
      <tp>
        <v>-0.17602000000000001</v>
        <stp/>
        <stp>DELTA</stp>
        <stp>.SPY150522P205.5</stp>
        <tr r="R224" s="1"/>
      </tp>
      <tp>
        <v>-0.87958999999999998</v>
        <stp/>
        <stp>DELTA</stp>
        <stp>.SPY150522P215.5</stp>
        <tr r="R244" s="1"/>
      </tp>
      <tp t="s">
        <v>N/A</v>
        <stp/>
        <stp>DELTA</stp>
        <stp>.SPY150501P206.5</stp>
        <tr r="R100" s="1"/>
      </tp>
      <tp>
        <v>-0.61936000000000002</v>
        <stp/>
        <stp>DELTA</stp>
        <stp>.SPY150515P212.5</stp>
        <tr r="R196" s="1"/>
      </tp>
      <tp t="s">
        <v>N/A</v>
        <stp/>
        <stp>DELTA</stp>
        <stp>.SPY150501P216.5</stp>
        <tr r="R120" s="1"/>
      </tp>
      <tp>
        <v>-6.5449999999999994E-2</v>
        <stp/>
        <stp>DELTA</stp>
        <stp>.SPY150515P202.5</stp>
        <tr r="R176" s="1"/>
      </tp>
      <tp t="s">
        <v>N/A</v>
        <stp/>
        <stp>DELTA</stp>
        <stp>.SPY150630P217.5</stp>
        <tr r="R374" s="1"/>
      </tp>
      <tp t="s">
        <v>N/A</v>
        <stp/>
        <stp>DELTA</stp>
        <stp>.SPY150630P207.5</stp>
        <tr r="R354" s="1"/>
      </tp>
      <tp t="s">
        <v>N/A</v>
        <stp/>
        <stp>DELTA</stp>
        <stp>.SPY160617P213.5</stp>
        <tr r="R702" s="1"/>
      </tp>
      <tp t="s">
        <v>N/A</v>
        <stp/>
        <stp>DELTA</stp>
        <stp>.SPY160617P203.5</stp>
        <tr r="R682" s="1"/>
      </tp>
      <tp t="s">
        <v>N/A</v>
        <stp/>
        <stp>DELTA</stp>
        <stp>.SPY150717P210.5</stp>
        <tr r="R402" s="1"/>
      </tp>
      <tp t="s">
        <v>N/A</v>
        <stp/>
        <stp>DELTA</stp>
        <stp>.SPY150717P200.5</stp>
        <tr r="R382" s="1"/>
      </tp>
      <tp t="s">
        <v>N/A</v>
        <stp/>
        <stp>DELTA</stp>
        <stp>.SPY170120P205.5</stp>
        <tr r="R812" s="1"/>
      </tp>
      <tp t="s">
        <v>N/A</v>
        <stp/>
        <stp>DELTA</stp>
        <stp>.SPY170120P215.5</stp>
        <tr r="R832" s="1"/>
      </tp>
      <tp t="s">
        <v>N/A</v>
        <stp/>
        <stp>DELTA</stp>
        <stp>.SPY160115P211.5</stp>
        <tr r="R614" s="1"/>
      </tp>
      <tp t="s">
        <v>N/A</v>
        <stp/>
        <stp>DELTA</stp>
        <stp>.SPY160115P201.5</stp>
        <tr r="R594" s="1"/>
      </tp>
      <tp t="s">
        <v>N/A</v>
        <stp/>
        <stp>DELTA</stp>
        <stp>.SPY170317P212.5</stp>
        <tr r="R868" s="1"/>
      </tp>
      <tp t="s">
        <v>N/A</v>
        <stp/>
        <stp>DELTA</stp>
        <stp>.SPY170317P202.5</stp>
        <tr r="R848" s="1"/>
      </tp>
      <tp t="s">
        <v>N/A</v>
        <stp/>
        <stp>DELTA</stp>
        <stp>.SPY151231P216.5</stp>
        <tr r="R582" s="1"/>
      </tp>
      <tp t="s">
        <v>N/A</v>
        <stp/>
        <stp>DELTA</stp>
        <stp>.SPY151231P206.5</stp>
        <tr r="R562" s="1"/>
      </tp>
      <tp t="s">
        <v>N/A</v>
        <stp/>
        <stp>DELTA</stp>
        <stp>.SPY161216P212.5</stp>
        <tr r="R784" s="1"/>
      </tp>
      <tp t="s">
        <v>N/A</v>
        <stp/>
        <stp>DELTA</stp>
        <stp>.SPY171215P210.5</stp>
        <tr r="R906" s="1"/>
      </tp>
      <tp t="s">
        <v>N/A</v>
        <stp/>
        <stp>DELTA</stp>
        <stp>.SPY161216P202.5</stp>
        <tr r="R764" s="1"/>
      </tp>
      <tp t="s">
        <v>N/A</v>
        <stp/>
        <stp>DELTA</stp>
        <stp>.SPY171215P200.5</stp>
        <tr r="R886" s="1"/>
      </tp>
      <tp t="s">
        <v>N/A</v>
        <stp/>
        <stp>THETA</stp>
        <stp>.SPY151231C206.5</stp>
        <tr r="H562" s="1"/>
      </tp>
      <tp t="s">
        <v>N/A</v>
        <stp/>
        <stp>THETA</stp>
        <stp>.SPY151231C216.5</stp>
        <tr r="H582" s="1"/>
      </tp>
      <tp t="s">
        <v>N/A</v>
        <stp/>
        <stp>THETA</stp>
        <stp>.SPY161216C202.5</stp>
        <tr r="H764" s="1"/>
      </tp>
      <tp t="s">
        <v>N/A</v>
        <stp/>
        <stp>THETA</stp>
        <stp>.SPY171215C200.5</stp>
        <tr r="H886" s="1"/>
      </tp>
      <tp t="s">
        <v>N/A</v>
        <stp/>
        <stp>THETA</stp>
        <stp>.SPY161216C212.5</stp>
        <tr r="H784" s="1"/>
      </tp>
      <tp t="s">
        <v>N/A</v>
        <stp/>
        <stp>THETA</stp>
        <stp>.SPY171215C210.5</stp>
        <tr r="H906" s="1"/>
      </tp>
      <tp t="s">
        <v>N/A</v>
        <stp/>
        <stp>THETA</stp>
        <stp>.SPY170120C215.5</stp>
        <tr r="H832" s="1"/>
      </tp>
      <tp t="s">
        <v>N/A</v>
        <stp/>
        <stp>THETA</stp>
        <stp>.SPY170120C205.5</stp>
        <tr r="H812" s="1"/>
      </tp>
      <tp t="s">
        <v>N/A</v>
        <stp/>
        <stp>THETA</stp>
        <stp>.SPY160115C201.5</stp>
        <tr r="H594" s="1"/>
      </tp>
      <tp t="s">
        <v>N/A</v>
        <stp/>
        <stp>THETA</stp>
        <stp>.SPY160115C211.5</stp>
        <tr r="H614" s="1"/>
      </tp>
      <tp t="s">
        <v>N/A</v>
        <stp/>
        <stp>THETA</stp>
        <stp>.SPY170317C202.5</stp>
        <tr r="H848" s="1"/>
      </tp>
      <tp t="s">
        <v>N/A</v>
        <stp/>
        <stp>THETA</stp>
        <stp>.SPY170317C212.5</stp>
        <tr r="H868" s="1"/>
      </tp>
      <tp>
        <v>-2.5559999999999999E-2</v>
        <stp/>
        <stp>THETA</stp>
        <stp>.SPY150522C215.5</stp>
        <tr r="H244" s="1"/>
      </tp>
      <tp>
        <v>-4.4019999999999997E-2</v>
        <stp/>
        <stp>THETA</stp>
        <stp>.SPY150522C205.5</stp>
        <tr r="H224" s="1"/>
      </tp>
      <tp t="s">
        <v>N/A</v>
        <stp/>
        <stp>THETA</stp>
        <stp>.SPY150501C216.5</stp>
        <tr r="H120" s="1"/>
      </tp>
      <tp>
        <v>-3.3980000000000003E-2</v>
        <stp/>
        <stp>THETA</stp>
        <stp>.SPY150515C202.5</stp>
        <tr r="H176" s="1"/>
      </tp>
      <tp t="s">
        <v>N/A</v>
        <stp/>
        <stp>THETA</stp>
        <stp>.SPY150501C206.5</stp>
        <tr r="H100" s="1"/>
      </tp>
      <tp>
        <v>-5.7590000000000002E-2</v>
        <stp/>
        <stp>THETA</stp>
        <stp>.SPY150515C212.5</stp>
        <tr r="H196" s="1"/>
      </tp>
      <tp t="s">
        <v>N/A</v>
        <stp/>
        <stp>THETA</stp>
        <stp>.SPY150424C213.5</stp>
        <tr r="H72" s="1"/>
      </tp>
      <tp t="s">
        <v>N/A</v>
        <stp/>
        <stp>THETA</stp>
        <stp>.SPY150424C203.5</stp>
        <tr r="H52" s="1"/>
      </tp>
      <tp t="s">
        <v>N/A</v>
        <stp/>
        <stp>THETA</stp>
        <stp>.SPY150417C200.5</stp>
        <tr r="H4" s="1"/>
      </tp>
      <tp t="s">
        <v>N/A</v>
        <stp/>
        <stp>THETA</stp>
        <stp>.SPY150417C210.5</stp>
        <tr r="H24" s="1"/>
      </tp>
      <tp t="s">
        <v>N/A</v>
        <stp/>
        <stp>THETA</stp>
        <stp>.SPY150717C200.5</stp>
        <tr r="H382" s="1"/>
      </tp>
      <tp t="s">
        <v>N/A</v>
        <stp/>
        <stp>THETA</stp>
        <stp>.SPY150717C210.5</stp>
        <tr r="H402" s="1"/>
      </tp>
      <tp t="s">
        <v>N/A</v>
        <stp/>
        <stp>THETA</stp>
        <stp>.SPY150630C207.5</stp>
        <tr r="H354" s="1"/>
      </tp>
      <tp t="s">
        <v>N/A</v>
        <stp/>
        <stp>THETA</stp>
        <stp>.SPY150630C217.5</stp>
        <tr r="H374" s="1"/>
      </tp>
      <tp t="s">
        <v>N/A</v>
        <stp/>
        <stp>THETA</stp>
        <stp>.SPY160617C203.5</stp>
        <tr r="H682" s="1"/>
      </tp>
      <tp t="s">
        <v>N/A</v>
        <stp/>
        <stp>THETA</stp>
        <stp>.SPY160617C213.5</stp>
        <tr r="H702" s="1"/>
      </tp>
      <tp t="s">
        <v>N/A</v>
        <stp/>
        <stp>THETA</stp>
        <stp>.SPY150930C207.5</stp>
        <tr r="H480" s="1"/>
      </tp>
      <tp t="s">
        <v>N/A</v>
        <stp/>
        <stp>THETA</stp>
        <stp>.SPY150930C217.5</stp>
        <tr r="H500" s="1"/>
      </tp>
      <tp t="s">
        <v>N/A</v>
        <stp/>
        <stp>THETA</stp>
        <stp>.SPY160916C202.5</stp>
        <tr r="H722" s="1"/>
      </tp>
      <tp t="s">
        <v>N/A</v>
        <stp/>
        <stp>THETA</stp>
        <stp>.SPY160916C212.5</stp>
        <tr r="H742" s="1"/>
      </tp>
      <tp t="s">
        <v>N/A</v>
        <stp/>
        <stp>THETA</stp>
        <stp>.SPY170120P215.5</stp>
        <tr r="S832" s="1"/>
      </tp>
      <tp t="s">
        <v>N/A</v>
        <stp/>
        <stp>THETA</stp>
        <stp>.SPY170120P205.5</stp>
        <tr r="S812" s="1"/>
      </tp>
      <tp t="s">
        <v>N/A</v>
        <stp/>
        <stp>THETA</stp>
        <stp>.SPY160115P201.5</stp>
        <tr r="S594" s="1"/>
      </tp>
      <tp t="s">
        <v>N/A</v>
        <stp/>
        <stp>THETA</stp>
        <stp>.SPY160115P211.5</stp>
        <tr r="S614" s="1"/>
      </tp>
      <tp t="s">
        <v>N/A</v>
        <stp/>
        <stp>THETA</stp>
        <stp>.SPY170317P202.5</stp>
        <tr r="S848" s="1"/>
      </tp>
      <tp t="s">
        <v>N/A</v>
        <stp/>
        <stp>THETA</stp>
        <stp>.SPY170317P212.5</stp>
        <tr r="S868" s="1"/>
      </tp>
      <tp>
        <v>-2.6110000000000001E-2</v>
        <stp/>
        <stp>THETA</stp>
        <stp>.SPY150522P215.5</stp>
        <tr r="S244" s="1"/>
      </tp>
      <tp>
        <v>-4.53E-2</v>
        <stp/>
        <stp>THETA</stp>
        <stp>.SPY150522P205.5</stp>
        <tr r="S224" s="1"/>
      </tp>
      <tp t="s">
        <v>N/A</v>
        <stp/>
        <stp>THETA</stp>
        <stp>.SPY150501P216.5</stp>
        <tr r="S120" s="1"/>
      </tp>
      <tp>
        <v>-3.3610000000000001E-2</v>
        <stp/>
        <stp>THETA</stp>
        <stp>.SPY150515P202.5</stp>
        <tr r="S176" s="1"/>
      </tp>
      <tp t="s">
        <v>N/A</v>
        <stp/>
        <stp>THETA</stp>
        <stp>.SPY150501P206.5</stp>
        <tr r="S100" s="1"/>
      </tp>
      <tp>
        <v>-6.1879999999999998E-2</v>
        <stp/>
        <stp>THETA</stp>
        <stp>.SPY150515P212.5</stp>
        <tr r="S196" s="1"/>
      </tp>
      <tp t="s">
        <v>N/A</v>
        <stp/>
        <stp>THETA</stp>
        <stp>.SPY150424P213.5</stp>
        <tr r="S72" s="1"/>
      </tp>
      <tp t="s">
        <v>N/A</v>
        <stp/>
        <stp>THETA</stp>
        <stp>.SPY150424P203.5</stp>
        <tr r="S52" s="1"/>
      </tp>
      <tp t="s">
        <v>N/A</v>
        <stp/>
        <stp>THETA</stp>
        <stp>.SPY150417P200.5</stp>
        <tr r="S4" s="1"/>
      </tp>
      <tp t="s">
        <v>N/A</v>
        <stp/>
        <stp>THETA</stp>
        <stp>.SPY150417P210.5</stp>
        <tr r="S24" s="1"/>
      </tp>
      <tp t="s">
        <v>N/A</v>
        <stp/>
        <stp>THETA</stp>
        <stp>.SPY150717P200.5</stp>
        <tr r="S382" s="1"/>
      </tp>
      <tp t="s">
        <v>N/A</v>
        <stp/>
        <stp>THETA</stp>
        <stp>.SPY150717P210.5</stp>
        <tr r="S402" s="1"/>
      </tp>
      <tp t="s">
        <v>N/A</v>
        <stp/>
        <stp>THETA</stp>
        <stp>.SPY150630P207.5</stp>
        <tr r="S354" s="1"/>
      </tp>
      <tp t="s">
        <v>N/A</v>
        <stp/>
        <stp>THETA</stp>
        <stp>.SPY150630P217.5</stp>
        <tr r="S374" s="1"/>
      </tp>
      <tp t="s">
        <v>N/A</v>
        <stp/>
        <stp>THETA</stp>
        <stp>.SPY160617P203.5</stp>
        <tr r="S682" s="1"/>
      </tp>
      <tp t="s">
        <v>N/A</v>
        <stp/>
        <stp>THETA</stp>
        <stp>.SPY160617P213.5</stp>
        <tr r="S702" s="1"/>
      </tp>
      <tp t="s">
        <v>N/A</v>
        <stp/>
        <stp>THETA</stp>
        <stp>.SPY150930P207.5</stp>
        <tr r="S480" s="1"/>
      </tp>
      <tp t="s">
        <v>N/A</v>
        <stp/>
        <stp>THETA</stp>
        <stp>.SPY150930P217.5</stp>
        <tr r="S500" s="1"/>
      </tp>
      <tp t="s">
        <v>N/A</v>
        <stp/>
        <stp>THETA</stp>
        <stp>.SPY160916P202.5</stp>
        <tr r="S722" s="1"/>
      </tp>
      <tp t="s">
        <v>N/A</v>
        <stp/>
        <stp>THETA</stp>
        <stp>.SPY160916P212.5</stp>
        <tr r="S742" s="1"/>
      </tp>
      <tp t="s">
        <v>N/A</v>
        <stp/>
        <stp>THETA</stp>
        <stp>.SPY151231P206.5</stp>
        <tr r="S562" s="1"/>
      </tp>
      <tp t="s">
        <v>N/A</v>
        <stp/>
        <stp>THETA</stp>
        <stp>.SPY151231P216.5</stp>
        <tr r="S582" s="1"/>
      </tp>
      <tp t="s">
        <v>N/A</v>
        <stp/>
        <stp>THETA</stp>
        <stp>.SPY161216P202.5</stp>
        <tr r="S764" s="1"/>
      </tp>
      <tp t="s">
        <v>N/A</v>
        <stp/>
        <stp>THETA</stp>
        <stp>.SPY171215P200.5</stp>
        <tr r="S886" s="1"/>
      </tp>
      <tp t="s">
        <v>N/A</v>
        <stp/>
        <stp>THETA</stp>
        <stp>.SPY161216P212.5</stp>
        <tr r="S784" s="1"/>
      </tp>
      <tp t="s">
        <v>N/A</v>
        <stp/>
        <stp>THETA</stp>
        <stp>.SPY171215P210.5</stp>
        <tr r="S906" s="1"/>
      </tp>
      <tp t="s">
        <v>N/A</v>
        <stp/>
        <stp>DELTA</stp>
        <stp>.SPY151231C216.5</stp>
        <tr r="G582" s="1"/>
      </tp>
      <tp t="s">
        <v>N/A</v>
        <stp/>
        <stp>DELTA</stp>
        <stp>.SPY151231C206.5</stp>
        <tr r="G562" s="1"/>
      </tp>
      <tp t="s">
        <v>N/A</v>
        <stp/>
        <stp>DELTA</stp>
        <stp>.SPY161216C212.5</stp>
        <tr r="G784" s="1"/>
      </tp>
      <tp t="s">
        <v>N/A</v>
        <stp/>
        <stp>DELTA</stp>
        <stp>.SPY171215C210.5</stp>
        <tr r="G906" s="1"/>
      </tp>
      <tp t="s">
        <v>N/A</v>
        <stp/>
        <stp>DELTA</stp>
        <stp>.SPY161216C202.5</stp>
        <tr r="G764" s="1"/>
      </tp>
      <tp t="s">
        <v>N/A</v>
        <stp/>
        <stp>DELTA</stp>
        <stp>.SPY171215C200.5</stp>
        <tr r="G886" s="1"/>
      </tp>
      <tp t="s">
        <v>N/A</v>
        <stp/>
        <stp>DELTA</stp>
        <stp>.SPY150930C217.5</stp>
        <tr r="G500" s="1"/>
      </tp>
      <tp t="s">
        <v>N/A</v>
        <stp/>
        <stp>DELTA</stp>
        <stp>.SPY150930C207.5</stp>
        <tr r="G480" s="1"/>
      </tp>
      <tp t="s">
        <v>N/A</v>
        <stp/>
        <stp>DELTA</stp>
        <stp>.SPY160916C212.5</stp>
        <tr r="G742" s="1"/>
      </tp>
      <tp t="s">
        <v>N/A</v>
        <stp/>
        <stp>DELTA</stp>
        <stp>.SPY160916C202.5</stp>
        <tr r="G722" s="1"/>
      </tp>
      <tp t="s">
        <v>N/A</v>
        <stp/>
        <stp>DELTA</stp>
        <stp>.SPY150424C203.5</stp>
        <tr r="G52" s="1"/>
      </tp>
      <tp t="s">
        <v>N/A</v>
        <stp/>
        <stp>DELTA</stp>
        <stp>.SPY150424C213.5</stp>
        <tr r="G72" s="1"/>
      </tp>
      <tp t="s">
        <v>N/A</v>
        <stp/>
        <stp>DELTA</stp>
        <stp>.SPY150417C210.5</stp>
        <tr r="G24" s="1"/>
      </tp>
      <tp t="s">
        <v>N/A</v>
        <stp/>
        <stp>DELTA</stp>
        <stp>.SPY150417C200.5</stp>
        <tr r="G4" s="1"/>
      </tp>
      <tp>
        <v>0.80976999999999999</v>
        <stp/>
        <stp>DELTA</stp>
        <stp>.SPY150522C205.5</stp>
        <tr r="G224" s="1"/>
      </tp>
      <tp>
        <v>0.16239999999999999</v>
        <stp/>
        <stp>DELTA</stp>
        <stp>.SPY150522C215.5</stp>
        <tr r="G244" s="1"/>
      </tp>
      <tp t="s">
        <v>N/A</v>
        <stp/>
        <stp>DELTA</stp>
        <stp>.SPY150501C206.5</stp>
        <tr r="G100" s="1"/>
      </tp>
      <tp>
        <v>0.38891999999999999</v>
        <stp/>
        <stp>DELTA</stp>
        <stp>.SPY150515C212.5</stp>
        <tr r="G196" s="1"/>
      </tp>
      <tp t="s">
        <v>N/A</v>
        <stp/>
        <stp>DELTA</stp>
        <stp>.SPY150501C216.5</stp>
        <tr r="G120" s="1"/>
      </tp>
      <tp>
        <v>0.92386999999999997</v>
        <stp/>
        <stp>DELTA</stp>
        <stp>.SPY150515C202.5</stp>
        <tr r="G176" s="1"/>
      </tp>
      <tp t="s">
        <v>N/A</v>
        <stp/>
        <stp>DELTA</stp>
        <stp>.SPY150630C217.5</stp>
        <tr r="G374" s="1"/>
      </tp>
      <tp t="s">
        <v>N/A</v>
        <stp/>
        <stp>DELTA</stp>
        <stp>.SPY150630C207.5</stp>
        <tr r="G354" s="1"/>
      </tp>
      <tp t="s">
        <v>N/A</v>
        <stp/>
        <stp>DELTA</stp>
        <stp>.SPY160617C213.5</stp>
        <tr r="G702" s="1"/>
      </tp>
      <tp t="s">
        <v>N/A</v>
        <stp/>
        <stp>DELTA</stp>
        <stp>.SPY160617C203.5</stp>
        <tr r="G682" s="1"/>
      </tp>
      <tp t="s">
        <v>N/A</v>
        <stp/>
        <stp>DELTA</stp>
        <stp>.SPY150717C210.5</stp>
        <tr r="G402" s="1"/>
      </tp>
      <tp t="s">
        <v>N/A</v>
        <stp/>
        <stp>DELTA</stp>
        <stp>.SPY150717C200.5</stp>
        <tr r="G382" s="1"/>
      </tp>
      <tp t="s">
        <v>N/A</v>
        <stp/>
        <stp>DELTA</stp>
        <stp>.SPY170120C205.5</stp>
        <tr r="G812" s="1"/>
      </tp>
      <tp t="s">
        <v>N/A</v>
        <stp/>
        <stp>DELTA</stp>
        <stp>.SPY170120C215.5</stp>
        <tr r="G832" s="1"/>
      </tp>
      <tp t="s">
        <v>N/A</v>
        <stp/>
        <stp>DELTA</stp>
        <stp>.SPY160115C211.5</stp>
        <tr r="G614" s="1"/>
      </tp>
      <tp t="s">
        <v>N/A</v>
        <stp/>
        <stp>DELTA</stp>
        <stp>.SPY160115C201.5</stp>
        <tr r="G594" s="1"/>
      </tp>
      <tp t="s">
        <v>N/A</v>
        <stp/>
        <stp>DELTA</stp>
        <stp>.SPY170317C212.5</stp>
        <tr r="G868" s="1"/>
      </tp>
      <tp t="s">
        <v>N/A</v>
        <stp/>
        <stp>DELTA</stp>
        <stp>.SPY170317C202.5</stp>
        <tr r="G848" s="1"/>
      </tp>
      <tp>
        <v>23</v>
        <stp/>
        <stp>VOLUME</stp>
        <stp>.SPY150630P216</stp>
        <tr r="P371" s="1"/>
      </tp>
      <tp>
        <v>75</v>
        <stp/>
        <stp>VOLUME</stp>
        <stp>.SPY150630C216</stp>
        <tr r="E371" s="1"/>
      </tp>
      <tp>
        <v>7</v>
        <stp/>
        <stp>VOLUME</stp>
        <stp>.SPY150630P217</stp>
        <tr r="P373" s="1"/>
      </tp>
      <tp>
        <v>86</v>
        <stp/>
        <stp>VOLUME</stp>
        <stp>.SPY150630C217</stp>
        <tr r="E373" s="1"/>
      </tp>
      <tp>
        <v>9</v>
        <stp/>
        <stp>VOLUME</stp>
        <stp>.SPY150630P214</stp>
        <tr r="P367" s="1"/>
      </tp>
      <tp>
        <v>369</v>
        <stp/>
        <stp>VOLUME</stp>
        <stp>.SPY150630C214</stp>
        <tr r="E367" s="1"/>
      </tp>
      <tp>
        <v>18</v>
        <stp/>
        <stp>VOLUME</stp>
        <stp>.SPY150630P215</stp>
        <tr r="P369" s="1"/>
      </tp>
      <tp>
        <v>831</v>
        <stp/>
        <stp>VOLUME</stp>
        <stp>.SPY150630C215</stp>
        <tr r="E369" s="1"/>
      </tp>
      <tp>
        <v>56</v>
        <stp/>
        <stp>VOLUME</stp>
        <stp>.SPY150630P212</stp>
        <tr r="P363" s="1"/>
      </tp>
      <tp>
        <v>396</v>
        <stp/>
        <stp>VOLUME</stp>
        <stp>.SPY150630C212</stp>
        <tr r="E363" s="1"/>
      </tp>
      <tp>
        <v>2</v>
        <stp/>
        <stp>VOLUME</stp>
        <stp>.SPY150630P213</stp>
        <tr r="P365" s="1"/>
      </tp>
      <tp>
        <v>408</v>
        <stp/>
        <stp>VOLUME</stp>
        <stp>.SPY150630C213</stp>
        <tr r="E365" s="1"/>
      </tp>
      <tp>
        <v>952</v>
        <stp/>
        <stp>VOLUME</stp>
        <stp>.SPY150630P210</stp>
        <tr r="P359" s="1"/>
      </tp>
      <tp>
        <v>612</v>
        <stp/>
        <stp>VOLUME</stp>
        <stp>.SPY150630C210</stp>
        <tr r="E359" s="1"/>
      </tp>
      <tp>
        <v>123</v>
        <stp/>
        <stp>VOLUME</stp>
        <stp>.SPY150630P211</stp>
        <tr r="P361" s="1"/>
      </tp>
      <tp>
        <v>78</v>
        <stp/>
        <stp>VOLUME</stp>
        <stp>.SPY150630C211</stp>
        <tr r="E361" s="1"/>
      </tp>
      <tp>
        <v>4</v>
        <stp/>
        <stp>VOLUME</stp>
        <stp>.SPY150630P218</stp>
        <tr r="P375" s="1"/>
      </tp>
      <tp>
        <v>76</v>
        <stp/>
        <stp>VOLUME</stp>
        <stp>.SPY150630C218</stp>
        <tr r="E375" s="1"/>
      </tp>
      <tp>
        <v>4</v>
        <stp/>
        <stp>VOLUME</stp>
        <stp>.SPY150630P219</stp>
        <tr r="P377" s="1"/>
      </tp>
      <tp>
        <v>25</v>
        <stp/>
        <stp>VOLUME</stp>
        <stp>.SPY150630C219</stp>
        <tr r="E377" s="1"/>
      </tp>
      <tp>
        <v>830</v>
        <stp/>
        <stp>VOLUME</stp>
        <stp>.SPY150630P206</stp>
        <tr r="P351" s="1"/>
      </tp>
      <tp>
        <v>0</v>
        <stp/>
        <stp>VOLUME</stp>
        <stp>.SPY150630C206</stp>
        <tr r="E351" s="1"/>
      </tp>
      <tp>
        <v>657</v>
        <stp/>
        <stp>VOLUME</stp>
        <stp>.SPY150630P207</stp>
        <tr r="P353" s="1"/>
      </tp>
      <tp>
        <v>3</v>
        <stp/>
        <stp>VOLUME</stp>
        <stp>.SPY150630C207</stp>
        <tr r="E353" s="1"/>
      </tp>
      <tp>
        <v>682</v>
        <stp/>
        <stp>VOLUME</stp>
        <stp>.SPY150630P204</stp>
        <tr r="P347" s="1"/>
      </tp>
      <tp>
        <v>3</v>
        <stp/>
        <stp>VOLUME</stp>
        <stp>.SPY150630C204</stp>
        <tr r="E347" s="1"/>
      </tp>
      <tp>
        <v>108</v>
        <stp/>
        <stp>VOLUME</stp>
        <stp>.SPY150630P205</stp>
        <tr r="P349" s="1"/>
      </tp>
      <tp>
        <v>30</v>
        <stp/>
        <stp>VOLUME</stp>
        <stp>.SPY150630C205</stp>
        <tr r="E349" s="1"/>
      </tp>
      <tp>
        <v>56</v>
        <stp/>
        <stp>VOLUME</stp>
        <stp>.SPY150630P202</stp>
        <tr r="P343" s="1"/>
      </tp>
      <tp>
        <v>0</v>
        <stp/>
        <stp>VOLUME</stp>
        <stp>.SPY150630C202</stp>
        <tr r="E343" s="1"/>
      </tp>
      <tp>
        <v>153</v>
        <stp/>
        <stp>VOLUME</stp>
        <stp>.SPY150630P203</stp>
        <tr r="P345" s="1"/>
      </tp>
      <tp>
        <v>3</v>
        <stp/>
        <stp>VOLUME</stp>
        <stp>.SPY150630C203</stp>
        <tr r="E345" s="1"/>
      </tp>
      <tp>
        <v>112</v>
        <stp/>
        <stp>VOLUME</stp>
        <stp>.SPY150630P200</stp>
        <tr r="P339" s="1"/>
      </tp>
      <tp>
        <v>1</v>
        <stp/>
        <stp>VOLUME</stp>
        <stp>.SPY150630C200</stp>
        <tr r="E339" s="1"/>
      </tp>
      <tp>
        <v>91</v>
        <stp/>
        <stp>VOLUME</stp>
        <stp>.SPY150630P201</stp>
        <tr r="P341" s="1"/>
      </tp>
      <tp>
        <v>2</v>
        <stp/>
        <stp>VOLUME</stp>
        <stp>.SPY150630C201</stp>
        <tr r="E341" s="1"/>
      </tp>
      <tp>
        <v>450</v>
        <stp/>
        <stp>VOLUME</stp>
        <stp>.SPY150630P208</stp>
        <tr r="P355" s="1"/>
      </tp>
      <tp>
        <v>3</v>
        <stp/>
        <stp>VOLUME</stp>
        <stp>.SPY150630C208</stp>
        <tr r="E355" s="1"/>
      </tp>
      <tp>
        <v>363</v>
        <stp/>
        <stp>VOLUME</stp>
        <stp>.SPY150630P209</stp>
        <tr r="P357" s="1"/>
      </tp>
      <tp>
        <v>14</v>
        <stp/>
        <stp>VOLUME</stp>
        <stp>.SPY150630C209</stp>
        <tr r="E357" s="1"/>
      </tp>
      <tp t="s">
        <v>N/A</v>
        <stp/>
        <stp>VOLUME</stp>
        <stp>.SPY160617P212</stp>
        <tr r="P699" s="1"/>
      </tp>
      <tp t="s">
        <v>N/A</v>
        <stp/>
        <stp>VOLUME</stp>
        <stp>.SPY160617C212</stp>
        <tr r="E699" s="1"/>
      </tp>
      <tp t="s">
        <v>N/A</v>
        <stp/>
        <stp>VOLUME</stp>
        <stp>.SPY160617P213</stp>
        <tr r="P701" s="1"/>
      </tp>
      <tp t="s">
        <v>N/A</v>
        <stp/>
        <stp>VOLUME</stp>
        <stp>.SPY160617C213</stp>
        <tr r="E701" s="1"/>
      </tp>
      <tp>
        <v>1</v>
        <stp/>
        <stp>VOLUME</stp>
        <stp>.SPY160617P210</stp>
        <tr r="P695" s="1"/>
      </tp>
      <tp>
        <v>2</v>
        <stp/>
        <stp>VOLUME</stp>
        <stp>.SPY160617C210</stp>
        <tr r="E695" s="1"/>
      </tp>
      <tp t="s">
        <v>N/A</v>
        <stp/>
        <stp>VOLUME</stp>
        <stp>.SPY160617P211</stp>
        <tr r="P697" s="1"/>
      </tp>
      <tp t="s">
        <v>N/A</v>
        <stp/>
        <stp>VOLUME</stp>
        <stp>.SPY160617C211</stp>
        <tr r="E697" s="1"/>
      </tp>
      <tp t="s">
        <v>N/A</v>
        <stp/>
        <stp>VOLUME</stp>
        <stp>.SPY160617P216</stp>
        <tr r="P707" s="1"/>
      </tp>
      <tp t="s">
        <v>N/A</v>
        <stp/>
        <stp>VOLUME</stp>
        <stp>.SPY160617C216</stp>
        <tr r="E707" s="1"/>
      </tp>
      <tp t="s">
        <v>N/A</v>
        <stp/>
        <stp>VOLUME</stp>
        <stp>.SPY160617P217</stp>
        <tr r="P709" s="1"/>
      </tp>
      <tp t="s">
        <v>N/A</v>
        <stp/>
        <stp>VOLUME</stp>
        <stp>.SPY160617C217</stp>
        <tr r="E709" s="1"/>
      </tp>
      <tp>
        <v>44</v>
        <stp/>
        <stp>VOLUME</stp>
        <stp>.SPY150619P219</stp>
        <tr r="P335" s="1"/>
      </tp>
      <tp t="s">
        <v>N/A</v>
        <stp/>
        <stp>VOLUME</stp>
        <stp>.SPY160617P214</stp>
        <tr r="P703" s="1"/>
      </tp>
      <tp>
        <v>3656</v>
        <stp/>
        <stp>VOLUME</stp>
        <stp>.SPY150619C219</stp>
        <tr r="E335" s="1"/>
      </tp>
      <tp t="s">
        <v>N/A</v>
        <stp/>
        <stp>VOLUME</stp>
        <stp>.SPY160617C214</stp>
        <tr r="E703" s="1"/>
      </tp>
      <tp>
        <v>113</v>
        <stp/>
        <stp>VOLUME</stp>
        <stp>.SPY150619P218</stp>
        <tr r="P333" s="1"/>
      </tp>
      <tp>
        <v>103</v>
        <stp/>
        <stp>VOLUME</stp>
        <stp>.SPY160617P215</stp>
        <tr r="P705" s="1"/>
      </tp>
      <tp>
        <v>3650</v>
        <stp/>
        <stp>VOLUME</stp>
        <stp>.SPY150619C218</stp>
        <tr r="E333" s="1"/>
      </tp>
      <tp>
        <v>1</v>
        <stp/>
        <stp>VOLUME</stp>
        <stp>.SPY160617C215</stp>
        <tr r="E705" s="1"/>
      </tp>
      <tp>
        <v>75</v>
        <stp/>
        <stp>VOLUME</stp>
        <stp>.SPY150619P217</stp>
        <tr r="P331" s="1"/>
      </tp>
      <tp>
        <v>2317</v>
        <stp/>
        <stp>VOLUME</stp>
        <stp>.SPY150619C217</stp>
        <tr r="E331" s="1"/>
      </tp>
      <tp>
        <v>162</v>
        <stp/>
        <stp>VOLUME</stp>
        <stp>.SPY150619P216</stp>
        <tr r="P329" s="1"/>
      </tp>
      <tp>
        <v>3384</v>
        <stp/>
        <stp>VOLUME</stp>
        <stp>.SPY150619C216</stp>
        <tr r="E329" s="1"/>
      </tp>
      <tp>
        <v>286</v>
        <stp/>
        <stp>VOLUME</stp>
        <stp>.SPY150619P215</stp>
        <tr r="P327" s="1"/>
      </tp>
      <tp t="s">
        <v>N/A</v>
        <stp/>
        <stp>VOLUME</stp>
        <stp>.SPY160617P218</stp>
        <tr r="P711" s="1"/>
      </tp>
      <tp>
        <v>12627</v>
        <stp/>
        <stp>VOLUME</stp>
        <stp>.SPY150619C215</stp>
        <tr r="E327" s="1"/>
      </tp>
      <tp t="s">
        <v>N/A</v>
        <stp/>
        <stp>VOLUME</stp>
        <stp>.SPY160617C218</stp>
        <tr r="E711" s="1"/>
      </tp>
      <tp>
        <v>429</v>
        <stp/>
        <stp>VOLUME</stp>
        <stp>.SPY150619P214</stp>
        <tr r="P325" s="1"/>
      </tp>
      <tp t="s">
        <v>N/A</v>
        <stp/>
        <stp>VOLUME</stp>
        <stp>.SPY160617P219</stp>
        <tr r="P713" s="1"/>
      </tp>
      <tp>
        <v>4742</v>
        <stp/>
        <stp>VOLUME</stp>
        <stp>.SPY150619C214</stp>
        <tr r="E325" s="1"/>
      </tp>
      <tp t="s">
        <v>N/A</v>
        <stp/>
        <stp>VOLUME</stp>
        <stp>.SPY160617C219</stp>
        <tr r="E713" s="1"/>
      </tp>
      <tp>
        <v>557</v>
        <stp/>
        <stp>VOLUME</stp>
        <stp>.SPY150619P213</stp>
        <tr r="P323" s="1"/>
      </tp>
      <tp>
        <v>2415</v>
        <stp/>
        <stp>VOLUME</stp>
        <stp>.SPY150619C213</stp>
        <tr r="E323" s="1"/>
      </tp>
      <tp>
        <v>2529</v>
        <stp/>
        <stp>VOLUME</stp>
        <stp>.SPY150619P212</stp>
        <tr r="P321" s="1"/>
      </tp>
      <tp>
        <v>8136</v>
        <stp/>
        <stp>VOLUME</stp>
        <stp>.SPY150619C212</stp>
        <tr r="E321" s="1"/>
      </tp>
      <tp>
        <v>6146</v>
        <stp/>
        <stp>VOLUME</stp>
        <stp>.SPY150619P211</stp>
        <tr r="P319" s="1"/>
      </tp>
      <tp>
        <v>3830</v>
        <stp/>
        <stp>VOLUME</stp>
        <stp>.SPY150619C211</stp>
        <tr r="E319" s="1"/>
      </tp>
      <tp>
        <v>9811</v>
        <stp/>
        <stp>VOLUME</stp>
        <stp>.SPY150619P210</stp>
        <tr r="P317" s="1"/>
      </tp>
      <tp>
        <v>2248</v>
        <stp/>
        <stp>VOLUME</stp>
        <stp>.SPY150619C210</stp>
        <tr r="E317" s="1"/>
      </tp>
      <tp t="s">
        <v>N/A</v>
        <stp/>
        <stp>VOLUME</stp>
        <stp>.SPY160617P202</stp>
        <tr r="P679" s="1"/>
      </tp>
      <tp t="s">
        <v>N/A</v>
        <stp/>
        <stp>VOLUME</stp>
        <stp>.SPY160617C202</stp>
        <tr r="E679" s="1"/>
      </tp>
      <tp t="s">
        <v>N/A</v>
        <stp/>
        <stp>VOLUME</stp>
        <stp>.SPY160617P203</stp>
        <tr r="P681" s="1"/>
      </tp>
      <tp t="s">
        <v>N/A</v>
        <stp/>
        <stp>VOLUME</stp>
        <stp>.SPY160617C203</stp>
        <tr r="E681" s="1"/>
      </tp>
      <tp>
        <v>4</v>
        <stp/>
        <stp>VOLUME</stp>
        <stp>.SPY160617P200</stp>
        <tr r="P675" s="1"/>
      </tp>
      <tp>
        <v>1</v>
        <stp/>
        <stp>VOLUME</stp>
        <stp>.SPY160617C200</stp>
        <tr r="E675" s="1"/>
      </tp>
      <tp t="s">
        <v>N/A</v>
        <stp/>
        <stp>VOLUME</stp>
        <stp>.SPY160617P201</stp>
        <tr r="P677" s="1"/>
      </tp>
      <tp t="s">
        <v>N/A</v>
        <stp/>
        <stp>VOLUME</stp>
        <stp>.SPY160617C201</stp>
        <tr r="E677" s="1"/>
      </tp>
      <tp t="s">
        <v>N/A</v>
        <stp/>
        <stp>VOLUME</stp>
        <stp>.SPY160617P206</stp>
        <tr r="P687" s="1"/>
      </tp>
      <tp t="s">
        <v>N/A</v>
        <stp/>
        <stp>VOLUME</stp>
        <stp>.SPY160617C206</stp>
        <tr r="E687" s="1"/>
      </tp>
      <tp t="s">
        <v>N/A</v>
        <stp/>
        <stp>VOLUME</stp>
        <stp>.SPY160617P207</stp>
        <tr r="P689" s="1"/>
      </tp>
      <tp t="s">
        <v>N/A</v>
        <stp/>
        <stp>VOLUME</stp>
        <stp>.SPY160617C207</stp>
        <tr r="E689" s="1"/>
      </tp>
      <tp>
        <v>9141</v>
        <stp/>
        <stp>VOLUME</stp>
        <stp>.SPY150619P209</stp>
        <tr r="P315" s="1"/>
      </tp>
      <tp t="s">
        <v>N/A</v>
        <stp/>
        <stp>VOLUME</stp>
        <stp>.SPY160617P204</stp>
        <tr r="P683" s="1"/>
      </tp>
      <tp>
        <v>1591</v>
        <stp/>
        <stp>VOLUME</stp>
        <stp>.SPY150619C209</stp>
        <tr r="E315" s="1"/>
      </tp>
      <tp t="s">
        <v>N/A</v>
        <stp/>
        <stp>VOLUME</stp>
        <stp>.SPY160617C204</stp>
        <tr r="E683" s="1"/>
      </tp>
      <tp>
        <v>7122</v>
        <stp/>
        <stp>VOLUME</stp>
        <stp>.SPY150619P208</stp>
        <tr r="P313" s="1"/>
      </tp>
      <tp>
        <v>1</v>
        <stp/>
        <stp>VOLUME</stp>
        <stp>.SPY160617P205</stp>
        <tr r="P685" s="1"/>
      </tp>
      <tp>
        <v>222</v>
        <stp/>
        <stp>VOLUME</stp>
        <stp>.SPY150619C208</stp>
        <tr r="E313" s="1"/>
      </tp>
      <tp>
        <v>12</v>
        <stp/>
        <stp>VOLUME</stp>
        <stp>.SPY160617C205</stp>
        <tr r="E685" s="1"/>
      </tp>
      <tp>
        <v>12251</v>
        <stp/>
        <stp>VOLUME</stp>
        <stp>.SPY150619P207</stp>
        <tr r="P311" s="1"/>
      </tp>
      <tp>
        <v>53</v>
        <stp/>
        <stp>VOLUME</stp>
        <stp>.SPY150619C207</stp>
        <tr r="E311" s="1"/>
      </tp>
      <tp>
        <v>1660</v>
        <stp/>
        <stp>VOLUME</stp>
        <stp>.SPY150619P206</stp>
        <tr r="P309" s="1"/>
      </tp>
      <tp>
        <v>44</v>
        <stp/>
        <stp>VOLUME</stp>
        <stp>.SPY150619C206</stp>
        <tr r="E309" s="1"/>
      </tp>
      <tp>
        <v>20614</v>
        <stp/>
        <stp>VOLUME</stp>
        <stp>.SPY150619P205</stp>
        <tr r="P307" s="1"/>
      </tp>
      <tp t="s">
        <v>N/A</v>
        <stp/>
        <stp>VOLUME</stp>
        <stp>.SPY160617P208</stp>
        <tr r="P691" s="1"/>
      </tp>
      <tp>
        <v>29</v>
        <stp/>
        <stp>VOLUME</stp>
        <stp>.SPY150619C205</stp>
        <tr r="E307" s="1"/>
      </tp>
      <tp t="s">
        <v>N/A</v>
        <stp/>
        <stp>VOLUME</stp>
        <stp>.SPY160617C208</stp>
        <tr r="E691" s="1"/>
      </tp>
      <tp>
        <v>3599</v>
        <stp/>
        <stp>VOLUME</stp>
        <stp>.SPY150619P204</stp>
        <tr r="P305" s="1"/>
      </tp>
      <tp t="s">
        <v>N/A</v>
        <stp/>
        <stp>VOLUME</stp>
        <stp>.SPY160617P209</stp>
        <tr r="P693" s="1"/>
      </tp>
      <tp>
        <v>21</v>
        <stp/>
        <stp>VOLUME</stp>
        <stp>.SPY150619C204</stp>
        <tr r="E305" s="1"/>
      </tp>
      <tp t="s">
        <v>N/A</v>
        <stp/>
        <stp>VOLUME</stp>
        <stp>.SPY160617C209</stp>
        <tr r="E693" s="1"/>
      </tp>
      <tp>
        <v>2291</v>
        <stp/>
        <stp>VOLUME</stp>
        <stp>.SPY150619P203</stp>
        <tr r="P303" s="1"/>
      </tp>
      <tp>
        <v>112</v>
        <stp/>
        <stp>VOLUME</stp>
        <stp>.SPY150619C203</stp>
        <tr r="E303" s="1"/>
      </tp>
      <tp>
        <v>22343</v>
        <stp/>
        <stp>VOLUME</stp>
        <stp>.SPY150619P202</stp>
        <tr r="P301" s="1"/>
      </tp>
      <tp>
        <v>12</v>
        <stp/>
        <stp>VOLUME</stp>
        <stp>.SPY150619C202</stp>
        <tr r="E301" s="1"/>
      </tp>
      <tp>
        <v>8233</v>
        <stp/>
        <stp>VOLUME</stp>
        <stp>.SPY150619P201</stp>
        <tr r="P299" s="1"/>
      </tp>
      <tp>
        <v>9</v>
        <stp/>
        <stp>VOLUME</stp>
        <stp>.SPY150619C201</stp>
        <tr r="E299" s="1"/>
      </tp>
      <tp>
        <v>21940</v>
        <stp/>
        <stp>VOLUME</stp>
        <stp>.SPY150619P200</stp>
        <tr r="P297" s="1"/>
      </tp>
      <tp>
        <v>31</v>
        <stp/>
        <stp>VOLUME</stp>
        <stp>.SPY150619C200</stp>
        <tr r="E297" s="1"/>
      </tp>
      <tp t="s">
        <v>N/A</v>
        <stp/>
        <stp>BID</stp>
        <stp>.SPY150918C216.5</stp>
        <tr r="C456" s="1"/>
      </tp>
      <tp t="s">
        <v>N/A</v>
        <stp/>
        <stp>BID</stp>
        <stp>.SPY150918C206.5</stp>
        <tr r="C436" s="1"/>
      </tp>
      <tp t="s">
        <v>N/A</v>
        <stp/>
        <stp>BID</stp>
        <stp>.SPY160318C215.5</stp>
        <tr r="C664" s="1"/>
      </tp>
      <tp t="s">
        <v>N/A</v>
        <stp/>
        <stp>BID</stp>
        <stp>.SPY160318C205.5</stp>
        <tr r="C644" s="1"/>
      </tp>
      <tp t="s">
        <v>N/A</v>
        <stp/>
        <stp>BID</stp>
        <stp>.SPY160115C218.5</stp>
        <tr r="C628" s="1"/>
      </tp>
      <tp t="s">
        <v>N/A</v>
        <stp/>
        <stp>BID</stp>
        <stp>.SPY160115C208.5</stp>
        <tr r="C608" s="1"/>
      </tp>
      <tp t="s">
        <v>N/A</v>
        <stp/>
        <stp>BID</stp>
        <stp>.SPY150717C219.5</stp>
        <tr r="C420" s="1"/>
      </tp>
      <tp t="s">
        <v>N/A</v>
        <stp/>
        <stp>BID</stp>
        <stp>.SPY150717C209.5</stp>
        <tr r="C400" s="1"/>
      </tp>
      <tp t="s">
        <v>N/A</v>
        <stp/>
        <stp>BID</stp>
        <stp>.SPY150619C217.5</stp>
        <tr r="C332" s="1"/>
      </tp>
      <tp t="s">
        <v>N/A</v>
        <stp/>
        <stp>BID</stp>
        <stp>.SPY150619C207.5</stp>
        <tr r="C312" s="1"/>
      </tp>
      <tp>
        <v>5.13</v>
        <stp/>
        <stp>BID</stp>
        <stp>.SPY150529C207.5</stp>
        <tr r="C270" s="1"/>
      </tp>
      <tp>
        <v>0.2</v>
        <stp/>
        <stp>BID</stp>
        <stp>.SPY150529C217.5</stp>
        <tr r="C290" s="1"/>
      </tp>
      <tp>
        <v>4.93</v>
        <stp/>
        <stp>BID</stp>
        <stp>.SPY150508C206.5</stp>
        <tr r="C142" s="1"/>
      </tp>
      <tp>
        <v>0.01</v>
        <stp/>
        <stp>BID</stp>
        <stp>.SPY150508C216.5</stp>
        <tr r="C162" s="1"/>
      </tp>
      <tp>
        <v>0</v>
        <stp/>
        <stp>BID</stp>
        <stp>.SPY150417C219.5</stp>
        <tr r="C42" s="1"/>
      </tp>
      <tp>
        <v>0</v>
        <stp/>
        <stp>BID</stp>
        <stp>.SPY150417C209.5</stp>
        <tr r="C22" s="1"/>
      </tp>
      <tp t="s">
        <v>N/A</v>
        <stp/>
        <stp>BID</stp>
        <stp>.SPY151219C217.5</stp>
        <tr r="C542" s="1"/>
      </tp>
      <tp t="s">
        <v>N/A</v>
        <stp/>
        <stp>BID</stp>
        <stp>.SPY171215C219.5</stp>
        <tr r="C924" s="1"/>
      </tp>
      <tp t="s">
        <v>N/A</v>
        <stp/>
        <stp>BID</stp>
        <stp>.SPY151219C207.5</stp>
        <tr r="C522" s="1"/>
      </tp>
      <tp t="s">
        <v>N/A</v>
        <stp/>
        <stp>BID</stp>
        <stp>.SPY171215C209.5</stp>
        <tr r="C904" s="1"/>
      </tp>
      <tp t="s">
        <v>N/A</v>
        <stp/>
        <stp>RHO</stp>
        <stp>.SPY151219C216.5</stp>
        <tr r="K540" s="1"/>
      </tp>
      <tp t="s">
        <v>N/A</v>
        <stp/>
        <stp>RHO</stp>
        <stp>.SPY171215C218.5</stp>
        <tr r="K922" s="1"/>
      </tp>
      <tp t="s">
        <v>N/A</v>
        <stp/>
        <stp>RHO</stp>
        <stp>.SPY151219C206.5</stp>
        <tr r="K520" s="1"/>
      </tp>
      <tp t="s">
        <v>N/A</v>
        <stp/>
        <stp>RHO</stp>
        <stp>.SPY171215C208.5</stp>
        <tr r="K902" s="1"/>
      </tp>
      <tp t="s">
        <v>N/A</v>
        <stp/>
        <stp>RHO</stp>
        <stp>.SPY150918C217.5</stp>
        <tr r="K458" s="1"/>
      </tp>
      <tp t="s">
        <v>N/A</v>
        <stp/>
        <stp>RHO</stp>
        <stp>.SPY150918C207.5</stp>
        <tr r="K438" s="1"/>
      </tp>
      <tp t="s">
        <v>N/A</v>
        <stp/>
        <stp>RHO</stp>
        <stp>.SPY160318C214.5</stp>
        <tr r="K662" s="1"/>
      </tp>
      <tp t="s">
        <v>N/A</v>
        <stp/>
        <stp>RHO</stp>
        <stp>.SPY160318C204.5</stp>
        <tr r="K642" s="1"/>
      </tp>
      <tp t="s">
        <v>N/A</v>
        <stp/>
        <stp>RHO</stp>
        <stp>.SPY160115C219.5</stp>
        <tr r="K630" s="1"/>
      </tp>
      <tp t="s">
        <v>N/A</v>
        <stp/>
        <stp>RHO</stp>
        <stp>.SPY160115C209.5</stp>
        <tr r="K610" s="1"/>
      </tp>
      <tp t="s">
        <v>N/A</v>
        <stp/>
        <stp>RHO</stp>
        <stp>.SPY150717C218.5</stp>
        <tr r="K418" s="1"/>
      </tp>
      <tp t="s">
        <v>N/A</v>
        <stp/>
        <stp>RHO</stp>
        <stp>.SPY150717C208.5</stp>
        <tr r="K398" s="1"/>
      </tp>
      <tp t="s">
        <v>N/A</v>
        <stp/>
        <stp>RHO</stp>
        <stp>.SPY150619C216.5</stp>
        <tr r="K330" s="1"/>
      </tp>
      <tp t="s">
        <v>N/A</v>
        <stp/>
        <stp>RHO</stp>
        <stp>.SPY150619C206.5</stp>
        <tr r="K310" s="1"/>
      </tp>
      <tp>
        <v>9.0709999999999999E-2</v>
        <stp/>
        <stp>RHO</stp>
        <stp>.SPY150529C206.5</stp>
        <tr r="K268" s="1"/>
      </tp>
      <tp>
        <v>2.1309999999999999E-2</v>
        <stp/>
        <stp>RHO</stp>
        <stp>.SPY150529C216.5</stp>
        <tr r="K288" s="1"/>
      </tp>
      <tp>
        <v>1.7319999999999999E-2</v>
        <stp/>
        <stp>RHO</stp>
        <stp>.SPY150508C207.5</stp>
        <tr r="K144" s="1"/>
      </tp>
      <tp>
        <v>1.9000000000000001E-4</v>
        <stp/>
        <stp>RHO</stp>
        <stp>.SPY150508C217.5</stp>
        <tr r="K164" s="1"/>
      </tp>
      <tp t="s">
        <v>N/A</v>
        <stp/>
        <stp>RHO</stp>
        <stp>.SPY150417C218.5</stp>
        <tr r="K40" s="1"/>
      </tp>
      <tp t="s">
        <v>N/A</v>
        <stp/>
        <stp>RHO</stp>
        <stp>.SPY150417C208.5</stp>
        <tr r="K20" s="1"/>
      </tp>
      <tp t="s">
        <v>N/A</v>
        <stp/>
        <stp>BID</stp>
        <stp>.SPY151219P217.5</stp>
        <tr r="N542" s="1"/>
      </tp>
      <tp t="s">
        <v>N/A</v>
        <stp/>
        <stp>BID</stp>
        <stp>.SPY171215P219.5</stp>
        <tr r="N924" s="1"/>
      </tp>
      <tp t="s">
        <v>N/A</v>
        <stp/>
        <stp>BID</stp>
        <stp>.SPY151219P207.5</stp>
        <tr r="N522" s="1"/>
      </tp>
      <tp t="s">
        <v>N/A</v>
        <stp/>
        <stp>BID</stp>
        <stp>.SPY171215P209.5</stp>
        <tr r="N904" s="1"/>
      </tp>
      <tp t="s">
        <v>N/A</v>
        <stp/>
        <stp>BID</stp>
        <stp>.SPY150918P216.5</stp>
        <tr r="N456" s="1"/>
      </tp>
      <tp t="s">
        <v>N/A</v>
        <stp/>
        <stp>BID</stp>
        <stp>.SPY150918P206.5</stp>
        <tr r="N436" s="1"/>
      </tp>
      <tp t="s">
        <v>N/A</v>
        <stp/>
        <stp>BID</stp>
        <stp>.SPY160318P215.5</stp>
        <tr r="N664" s="1"/>
      </tp>
      <tp t="s">
        <v>N/A</v>
        <stp/>
        <stp>BID</stp>
        <stp>.SPY160318P205.5</stp>
        <tr r="N644" s="1"/>
      </tp>
      <tp t="s">
        <v>N/A</v>
        <stp/>
        <stp>BID</stp>
        <stp>.SPY160115P218.5</stp>
        <tr r="N628" s="1"/>
      </tp>
      <tp t="s">
        <v>N/A</v>
        <stp/>
        <stp>BID</stp>
        <stp>.SPY160115P208.5</stp>
        <tr r="N608" s="1"/>
      </tp>
      <tp t="s">
        <v>N/A</v>
        <stp/>
        <stp>BID</stp>
        <stp>.SPY150717P219.5</stp>
        <tr r="N420" s="1"/>
      </tp>
      <tp t="s">
        <v>N/A</v>
        <stp/>
        <stp>BID</stp>
        <stp>.SPY150717P209.5</stp>
        <tr r="N400" s="1"/>
      </tp>
      <tp t="s">
        <v>N/A</v>
        <stp/>
        <stp>BID</stp>
        <stp>.SPY150619P217.5</stp>
        <tr r="N332" s="1"/>
      </tp>
      <tp t="s">
        <v>N/A</v>
        <stp/>
        <stp>BID</stp>
        <stp>.SPY150619P207.5</stp>
        <tr r="N312" s="1"/>
      </tp>
      <tp>
        <v>1.22</v>
        <stp/>
        <stp>BID</stp>
        <stp>.SPY150529P207.5</stp>
        <tr r="N270" s="1"/>
      </tp>
      <tp>
        <v>6.12</v>
        <stp/>
        <stp>BID</stp>
        <stp>.SPY150529P217.5</stp>
        <tr r="N290" s="1"/>
      </tp>
      <tp>
        <v>0.11</v>
        <stp/>
        <stp>BID</stp>
        <stp>.SPY150508P206.5</stp>
        <tr r="N142" s="1"/>
      </tp>
      <tp>
        <v>4.9400000000000004</v>
        <stp/>
        <stp>BID</stp>
        <stp>.SPY150508P216.5</stp>
        <tr r="N162" s="1"/>
      </tp>
      <tp>
        <v>11.25</v>
        <stp/>
        <stp>BID</stp>
        <stp>.SPY150417P219.5</stp>
        <tr r="N42" s="1"/>
      </tp>
      <tp>
        <v>1.28</v>
        <stp/>
        <stp>BID</stp>
        <stp>.SPY150417P209.5</stp>
        <tr r="N22" s="1"/>
      </tp>
      <tp t="s">
        <v>N/A</v>
        <stp/>
        <stp>RHO</stp>
        <stp>.SPY150918P217.5</stp>
        <tr r="V458" s="1"/>
      </tp>
      <tp t="s">
        <v>N/A</v>
        <stp/>
        <stp>RHO</stp>
        <stp>.SPY150918P207.5</stp>
        <tr r="V438" s="1"/>
      </tp>
      <tp t="s">
        <v>N/A</v>
        <stp/>
        <stp>RHO</stp>
        <stp>.SPY160318P214.5</stp>
        <tr r="V662" s="1"/>
      </tp>
      <tp t="s">
        <v>N/A</v>
        <stp/>
        <stp>RHO</stp>
        <stp>.SPY160318P204.5</stp>
        <tr r="V642" s="1"/>
      </tp>
      <tp t="s">
        <v>N/A</v>
        <stp/>
        <stp>RHO</stp>
        <stp>.SPY160115P219.5</stp>
        <tr r="V630" s="1"/>
      </tp>
      <tp t="s">
        <v>N/A</v>
        <stp/>
        <stp>RHO</stp>
        <stp>.SPY160115P209.5</stp>
        <tr r="V610" s="1"/>
      </tp>
      <tp t="s">
        <v>N/A</v>
        <stp/>
        <stp>RHO</stp>
        <stp>.SPY150717P218.5</stp>
        <tr r="V418" s="1"/>
      </tp>
      <tp t="s">
        <v>N/A</v>
        <stp/>
        <stp>RHO</stp>
        <stp>.SPY150717P208.5</stp>
        <tr r="V398" s="1"/>
      </tp>
      <tp t="s">
        <v>N/A</v>
        <stp/>
        <stp>RHO</stp>
        <stp>.SPY150619P216.5</stp>
        <tr r="V330" s="1"/>
      </tp>
      <tp t="s">
        <v>N/A</v>
        <stp/>
        <stp>RHO</stp>
        <stp>.SPY150619P206.5</stp>
        <tr r="V310" s="1"/>
      </tp>
      <tp>
        <v>-3.7609999999999998E-2</v>
        <stp/>
        <stp>RHO</stp>
        <stp>.SPY150529P206.5</stp>
        <tr r="V268" s="1"/>
      </tp>
      <tp>
        <v>-0.14291999999999999</v>
        <stp/>
        <stp>RHO</stp>
        <stp>.SPY150529P216.5</stp>
        <tr r="V288" s="1"/>
      </tp>
      <tp>
        <v>-3.3800000000000002E-3</v>
        <stp/>
        <stp>RHO</stp>
        <stp>.SPY150508P207.5</stp>
        <tr r="V144" s="1"/>
      </tp>
      <tp>
        <v>-2.9770000000000001E-2</v>
        <stp/>
        <stp>RHO</stp>
        <stp>.SPY150508P217.5</stp>
        <tr r="V164" s="1"/>
      </tp>
      <tp t="s">
        <v>N/A</v>
        <stp/>
        <stp>RHO</stp>
        <stp>.SPY150417P218.5</stp>
        <tr r="V40" s="1"/>
      </tp>
      <tp t="s">
        <v>N/A</v>
        <stp/>
        <stp>RHO</stp>
        <stp>.SPY150417P208.5</stp>
        <tr r="V20" s="1"/>
      </tp>
      <tp t="s">
        <v>N/A</v>
        <stp/>
        <stp>RHO</stp>
        <stp>.SPY151219P216.5</stp>
        <tr r="V540" s="1"/>
      </tp>
      <tp t="s">
        <v>N/A</v>
        <stp/>
        <stp>RHO</stp>
        <stp>.SPY171215P218.5</stp>
        <tr r="V922" s="1"/>
      </tp>
      <tp t="s">
        <v>N/A</v>
        <stp/>
        <stp>RHO</stp>
        <stp>.SPY151219P206.5</stp>
        <tr r="V520" s="1"/>
      </tp>
      <tp t="s">
        <v>N/A</v>
        <stp/>
        <stp>RHO</stp>
        <stp>.SPY171215P208.5</stp>
        <tr r="V902" s="1"/>
      </tp>
      <tp t="s">
        <v>N/A</v>
        <stp/>
        <stp>DELTA</stp>
        <stp>.SPY150930P216.5</stp>
        <tr r="R498" s="1"/>
      </tp>
      <tp t="s">
        <v>N/A</v>
        <stp/>
        <stp>DELTA</stp>
        <stp>.SPY150930P206.5</stp>
        <tr r="R478" s="1"/>
      </tp>
      <tp t="s">
        <v>N/A</v>
        <stp/>
        <stp>DELTA</stp>
        <stp>.SPY160916P213.5</stp>
        <tr r="R744" s="1"/>
      </tp>
      <tp t="s">
        <v>N/A</v>
        <stp/>
        <stp>DELTA</stp>
        <stp>.SPY160916P203.5</stp>
        <tr r="R724" s="1"/>
      </tp>
      <tp t="s">
        <v>N/A</v>
        <stp/>
        <stp>DELTA</stp>
        <stp>.SPY150424P202.5</stp>
        <tr r="R50" s="1"/>
      </tp>
      <tp t="s">
        <v>N/A</v>
        <stp/>
        <stp>DELTA</stp>
        <stp>.SPY150424P212.5</stp>
        <tr r="R70" s="1"/>
      </tp>
      <tp t="s">
        <v>N/A</v>
        <stp/>
        <stp>DELTA</stp>
        <stp>.SPY150417P211.5</stp>
        <tr r="R26" s="1"/>
      </tp>
      <tp t="s">
        <v>N/A</v>
        <stp/>
        <stp>DELTA</stp>
        <stp>.SPY150417P201.5</stp>
        <tr r="R6" s="1"/>
      </tp>
      <tp>
        <v>-0.14548</v>
        <stp/>
        <stp>DELTA</stp>
        <stp>.SPY150522P204.5</stp>
        <tr r="R222" s="1"/>
      </tp>
      <tp>
        <v>-0.78898999999999997</v>
        <stp/>
        <stp>DELTA</stp>
        <stp>.SPY150522P214.5</stp>
        <tr r="R242" s="1"/>
      </tp>
      <tp t="s">
        <v>N/A</v>
        <stp/>
        <stp>DELTA</stp>
        <stp>.SPY150501P207.5</stp>
        <tr r="R102" s="1"/>
      </tp>
      <tp>
        <v>-0.73431000000000002</v>
        <stp/>
        <stp>DELTA</stp>
        <stp>.SPY150515P213.5</stp>
        <tr r="R198" s="1"/>
      </tp>
      <tp t="s">
        <v>N/A</v>
        <stp/>
        <stp>DELTA</stp>
        <stp>.SPY150501P217.5</stp>
        <tr r="R122" s="1"/>
      </tp>
      <tp>
        <v>-7.9689999999999997E-2</v>
        <stp/>
        <stp>DELTA</stp>
        <stp>.SPY150515P203.5</stp>
        <tr r="R178" s="1"/>
      </tp>
      <tp t="s">
        <v>N/A</v>
        <stp/>
        <stp>DELTA</stp>
        <stp>.SPY150630P216.5</stp>
        <tr r="R372" s="1"/>
      </tp>
      <tp t="s">
        <v>N/A</v>
        <stp/>
        <stp>DELTA</stp>
        <stp>.SPY150630P206.5</stp>
        <tr r="R352" s="1"/>
      </tp>
      <tp t="s">
        <v>N/A</v>
        <stp/>
        <stp>DELTA</stp>
        <stp>.SPY160617P212.5</stp>
        <tr r="R700" s="1"/>
      </tp>
      <tp t="s">
        <v>N/A</v>
        <stp/>
        <stp>DELTA</stp>
        <stp>.SPY160617P202.5</stp>
        <tr r="R680" s="1"/>
      </tp>
      <tp t="s">
        <v>N/A</v>
        <stp/>
        <stp>DELTA</stp>
        <stp>.SPY150717P211.5</stp>
        <tr r="R404" s="1"/>
      </tp>
      <tp t="s">
        <v>N/A</v>
        <stp/>
        <stp>DELTA</stp>
        <stp>.SPY150717P201.5</stp>
        <tr r="R384" s="1"/>
      </tp>
      <tp t="s">
        <v>N/A</v>
        <stp/>
        <stp>DELTA</stp>
        <stp>.SPY170120P204.5</stp>
        <tr r="R810" s="1"/>
      </tp>
      <tp t="s">
        <v>N/A</v>
        <stp/>
        <stp>DELTA</stp>
        <stp>.SPY170120P214.5</stp>
        <tr r="R830" s="1"/>
      </tp>
      <tp t="s">
        <v>N/A</v>
        <stp/>
        <stp>DELTA</stp>
        <stp>.SPY160115P210.5</stp>
        <tr r="R612" s="1"/>
      </tp>
      <tp t="s">
        <v>N/A</v>
        <stp/>
        <stp>DELTA</stp>
        <stp>.SPY160115P200.5</stp>
        <tr r="R592" s="1"/>
      </tp>
      <tp t="s">
        <v>N/A</v>
        <stp/>
        <stp>DELTA</stp>
        <stp>.SPY170317P213.5</stp>
        <tr r="R870" s="1"/>
      </tp>
      <tp t="s">
        <v>N/A</v>
        <stp/>
        <stp>DELTA</stp>
        <stp>.SPY170317P203.5</stp>
        <tr r="R850" s="1"/>
      </tp>
      <tp t="s">
        <v>N/A</v>
        <stp/>
        <stp>DELTA</stp>
        <stp>.SPY151231P217.5</stp>
        <tr r="R584" s="1"/>
      </tp>
      <tp t="s">
        <v>N/A</v>
        <stp/>
        <stp>DELTA</stp>
        <stp>.SPY151231P207.5</stp>
        <tr r="R564" s="1"/>
      </tp>
      <tp t="s">
        <v>N/A</v>
        <stp/>
        <stp>DELTA</stp>
        <stp>.SPY161216P213.5</stp>
        <tr r="R786" s="1"/>
      </tp>
      <tp t="s">
        <v>N/A</v>
        <stp/>
        <stp>DELTA</stp>
        <stp>.SPY171215P211.5</stp>
        <tr r="R908" s="1"/>
      </tp>
      <tp t="s">
        <v>N/A</v>
        <stp/>
        <stp>DELTA</stp>
        <stp>.SPY161216P203.5</stp>
        <tr r="R766" s="1"/>
      </tp>
      <tp t="s">
        <v>N/A</v>
        <stp/>
        <stp>DELTA</stp>
        <stp>.SPY171215P201.5</stp>
        <tr r="R888" s="1"/>
      </tp>
      <tp t="s">
        <v>N/A</v>
        <stp/>
        <stp>THETA</stp>
        <stp>.SPY151231C207.5</stp>
        <tr r="H564" s="1"/>
      </tp>
      <tp t="s">
        <v>N/A</v>
        <stp/>
        <stp>THETA</stp>
        <stp>.SPY151231C217.5</stp>
        <tr r="H584" s="1"/>
      </tp>
      <tp t="s">
        <v>N/A</v>
        <stp/>
        <stp>THETA</stp>
        <stp>.SPY161216C203.5</stp>
        <tr r="H766" s="1"/>
      </tp>
      <tp t="s">
        <v>N/A</v>
        <stp/>
        <stp>THETA</stp>
        <stp>.SPY171215C201.5</stp>
        <tr r="H888" s="1"/>
      </tp>
      <tp t="s">
        <v>N/A</v>
        <stp/>
        <stp>THETA</stp>
        <stp>.SPY161216C213.5</stp>
        <tr r="H786" s="1"/>
      </tp>
      <tp t="s">
        <v>N/A</v>
        <stp/>
        <stp>THETA</stp>
        <stp>.SPY171215C211.5</stp>
        <tr r="H908" s="1"/>
      </tp>
      <tp t="s">
        <v>N/A</v>
        <stp/>
        <stp>THETA</stp>
        <stp>.SPY170120C214.5</stp>
        <tr r="H830" s="1"/>
      </tp>
      <tp t="s">
        <v>N/A</v>
        <stp/>
        <stp>THETA</stp>
        <stp>.SPY170120C204.5</stp>
        <tr r="H810" s="1"/>
      </tp>
      <tp t="s">
        <v>N/A</v>
        <stp/>
        <stp>THETA</stp>
        <stp>.SPY160115C200.5</stp>
        <tr r="H592" s="1"/>
      </tp>
      <tp t="s">
        <v>N/A</v>
        <stp/>
        <stp>THETA</stp>
        <stp>.SPY160115C210.5</stp>
        <tr r="H612" s="1"/>
      </tp>
      <tp t="s">
        <v>N/A</v>
        <stp/>
        <stp>THETA</stp>
        <stp>.SPY170317C203.5</stp>
        <tr r="H850" s="1"/>
      </tp>
      <tp t="s">
        <v>N/A</v>
        <stp/>
        <stp>THETA</stp>
        <stp>.SPY170317C213.5</stp>
        <tr r="H870" s="1"/>
      </tp>
      <tp>
        <v>-3.3930000000000002E-2</v>
        <stp/>
        <stp>THETA</stp>
        <stp>.SPY150522C214.5</stp>
        <tr r="H242" s="1"/>
      </tp>
      <tp>
        <v>-4.1029999999999997E-2</v>
        <stp/>
        <stp>THETA</stp>
        <stp>.SPY150522C204.5</stp>
        <tr r="H222" s="1"/>
      </tp>
      <tp t="s">
        <v>N/A</v>
        <stp/>
        <stp>THETA</stp>
        <stp>.SPY150501C217.5</stp>
        <tr r="H122" s="1"/>
      </tp>
      <tp>
        <v>-3.6990000000000002E-2</v>
        <stp/>
        <stp>THETA</stp>
        <stp>.SPY150515C203.5</stp>
        <tr r="H178" s="1"/>
      </tp>
      <tp t="s">
        <v>N/A</v>
        <stp/>
        <stp>THETA</stp>
        <stp>.SPY150501C207.5</stp>
        <tr r="H102" s="1"/>
      </tp>
      <tp>
        <v>-4.7710000000000002E-2</v>
        <stp/>
        <stp>THETA</stp>
        <stp>.SPY150515C213.5</stp>
        <tr r="H198" s="1"/>
      </tp>
      <tp t="s">
        <v>N/A</v>
        <stp/>
        <stp>THETA</stp>
        <stp>.SPY150424C212.5</stp>
        <tr r="H70" s="1"/>
      </tp>
      <tp t="s">
        <v>N/A</v>
        <stp/>
        <stp>THETA</stp>
        <stp>.SPY150424C202.5</stp>
        <tr r="H50" s="1"/>
      </tp>
      <tp t="s">
        <v>N/A</v>
        <stp/>
        <stp>THETA</stp>
        <stp>.SPY150417C201.5</stp>
        <tr r="H6" s="1"/>
      </tp>
      <tp t="s">
        <v>N/A</v>
        <stp/>
        <stp>THETA</stp>
        <stp>.SPY150417C211.5</stp>
        <tr r="H26" s="1"/>
      </tp>
      <tp t="s">
        <v>N/A</v>
        <stp/>
        <stp>THETA</stp>
        <stp>.SPY150717C201.5</stp>
        <tr r="H384" s="1"/>
      </tp>
      <tp t="s">
        <v>N/A</v>
        <stp/>
        <stp>THETA</stp>
        <stp>.SPY150717C211.5</stp>
        <tr r="H404" s="1"/>
      </tp>
      <tp t="s">
        <v>N/A</v>
        <stp/>
        <stp>THETA</stp>
        <stp>.SPY150630C206.5</stp>
        <tr r="H352" s="1"/>
      </tp>
      <tp t="s">
        <v>N/A</v>
        <stp/>
        <stp>THETA</stp>
        <stp>.SPY150630C216.5</stp>
        <tr r="H372" s="1"/>
      </tp>
      <tp t="s">
        <v>N/A</v>
        <stp/>
        <stp>THETA</stp>
        <stp>.SPY160617C202.5</stp>
        <tr r="H680" s="1"/>
      </tp>
      <tp t="s">
        <v>N/A</v>
        <stp/>
        <stp>THETA</stp>
        <stp>.SPY160617C212.5</stp>
        <tr r="H700" s="1"/>
      </tp>
      <tp t="s">
        <v>N/A</v>
        <stp/>
        <stp>THETA</stp>
        <stp>.SPY150930C206.5</stp>
        <tr r="H478" s="1"/>
      </tp>
      <tp t="s">
        <v>N/A</v>
        <stp/>
        <stp>THETA</stp>
        <stp>.SPY150930C216.5</stp>
        <tr r="H498" s="1"/>
      </tp>
      <tp t="s">
        <v>N/A</v>
        <stp/>
        <stp>THETA</stp>
        <stp>.SPY160916C203.5</stp>
        <tr r="H724" s="1"/>
      </tp>
      <tp t="s">
        <v>N/A</v>
        <stp/>
        <stp>THETA</stp>
        <stp>.SPY160916C213.5</stp>
        <tr r="H744" s="1"/>
      </tp>
      <tp t="s">
        <v>N/A</v>
        <stp/>
        <stp>THETA</stp>
        <stp>.SPY170120P214.5</stp>
        <tr r="S830" s="1"/>
      </tp>
      <tp t="s">
        <v>N/A</v>
        <stp/>
        <stp>THETA</stp>
        <stp>.SPY170120P204.5</stp>
        <tr r="S810" s="1"/>
      </tp>
      <tp t="s">
        <v>N/A</v>
        <stp/>
        <stp>THETA</stp>
        <stp>.SPY160115P200.5</stp>
        <tr r="S592" s="1"/>
      </tp>
      <tp t="s">
        <v>N/A</v>
        <stp/>
        <stp>THETA</stp>
        <stp>.SPY160115P210.5</stp>
        <tr r="S612" s="1"/>
      </tp>
      <tp t="s">
        <v>N/A</v>
        <stp/>
        <stp>THETA</stp>
        <stp>.SPY170317P203.5</stp>
        <tr r="S850" s="1"/>
      </tp>
      <tp t="s">
        <v>N/A</v>
        <stp/>
        <stp>THETA</stp>
        <stp>.SPY170317P213.5</stp>
        <tr r="S870" s="1"/>
      </tp>
      <tp>
        <v>-3.6269999999999997E-2</v>
        <stp/>
        <stp>THETA</stp>
        <stp>.SPY150522P214.5</stp>
        <tr r="S242" s="1"/>
      </tp>
      <tp>
        <v>-4.1360000000000001E-2</v>
        <stp/>
        <stp>THETA</stp>
        <stp>.SPY150522P204.5</stp>
        <tr r="S222" s="1"/>
      </tp>
      <tp t="s">
        <v>N/A</v>
        <stp/>
        <stp>THETA</stp>
        <stp>.SPY150501P217.5</stp>
        <tr r="S122" s="1"/>
      </tp>
      <tp>
        <v>-3.6979999999999999E-2</v>
        <stp/>
        <stp>THETA</stp>
        <stp>.SPY150515P203.5</stp>
        <tr r="S178" s="1"/>
      </tp>
      <tp t="s">
        <v>N/A</v>
        <stp/>
        <stp>THETA</stp>
        <stp>.SPY150501P207.5</stp>
        <tr r="S102" s="1"/>
      </tp>
      <tp>
        <v>-5.151E-2</v>
        <stp/>
        <stp>THETA</stp>
        <stp>.SPY150515P213.5</stp>
        <tr r="S198" s="1"/>
      </tp>
      <tp t="s">
        <v>N/A</v>
        <stp/>
        <stp>THETA</stp>
        <stp>.SPY150424P212.5</stp>
        <tr r="S70" s="1"/>
      </tp>
      <tp t="s">
        <v>N/A</v>
        <stp/>
        <stp>THETA</stp>
        <stp>.SPY150424P202.5</stp>
        <tr r="S50" s="1"/>
      </tp>
      <tp t="s">
        <v>N/A</v>
        <stp/>
        <stp>THETA</stp>
        <stp>.SPY150417P201.5</stp>
        <tr r="S6" s="1"/>
      </tp>
      <tp t="s">
        <v>N/A</v>
        <stp/>
        <stp>THETA</stp>
        <stp>.SPY150417P211.5</stp>
        <tr r="S26" s="1"/>
      </tp>
      <tp t="s">
        <v>N/A</v>
        <stp/>
        <stp>THETA</stp>
        <stp>.SPY150717P201.5</stp>
        <tr r="S384" s="1"/>
      </tp>
      <tp t="s">
        <v>N/A</v>
        <stp/>
        <stp>THETA</stp>
        <stp>.SPY150717P211.5</stp>
        <tr r="S404" s="1"/>
      </tp>
      <tp t="s">
        <v>N/A</v>
        <stp/>
        <stp>THETA</stp>
        <stp>.SPY150630P206.5</stp>
        <tr r="S352" s="1"/>
      </tp>
      <tp t="s">
        <v>N/A</v>
        <stp/>
        <stp>THETA</stp>
        <stp>.SPY150630P216.5</stp>
        <tr r="S372" s="1"/>
      </tp>
      <tp t="s">
        <v>N/A</v>
        <stp/>
        <stp>THETA</stp>
        <stp>.SPY160617P202.5</stp>
        <tr r="S680" s="1"/>
      </tp>
      <tp t="s">
        <v>N/A</v>
        <stp/>
        <stp>THETA</stp>
        <stp>.SPY160617P212.5</stp>
        <tr r="S700" s="1"/>
      </tp>
      <tp t="s">
        <v>N/A</v>
        <stp/>
        <stp>THETA</stp>
        <stp>.SPY150930P206.5</stp>
        <tr r="S478" s="1"/>
      </tp>
      <tp t="s">
        <v>N/A</v>
        <stp/>
        <stp>THETA</stp>
        <stp>.SPY150930P216.5</stp>
        <tr r="S498" s="1"/>
      </tp>
      <tp t="s">
        <v>N/A</v>
        <stp/>
        <stp>THETA</stp>
        <stp>.SPY160916P203.5</stp>
        <tr r="S724" s="1"/>
      </tp>
      <tp t="s">
        <v>N/A</v>
        <stp/>
        <stp>THETA</stp>
        <stp>.SPY160916P213.5</stp>
        <tr r="S744" s="1"/>
      </tp>
      <tp t="s">
        <v>N/A</v>
        <stp/>
        <stp>THETA</stp>
        <stp>.SPY151231P207.5</stp>
        <tr r="S564" s="1"/>
      </tp>
      <tp t="s">
        <v>N/A</v>
        <stp/>
        <stp>THETA</stp>
        <stp>.SPY151231P217.5</stp>
        <tr r="S584" s="1"/>
      </tp>
      <tp t="s">
        <v>N/A</v>
        <stp/>
        <stp>THETA</stp>
        <stp>.SPY161216P203.5</stp>
        <tr r="S766" s="1"/>
      </tp>
      <tp t="s">
        <v>N/A</v>
        <stp/>
        <stp>THETA</stp>
        <stp>.SPY171215P201.5</stp>
        <tr r="S888" s="1"/>
      </tp>
      <tp t="s">
        <v>N/A</v>
        <stp/>
        <stp>THETA</stp>
        <stp>.SPY161216P213.5</stp>
        <tr r="S786" s="1"/>
      </tp>
      <tp t="s">
        <v>N/A</v>
        <stp/>
        <stp>THETA</stp>
        <stp>.SPY171215P211.5</stp>
        <tr r="S908" s="1"/>
      </tp>
      <tp t="s">
        <v>N/A</v>
        <stp/>
        <stp>DELTA</stp>
        <stp>.SPY151231C217.5</stp>
        <tr r="G584" s="1"/>
      </tp>
      <tp t="s">
        <v>N/A</v>
        <stp/>
        <stp>DELTA</stp>
        <stp>.SPY151231C207.5</stp>
        <tr r="G564" s="1"/>
      </tp>
      <tp t="s">
        <v>N/A</v>
        <stp/>
        <stp>DELTA</stp>
        <stp>.SPY161216C213.5</stp>
        <tr r="G786" s="1"/>
      </tp>
      <tp t="s">
        <v>N/A</v>
        <stp/>
        <stp>DELTA</stp>
        <stp>.SPY171215C211.5</stp>
        <tr r="G908" s="1"/>
      </tp>
      <tp t="s">
        <v>N/A</v>
        <stp/>
        <stp>DELTA</stp>
        <stp>.SPY161216C203.5</stp>
        <tr r="G766" s="1"/>
      </tp>
      <tp t="s">
        <v>N/A</v>
        <stp/>
        <stp>DELTA</stp>
        <stp>.SPY171215C201.5</stp>
        <tr r="G888" s="1"/>
      </tp>
      <tp t="s">
        <v>N/A</v>
        <stp/>
        <stp>DELTA</stp>
        <stp>.SPY150930C216.5</stp>
        <tr r="G498" s="1"/>
      </tp>
      <tp t="s">
        <v>N/A</v>
        <stp/>
        <stp>DELTA</stp>
        <stp>.SPY150930C206.5</stp>
        <tr r="G478" s="1"/>
      </tp>
      <tp t="s">
        <v>N/A</v>
        <stp/>
        <stp>DELTA</stp>
        <stp>.SPY160916C213.5</stp>
        <tr r="G744" s="1"/>
      </tp>
      <tp t="s">
        <v>N/A</v>
        <stp/>
        <stp>DELTA</stp>
        <stp>.SPY160916C203.5</stp>
        <tr r="G724" s="1"/>
      </tp>
      <tp t="s">
        <v>N/A</v>
        <stp/>
        <stp>DELTA</stp>
        <stp>.SPY150424C202.5</stp>
        <tr r="G50" s="1"/>
      </tp>
      <tp t="s">
        <v>N/A</v>
        <stp/>
        <stp>DELTA</stp>
        <stp>.SPY150424C212.5</stp>
        <tr r="G70" s="1"/>
      </tp>
      <tp t="s">
        <v>N/A</v>
        <stp/>
        <stp>DELTA</stp>
        <stp>.SPY150417C211.5</stp>
        <tr r="G26" s="1"/>
      </tp>
      <tp t="s">
        <v>N/A</v>
        <stp/>
        <stp>DELTA</stp>
        <stp>.SPY150417C201.5</stp>
        <tr r="G6" s="1"/>
      </tp>
      <tp>
        <v>0.83887</v>
        <stp/>
        <stp>DELTA</stp>
        <stp>.SPY150522C204.5</stp>
        <tr r="G222" s="1"/>
      </tp>
      <tp>
        <v>0.2402</v>
        <stp/>
        <stp>DELTA</stp>
        <stp>.SPY150522C214.5</stp>
        <tr r="G242" s="1"/>
      </tp>
      <tp t="s">
        <v>N/A</v>
        <stp/>
        <stp>DELTA</stp>
        <stp>.SPY150501C207.5</stp>
        <tr r="G102" s="1"/>
      </tp>
      <tp>
        <v>0.28132000000000001</v>
        <stp/>
        <stp>DELTA</stp>
        <stp>.SPY150515C213.5</stp>
        <tr r="G198" s="1"/>
      </tp>
      <tp t="s">
        <v>N/A</v>
        <stp/>
        <stp>DELTA</stp>
        <stp>.SPY150501C217.5</stp>
        <tr r="G122" s="1"/>
      </tp>
      <tp>
        <v>0.90947</v>
        <stp/>
        <stp>DELTA</stp>
        <stp>.SPY150515C203.5</stp>
        <tr r="G178" s="1"/>
      </tp>
      <tp t="s">
        <v>N/A</v>
        <stp/>
        <stp>DELTA</stp>
        <stp>.SPY150630C216.5</stp>
        <tr r="G372" s="1"/>
      </tp>
      <tp t="s">
        <v>N/A</v>
        <stp/>
        <stp>DELTA</stp>
        <stp>.SPY150630C206.5</stp>
        <tr r="G352" s="1"/>
      </tp>
      <tp t="s">
        <v>N/A</v>
        <stp/>
        <stp>DELTA</stp>
        <stp>.SPY160617C212.5</stp>
        <tr r="G700" s="1"/>
      </tp>
      <tp t="s">
        <v>N/A</v>
        <stp/>
        <stp>DELTA</stp>
        <stp>.SPY160617C202.5</stp>
        <tr r="G680" s="1"/>
      </tp>
      <tp t="s">
        <v>N/A</v>
        <stp/>
        <stp>DELTA</stp>
        <stp>.SPY150717C211.5</stp>
        <tr r="G404" s="1"/>
      </tp>
      <tp t="s">
        <v>N/A</v>
        <stp/>
        <stp>DELTA</stp>
        <stp>.SPY150717C201.5</stp>
        <tr r="G384" s="1"/>
      </tp>
      <tp t="s">
        <v>N/A</v>
        <stp/>
        <stp>DELTA</stp>
        <stp>.SPY170120C204.5</stp>
        <tr r="G810" s="1"/>
      </tp>
      <tp t="s">
        <v>N/A</v>
        <stp/>
        <stp>DELTA</stp>
        <stp>.SPY170120C214.5</stp>
        <tr r="G830" s="1"/>
      </tp>
      <tp t="s">
        <v>N/A</v>
        <stp/>
        <stp>DELTA</stp>
        <stp>.SPY160115C210.5</stp>
        <tr r="G612" s="1"/>
      </tp>
      <tp t="s">
        <v>N/A</v>
        <stp/>
        <stp>DELTA</stp>
        <stp>.SPY160115C200.5</stp>
        <tr r="G592" s="1"/>
      </tp>
      <tp t="s">
        <v>N/A</v>
        <stp/>
        <stp>DELTA</stp>
        <stp>.SPY170317C213.5</stp>
        <tr r="G870" s="1"/>
      </tp>
      <tp t="s">
        <v>N/A</v>
        <stp/>
        <stp>DELTA</stp>
        <stp>.SPY170317C203.5</stp>
        <tr r="G850" s="1"/>
      </tp>
      <tp>
        <v>2363</v>
        <stp/>
        <stp>VOLUME</stp>
        <stp>.SPY150717P211</stp>
        <tr r="P403" s="1"/>
      </tp>
      <tp>
        <v>889</v>
        <stp/>
        <stp>VOLUME</stp>
        <stp>.SPY150717C211</stp>
        <tr r="E403" s="1"/>
      </tp>
      <tp>
        <v>2393</v>
        <stp/>
        <stp>VOLUME</stp>
        <stp>.SPY150717P210</stp>
        <tr r="P401" s="1"/>
      </tp>
      <tp>
        <v>1040</v>
        <stp/>
        <stp>VOLUME</stp>
        <stp>.SPY150717C210</stp>
        <tr r="E401" s="1"/>
      </tp>
      <tp>
        <v>57</v>
        <stp/>
        <stp>VOLUME</stp>
        <stp>.SPY150717P213</stp>
        <tr r="P407" s="1"/>
      </tp>
      <tp>
        <v>345</v>
        <stp/>
        <stp>VOLUME</stp>
        <stp>.SPY150717C213</stp>
        <tr r="E407" s="1"/>
      </tp>
      <tp>
        <v>685</v>
        <stp/>
        <stp>VOLUME</stp>
        <stp>.SPY150717P212</stp>
        <tr r="P405" s="1"/>
      </tp>
      <tp>
        <v>321</v>
        <stp/>
        <stp>VOLUME</stp>
        <stp>.SPY150717C212</stp>
        <tr r="E405" s="1"/>
      </tp>
      <tp>
        <v>94</v>
        <stp/>
        <stp>VOLUME</stp>
        <stp>.SPY150717P215</stp>
        <tr r="P411" s="1"/>
      </tp>
      <tp>
        <v>5547</v>
        <stp/>
        <stp>VOLUME</stp>
        <stp>.SPY150717C215</stp>
        <tr r="E411" s="1"/>
      </tp>
      <tp>
        <v>215</v>
        <stp/>
        <stp>VOLUME</stp>
        <stp>.SPY150717P214</stp>
        <tr r="P409" s="1"/>
      </tp>
      <tp>
        <v>400</v>
        <stp/>
        <stp>VOLUME</stp>
        <stp>.SPY150717C214</stp>
        <tr r="E409" s="1"/>
      </tp>
      <tp>
        <v>117</v>
        <stp/>
        <stp>VOLUME</stp>
        <stp>.SPY150717P217</stp>
        <tr r="P415" s="1"/>
      </tp>
      <tp>
        <v>2612</v>
        <stp/>
        <stp>VOLUME</stp>
        <stp>.SPY150717C217</stp>
        <tr r="E415" s="1"/>
      </tp>
      <tp>
        <v>288</v>
        <stp/>
        <stp>VOLUME</stp>
        <stp>.SPY150717P216</stp>
        <tr r="P413" s="1"/>
      </tp>
      <tp>
        <v>1896</v>
        <stp/>
        <stp>VOLUME</stp>
        <stp>.SPY150717C216</stp>
        <tr r="E413" s="1"/>
      </tp>
      <tp>
        <v>123</v>
        <stp/>
        <stp>VOLUME</stp>
        <stp>.SPY150717P219</stp>
        <tr r="P419" s="1"/>
      </tp>
      <tp>
        <v>1346</v>
        <stp/>
        <stp>VOLUME</stp>
        <stp>.SPY150717C219</stp>
        <tr r="E419" s="1"/>
      </tp>
      <tp>
        <v>0</v>
        <stp/>
        <stp>VOLUME</stp>
        <stp>.SPY150717P218</stp>
        <tr r="P417" s="1"/>
      </tp>
      <tp>
        <v>573</v>
        <stp/>
        <stp>VOLUME</stp>
        <stp>.SPY150717C218</stp>
        <tr r="E417" s="1"/>
      </tp>
      <tp>
        <v>537</v>
        <stp/>
        <stp>VOLUME</stp>
        <stp>.SPY150717P201</stp>
        <tr r="P383" s="1"/>
      </tp>
      <tp>
        <v>4</v>
        <stp/>
        <stp>VOLUME</stp>
        <stp>.SPY150717C201</stp>
        <tr r="E383" s="1"/>
      </tp>
      <tp>
        <v>2033</v>
        <stp/>
        <stp>VOLUME</stp>
        <stp>.SPY150717P200</stp>
        <tr r="P381" s="1"/>
      </tp>
      <tp>
        <v>87</v>
        <stp/>
        <stp>VOLUME</stp>
        <stp>.SPY150717C200</stp>
        <tr r="E381" s="1"/>
      </tp>
      <tp>
        <v>421</v>
        <stp/>
        <stp>VOLUME</stp>
        <stp>.SPY150717P203</stp>
        <tr r="P387" s="1"/>
      </tp>
      <tp>
        <v>102</v>
        <stp/>
        <stp>VOLUME</stp>
        <stp>.SPY150717C203</stp>
        <tr r="E387" s="1"/>
      </tp>
      <tp>
        <v>314</v>
        <stp/>
        <stp>VOLUME</stp>
        <stp>.SPY150717P202</stp>
        <tr r="P385" s="1"/>
      </tp>
      <tp>
        <v>8</v>
        <stp/>
        <stp>VOLUME</stp>
        <stp>.SPY150717C202</stp>
        <tr r="E385" s="1"/>
      </tp>
      <tp>
        <v>1156</v>
        <stp/>
        <stp>VOLUME</stp>
        <stp>.SPY150717P205</stp>
        <tr r="P391" s="1"/>
      </tp>
      <tp>
        <v>162</v>
        <stp/>
        <stp>VOLUME</stp>
        <stp>.SPY150717C205</stp>
        <tr r="E391" s="1"/>
      </tp>
      <tp>
        <v>259</v>
        <stp/>
        <stp>VOLUME</stp>
        <stp>.SPY150717P204</stp>
        <tr r="P389" s="1"/>
      </tp>
      <tp>
        <v>86</v>
        <stp/>
        <stp>VOLUME</stp>
        <stp>.SPY150717C204</stp>
        <tr r="E389" s="1"/>
      </tp>
      <tp>
        <v>510</v>
        <stp/>
        <stp>VOLUME</stp>
        <stp>.SPY150717P207</stp>
        <tr r="P395" s="1"/>
      </tp>
      <tp>
        <v>113</v>
        <stp/>
        <stp>VOLUME</stp>
        <stp>.SPY150717C207</stp>
        <tr r="E395" s="1"/>
      </tp>
      <tp>
        <v>157</v>
        <stp/>
        <stp>VOLUME</stp>
        <stp>.SPY150717P206</stp>
        <tr r="P393" s="1"/>
      </tp>
      <tp>
        <v>39</v>
        <stp/>
        <stp>VOLUME</stp>
        <stp>.SPY150717C206</stp>
        <tr r="E393" s="1"/>
      </tp>
      <tp>
        <v>1160</v>
        <stp/>
        <stp>VOLUME</stp>
        <stp>.SPY150717P209</stp>
        <tr r="P399" s="1"/>
      </tp>
      <tp>
        <v>267</v>
        <stp/>
        <stp>VOLUME</stp>
        <stp>.SPY150717C209</stp>
        <tr r="E399" s="1"/>
      </tp>
      <tp>
        <v>1184</v>
        <stp/>
        <stp>VOLUME</stp>
        <stp>.SPY150717P208</stp>
        <tr r="P397" s="1"/>
      </tp>
      <tp>
        <v>369</v>
        <stp/>
        <stp>VOLUME</stp>
        <stp>.SPY150717C208</stp>
        <tr r="E397" s="1"/>
      </tp>
      <tp t="s">
        <v>N/A</v>
        <stp/>
        <stp>BID</stp>
        <stp>.SPY150918C217.5</stp>
        <tr r="C458" s="1"/>
      </tp>
      <tp t="s">
        <v>N/A</v>
        <stp/>
        <stp>BID</stp>
        <stp>.SPY150918C207.5</stp>
        <tr r="C438" s="1"/>
      </tp>
      <tp t="s">
        <v>N/A</v>
        <stp/>
        <stp>BID</stp>
        <stp>.SPY160318C214.5</stp>
        <tr r="C662" s="1"/>
      </tp>
      <tp t="s">
        <v>N/A</v>
        <stp/>
        <stp>BID</stp>
        <stp>.SPY160318C204.5</stp>
        <tr r="C642" s="1"/>
      </tp>
      <tp t="s">
        <v>N/A</v>
        <stp/>
        <stp>BID</stp>
        <stp>.SPY160115C219.5</stp>
        <tr r="C630" s="1"/>
      </tp>
      <tp t="s">
        <v>N/A</v>
        <stp/>
        <stp>BID</stp>
        <stp>.SPY160115C209.5</stp>
        <tr r="C610" s="1"/>
      </tp>
      <tp t="s">
        <v>N/A</v>
        <stp/>
        <stp>BID</stp>
        <stp>.SPY150717C218.5</stp>
        <tr r="C418" s="1"/>
      </tp>
      <tp t="s">
        <v>N/A</v>
        <stp/>
        <stp>BID</stp>
        <stp>.SPY150717C208.5</stp>
        <tr r="C398" s="1"/>
      </tp>
      <tp t="s">
        <v>N/A</v>
        <stp/>
        <stp>BID</stp>
        <stp>.SPY150619C216.5</stp>
        <tr r="C330" s="1"/>
      </tp>
      <tp t="s">
        <v>N/A</v>
        <stp/>
        <stp>BID</stp>
        <stp>.SPY150619C206.5</stp>
        <tr r="C310" s="1"/>
      </tp>
      <tp>
        <v>5.93</v>
        <stp/>
        <stp>BID</stp>
        <stp>.SPY150529C206.5</stp>
        <tr r="C268" s="1"/>
      </tp>
      <tp>
        <v>0.34</v>
        <stp/>
        <stp>BID</stp>
        <stp>.SPY150529C216.5</stp>
        <tr r="C288" s="1"/>
      </tp>
      <tp>
        <v>3.99</v>
        <stp/>
        <stp>BID</stp>
        <stp>.SPY150508C207.5</stp>
        <tr r="C144" s="1"/>
      </tp>
      <tp>
        <v>0</v>
        <stp/>
        <stp>BID</stp>
        <stp>.SPY150508C217.5</stp>
        <tr r="C164" s="1"/>
      </tp>
      <tp>
        <v>0</v>
        <stp/>
        <stp>BID</stp>
        <stp>.SPY150417C218.5</stp>
        <tr r="C40" s="1"/>
      </tp>
      <tp>
        <v>0</v>
        <stp/>
        <stp>BID</stp>
        <stp>.SPY150417C208.5</stp>
        <tr r="C20" s="1"/>
      </tp>
      <tp t="s">
        <v>N/A</v>
        <stp/>
        <stp>BID</stp>
        <stp>.SPY151219C216.5</stp>
        <tr r="C540" s="1"/>
      </tp>
      <tp t="s">
        <v>N/A</v>
        <stp/>
        <stp>BID</stp>
        <stp>.SPY171215C218.5</stp>
        <tr r="C922" s="1"/>
      </tp>
      <tp t="s">
        <v>N/A</v>
        <stp/>
        <stp>BID</stp>
        <stp>.SPY151219C206.5</stp>
        <tr r="C520" s="1"/>
      </tp>
      <tp t="s">
        <v>N/A</v>
        <stp/>
        <stp>BID</stp>
        <stp>.SPY171215C208.5</stp>
        <tr r="C902" s="1"/>
      </tp>
      <tp t="s">
        <v>N/A</v>
        <stp/>
        <stp>RHO</stp>
        <stp>.SPY151219C217.5</stp>
        <tr r="K542" s="1"/>
      </tp>
      <tp t="s">
        <v>N/A</v>
        <stp/>
        <stp>RHO</stp>
        <stp>.SPY171215C219.5</stp>
        <tr r="K924" s="1"/>
      </tp>
      <tp t="s">
        <v>N/A</v>
        <stp/>
        <stp>RHO</stp>
        <stp>.SPY151219C207.5</stp>
        <tr r="K522" s="1"/>
      </tp>
      <tp t="s">
        <v>N/A</v>
        <stp/>
        <stp>RHO</stp>
        <stp>.SPY171215C209.5</stp>
        <tr r="K904" s="1"/>
      </tp>
      <tp t="s">
        <v>N/A</v>
        <stp/>
        <stp>RHO</stp>
        <stp>.SPY150918C216.5</stp>
        <tr r="K456" s="1"/>
      </tp>
      <tp t="s">
        <v>N/A</v>
        <stp/>
        <stp>RHO</stp>
        <stp>.SPY150918C206.5</stp>
        <tr r="K436" s="1"/>
      </tp>
      <tp t="s">
        <v>N/A</v>
        <stp/>
        <stp>RHO</stp>
        <stp>.SPY160318C215.5</stp>
        <tr r="K664" s="1"/>
      </tp>
      <tp t="s">
        <v>N/A</v>
        <stp/>
        <stp>RHO</stp>
        <stp>.SPY160318C205.5</stp>
        <tr r="K644" s="1"/>
      </tp>
      <tp t="s">
        <v>N/A</v>
        <stp/>
        <stp>RHO</stp>
        <stp>.SPY160115C218.5</stp>
        <tr r="K628" s="1"/>
      </tp>
      <tp t="s">
        <v>N/A</v>
        <stp/>
        <stp>RHO</stp>
        <stp>.SPY160115C208.5</stp>
        <tr r="K608" s="1"/>
      </tp>
      <tp t="s">
        <v>N/A</v>
        <stp/>
        <stp>RHO</stp>
        <stp>.SPY150717C219.5</stp>
        <tr r="K420" s="1"/>
      </tp>
      <tp t="s">
        <v>N/A</v>
        <stp/>
        <stp>RHO</stp>
        <stp>.SPY150717C209.5</stp>
        <tr r="K400" s="1"/>
      </tp>
      <tp t="s">
        <v>N/A</v>
        <stp/>
        <stp>RHO</stp>
        <stp>.SPY150619C217.5</stp>
        <tr r="K332" s="1"/>
      </tp>
      <tp t="s">
        <v>N/A</v>
        <stp/>
        <stp>RHO</stp>
        <stp>.SPY150619C207.5</stp>
        <tr r="K312" s="1"/>
      </tp>
      <tp>
        <v>8.8889999999999997E-2</v>
        <stp/>
        <stp>RHO</stp>
        <stp>.SPY150529C207.5</stp>
        <tr r="K270" s="1"/>
      </tp>
      <tp>
        <v>1.427E-2</v>
        <stp/>
        <stp>RHO</stp>
        <stp>.SPY150529C217.5</stp>
        <tr r="K290" s="1"/>
      </tp>
      <tp>
        <v>1.456E-2</v>
        <stp/>
        <stp>RHO</stp>
        <stp>.SPY150508C206.5</stp>
        <tr r="K142" s="1"/>
      </tp>
      <tp>
        <v>5.1000000000000004E-4</v>
        <stp/>
        <stp>RHO</stp>
        <stp>.SPY150508C216.5</stp>
        <tr r="K162" s="1"/>
      </tp>
      <tp t="s">
        <v>N/A</v>
        <stp/>
        <stp>RHO</stp>
        <stp>.SPY150417C219.5</stp>
        <tr r="K42" s="1"/>
      </tp>
      <tp t="s">
        <v>N/A</v>
        <stp/>
        <stp>RHO</stp>
        <stp>.SPY150417C209.5</stp>
        <tr r="K22" s="1"/>
      </tp>
      <tp t="s">
        <v>N/A</v>
        <stp/>
        <stp>BID</stp>
        <stp>.SPY151219P216.5</stp>
        <tr r="N540" s="1"/>
      </tp>
      <tp t="s">
        <v>N/A</v>
        <stp/>
        <stp>BID</stp>
        <stp>.SPY171215P218.5</stp>
        <tr r="N922" s="1"/>
      </tp>
      <tp t="s">
        <v>N/A</v>
        <stp/>
        <stp>BID</stp>
        <stp>.SPY151219P206.5</stp>
        <tr r="N520" s="1"/>
      </tp>
      <tp t="s">
        <v>N/A</v>
        <stp/>
        <stp>BID</stp>
        <stp>.SPY171215P208.5</stp>
        <tr r="N902" s="1"/>
      </tp>
      <tp t="s">
        <v>N/A</v>
        <stp/>
        <stp>BID</stp>
        <stp>.SPY150918P217.5</stp>
        <tr r="N458" s="1"/>
      </tp>
      <tp t="s">
        <v>N/A</v>
        <stp/>
        <stp>BID</stp>
        <stp>.SPY150918P207.5</stp>
        <tr r="N438" s="1"/>
      </tp>
      <tp t="s">
        <v>N/A</v>
        <stp/>
        <stp>BID</stp>
        <stp>.SPY160318P214.5</stp>
        <tr r="N662" s="1"/>
      </tp>
      <tp t="s">
        <v>N/A</v>
        <stp/>
        <stp>BID</stp>
        <stp>.SPY160318P204.5</stp>
        <tr r="N642" s="1"/>
      </tp>
      <tp t="s">
        <v>N/A</v>
        <stp/>
        <stp>BID</stp>
        <stp>.SPY160115P219.5</stp>
        <tr r="N630" s="1"/>
      </tp>
      <tp t="s">
        <v>N/A</v>
        <stp/>
        <stp>BID</stp>
        <stp>.SPY160115P209.5</stp>
        <tr r="N610" s="1"/>
      </tp>
      <tp t="s">
        <v>N/A</v>
        <stp/>
        <stp>BID</stp>
        <stp>.SPY150717P218.5</stp>
        <tr r="N418" s="1"/>
      </tp>
      <tp t="s">
        <v>N/A</v>
        <stp/>
        <stp>BID</stp>
        <stp>.SPY150717P208.5</stp>
        <tr r="N398" s="1"/>
      </tp>
      <tp t="s">
        <v>N/A</v>
        <stp/>
        <stp>BID</stp>
        <stp>.SPY150619P216.5</stp>
        <tr r="N330" s="1"/>
      </tp>
      <tp t="s">
        <v>N/A</v>
        <stp/>
        <stp>BID</stp>
        <stp>.SPY150619P206.5</stp>
        <tr r="N310" s="1"/>
      </tp>
      <tp>
        <v>1.03</v>
        <stp/>
        <stp>BID</stp>
        <stp>.SPY150529P206.5</stp>
        <tr r="N268" s="1"/>
      </tp>
      <tp>
        <v>5.27</v>
        <stp/>
        <stp>BID</stp>
        <stp>.SPY150529P216.5</stp>
        <tr r="N288" s="1"/>
      </tp>
      <tp>
        <v>0.18</v>
        <stp/>
        <stp>BID</stp>
        <stp>.SPY150508P207.5</stp>
        <tr r="N144" s="1"/>
      </tp>
      <tp>
        <v>5.9</v>
        <stp/>
        <stp>BID</stp>
        <stp>.SPY150508P217.5</stp>
        <tr r="N164" s="1"/>
      </tp>
      <tp>
        <v>10.25</v>
        <stp/>
        <stp>BID</stp>
        <stp>.SPY150417P218.5</stp>
        <tr r="N40" s="1"/>
      </tp>
      <tp>
        <v>0.36</v>
        <stp/>
        <stp>BID</stp>
        <stp>.SPY150417P208.5</stp>
        <tr r="N20" s="1"/>
      </tp>
      <tp t="s">
        <v>N/A</v>
        <stp/>
        <stp>RHO</stp>
        <stp>.SPY150918P216.5</stp>
        <tr r="V456" s="1"/>
      </tp>
      <tp t="s">
        <v>N/A</v>
        <stp/>
        <stp>RHO</stp>
        <stp>.SPY150918P206.5</stp>
        <tr r="V436" s="1"/>
      </tp>
      <tp t="s">
        <v>N/A</v>
        <stp/>
        <stp>RHO</stp>
        <stp>.SPY160318P215.5</stp>
        <tr r="V664" s="1"/>
      </tp>
      <tp t="s">
        <v>N/A</v>
        <stp/>
        <stp>RHO</stp>
        <stp>.SPY160318P205.5</stp>
        <tr r="V644" s="1"/>
      </tp>
      <tp t="s">
        <v>N/A</v>
        <stp/>
        <stp>RHO</stp>
        <stp>.SPY160115P218.5</stp>
        <tr r="V628" s="1"/>
      </tp>
      <tp t="s">
        <v>N/A</v>
        <stp/>
        <stp>RHO</stp>
        <stp>.SPY160115P208.5</stp>
        <tr r="V608" s="1"/>
      </tp>
      <tp t="s">
        <v>N/A</v>
        <stp/>
        <stp>RHO</stp>
        <stp>.SPY150717P219.5</stp>
        <tr r="V420" s="1"/>
      </tp>
      <tp t="s">
        <v>N/A</v>
        <stp/>
        <stp>RHO</stp>
        <stp>.SPY150717P209.5</stp>
        <tr r="V400" s="1"/>
      </tp>
      <tp t="s">
        <v>N/A</v>
        <stp/>
        <stp>RHO</stp>
        <stp>.SPY150619P217.5</stp>
        <tr r="V332" s="1"/>
      </tp>
      <tp t="s">
        <v>N/A</v>
        <stp/>
        <stp>RHO</stp>
        <stp>.SPY150619P207.5</stp>
        <tr r="V312" s="1"/>
      </tp>
      <tp>
        <v>-4.3830000000000001E-2</v>
        <stp/>
        <stp>RHO</stp>
        <stp>.SPY150529P207.5</stp>
        <tr r="V270" s="1"/>
      </tp>
      <tp>
        <v>0</v>
        <stp/>
        <stp>RHO</stp>
        <stp>.SPY150529P217.5</stp>
        <tr r="V290" s="1"/>
      </tp>
      <tp>
        <v>-2.2200000000000002E-3</v>
        <stp/>
        <stp>RHO</stp>
        <stp>.SPY150508P206.5</stp>
        <tr r="V142" s="1"/>
      </tp>
      <tp>
        <v>-2.964E-2</v>
        <stp/>
        <stp>RHO</stp>
        <stp>.SPY150508P216.5</stp>
        <tr r="V162" s="1"/>
      </tp>
      <tp t="s">
        <v>N/A</v>
        <stp/>
        <stp>RHO</stp>
        <stp>.SPY150417P219.5</stp>
        <tr r="V42" s="1"/>
      </tp>
      <tp t="s">
        <v>N/A</v>
        <stp/>
        <stp>RHO</stp>
        <stp>.SPY150417P209.5</stp>
        <tr r="V22" s="1"/>
      </tp>
      <tp t="s">
        <v>N/A</v>
        <stp/>
        <stp>RHO</stp>
        <stp>.SPY151219P217.5</stp>
        <tr r="V542" s="1"/>
      </tp>
      <tp t="s">
        <v>N/A</v>
        <stp/>
        <stp>RHO</stp>
        <stp>.SPY171215P219.5</stp>
        <tr r="V924" s="1"/>
      </tp>
      <tp t="s">
        <v>N/A</v>
        <stp/>
        <stp>RHO</stp>
        <stp>.SPY151219P207.5</stp>
        <tr r="V522" s="1"/>
      </tp>
      <tp t="s">
        <v>N/A</v>
        <stp/>
        <stp>RHO</stp>
        <stp>.SPY171215P209.5</stp>
        <tr r="V904" s="1"/>
      </tp>
      <tp t="s">
        <v>N/A</v>
        <stp/>
        <stp>DELTA</stp>
        <stp>.SPY150930P219.5</stp>
        <tr r="R504" s="1"/>
      </tp>
      <tp t="s">
        <v>N/A</v>
        <stp/>
        <stp>DELTA</stp>
        <stp>.SPY150930P209.5</stp>
        <tr r="R484" s="1"/>
      </tp>
      <tp t="s">
        <v>N/A</v>
        <stp/>
        <stp>DELTA</stp>
        <stp>.SPY150918P211.5</stp>
        <tr r="R446" s="1"/>
      </tp>
      <tp t="s">
        <v>N/A</v>
        <stp/>
        <stp>DELTA</stp>
        <stp>.SPY150918P201.5</stp>
        <tr r="R426" s="1"/>
      </tp>
      <tp>
        <v>-9.3840000000000007E-2</v>
        <stp/>
        <stp>DELTA</stp>
        <stp>.SPY150529P200.5</stp>
        <tr r="R256" s="1"/>
      </tp>
      <tp>
        <v>-0.44470999999999999</v>
        <stp/>
        <stp>DELTA</stp>
        <stp>.SPY150529P210.5</stp>
        <tr r="R276" s="1"/>
      </tp>
      <tp t="s">
        <v>N/A</v>
        <stp/>
        <stp>DELTA</stp>
        <stp>.SPY150501P208.5</stp>
        <tr r="R104" s="1"/>
      </tp>
      <tp>
        <v>-1.465E-2</v>
        <stp/>
        <stp>DELTA</stp>
        <stp>.SPY150508P201.5</stp>
        <tr r="R132" s="1"/>
      </tp>
      <tp t="s">
        <v>N/A</v>
        <stp/>
        <stp>DELTA</stp>
        <stp>.SPY150501P218.5</stp>
        <tr r="R124" s="1"/>
      </tp>
      <tp>
        <v>-0.51043000000000005</v>
        <stp/>
        <stp>DELTA</stp>
        <stp>.SPY150508P211.5</stp>
        <tr r="R152" s="1"/>
      </tp>
      <tp t="s">
        <v>N/A</v>
        <stp/>
        <stp>DELTA</stp>
        <stp>.SPY150630P219.5</stp>
        <tr r="R378" s="1"/>
      </tp>
      <tp t="s">
        <v>N/A</v>
        <stp/>
        <stp>DELTA</stp>
        <stp>.SPY150630P209.5</stp>
        <tr r="R358" s="1"/>
      </tp>
      <tp t="s">
        <v>N/A</v>
        <stp/>
        <stp>DELTA</stp>
        <stp>.SPY150619P210.5</stp>
        <tr r="R318" s="1"/>
      </tp>
      <tp t="s">
        <v>N/A</v>
        <stp/>
        <stp>DELTA</stp>
        <stp>.SPY150619P200.5</stp>
        <tr r="R298" s="1"/>
      </tp>
      <tp t="s">
        <v>N/A</v>
        <stp/>
        <stp>DELTA</stp>
        <stp>.SPY160318P212.5</stp>
        <tr r="R658" s="1"/>
      </tp>
      <tp t="s">
        <v>N/A</v>
        <stp/>
        <stp>DELTA</stp>
        <stp>.SPY160318P202.5</stp>
        <tr r="R638" s="1"/>
      </tp>
      <tp t="s">
        <v>N/A</v>
        <stp/>
        <stp>DELTA</stp>
        <stp>.SPY151231P218.5</stp>
        <tr r="R586" s="1"/>
      </tp>
      <tp t="s">
        <v>N/A</v>
        <stp/>
        <stp>DELTA</stp>
        <stp>.SPY151231P208.5</stp>
        <tr r="R566" s="1"/>
      </tp>
      <tp t="s">
        <v>N/A</v>
        <stp/>
        <stp>DELTA</stp>
        <stp>.SPY151219P210.5</stp>
        <tr r="R528" s="1"/>
      </tp>
      <tp t="s">
        <v>N/A</v>
        <stp/>
        <stp>DELTA</stp>
        <stp>.SPY151219P200.5</stp>
        <tr r="R508" s="1"/>
      </tp>
      <tp t="s">
        <v>N/A</v>
        <stp/>
        <stp>THETA</stp>
        <stp>.SPY151231C208.5</stp>
        <tr r="H566" s="1"/>
      </tp>
      <tp t="s">
        <v>N/A</v>
        <stp/>
        <stp>THETA</stp>
        <stp>.SPY151231C218.5</stp>
        <tr r="H586" s="1"/>
      </tp>
      <tp t="s">
        <v>N/A</v>
        <stp/>
        <stp>THETA</stp>
        <stp>.SPY151219C200.5</stp>
        <tr r="H508" s="1"/>
      </tp>
      <tp t="s">
        <v>N/A</v>
        <stp/>
        <stp>THETA</stp>
        <stp>.SPY151219C210.5</stp>
        <tr r="H528" s="1"/>
      </tp>
      <tp t="s">
        <v>N/A</v>
        <stp/>
        <stp>THETA</stp>
        <stp>.SPY160318C202.5</stp>
        <tr r="H638" s="1"/>
      </tp>
      <tp t="s">
        <v>N/A</v>
        <stp/>
        <stp>THETA</stp>
        <stp>.SPY160318C212.5</stp>
        <tr r="H658" s="1"/>
      </tp>
      <tp>
        <v>-4.4979999999999999E-2</v>
        <stp/>
        <stp>THETA</stp>
        <stp>.SPY150529C210.5</stp>
        <tr r="H276" s="1"/>
      </tp>
      <tp>
        <v>-2.9760000000000002E-2</v>
        <stp/>
        <stp>THETA</stp>
        <stp>.SPY150529C200.5</stp>
        <tr r="H256" s="1"/>
      </tp>
      <tp t="s">
        <v>N/A</v>
        <stp/>
        <stp>THETA</stp>
        <stp>.SPY150501C218.5</stp>
        <tr r="H124" s="1"/>
      </tp>
      <tp>
        <v>-9.2270000000000005E-2</v>
        <stp/>
        <stp>THETA</stp>
        <stp>.SPY150508C211.5</stp>
        <tr r="H152" s="1"/>
      </tp>
      <tp t="s">
        <v>N/A</v>
        <stp/>
        <stp>THETA</stp>
        <stp>.SPY150501C208.5</stp>
        <tr r="H104" s="1"/>
      </tp>
      <tp>
        <v>-4.8750000000000002E-2</v>
        <stp/>
        <stp>THETA</stp>
        <stp>.SPY150508C201.5</stp>
        <tr r="H132" s="1"/>
      </tp>
      <tp t="s">
        <v>N/A</v>
        <stp/>
        <stp>THETA</stp>
        <stp>.SPY150630C209.5</stp>
        <tr r="H358" s="1"/>
      </tp>
      <tp t="s">
        <v>N/A</v>
        <stp/>
        <stp>THETA</stp>
        <stp>.SPY150630C219.5</stp>
        <tr r="H378" s="1"/>
      </tp>
      <tp t="s">
        <v>N/A</v>
        <stp/>
        <stp>THETA</stp>
        <stp>.SPY150619C200.5</stp>
        <tr r="H298" s="1"/>
      </tp>
      <tp t="s">
        <v>N/A</v>
        <stp/>
        <stp>THETA</stp>
        <stp>.SPY150619C210.5</stp>
        <tr r="H318" s="1"/>
      </tp>
      <tp t="s">
        <v>N/A</v>
        <stp/>
        <stp>THETA</stp>
        <stp>.SPY150930C209.5</stp>
        <tr r="H484" s="1"/>
      </tp>
      <tp t="s">
        <v>N/A</v>
        <stp/>
        <stp>THETA</stp>
        <stp>.SPY150930C219.5</stp>
        <tr r="H504" s="1"/>
      </tp>
      <tp t="s">
        <v>N/A</v>
        <stp/>
        <stp>THETA</stp>
        <stp>.SPY150918C201.5</stp>
        <tr r="H426" s="1"/>
      </tp>
      <tp t="s">
        <v>N/A</v>
        <stp/>
        <stp>THETA</stp>
        <stp>.SPY150918C211.5</stp>
        <tr r="H446" s="1"/>
      </tp>
      <tp t="s">
        <v>N/A</v>
        <stp/>
        <stp>THETA</stp>
        <stp>.SPY160318P202.5</stp>
        <tr r="S638" s="1"/>
      </tp>
      <tp t="s">
        <v>N/A</v>
        <stp/>
        <stp>THETA</stp>
        <stp>.SPY160318P212.5</stp>
        <tr r="S658" s="1"/>
      </tp>
      <tp>
        <v>-4.8959999999999997E-2</v>
        <stp/>
        <stp>THETA</stp>
        <stp>.SPY150529P210.5</stp>
        <tr r="S276" s="1"/>
      </tp>
      <tp>
        <v>-2.844E-2</v>
        <stp/>
        <stp>THETA</stp>
        <stp>.SPY150529P200.5</stp>
        <tr r="S256" s="1"/>
      </tp>
      <tp t="s">
        <v>N/A</v>
        <stp/>
        <stp>THETA</stp>
        <stp>.SPY150501P218.5</stp>
        <tr r="S124" s="1"/>
      </tp>
      <tp>
        <v>-9.7710000000000005E-2</v>
        <stp/>
        <stp>THETA</stp>
        <stp>.SPY150508P211.5</stp>
        <tr r="S152" s="1"/>
      </tp>
      <tp t="s">
        <v>N/A</v>
        <stp/>
        <stp>THETA</stp>
        <stp>.SPY150501P208.5</stp>
        <tr r="S104" s="1"/>
      </tp>
      <tp>
        <v>-2.0750000000000001E-2</v>
        <stp/>
        <stp>THETA</stp>
        <stp>.SPY150508P201.5</stp>
        <tr r="S132" s="1"/>
      </tp>
      <tp t="s">
        <v>N/A</v>
        <stp/>
        <stp>THETA</stp>
        <stp>.SPY150630P209.5</stp>
        <tr r="S358" s="1"/>
      </tp>
      <tp t="s">
        <v>N/A</v>
        <stp/>
        <stp>THETA</stp>
        <stp>.SPY150630P219.5</stp>
        <tr r="S378" s="1"/>
      </tp>
      <tp t="s">
        <v>N/A</v>
        <stp/>
        <stp>THETA</stp>
        <stp>.SPY150619P200.5</stp>
        <tr r="S298" s="1"/>
      </tp>
      <tp t="s">
        <v>N/A</v>
        <stp/>
        <stp>THETA</stp>
        <stp>.SPY150619P210.5</stp>
        <tr r="S318" s="1"/>
      </tp>
      <tp t="s">
        <v>N/A</v>
        <stp/>
        <stp>THETA</stp>
        <stp>.SPY150930P209.5</stp>
        <tr r="S484" s="1"/>
      </tp>
      <tp t="s">
        <v>N/A</v>
        <stp/>
        <stp>THETA</stp>
        <stp>.SPY150930P219.5</stp>
        <tr r="S504" s="1"/>
      </tp>
      <tp t="s">
        <v>N/A</v>
        <stp/>
        <stp>THETA</stp>
        <stp>.SPY150918P201.5</stp>
        <tr r="S426" s="1"/>
      </tp>
      <tp t="s">
        <v>N/A</v>
        <stp/>
        <stp>THETA</stp>
        <stp>.SPY150918P211.5</stp>
        <tr r="S446" s="1"/>
      </tp>
      <tp t="s">
        <v>N/A</v>
        <stp/>
        <stp>THETA</stp>
        <stp>.SPY151231P208.5</stp>
        <tr r="S566" s="1"/>
      </tp>
      <tp t="s">
        <v>N/A</v>
        <stp/>
        <stp>THETA</stp>
        <stp>.SPY151231P218.5</stp>
        <tr r="S586" s="1"/>
      </tp>
      <tp t="s">
        <v>N/A</v>
        <stp/>
        <stp>THETA</stp>
        <stp>.SPY151219P200.5</stp>
        <tr r="S508" s="1"/>
      </tp>
      <tp t="s">
        <v>N/A</v>
        <stp/>
        <stp>THETA</stp>
        <stp>.SPY151219P210.5</stp>
        <tr r="S528" s="1"/>
      </tp>
      <tp t="s">
        <v>N/A</v>
        <stp/>
        <stp>DELTA</stp>
        <stp>.SPY151231C218.5</stp>
        <tr r="G586" s="1"/>
      </tp>
      <tp t="s">
        <v>N/A</v>
        <stp/>
        <stp>DELTA</stp>
        <stp>.SPY151231C208.5</stp>
        <tr r="G566" s="1"/>
      </tp>
      <tp t="s">
        <v>N/A</v>
        <stp/>
        <stp>DELTA</stp>
        <stp>.SPY151219C210.5</stp>
        <tr r="G528" s="1"/>
      </tp>
      <tp t="s">
        <v>N/A</v>
        <stp/>
        <stp>DELTA</stp>
        <stp>.SPY151219C200.5</stp>
        <tr r="G508" s="1"/>
      </tp>
      <tp t="s">
        <v>N/A</v>
        <stp/>
        <stp>DELTA</stp>
        <stp>.SPY150930C219.5</stp>
        <tr r="G504" s="1"/>
      </tp>
      <tp t="s">
        <v>N/A</v>
        <stp/>
        <stp>DELTA</stp>
        <stp>.SPY150930C209.5</stp>
        <tr r="G484" s="1"/>
      </tp>
      <tp t="s">
        <v>N/A</v>
        <stp/>
        <stp>DELTA</stp>
        <stp>.SPY150918C211.5</stp>
        <tr r="G446" s="1"/>
      </tp>
      <tp t="s">
        <v>N/A</v>
        <stp/>
        <stp>DELTA</stp>
        <stp>.SPY150918C201.5</stp>
        <tr r="G426" s="1"/>
      </tp>
      <tp>
        <v>0.88746000000000003</v>
        <stp/>
        <stp>DELTA</stp>
        <stp>.SPY150529C200.5</stp>
        <tr r="G256" s="1"/>
      </tp>
      <tp>
        <v>0.55286999999999997</v>
        <stp/>
        <stp>DELTA</stp>
        <stp>.SPY150529C210.5</stp>
        <tr r="G276" s="1"/>
      </tp>
      <tp t="s">
        <v>N/A</v>
        <stp/>
        <stp>DELTA</stp>
        <stp>.SPY150501C208.5</stp>
        <tr r="G104" s="1"/>
      </tp>
      <tp>
        <v>0.95386000000000004</v>
        <stp/>
        <stp>DELTA</stp>
        <stp>.SPY150508C201.5</stp>
        <tr r="G132" s="1"/>
      </tp>
      <tp t="s">
        <v>N/A</v>
        <stp/>
        <stp>DELTA</stp>
        <stp>.SPY150501C218.5</stp>
        <tr r="G124" s="1"/>
      </tp>
      <tp>
        <v>0.49049999999999999</v>
        <stp/>
        <stp>DELTA</stp>
        <stp>.SPY150508C211.5</stp>
        <tr r="G152" s="1"/>
      </tp>
      <tp t="s">
        <v>N/A</v>
        <stp/>
        <stp>DELTA</stp>
        <stp>.SPY150630C219.5</stp>
        <tr r="G378" s="1"/>
      </tp>
      <tp t="s">
        <v>N/A</v>
        <stp/>
        <stp>DELTA</stp>
        <stp>.SPY150630C209.5</stp>
        <tr r="G358" s="1"/>
      </tp>
      <tp t="s">
        <v>N/A</v>
        <stp/>
        <stp>DELTA</stp>
        <stp>.SPY150619C210.5</stp>
        <tr r="G318" s="1"/>
      </tp>
      <tp t="s">
        <v>N/A</v>
        <stp/>
        <stp>DELTA</stp>
        <stp>.SPY150619C200.5</stp>
        <tr r="G298" s="1"/>
      </tp>
      <tp t="s">
        <v>N/A</v>
        <stp/>
        <stp>DELTA</stp>
        <stp>.SPY160318C212.5</stp>
        <tr r="G658" s="1"/>
      </tp>
      <tp t="s">
        <v>N/A</v>
        <stp/>
        <stp>DELTA</stp>
        <stp>.SPY160318C202.5</stp>
        <tr r="G638" s="1"/>
      </tp>
      <tp t="s">
        <v>N/A</v>
        <stp/>
        <stp>BID</stp>
        <stp>.SPY150930C210.5</stp>
        <tr r="C486" s="1"/>
      </tp>
      <tp t="s">
        <v>N/A</v>
        <stp/>
        <stp>BID</stp>
        <stp>.SPY150930C200.5</stp>
        <tr r="C466" s="1"/>
      </tp>
      <tp t="s">
        <v>N/A</v>
        <stp/>
        <stp>BID</stp>
        <stp>.SPY150918C218.5</stp>
        <tr r="C460" s="1"/>
      </tp>
      <tp t="s">
        <v>N/A</v>
        <stp/>
        <stp>BID</stp>
        <stp>.SPY160916C215.5</stp>
        <tr r="C748" s="1"/>
      </tp>
      <tp t="s">
        <v>N/A</v>
        <stp/>
        <stp>BID</stp>
        <stp>.SPY150918C208.5</stp>
        <tr r="C440" s="1"/>
      </tp>
      <tp t="s">
        <v>N/A</v>
        <stp/>
        <stp>BID</stp>
        <stp>.SPY160916C205.5</stp>
        <tr r="C728" s="1"/>
      </tp>
      <tp t="s">
        <v>N/A</v>
        <stp/>
        <stp>BID</stp>
        <stp>.SPY170317C215.5</stp>
        <tr r="C874" s="1"/>
      </tp>
      <tp t="s">
        <v>N/A</v>
        <stp/>
        <stp>BID</stp>
        <stp>.SPY170317C205.5</stp>
        <tr r="C854" s="1"/>
      </tp>
      <tp t="s">
        <v>N/A</v>
        <stp/>
        <stp>BID</stp>
        <stp>.SPY170120C202.5</stp>
        <tr r="C806" s="1"/>
      </tp>
      <tp t="s">
        <v>N/A</v>
        <stp/>
        <stp>BID</stp>
        <stp>.SPY170120C212.5</stp>
        <tr r="C826" s="1"/>
      </tp>
      <tp t="s">
        <v>N/A</v>
        <stp/>
        <stp>BID</stp>
        <stp>.SPY160115C216.5</stp>
        <tr r="C624" s="1"/>
      </tp>
      <tp t="s">
        <v>N/A</v>
        <stp/>
        <stp>BID</stp>
        <stp>.SPY160115C206.5</stp>
        <tr r="C604" s="1"/>
      </tp>
      <tp t="s">
        <v>N/A</v>
        <stp/>
        <stp>BID</stp>
        <stp>.SPY150717C217.5</stp>
        <tr r="C416" s="1"/>
      </tp>
      <tp t="s">
        <v>N/A</v>
        <stp/>
        <stp>BID</stp>
        <stp>.SPY150717C207.5</stp>
        <tr r="C396" s="1"/>
      </tp>
      <tp t="s">
        <v>N/A</v>
        <stp/>
        <stp>BID</stp>
        <stp>.SPY150630C210.5</stp>
        <tr r="C360" s="1"/>
      </tp>
      <tp t="s">
        <v>N/A</v>
        <stp/>
        <stp>BID</stp>
        <stp>.SPY150630C200.5</stp>
        <tr r="C340" s="1"/>
      </tp>
      <tp t="s">
        <v>N/A</v>
        <stp/>
        <stp>BID</stp>
        <stp>.SPY150619C219.5</stp>
        <tr r="C336" s="1"/>
      </tp>
      <tp t="s">
        <v>N/A</v>
        <stp/>
        <stp>BID</stp>
        <stp>.SPY160617C214.5</stp>
        <tr r="C704" s="1"/>
      </tp>
      <tp t="s">
        <v>N/A</v>
        <stp/>
        <stp>BID</stp>
        <stp>.SPY150619C209.5</stp>
        <tr r="C316" s="1"/>
      </tp>
      <tp t="s">
        <v>N/A</v>
        <stp/>
        <stp>BID</stp>
        <stp>.SPY160617C204.5</stp>
        <tr r="C684" s="1"/>
      </tp>
      <tp>
        <v>9.19</v>
        <stp/>
        <stp>BID</stp>
        <stp>.SPY150522C202.5</stp>
        <tr r="C218" s="1"/>
      </tp>
      <tp>
        <v>3.62</v>
        <stp/>
        <stp>BID</stp>
        <stp>.SPY150529C209.5</stp>
        <tr r="C274" s="1"/>
      </tp>
      <tp>
        <v>1.43</v>
        <stp/>
        <stp>BID</stp>
        <stp>.SPY150522C212.5</stp>
        <tr r="C238" s="1"/>
      </tp>
      <tp>
        <v>7.0000000000000007E-2</v>
        <stp/>
        <stp>BID</stp>
        <stp>.SPY150529C219.5</stp>
        <tr r="C294" s="1"/>
      </tp>
      <tp>
        <v>9.08</v>
        <stp/>
        <stp>BID</stp>
        <stp>.SPY150501C201.5</stp>
        <tr r="C90" s="1"/>
      </tp>
      <tp>
        <v>3.1</v>
        <stp/>
        <stp>BID</stp>
        <stp>.SPY150508C208.5</stp>
        <tr r="C146" s="1"/>
      </tp>
      <tp>
        <v>0.15</v>
        <stp/>
        <stp>BID</stp>
        <stp>.SPY150515C215.5</stp>
        <tr r="C202" s="1"/>
      </tp>
      <tp>
        <v>0</v>
        <stp/>
        <stp>BID</stp>
        <stp>.SPY150501C211.5</stp>
        <tr r="C110" s="1"/>
      </tp>
      <tp>
        <v>0</v>
        <stp/>
        <stp>BID</stp>
        <stp>.SPY150508C218.5</stp>
        <tr r="C166" s="1"/>
      </tp>
      <tp>
        <v>6.18</v>
        <stp/>
        <stp>BID</stp>
        <stp>.SPY150515C205.5</stp>
        <tr r="C182" s="1"/>
      </tp>
      <tp>
        <v>7.05</v>
        <stp/>
        <stp>BID</stp>
        <stp>.SPY150424C204.5</stp>
        <tr r="C54" s="1"/>
      </tp>
      <tp>
        <v>0</v>
        <stp/>
        <stp>BID</stp>
        <stp>.SPY150424C214.5</stp>
        <tr r="C74" s="1"/>
      </tp>
      <tp>
        <v>0</v>
        <stp/>
        <stp>BID</stp>
        <stp>.SPY150417C217.5</stp>
        <tr r="C38" s="1"/>
      </tp>
      <tp>
        <v>0.59</v>
        <stp/>
        <stp>BID</stp>
        <stp>.SPY150417C207.5</stp>
        <tr r="C18" s="1"/>
      </tp>
      <tp t="s">
        <v>N/A</v>
        <stp/>
        <stp>BID</stp>
        <stp>.SPY151231C211.5</stp>
        <tr r="C572" s="1"/>
      </tp>
      <tp t="s">
        <v>N/A</v>
        <stp/>
        <stp>BID</stp>
        <stp>.SPY151231C201.5</stp>
        <tr r="C552" s="1"/>
      </tp>
      <tp t="s">
        <v>N/A</v>
        <stp/>
        <stp>BID</stp>
        <stp>.SPY151219C219.5</stp>
        <tr r="C546" s="1"/>
      </tp>
      <tp t="s">
        <v>N/A</v>
        <stp/>
        <stp>BID</stp>
        <stp>.SPY161216C215.5</stp>
        <tr r="C790" s="1"/>
      </tp>
      <tp t="s">
        <v>N/A</v>
        <stp/>
        <stp>BID</stp>
        <stp>.SPY171215C217.5</stp>
        <tr r="C920" s="1"/>
      </tp>
      <tp t="s">
        <v>N/A</v>
        <stp/>
        <stp>BID</stp>
        <stp>.SPY151219C209.5</stp>
        <tr r="C526" s="1"/>
      </tp>
      <tp t="s">
        <v>N/A</v>
        <stp/>
        <stp>BID</stp>
        <stp>.SPY161216C205.5</stp>
        <tr r="C770" s="1"/>
      </tp>
      <tp t="s">
        <v>N/A</v>
        <stp/>
        <stp>BID</stp>
        <stp>.SPY171215C207.5</stp>
        <tr r="C900" s="1"/>
      </tp>
      <tp t="s">
        <v>N/A</v>
        <stp/>
        <stp>RHO</stp>
        <stp>.SPY151231C210.5</stp>
        <tr r="K570" s="1"/>
      </tp>
      <tp t="s">
        <v>N/A</v>
        <stp/>
        <stp>RHO</stp>
        <stp>.SPY151231C200.5</stp>
        <tr r="K550" s="1"/>
      </tp>
      <tp t="s">
        <v>N/A</v>
        <stp/>
        <stp>RHO</stp>
        <stp>.SPY151219C218.5</stp>
        <tr r="K544" s="1"/>
      </tp>
      <tp t="s">
        <v>N/A</v>
        <stp/>
        <stp>RHO</stp>
        <stp>.SPY161216C214.5</stp>
        <tr r="K788" s="1"/>
      </tp>
      <tp t="s">
        <v>N/A</v>
        <stp/>
        <stp>RHO</stp>
        <stp>.SPY171215C216.5</stp>
        <tr r="K918" s="1"/>
      </tp>
      <tp t="s">
        <v>N/A</v>
        <stp/>
        <stp>RHO</stp>
        <stp>.SPY151219C208.5</stp>
        <tr r="K524" s="1"/>
      </tp>
      <tp t="s">
        <v>N/A</v>
        <stp/>
        <stp>RHO</stp>
        <stp>.SPY161216C204.5</stp>
        <tr r="K768" s="1"/>
      </tp>
      <tp t="s">
        <v>N/A</v>
        <stp/>
        <stp>RHO</stp>
        <stp>.SPY171215C206.5</stp>
        <tr r="K898" s="1"/>
      </tp>
      <tp t="s">
        <v>N/A</v>
        <stp/>
        <stp>RHO</stp>
        <stp>.SPY150930C211.5</stp>
        <tr r="K488" s="1"/>
      </tp>
      <tp t="s">
        <v>N/A</v>
        <stp/>
        <stp>RHO</stp>
        <stp>.SPY150930C201.5</stp>
        <tr r="K468" s="1"/>
      </tp>
      <tp t="s">
        <v>N/A</v>
        <stp/>
        <stp>RHO</stp>
        <stp>.SPY150918C219.5</stp>
        <tr r="K462" s="1"/>
      </tp>
      <tp t="s">
        <v>N/A</v>
        <stp/>
        <stp>RHO</stp>
        <stp>.SPY160916C214.5</stp>
        <tr r="K746" s="1"/>
      </tp>
      <tp t="s">
        <v>N/A</v>
        <stp/>
        <stp>RHO</stp>
        <stp>.SPY150918C209.5</stp>
        <tr r="K442" s="1"/>
      </tp>
      <tp t="s">
        <v>N/A</v>
        <stp/>
        <stp>RHO</stp>
        <stp>.SPY160916C204.5</stp>
        <tr r="K726" s="1"/>
      </tp>
      <tp t="s">
        <v>N/A</v>
        <stp/>
        <stp>RHO</stp>
        <stp>.SPY170317C214.5</stp>
        <tr r="K872" s="1"/>
      </tp>
      <tp t="s">
        <v>N/A</v>
        <stp/>
        <stp>RHO</stp>
        <stp>.SPY170317C204.5</stp>
        <tr r="K852" s="1"/>
      </tp>
      <tp t="s">
        <v>N/A</v>
        <stp/>
        <stp>RHO</stp>
        <stp>.SPY170120C203.5</stp>
        <tr r="K808" s="1"/>
      </tp>
      <tp t="s">
        <v>N/A</v>
        <stp/>
        <stp>RHO</stp>
        <stp>.SPY170120C213.5</stp>
        <tr r="K828" s="1"/>
      </tp>
      <tp t="s">
        <v>N/A</v>
        <stp/>
        <stp>RHO</stp>
        <stp>.SPY160115C217.5</stp>
        <tr r="K626" s="1"/>
      </tp>
      <tp t="s">
        <v>N/A</v>
        <stp/>
        <stp>RHO</stp>
        <stp>.SPY160115C207.5</stp>
        <tr r="K606" s="1"/>
      </tp>
      <tp t="s">
        <v>N/A</v>
        <stp/>
        <stp>RHO</stp>
        <stp>.SPY150717C216.5</stp>
        <tr r="K414" s="1"/>
      </tp>
      <tp t="s">
        <v>N/A</v>
        <stp/>
        <stp>RHO</stp>
        <stp>.SPY150717C206.5</stp>
        <tr r="K394" s="1"/>
      </tp>
      <tp t="s">
        <v>N/A</v>
        <stp/>
        <stp>RHO</stp>
        <stp>.SPY150630C211.5</stp>
        <tr r="K362" s="1"/>
      </tp>
      <tp t="s">
        <v>N/A</v>
        <stp/>
        <stp>RHO</stp>
        <stp>.SPY150630C201.5</stp>
        <tr r="K342" s="1"/>
      </tp>
      <tp t="s">
        <v>N/A</v>
        <stp/>
        <stp>RHO</stp>
        <stp>.SPY150619C218.5</stp>
        <tr r="K334" s="1"/>
      </tp>
      <tp t="s">
        <v>N/A</v>
        <stp/>
        <stp>RHO</stp>
        <stp>.SPY160617C215.5</stp>
        <tr r="K706" s="1"/>
      </tp>
      <tp t="s">
        <v>N/A</v>
        <stp/>
        <stp>RHO</stp>
        <stp>.SPY150619C208.5</stp>
        <tr r="K314" s="1"/>
      </tp>
      <tp t="s">
        <v>N/A</v>
        <stp/>
        <stp>RHO</stp>
        <stp>.SPY160617C205.5</stp>
        <tr r="K686" s="1"/>
      </tp>
      <tp>
        <v>6.4199999999999993E-2</v>
        <stp/>
        <stp>RHO</stp>
        <stp>.SPY150522C203.5</stp>
        <tr r="K220" s="1"/>
      </tp>
      <tp>
        <v>8.5830000000000004E-2</v>
        <stp/>
        <stp>RHO</stp>
        <stp>.SPY150529C208.5</stp>
        <tr r="K272" s="1"/>
      </tp>
      <tp>
        <v>3.44E-2</v>
        <stp/>
        <stp>RHO</stp>
        <stp>.SPY150522C213.5</stp>
        <tr r="K240" s="1"/>
      </tp>
      <tp>
        <v>9.3399999999999993E-3</v>
        <stp/>
        <stp>RHO</stp>
        <stp>.SPY150529C218.5</stp>
        <tr r="K292" s="1"/>
      </tp>
      <tp t="s">
        <v>N/A</v>
        <stp/>
        <stp>RHO</stp>
        <stp>.SPY150501C200.5</stp>
        <tr r="K88" s="1"/>
      </tp>
      <tp>
        <v>1.8689999999999998E-2</v>
        <stp/>
        <stp>RHO</stp>
        <stp>.SPY150508C209.5</stp>
        <tr r="K148" s="1"/>
      </tp>
      <tp>
        <v>1.227E-2</v>
        <stp/>
        <stp>RHO</stp>
        <stp>.SPY150515C214.5</stp>
        <tr r="K200" s="1"/>
      </tp>
      <tp t="s">
        <v>N/A</v>
        <stp/>
        <stp>RHO</stp>
        <stp>.SPY150501C210.5</stp>
        <tr r="K108" s="1"/>
      </tp>
      <tp>
        <v>1.4999999999999999E-4</v>
        <stp/>
        <stp>RHO</stp>
        <stp>.SPY150508C219.5</stp>
        <tr r="K168" s="1"/>
      </tp>
      <tp>
        <v>3.9640000000000002E-2</v>
        <stp/>
        <stp>RHO</stp>
        <stp>.SPY150515C204.5</stp>
        <tr r="K180" s="1"/>
      </tp>
      <tp t="s">
        <v>N/A</v>
        <stp/>
        <stp>RHO</stp>
        <stp>.SPY150424C205.5</stp>
        <tr r="K56" s="1"/>
      </tp>
      <tp t="s">
        <v>N/A</v>
        <stp/>
        <stp>RHO</stp>
        <stp>.SPY150424C215.5</stp>
        <tr r="K76" s="1"/>
      </tp>
      <tp t="s">
        <v>N/A</v>
        <stp/>
        <stp>RHO</stp>
        <stp>.SPY150417C216.5</stp>
        <tr r="K36" s="1"/>
      </tp>
      <tp t="s">
        <v>N/A</v>
        <stp/>
        <stp>RHO</stp>
        <stp>.SPY150417C206.5</stp>
        <tr r="K16" s="1"/>
      </tp>
      <tp t="s">
        <v>N/A</v>
        <stp/>
        <stp>BID</stp>
        <stp>.SPY151231P211.5</stp>
        <tr r="N572" s="1"/>
      </tp>
      <tp t="s">
        <v>N/A</v>
        <stp/>
        <stp>BID</stp>
        <stp>.SPY151231P201.5</stp>
        <tr r="N552" s="1"/>
      </tp>
      <tp t="s">
        <v>N/A</v>
        <stp/>
        <stp>BID</stp>
        <stp>.SPY151219P219.5</stp>
        <tr r="N546" s="1"/>
      </tp>
      <tp t="s">
        <v>N/A</v>
        <stp/>
        <stp>BID</stp>
        <stp>.SPY161216P215.5</stp>
        <tr r="N790" s="1"/>
      </tp>
      <tp t="s">
        <v>N/A</v>
        <stp/>
        <stp>BID</stp>
        <stp>.SPY171215P217.5</stp>
        <tr r="N920" s="1"/>
      </tp>
      <tp t="s">
        <v>N/A</v>
        <stp/>
        <stp>BID</stp>
        <stp>.SPY151219P209.5</stp>
        <tr r="N526" s="1"/>
      </tp>
      <tp t="s">
        <v>N/A</v>
        <stp/>
        <stp>BID</stp>
        <stp>.SPY161216P205.5</stp>
        <tr r="N770" s="1"/>
      </tp>
      <tp t="s">
        <v>N/A</v>
        <stp/>
        <stp>BID</stp>
        <stp>.SPY171215P207.5</stp>
        <tr r="N900" s="1"/>
      </tp>
      <tp t="s">
        <v>N/A</v>
        <stp/>
        <stp>BID</stp>
        <stp>.SPY150930P210.5</stp>
        <tr r="N486" s="1"/>
      </tp>
      <tp t="s">
        <v>N/A</v>
        <stp/>
        <stp>BID</stp>
        <stp>.SPY150930P200.5</stp>
        <tr r="N466" s="1"/>
      </tp>
      <tp t="s">
        <v>N/A</v>
        <stp/>
        <stp>BID</stp>
        <stp>.SPY150918P218.5</stp>
        <tr r="N460" s="1"/>
      </tp>
      <tp t="s">
        <v>N/A</v>
        <stp/>
        <stp>BID</stp>
        <stp>.SPY160916P215.5</stp>
        <tr r="N748" s="1"/>
      </tp>
      <tp t="s">
        <v>N/A</v>
        <stp/>
        <stp>BID</stp>
        <stp>.SPY150918P208.5</stp>
        <tr r="N440" s="1"/>
      </tp>
      <tp t="s">
        <v>N/A</v>
        <stp/>
        <stp>BID</stp>
        <stp>.SPY160916P205.5</stp>
        <tr r="N728" s="1"/>
      </tp>
      <tp t="s">
        <v>N/A</v>
        <stp/>
        <stp>BID</stp>
        <stp>.SPY170317P215.5</stp>
        <tr r="N874" s="1"/>
      </tp>
      <tp t="s">
        <v>N/A</v>
        <stp/>
        <stp>BID</stp>
        <stp>.SPY170317P205.5</stp>
        <tr r="N854" s="1"/>
      </tp>
      <tp t="s">
        <v>N/A</v>
        <stp/>
        <stp>BID</stp>
        <stp>.SPY170120P202.5</stp>
        <tr r="N806" s="1"/>
      </tp>
      <tp t="s">
        <v>N/A</v>
        <stp/>
        <stp>BID</stp>
        <stp>.SPY170120P212.5</stp>
        <tr r="N826" s="1"/>
      </tp>
      <tp t="s">
        <v>N/A</v>
        <stp/>
        <stp>BID</stp>
        <stp>.SPY160115P216.5</stp>
        <tr r="N624" s="1"/>
      </tp>
      <tp t="s">
        <v>N/A</v>
        <stp/>
        <stp>BID</stp>
        <stp>.SPY160115P206.5</stp>
        <tr r="N604" s="1"/>
      </tp>
      <tp t="s">
        <v>N/A</v>
        <stp/>
        <stp>BID</stp>
        <stp>.SPY150717P217.5</stp>
        <tr r="N416" s="1"/>
      </tp>
      <tp t="s">
        <v>N/A</v>
        <stp/>
        <stp>BID</stp>
        <stp>.SPY150717P207.5</stp>
        <tr r="N396" s="1"/>
      </tp>
      <tp t="s">
        <v>N/A</v>
        <stp/>
        <stp>BID</stp>
        <stp>.SPY150630P210.5</stp>
        <tr r="N360" s="1"/>
      </tp>
      <tp t="s">
        <v>N/A</v>
        <stp/>
        <stp>BID</stp>
        <stp>.SPY150630P200.5</stp>
        <tr r="N340" s="1"/>
      </tp>
      <tp t="s">
        <v>N/A</v>
        <stp/>
        <stp>BID</stp>
        <stp>.SPY150619P219.5</stp>
        <tr r="N336" s="1"/>
      </tp>
      <tp t="s">
        <v>N/A</v>
        <stp/>
        <stp>BID</stp>
        <stp>.SPY160617P214.5</stp>
        <tr r="N704" s="1"/>
      </tp>
      <tp t="s">
        <v>N/A</v>
        <stp/>
        <stp>BID</stp>
        <stp>.SPY150619P209.5</stp>
        <tr r="N316" s="1"/>
      </tp>
      <tp t="s">
        <v>N/A</v>
        <stp/>
        <stp>BID</stp>
        <stp>.SPY160617P204.5</stp>
        <tr r="N684" s="1"/>
      </tp>
      <tp>
        <v>0.33</v>
        <stp/>
        <stp>BID</stp>
        <stp>.SPY150522P202.5</stp>
        <tr r="N218" s="1"/>
      </tp>
      <tp>
        <v>1.7</v>
        <stp/>
        <stp>BID</stp>
        <stp>.SPY150529P209.5</stp>
        <tr r="N274" s="1"/>
      </tp>
      <tp>
        <v>2.44</v>
        <stp/>
        <stp>BID</stp>
        <stp>.SPY150522P212.5</stp>
        <tr r="N238" s="1"/>
      </tp>
      <tp>
        <v>7.94</v>
        <stp/>
        <stp>BID</stp>
        <stp>.SPY150529P219.5</stp>
        <tr r="N294" s="1"/>
      </tp>
      <tp>
        <v>0</v>
        <stp/>
        <stp>BID</stp>
        <stp>.SPY150501P201.5</stp>
        <tr r="N90" s="1"/>
      </tp>
      <tp>
        <v>0.27</v>
        <stp/>
        <stp>BID</stp>
        <stp>.SPY150508P208.5</stp>
        <tr r="N146" s="1"/>
      </tp>
      <tp>
        <v>4.09</v>
        <stp/>
        <stp>BID</stp>
        <stp>.SPY150515P215.5</stp>
        <tr r="N202" s="1"/>
      </tp>
      <tp>
        <v>0.74</v>
        <stp/>
        <stp>BID</stp>
        <stp>.SPY150501P211.5</stp>
        <tr r="N110" s="1"/>
      </tp>
      <tp>
        <v>6.9</v>
        <stp/>
        <stp>BID</stp>
        <stp>.SPY150508P218.5</stp>
        <tr r="N166" s="1"/>
      </tp>
      <tp>
        <v>0.34</v>
        <stp/>
        <stp>BID</stp>
        <stp>.SPY150515P205.5</stp>
        <tr r="N182" s="1"/>
      </tp>
      <tp>
        <v>0</v>
        <stp/>
        <stp>BID</stp>
        <stp>.SPY150424P204.5</stp>
        <tr r="N54" s="1"/>
      </tp>
      <tp>
        <v>2.69</v>
        <stp/>
        <stp>BID</stp>
        <stp>.SPY150424P214.5</stp>
        <tr r="N74" s="1"/>
      </tp>
      <tp>
        <v>9.25</v>
        <stp/>
        <stp>BID</stp>
        <stp>.SPY150417P217.5</stp>
        <tr r="N38" s="1"/>
      </tp>
      <tp>
        <v>0</v>
        <stp/>
        <stp>BID</stp>
        <stp>.SPY150417P207.5</stp>
        <tr r="N18" s="1"/>
      </tp>
      <tp t="s">
        <v>N/A</v>
        <stp/>
        <stp>RHO</stp>
        <stp>.SPY150930P211.5</stp>
        <tr r="V488" s="1"/>
      </tp>
      <tp t="s">
        <v>N/A</v>
        <stp/>
        <stp>RHO</stp>
        <stp>.SPY150930P201.5</stp>
        <tr r="V468" s="1"/>
      </tp>
      <tp t="s">
        <v>N/A</v>
        <stp/>
        <stp>RHO</stp>
        <stp>.SPY150918P219.5</stp>
        <tr r="V462" s="1"/>
      </tp>
      <tp t="s">
        <v>N/A</v>
        <stp/>
        <stp>RHO</stp>
        <stp>.SPY160916P214.5</stp>
        <tr r="V746" s="1"/>
      </tp>
      <tp t="s">
        <v>N/A</v>
        <stp/>
        <stp>RHO</stp>
        <stp>.SPY150918P209.5</stp>
        <tr r="V442" s="1"/>
      </tp>
      <tp t="s">
        <v>N/A</v>
        <stp/>
        <stp>RHO</stp>
        <stp>.SPY160916P204.5</stp>
        <tr r="V726" s="1"/>
      </tp>
      <tp t="s">
        <v>N/A</v>
        <stp/>
        <stp>RHO</stp>
        <stp>.SPY170317P214.5</stp>
        <tr r="V872" s="1"/>
      </tp>
      <tp t="s">
        <v>N/A</v>
        <stp/>
        <stp>RHO</stp>
        <stp>.SPY170317P204.5</stp>
        <tr r="V852" s="1"/>
      </tp>
      <tp t="s">
        <v>N/A</v>
        <stp/>
        <stp>RHO</stp>
        <stp>.SPY170120P203.5</stp>
        <tr r="V808" s="1"/>
      </tp>
      <tp t="s">
        <v>N/A</v>
        <stp/>
        <stp>RHO</stp>
        <stp>.SPY170120P213.5</stp>
        <tr r="V828" s="1"/>
      </tp>
      <tp t="s">
        <v>N/A</v>
        <stp/>
        <stp>RHO</stp>
        <stp>.SPY160115P217.5</stp>
        <tr r="V626" s="1"/>
      </tp>
      <tp t="s">
        <v>N/A</v>
        <stp/>
        <stp>RHO</stp>
        <stp>.SPY160115P207.5</stp>
        <tr r="V606" s="1"/>
      </tp>
      <tp t="s">
        <v>N/A</v>
        <stp/>
        <stp>RHO</stp>
        <stp>.SPY150717P216.5</stp>
        <tr r="V414" s="1"/>
      </tp>
      <tp t="s">
        <v>N/A</v>
        <stp/>
        <stp>RHO</stp>
        <stp>.SPY150717P206.5</stp>
        <tr r="V394" s="1"/>
      </tp>
      <tp t="s">
        <v>N/A</v>
        <stp/>
        <stp>RHO</stp>
        <stp>.SPY150630P211.5</stp>
        <tr r="V362" s="1"/>
      </tp>
      <tp t="s">
        <v>N/A</v>
        <stp/>
        <stp>RHO</stp>
        <stp>.SPY150630P201.5</stp>
        <tr r="V342" s="1"/>
      </tp>
      <tp t="s">
        <v>N/A</v>
        <stp/>
        <stp>RHO</stp>
        <stp>.SPY150619P218.5</stp>
        <tr r="V334" s="1"/>
      </tp>
      <tp t="s">
        <v>N/A</v>
        <stp/>
        <stp>RHO</stp>
        <stp>.SPY160617P215.5</stp>
        <tr r="V706" s="1"/>
      </tp>
      <tp t="s">
        <v>N/A</v>
        <stp/>
        <stp>RHO</stp>
        <stp>.SPY150619P208.5</stp>
        <tr r="V314" s="1"/>
      </tp>
      <tp t="s">
        <v>N/A</v>
        <stp/>
        <stp>RHO</stp>
        <stp>.SPY160617P205.5</stp>
        <tr r="V686" s="1"/>
      </tp>
      <tp>
        <v>-1.338E-2</v>
        <stp/>
        <stp>RHO</stp>
        <stp>.SPY150522P203.5</stp>
        <tr r="V220" s="1"/>
      </tp>
      <tp>
        <v>-5.1029999999999999E-2</v>
        <stp/>
        <stp>RHO</stp>
        <stp>.SPY150529P208.5</stp>
        <tr r="V272" s="1"/>
      </tp>
      <tp>
        <v>-7.775E-2</v>
        <stp/>
        <stp>RHO</stp>
        <stp>.SPY150522P213.5</stp>
        <tr r="V240" s="1"/>
      </tp>
      <tp>
        <v>0</v>
        <stp/>
        <stp>RHO</stp>
        <stp>.SPY150529P218.5</stp>
        <tr r="V292" s="1"/>
      </tp>
      <tp t="s">
        <v>N/A</v>
        <stp/>
        <stp>RHO</stp>
        <stp>.SPY150501P200.5</stp>
        <tr r="V88" s="1"/>
      </tp>
      <tp>
        <v>-7.3000000000000001E-3</v>
        <stp/>
        <stp>RHO</stp>
        <stp>.SPY150508P209.5</stp>
        <tr r="V148" s="1"/>
      </tp>
      <tp>
        <v>-5.9880000000000003E-2</v>
        <stp/>
        <stp>RHO</stp>
        <stp>.SPY150515P214.5</stp>
        <tr r="V200" s="1"/>
      </tp>
      <tp t="s">
        <v>N/A</v>
        <stp/>
        <stp>RHO</stp>
        <stp>.SPY150501P210.5</stp>
        <tr r="V108" s="1"/>
      </tp>
      <tp>
        <v>-3.005E-2</v>
        <stp/>
        <stp>RHO</stp>
        <stp>.SPY150508P219.5</stp>
        <tr r="V168" s="1"/>
      </tp>
      <tp>
        <v>-7.1399999999999996E-3</v>
        <stp/>
        <stp>RHO</stp>
        <stp>.SPY150515P204.5</stp>
        <tr r="V180" s="1"/>
      </tp>
      <tp t="s">
        <v>N/A</v>
        <stp/>
        <stp>RHO</stp>
        <stp>.SPY150424P205.5</stp>
        <tr r="V56" s="1"/>
      </tp>
      <tp t="s">
        <v>N/A</v>
        <stp/>
        <stp>RHO</stp>
        <stp>.SPY150424P215.5</stp>
        <tr r="V76" s="1"/>
      </tp>
      <tp t="s">
        <v>N/A</v>
        <stp/>
        <stp>RHO</stp>
        <stp>.SPY150417P216.5</stp>
        <tr r="V36" s="1"/>
      </tp>
      <tp t="s">
        <v>N/A</v>
        <stp/>
        <stp>RHO</stp>
        <stp>.SPY150417P206.5</stp>
        <tr r="V16" s="1"/>
      </tp>
      <tp t="s">
        <v>N/A</v>
        <stp/>
        <stp>RHO</stp>
        <stp>.SPY151231P210.5</stp>
        <tr r="V570" s="1"/>
      </tp>
      <tp t="s">
        <v>N/A</v>
        <stp/>
        <stp>RHO</stp>
        <stp>.SPY151231P200.5</stp>
        <tr r="V550" s="1"/>
      </tp>
      <tp t="s">
        <v>N/A</v>
        <stp/>
        <stp>RHO</stp>
        <stp>.SPY151219P218.5</stp>
        <tr r="V544" s="1"/>
      </tp>
      <tp t="s">
        <v>N/A</v>
        <stp/>
        <stp>RHO</stp>
        <stp>.SPY161216P214.5</stp>
        <tr r="V788" s="1"/>
      </tp>
      <tp t="s">
        <v>N/A</v>
        <stp/>
        <stp>RHO</stp>
        <stp>.SPY171215P216.5</stp>
        <tr r="V918" s="1"/>
      </tp>
      <tp t="s">
        <v>N/A</v>
        <stp/>
        <stp>RHO</stp>
        <stp>.SPY151219P208.5</stp>
        <tr r="V524" s="1"/>
      </tp>
      <tp t="s">
        <v>N/A</v>
        <stp/>
        <stp>RHO</stp>
        <stp>.SPY161216P204.5</stp>
        <tr r="V768" s="1"/>
      </tp>
      <tp t="s">
        <v>N/A</v>
        <stp/>
        <stp>RHO</stp>
        <stp>.SPY171215P206.5</stp>
        <tr r="V898" s="1"/>
      </tp>
      <tp t="s">
        <v>N/A</v>
        <stp/>
        <stp>DELTA</stp>
        <stp>.SPY150930P218.5</stp>
        <tr r="R502" s="1"/>
      </tp>
      <tp t="s">
        <v>N/A</v>
        <stp/>
        <stp>DELTA</stp>
        <stp>.SPY150930P208.5</stp>
        <tr r="R482" s="1"/>
      </tp>
      <tp t="s">
        <v>N/A</v>
        <stp/>
        <stp>DELTA</stp>
        <stp>.SPY150918P210.5</stp>
        <tr r="R444" s="1"/>
      </tp>
      <tp t="s">
        <v>N/A</v>
        <stp/>
        <stp>DELTA</stp>
        <stp>.SPY150918P200.5</stp>
        <tr r="R424" s="1"/>
      </tp>
      <tp>
        <v>-0.11036</v>
        <stp/>
        <stp>DELTA</stp>
        <stp>.SPY150529P201.5</stp>
        <tr r="R258" s="1"/>
      </tp>
      <tp>
        <v>-0.51254</v>
        <stp/>
        <stp>DELTA</stp>
        <stp>.SPY150529P211.5</stp>
        <tr r="R278" s="1"/>
      </tp>
      <tp t="s">
        <v>N/A</v>
        <stp/>
        <stp>DELTA</stp>
        <stp>.SPY150501P209.5</stp>
        <tr r="R106" s="1"/>
      </tp>
      <tp>
        <v>-1.359E-2</v>
        <stp/>
        <stp>DELTA</stp>
        <stp>.SPY150508P200.5</stp>
        <tr r="R130" s="1"/>
      </tp>
      <tp t="s">
        <v>N/A</v>
        <stp/>
        <stp>DELTA</stp>
        <stp>.SPY150501P219.5</stp>
        <tr r="R126" s="1"/>
      </tp>
      <tp>
        <v>-0.36142999999999997</v>
        <stp/>
        <stp>DELTA</stp>
        <stp>.SPY150508P210.5</stp>
        <tr r="R150" s="1"/>
      </tp>
      <tp t="s">
        <v>N/A</v>
        <stp/>
        <stp>DELTA</stp>
        <stp>.SPY150630P218.5</stp>
        <tr r="R376" s="1"/>
      </tp>
      <tp t="s">
        <v>N/A</v>
        <stp/>
        <stp>DELTA</stp>
        <stp>.SPY150630P208.5</stp>
        <tr r="R356" s="1"/>
      </tp>
      <tp t="s">
        <v>N/A</v>
        <stp/>
        <stp>DELTA</stp>
        <stp>.SPY150619P211.5</stp>
        <tr r="R320" s="1"/>
      </tp>
      <tp t="s">
        <v>N/A</v>
        <stp/>
        <stp>DELTA</stp>
        <stp>.SPY150619P201.5</stp>
        <tr r="R300" s="1"/>
      </tp>
      <tp t="s">
        <v>N/A</v>
        <stp/>
        <stp>DELTA</stp>
        <stp>.SPY160318P213.5</stp>
        <tr r="R660" s="1"/>
      </tp>
      <tp t="s">
        <v>N/A</v>
        <stp/>
        <stp>DELTA</stp>
        <stp>.SPY160318P203.5</stp>
        <tr r="R640" s="1"/>
      </tp>
      <tp t="s">
        <v>N/A</v>
        <stp/>
        <stp>DELTA</stp>
        <stp>.SPY151231P219.5</stp>
        <tr r="R588" s="1"/>
      </tp>
      <tp t="s">
        <v>N/A</v>
        <stp/>
        <stp>DELTA</stp>
        <stp>.SPY151231P209.5</stp>
        <tr r="R568" s="1"/>
      </tp>
      <tp t="s">
        <v>N/A</v>
        <stp/>
        <stp>DELTA</stp>
        <stp>.SPY151219P211.5</stp>
        <tr r="R530" s="1"/>
      </tp>
      <tp t="s">
        <v>N/A</v>
        <stp/>
        <stp>DELTA</stp>
        <stp>.SPY151219P201.5</stp>
        <tr r="R510" s="1"/>
      </tp>
      <tp t="s">
        <v>N/A</v>
        <stp/>
        <stp>THETA</stp>
        <stp>.SPY151231C209.5</stp>
        <tr r="H568" s="1"/>
      </tp>
      <tp t="s">
        <v>N/A</v>
        <stp/>
        <stp>THETA</stp>
        <stp>.SPY151231C219.5</stp>
        <tr r="H588" s="1"/>
      </tp>
      <tp t="s">
        <v>N/A</v>
        <stp/>
        <stp>THETA</stp>
        <stp>.SPY151219C201.5</stp>
        <tr r="H510" s="1"/>
      </tp>
      <tp t="s">
        <v>N/A</v>
        <stp/>
        <stp>THETA</stp>
        <stp>.SPY151219C211.5</stp>
        <tr r="H530" s="1"/>
      </tp>
      <tp t="s">
        <v>N/A</v>
        <stp/>
        <stp>THETA</stp>
        <stp>.SPY160318C203.5</stp>
        <tr r="H640" s="1"/>
      </tp>
      <tp t="s">
        <v>N/A</v>
        <stp/>
        <stp>THETA</stp>
        <stp>.SPY160318C213.5</stp>
        <tr r="H660" s="1"/>
      </tp>
      <tp>
        <v>-4.3360000000000003E-2</v>
        <stp/>
        <stp>THETA</stp>
        <stp>.SPY150529C211.5</stp>
        <tr r="H278" s="1"/>
      </tp>
      <tp>
        <v>-3.209E-2</v>
        <stp/>
        <stp>THETA</stp>
        <stp>.SPY150529C201.5</stp>
        <tr r="H258" s="1"/>
      </tp>
      <tp t="s">
        <v>N/A</v>
        <stp/>
        <stp>THETA</stp>
        <stp>.SPY150501C219.5</stp>
        <tr r="H126" s="1"/>
      </tp>
      <tp>
        <v>-9.5159999999999995E-2</v>
        <stp/>
        <stp>THETA</stp>
        <stp>.SPY150508C210.5</stp>
        <tr r="H150" s="1"/>
      </tp>
      <tp t="s">
        <v>N/A</v>
        <stp/>
        <stp>THETA</stp>
        <stp>.SPY150501C209.5</stp>
        <tr r="H106" s="1"/>
      </tp>
      <tp>
        <v>-5.1159999999999997E-2</v>
        <stp/>
        <stp>THETA</stp>
        <stp>.SPY150508C200.5</stp>
        <tr r="H130" s="1"/>
      </tp>
      <tp t="s">
        <v>N/A</v>
        <stp/>
        <stp>THETA</stp>
        <stp>.SPY150630C208.5</stp>
        <tr r="H356" s="1"/>
      </tp>
      <tp t="s">
        <v>N/A</v>
        <stp/>
        <stp>THETA</stp>
        <stp>.SPY150630C218.5</stp>
        <tr r="H376" s="1"/>
      </tp>
      <tp t="s">
        <v>N/A</v>
        <stp/>
        <stp>THETA</stp>
        <stp>.SPY150619C201.5</stp>
        <tr r="H300" s="1"/>
      </tp>
      <tp t="s">
        <v>N/A</v>
        <stp/>
        <stp>THETA</stp>
        <stp>.SPY150619C211.5</stp>
        <tr r="H320" s="1"/>
      </tp>
      <tp t="s">
        <v>N/A</v>
        <stp/>
        <stp>THETA</stp>
        <stp>.SPY150930C208.5</stp>
        <tr r="H482" s="1"/>
      </tp>
      <tp t="s">
        <v>N/A</v>
        <stp/>
        <stp>THETA</stp>
        <stp>.SPY150930C218.5</stp>
        <tr r="H502" s="1"/>
      </tp>
      <tp t="s">
        <v>N/A</v>
        <stp/>
        <stp>THETA</stp>
        <stp>.SPY150918C200.5</stp>
        <tr r="H424" s="1"/>
      </tp>
      <tp t="s">
        <v>N/A</v>
        <stp/>
        <stp>THETA</stp>
        <stp>.SPY150918C210.5</stp>
        <tr r="H444" s="1"/>
      </tp>
      <tp t="s">
        <v>N/A</v>
        <stp/>
        <stp>THETA</stp>
        <stp>.SPY160318P203.5</stp>
        <tr r="S640" s="1"/>
      </tp>
      <tp t="s">
        <v>N/A</v>
        <stp/>
        <stp>THETA</stp>
        <stp>.SPY160318P213.5</stp>
        <tr r="S660" s="1"/>
      </tp>
      <tp>
        <v>-4.7449999999999999E-2</v>
        <stp/>
        <stp>THETA</stp>
        <stp>.SPY150529P211.5</stp>
        <tr r="S278" s="1"/>
      </tp>
      <tp>
        <v>-3.117E-2</v>
        <stp/>
        <stp>THETA</stp>
        <stp>.SPY150529P201.5</stp>
        <tr r="S258" s="1"/>
      </tp>
      <tp t="s">
        <v>N/A</v>
        <stp/>
        <stp>THETA</stp>
        <stp>.SPY150501P219.5</stp>
        <tr r="S126" s="1"/>
      </tp>
      <tp>
        <v>-9.8650000000000002E-2</v>
        <stp/>
        <stp>THETA</stp>
        <stp>.SPY150508P210.5</stp>
        <tr r="S150" s="1"/>
      </tp>
      <tp t="s">
        <v>N/A</v>
        <stp/>
        <stp>THETA</stp>
        <stp>.SPY150501P209.5</stp>
        <tr r="S106" s="1"/>
      </tp>
      <tp>
        <v>-2.129E-2</v>
        <stp/>
        <stp>THETA</stp>
        <stp>.SPY150508P200.5</stp>
        <tr r="S130" s="1"/>
      </tp>
      <tp t="s">
        <v>N/A</v>
        <stp/>
        <stp>THETA</stp>
        <stp>.SPY150630P208.5</stp>
        <tr r="S356" s="1"/>
      </tp>
      <tp t="s">
        <v>N/A</v>
        <stp/>
        <stp>THETA</stp>
        <stp>.SPY150630P218.5</stp>
        <tr r="S376" s="1"/>
      </tp>
      <tp t="s">
        <v>N/A</v>
        <stp/>
        <stp>THETA</stp>
        <stp>.SPY150619P201.5</stp>
        <tr r="S300" s="1"/>
      </tp>
      <tp t="s">
        <v>N/A</v>
        <stp/>
        <stp>THETA</stp>
        <stp>.SPY150619P211.5</stp>
        <tr r="S320" s="1"/>
      </tp>
      <tp t="s">
        <v>N/A</v>
        <stp/>
        <stp>THETA</stp>
        <stp>.SPY150930P208.5</stp>
        <tr r="S482" s="1"/>
      </tp>
      <tp t="s">
        <v>N/A</v>
        <stp/>
        <stp>THETA</stp>
        <stp>.SPY150930P218.5</stp>
        <tr r="S502" s="1"/>
      </tp>
      <tp t="s">
        <v>N/A</v>
        <stp/>
        <stp>THETA</stp>
        <stp>.SPY150918P200.5</stp>
        <tr r="S424" s="1"/>
      </tp>
      <tp t="s">
        <v>N/A</v>
        <stp/>
        <stp>THETA</stp>
        <stp>.SPY150918P210.5</stp>
        <tr r="S444" s="1"/>
      </tp>
      <tp t="s">
        <v>N/A</v>
        <stp/>
        <stp>THETA</stp>
        <stp>.SPY151231P209.5</stp>
        <tr r="S568" s="1"/>
      </tp>
      <tp t="s">
        <v>N/A</v>
        <stp/>
        <stp>THETA</stp>
        <stp>.SPY151231P219.5</stp>
        <tr r="S588" s="1"/>
      </tp>
      <tp t="s">
        <v>N/A</v>
        <stp/>
        <stp>THETA</stp>
        <stp>.SPY151219P201.5</stp>
        <tr r="S510" s="1"/>
      </tp>
      <tp t="s">
        <v>N/A</v>
        <stp/>
        <stp>THETA</stp>
        <stp>.SPY151219P211.5</stp>
        <tr r="S530" s="1"/>
      </tp>
      <tp t="s">
        <v>N/A</v>
        <stp/>
        <stp>DELTA</stp>
        <stp>.SPY151231C219.5</stp>
        <tr r="G588" s="1"/>
      </tp>
      <tp t="s">
        <v>N/A</v>
        <stp/>
        <stp>DELTA</stp>
        <stp>.SPY151231C209.5</stp>
        <tr r="G568" s="1"/>
      </tp>
      <tp t="s">
        <v>N/A</v>
        <stp/>
        <stp>DELTA</stp>
        <stp>.SPY151219C211.5</stp>
        <tr r="G530" s="1"/>
      </tp>
      <tp t="s">
        <v>N/A</v>
        <stp/>
        <stp>DELTA</stp>
        <stp>.SPY151219C201.5</stp>
        <tr r="G510" s="1"/>
      </tp>
      <tp t="s">
        <v>N/A</v>
        <stp/>
        <stp>DELTA</stp>
        <stp>.SPY150930C218.5</stp>
        <tr r="G502" s="1"/>
      </tp>
      <tp t="s">
        <v>N/A</v>
        <stp/>
        <stp>DELTA</stp>
        <stp>.SPY150930C208.5</stp>
        <tr r="G482" s="1"/>
      </tp>
      <tp t="s">
        <v>N/A</v>
        <stp/>
        <stp>DELTA</stp>
        <stp>.SPY150918C210.5</stp>
        <tr r="G444" s="1"/>
      </tp>
      <tp t="s">
        <v>N/A</v>
        <stp/>
        <stp>DELTA</stp>
        <stp>.SPY150918C200.5</stp>
        <tr r="G424" s="1"/>
      </tp>
      <tp>
        <v>0.87073</v>
        <stp/>
        <stp>DELTA</stp>
        <stp>.SPY150529C201.5</stp>
        <tr r="G258" s="1"/>
      </tp>
      <tp>
        <v>0.49043999999999999</v>
        <stp/>
        <stp>DELTA</stp>
        <stp>.SPY150529C211.5</stp>
        <tr r="G278" s="1"/>
      </tp>
      <tp t="s">
        <v>N/A</v>
        <stp/>
        <stp>DELTA</stp>
        <stp>.SPY150501C209.5</stp>
        <tr r="G106" s="1"/>
      </tp>
      <tp>
        <v>0.95450999999999997</v>
        <stp/>
        <stp>DELTA</stp>
        <stp>.SPY150508C200.5</stp>
        <tr r="G130" s="1"/>
      </tp>
      <tp t="s">
        <v>N/A</v>
        <stp/>
        <stp>DELTA</stp>
        <stp>.SPY150501C219.5</stp>
        <tr r="G126" s="1"/>
      </tp>
      <tp>
        <v>0.63388</v>
        <stp/>
        <stp>DELTA</stp>
        <stp>.SPY150508C210.5</stp>
        <tr r="G150" s="1"/>
      </tp>
      <tp t="s">
        <v>N/A</v>
        <stp/>
        <stp>DELTA</stp>
        <stp>.SPY150630C218.5</stp>
        <tr r="G376" s="1"/>
      </tp>
      <tp t="s">
        <v>N/A</v>
        <stp/>
        <stp>DELTA</stp>
        <stp>.SPY150630C208.5</stp>
        <tr r="G356" s="1"/>
      </tp>
      <tp t="s">
        <v>N/A</v>
        <stp/>
        <stp>DELTA</stp>
        <stp>.SPY150619C211.5</stp>
        <tr r="G320" s="1"/>
      </tp>
      <tp t="s">
        <v>N/A</v>
        <stp/>
        <stp>DELTA</stp>
        <stp>.SPY150619C201.5</stp>
        <tr r="G300" s="1"/>
      </tp>
      <tp t="s">
        <v>N/A</v>
        <stp/>
        <stp>DELTA</stp>
        <stp>.SPY160318C213.5</stp>
        <tr r="G660" s="1"/>
      </tp>
      <tp t="s">
        <v>N/A</v>
        <stp/>
        <stp>DELTA</stp>
        <stp>.SPY160318C203.5</stp>
        <tr r="G640" s="1"/>
      </tp>
      <tp t="s">
        <v>N/A</v>
        <stp/>
        <stp>VOLUME</stp>
        <stp>.SPY150930P216</stp>
        <tr r="P497" s="1"/>
      </tp>
      <tp t="s">
        <v>N/A</v>
        <stp/>
        <stp>VOLUME</stp>
        <stp>.SPY150930C216</stp>
        <tr r="E497" s="1"/>
      </tp>
      <tp t="s">
        <v>N/A</v>
        <stp/>
        <stp>VOLUME</stp>
        <stp>.SPY150930P217</stp>
        <tr r="P499" s="1"/>
      </tp>
      <tp t="s">
        <v>N/A</v>
        <stp/>
        <stp>VOLUME</stp>
        <stp>.SPY150930C217</stp>
        <tr r="E499" s="1"/>
      </tp>
      <tp>
        <v>5</v>
        <stp/>
        <stp>VOLUME</stp>
        <stp>.SPY150930P214</stp>
        <tr r="P493" s="1"/>
      </tp>
      <tp>
        <v>0</v>
        <stp/>
        <stp>VOLUME</stp>
        <stp>.SPY150930C214</stp>
        <tr r="E493" s="1"/>
      </tp>
      <tp>
        <v>0</v>
        <stp/>
        <stp>VOLUME</stp>
        <stp>.SPY150930P215</stp>
        <tr r="P495" s="1"/>
      </tp>
      <tp>
        <v>257</v>
        <stp/>
        <stp>VOLUME</stp>
        <stp>.SPY150930C215</stp>
        <tr r="E495" s="1"/>
      </tp>
      <tp>
        <v>69</v>
        <stp/>
        <stp>VOLUME</stp>
        <stp>.SPY150930P212</stp>
        <tr r="P489" s="1"/>
      </tp>
      <tp>
        <v>0</v>
        <stp/>
        <stp>VOLUME</stp>
        <stp>.SPY150930C212</stp>
        <tr r="E489" s="1"/>
      </tp>
      <tp>
        <v>136</v>
        <stp/>
        <stp>VOLUME</stp>
        <stp>.SPY150930P213</stp>
        <tr r="P491" s="1"/>
      </tp>
      <tp>
        <v>0</v>
        <stp/>
        <stp>VOLUME</stp>
        <stp>.SPY150930C213</stp>
        <tr r="E491" s="1"/>
      </tp>
      <tp>
        <v>644</v>
        <stp/>
        <stp>VOLUME</stp>
        <stp>.SPY150930P210</stp>
        <tr r="P485" s="1"/>
      </tp>
      <tp>
        <v>73</v>
        <stp/>
        <stp>VOLUME</stp>
        <stp>.SPY150930C210</stp>
        <tr r="E485" s="1"/>
      </tp>
      <tp>
        <v>0</v>
        <stp/>
        <stp>VOLUME</stp>
        <stp>.SPY150930P211</stp>
        <tr r="P487" s="1"/>
      </tp>
      <tp>
        <v>105</v>
        <stp/>
        <stp>VOLUME</stp>
        <stp>.SPY150930C211</stp>
        <tr r="E487" s="1"/>
      </tp>
      <tp t="s">
        <v>N/A</v>
        <stp/>
        <stp>VOLUME</stp>
        <stp>.SPY150930P218</stp>
        <tr r="P501" s="1"/>
      </tp>
      <tp t="s">
        <v>N/A</v>
        <stp/>
        <stp>VOLUME</stp>
        <stp>.SPY150930C218</stp>
        <tr r="E501" s="1"/>
      </tp>
      <tp t="s">
        <v>N/A</v>
        <stp/>
        <stp>VOLUME</stp>
        <stp>.SPY150930P219</stp>
        <tr r="P503" s="1"/>
      </tp>
      <tp t="s">
        <v>N/A</v>
        <stp/>
        <stp>VOLUME</stp>
        <stp>.SPY150930C219</stp>
        <tr r="E503" s="1"/>
      </tp>
      <tp>
        <v>10</v>
        <stp/>
        <stp>VOLUME</stp>
        <stp>.SPY150930P206</stp>
        <tr r="P477" s="1"/>
      </tp>
      <tp>
        <v>0</v>
        <stp/>
        <stp>VOLUME</stp>
        <stp>.SPY150930C206</stp>
        <tr r="E477" s="1"/>
      </tp>
      <tp>
        <v>0</v>
        <stp/>
        <stp>VOLUME</stp>
        <stp>.SPY150930P207</stp>
        <tr r="P479" s="1"/>
      </tp>
      <tp>
        <v>0</v>
        <stp/>
        <stp>VOLUME</stp>
        <stp>.SPY150930C207</stp>
        <tr r="E479" s="1"/>
      </tp>
      <tp>
        <v>0</v>
        <stp/>
        <stp>VOLUME</stp>
        <stp>.SPY150930P204</stp>
        <tr r="P473" s="1"/>
      </tp>
      <tp>
        <v>1</v>
        <stp/>
        <stp>VOLUME</stp>
        <stp>.SPY150930C204</stp>
        <tr r="E473" s="1"/>
      </tp>
      <tp>
        <v>62</v>
        <stp/>
        <stp>VOLUME</stp>
        <stp>.SPY150930P205</stp>
        <tr r="P475" s="1"/>
      </tp>
      <tp>
        <v>6</v>
        <stp/>
        <stp>VOLUME</stp>
        <stp>.SPY150930C205</stp>
        <tr r="E475" s="1"/>
      </tp>
      <tp>
        <v>0</v>
        <stp/>
        <stp>VOLUME</stp>
        <stp>.SPY150930P202</stp>
        <tr r="P469" s="1"/>
      </tp>
      <tp>
        <v>0</v>
        <stp/>
        <stp>VOLUME</stp>
        <stp>.SPY150930C202</stp>
        <tr r="E469" s="1"/>
      </tp>
      <tp>
        <v>683</v>
        <stp/>
        <stp>VOLUME</stp>
        <stp>.SPY150930P203</stp>
        <tr r="P471" s="1"/>
      </tp>
      <tp>
        <v>0</v>
        <stp/>
        <stp>VOLUME</stp>
        <stp>.SPY150930C203</stp>
        <tr r="E471" s="1"/>
      </tp>
      <tp>
        <v>168</v>
        <stp/>
        <stp>VOLUME</stp>
        <stp>.SPY150930P200</stp>
        <tr r="P465" s="1"/>
      </tp>
      <tp>
        <v>0</v>
        <stp/>
        <stp>VOLUME</stp>
        <stp>.SPY150930C200</stp>
        <tr r="E465" s="1"/>
      </tp>
      <tp>
        <v>1325</v>
        <stp/>
        <stp>VOLUME</stp>
        <stp>.SPY150930P201</stp>
        <tr r="P467" s="1"/>
      </tp>
      <tp>
        <v>0</v>
        <stp/>
        <stp>VOLUME</stp>
        <stp>.SPY150930C201</stp>
        <tr r="E467" s="1"/>
      </tp>
      <tp>
        <v>34</v>
        <stp/>
        <stp>VOLUME</stp>
        <stp>.SPY150930P208</stp>
        <tr r="P481" s="1"/>
      </tp>
      <tp>
        <v>0</v>
        <stp/>
        <stp>VOLUME</stp>
        <stp>.SPY150930C208</stp>
        <tr r="E481" s="1"/>
      </tp>
      <tp>
        <v>5</v>
        <stp/>
        <stp>VOLUME</stp>
        <stp>.SPY150930P209</stp>
        <tr r="P483" s="1"/>
      </tp>
      <tp>
        <v>15</v>
        <stp/>
        <stp>VOLUME</stp>
        <stp>.SPY150930C209</stp>
        <tr r="E483" s="1"/>
      </tp>
      <tp t="s">
        <v>N/A</v>
        <stp/>
        <stp>VOLUME</stp>
        <stp>.SPY160916P213</stp>
        <tr r="P743" s="1"/>
      </tp>
      <tp t="s">
        <v>N/A</v>
        <stp/>
        <stp>VOLUME</stp>
        <stp>.SPY160916C213</stp>
        <tr r="E743" s="1"/>
      </tp>
      <tp t="s">
        <v>N/A</v>
        <stp/>
        <stp>VOLUME</stp>
        <stp>.SPY160916P212</stp>
        <tr r="P741" s="1"/>
      </tp>
      <tp t="s">
        <v>N/A</v>
        <stp/>
        <stp>VOLUME</stp>
        <stp>.SPY160916C212</stp>
        <tr r="E741" s="1"/>
      </tp>
      <tp t="s">
        <v>N/A</v>
        <stp/>
        <stp>VOLUME</stp>
        <stp>.SPY160916P211</stp>
        <tr r="P739" s="1"/>
      </tp>
      <tp t="s">
        <v>N/A</v>
        <stp/>
        <stp>VOLUME</stp>
        <stp>.SPY160916C211</stp>
        <tr r="E739" s="1"/>
      </tp>
      <tp>
        <v>0</v>
        <stp/>
        <stp>VOLUME</stp>
        <stp>.SPY160916P210</stp>
        <tr r="P737" s="1"/>
      </tp>
      <tp>
        <v>0</v>
        <stp/>
        <stp>VOLUME</stp>
        <stp>.SPY160916C210</stp>
        <tr r="E737" s="1"/>
      </tp>
      <tp t="s">
        <v>N/A</v>
        <stp/>
        <stp>VOLUME</stp>
        <stp>.SPY160916P217</stp>
        <tr r="P751" s="1"/>
      </tp>
      <tp t="s">
        <v>N/A</v>
        <stp/>
        <stp>VOLUME</stp>
        <stp>.SPY160916C217</stp>
        <tr r="E751" s="1"/>
      </tp>
      <tp t="s">
        <v>N/A</v>
        <stp/>
        <stp>VOLUME</stp>
        <stp>.SPY160916P216</stp>
        <tr r="P749" s="1"/>
      </tp>
      <tp t="s">
        <v>N/A</v>
        <stp/>
        <stp>VOLUME</stp>
        <stp>.SPY160916C216</stp>
        <tr r="E749" s="1"/>
      </tp>
      <tp>
        <v>0</v>
        <stp/>
        <stp>VOLUME</stp>
        <stp>.SPY150918P218</stp>
        <tr r="P459" s="1"/>
      </tp>
      <tp>
        <v>0</v>
        <stp/>
        <stp>VOLUME</stp>
        <stp>.SPY160916P215</stp>
        <tr r="P747" s="1"/>
      </tp>
      <tp>
        <v>191</v>
        <stp/>
        <stp>VOLUME</stp>
        <stp>.SPY150918C218</stp>
        <tr r="E459" s="1"/>
      </tp>
      <tp>
        <v>1</v>
        <stp/>
        <stp>VOLUME</stp>
        <stp>.SPY160916C215</stp>
        <tr r="E747" s="1"/>
      </tp>
      <tp>
        <v>0</v>
        <stp/>
        <stp>VOLUME</stp>
        <stp>.SPY150918P219</stp>
        <tr r="P461" s="1"/>
      </tp>
      <tp t="s">
        <v>N/A</v>
        <stp/>
        <stp>VOLUME</stp>
        <stp>.SPY160916P214</stp>
        <tr r="P745" s="1"/>
      </tp>
      <tp>
        <v>161</v>
        <stp/>
        <stp>VOLUME</stp>
        <stp>.SPY150918C219</stp>
        <tr r="E461" s="1"/>
      </tp>
      <tp t="s">
        <v>N/A</v>
        <stp/>
        <stp>VOLUME</stp>
        <stp>.SPY160916C214</stp>
        <tr r="E745" s="1"/>
      </tp>
      <tp>
        <v>1</v>
        <stp/>
        <stp>VOLUME</stp>
        <stp>.SPY150918P216</stp>
        <tr r="P455" s="1"/>
      </tp>
      <tp>
        <v>104</v>
        <stp/>
        <stp>VOLUME</stp>
        <stp>.SPY150918C216</stp>
        <tr r="E455" s="1"/>
      </tp>
      <tp>
        <v>0</v>
        <stp/>
        <stp>VOLUME</stp>
        <stp>.SPY150918P217</stp>
        <tr r="P457" s="1"/>
      </tp>
      <tp>
        <v>144</v>
        <stp/>
        <stp>VOLUME</stp>
        <stp>.SPY150918C217</stp>
        <tr r="E457" s="1"/>
      </tp>
      <tp>
        <v>5</v>
        <stp/>
        <stp>VOLUME</stp>
        <stp>.SPY150918P214</stp>
        <tr r="P451" s="1"/>
      </tp>
      <tp t="s">
        <v>N/A</v>
        <stp/>
        <stp>VOLUME</stp>
        <stp>.SPY160916P219</stp>
        <tr r="P755" s="1"/>
      </tp>
      <tp>
        <v>50</v>
        <stp/>
        <stp>VOLUME</stp>
        <stp>.SPY150918C214</stp>
        <tr r="E451" s="1"/>
      </tp>
      <tp t="s">
        <v>N/A</v>
        <stp/>
        <stp>VOLUME</stp>
        <stp>.SPY160916C219</stp>
        <tr r="E755" s="1"/>
      </tp>
      <tp>
        <v>28</v>
        <stp/>
        <stp>VOLUME</stp>
        <stp>.SPY150918P215</stp>
        <tr r="P453" s="1"/>
      </tp>
      <tp t="s">
        <v>N/A</v>
        <stp/>
        <stp>VOLUME</stp>
        <stp>.SPY160916P218</stp>
        <tr r="P753" s="1"/>
      </tp>
      <tp>
        <v>79</v>
        <stp/>
        <stp>VOLUME</stp>
        <stp>.SPY150918C215</stp>
        <tr r="E453" s="1"/>
      </tp>
      <tp t="s">
        <v>N/A</v>
        <stp/>
        <stp>VOLUME</stp>
        <stp>.SPY160916C218</stp>
        <tr r="E753" s="1"/>
      </tp>
      <tp>
        <v>95</v>
        <stp/>
        <stp>VOLUME</stp>
        <stp>.SPY150918P212</stp>
        <tr r="P447" s="1"/>
      </tp>
      <tp>
        <v>2949</v>
        <stp/>
        <stp>VOLUME</stp>
        <stp>.SPY150918C212</stp>
        <tr r="E447" s="1"/>
      </tp>
      <tp>
        <v>11</v>
        <stp/>
        <stp>VOLUME</stp>
        <stp>.SPY150918P213</stp>
        <tr r="P449" s="1"/>
      </tp>
      <tp>
        <v>20</v>
        <stp/>
        <stp>VOLUME</stp>
        <stp>.SPY150918C213</stp>
        <tr r="E449" s="1"/>
      </tp>
      <tp>
        <v>562</v>
        <stp/>
        <stp>VOLUME</stp>
        <stp>.SPY150918P210</stp>
        <tr r="P443" s="1"/>
      </tp>
      <tp>
        <v>165</v>
        <stp/>
        <stp>VOLUME</stp>
        <stp>.SPY150918C210</stp>
        <tr r="E443" s="1"/>
      </tp>
      <tp>
        <v>852</v>
        <stp/>
        <stp>VOLUME</stp>
        <stp>.SPY150918P211</stp>
        <tr r="P445" s="1"/>
      </tp>
      <tp>
        <v>389</v>
        <stp/>
        <stp>VOLUME</stp>
        <stp>.SPY150918C211</stp>
        <tr r="E445" s="1"/>
      </tp>
      <tp t="s">
        <v>N/A</v>
        <stp/>
        <stp>VOLUME</stp>
        <stp>.SPY160916P203</stp>
        <tr r="P723" s="1"/>
      </tp>
      <tp t="s">
        <v>N/A</v>
        <stp/>
        <stp>VOLUME</stp>
        <stp>.SPY160916C203</stp>
        <tr r="E723" s="1"/>
      </tp>
      <tp t="s">
        <v>N/A</v>
        <stp/>
        <stp>VOLUME</stp>
        <stp>.SPY160916P202</stp>
        <tr r="P721" s="1"/>
      </tp>
      <tp t="s">
        <v>N/A</v>
        <stp/>
        <stp>VOLUME</stp>
        <stp>.SPY160916C202</stp>
        <tr r="E721" s="1"/>
      </tp>
      <tp t="s">
        <v>N/A</v>
        <stp/>
        <stp>VOLUME</stp>
        <stp>.SPY160916P201</stp>
        <tr r="P719" s="1"/>
      </tp>
      <tp t="s">
        <v>N/A</v>
        <stp/>
        <stp>VOLUME</stp>
        <stp>.SPY160916C201</stp>
        <tr r="E719" s="1"/>
      </tp>
      <tp>
        <v>0</v>
        <stp/>
        <stp>VOLUME</stp>
        <stp>.SPY160916P200</stp>
        <tr r="P717" s="1"/>
      </tp>
      <tp>
        <v>0</v>
        <stp/>
        <stp>VOLUME</stp>
        <stp>.SPY160916C200</stp>
        <tr r="E717" s="1"/>
      </tp>
      <tp t="s">
        <v>N/A</v>
        <stp/>
        <stp>VOLUME</stp>
        <stp>.SPY160916P207</stp>
        <tr r="P731" s="1"/>
      </tp>
      <tp t="s">
        <v>N/A</v>
        <stp/>
        <stp>VOLUME</stp>
        <stp>.SPY160916C207</stp>
        <tr r="E731" s="1"/>
      </tp>
      <tp t="s">
        <v>N/A</v>
        <stp/>
        <stp>VOLUME</stp>
        <stp>.SPY160916P206</stp>
        <tr r="P729" s="1"/>
      </tp>
      <tp t="s">
        <v>N/A</v>
        <stp/>
        <stp>VOLUME</stp>
        <stp>.SPY160916C206</stp>
        <tr r="E729" s="1"/>
      </tp>
      <tp>
        <v>216</v>
        <stp/>
        <stp>VOLUME</stp>
        <stp>.SPY150918P208</stp>
        <tr r="P439" s="1"/>
      </tp>
      <tp>
        <v>0</v>
        <stp/>
        <stp>VOLUME</stp>
        <stp>.SPY160916P205</stp>
        <tr r="P727" s="1"/>
      </tp>
      <tp>
        <v>25</v>
        <stp/>
        <stp>VOLUME</stp>
        <stp>.SPY150918C208</stp>
        <tr r="E439" s="1"/>
      </tp>
      <tp>
        <v>0</v>
        <stp/>
        <stp>VOLUME</stp>
        <stp>.SPY160916C205</stp>
        <tr r="E727" s="1"/>
      </tp>
      <tp>
        <v>58</v>
        <stp/>
        <stp>VOLUME</stp>
        <stp>.SPY150918P209</stp>
        <tr r="P441" s="1"/>
      </tp>
      <tp t="s">
        <v>N/A</v>
        <stp/>
        <stp>VOLUME</stp>
        <stp>.SPY160916P204</stp>
        <tr r="P725" s="1"/>
      </tp>
      <tp>
        <v>49</v>
        <stp/>
        <stp>VOLUME</stp>
        <stp>.SPY150918C209</stp>
        <tr r="E441" s="1"/>
      </tp>
      <tp t="s">
        <v>N/A</v>
        <stp/>
        <stp>VOLUME</stp>
        <stp>.SPY160916C204</stp>
        <tr r="E725" s="1"/>
      </tp>
      <tp>
        <v>6</v>
        <stp/>
        <stp>VOLUME</stp>
        <stp>.SPY150918P206</stp>
        <tr r="P435" s="1"/>
      </tp>
      <tp>
        <v>0</v>
        <stp/>
        <stp>VOLUME</stp>
        <stp>.SPY150918C206</stp>
        <tr r="E435" s="1"/>
      </tp>
      <tp>
        <v>151</v>
        <stp/>
        <stp>VOLUME</stp>
        <stp>.SPY150918P207</stp>
        <tr r="P437" s="1"/>
      </tp>
      <tp>
        <v>5</v>
        <stp/>
        <stp>VOLUME</stp>
        <stp>.SPY150918C207</stp>
        <tr r="E437" s="1"/>
      </tp>
      <tp>
        <v>37</v>
        <stp/>
        <stp>VOLUME</stp>
        <stp>.SPY150918P204</stp>
        <tr r="P431" s="1"/>
      </tp>
      <tp t="s">
        <v>N/A</v>
        <stp/>
        <stp>VOLUME</stp>
        <stp>.SPY160916P209</stp>
        <tr r="P735" s="1"/>
      </tp>
      <tp>
        <v>0</v>
        <stp/>
        <stp>VOLUME</stp>
        <stp>.SPY150918C204</stp>
        <tr r="E431" s="1"/>
      </tp>
      <tp t="s">
        <v>N/A</v>
        <stp/>
        <stp>VOLUME</stp>
        <stp>.SPY160916C209</stp>
        <tr r="E735" s="1"/>
      </tp>
      <tp>
        <v>108</v>
        <stp/>
        <stp>VOLUME</stp>
        <stp>.SPY150918P205</stp>
        <tr r="P433" s="1"/>
      </tp>
      <tp t="s">
        <v>N/A</v>
        <stp/>
        <stp>VOLUME</stp>
        <stp>.SPY160916P208</stp>
        <tr r="P733" s="1"/>
      </tp>
      <tp>
        <v>12</v>
        <stp/>
        <stp>VOLUME</stp>
        <stp>.SPY150918C205</stp>
        <tr r="E433" s="1"/>
      </tp>
      <tp t="s">
        <v>N/A</v>
        <stp/>
        <stp>VOLUME</stp>
        <stp>.SPY160916C208</stp>
        <tr r="E733" s="1"/>
      </tp>
      <tp>
        <v>226</v>
        <stp/>
        <stp>VOLUME</stp>
        <stp>.SPY150918P202</stp>
        <tr r="P427" s="1"/>
      </tp>
      <tp>
        <v>8</v>
        <stp/>
        <stp>VOLUME</stp>
        <stp>.SPY150918C202</stp>
        <tr r="E427" s="1"/>
      </tp>
      <tp>
        <v>798</v>
        <stp/>
        <stp>VOLUME</stp>
        <stp>.SPY150918P203</stp>
        <tr r="P429" s="1"/>
      </tp>
      <tp>
        <v>0</v>
        <stp/>
        <stp>VOLUME</stp>
        <stp>.SPY150918C203</stp>
        <tr r="E429" s="1"/>
      </tp>
      <tp>
        <v>520</v>
        <stp/>
        <stp>VOLUME</stp>
        <stp>.SPY150918P200</stp>
        <tr r="P423" s="1"/>
      </tp>
      <tp>
        <v>75</v>
        <stp/>
        <stp>VOLUME</stp>
        <stp>.SPY150918C200</stp>
        <tr r="E423" s="1"/>
      </tp>
      <tp>
        <v>9</v>
        <stp/>
        <stp>VOLUME</stp>
        <stp>.SPY150918P201</stp>
        <tr r="P425" s="1"/>
      </tp>
      <tp>
        <v>0</v>
        <stp/>
        <stp>VOLUME</stp>
        <stp>.SPY150918C201</stp>
        <tr r="E425" s="1"/>
      </tp>
      <tp t="s">
        <v>N/A</v>
        <stp/>
        <stp>BID</stp>
        <stp>.SPY150930C211.5</stp>
        <tr r="C488" s="1"/>
      </tp>
      <tp t="s">
        <v>N/A</v>
        <stp/>
        <stp>BID</stp>
        <stp>.SPY150930C201.5</stp>
        <tr r="C468" s="1"/>
      </tp>
      <tp t="s">
        <v>N/A</v>
        <stp/>
        <stp>BID</stp>
        <stp>.SPY150918C219.5</stp>
        <tr r="C462" s="1"/>
      </tp>
      <tp t="s">
        <v>N/A</v>
        <stp/>
        <stp>BID</stp>
        <stp>.SPY160916C214.5</stp>
        <tr r="C746" s="1"/>
      </tp>
      <tp t="s">
        <v>N/A</v>
        <stp/>
        <stp>BID</stp>
        <stp>.SPY150918C209.5</stp>
        <tr r="C442" s="1"/>
      </tp>
      <tp t="s">
        <v>N/A</v>
        <stp/>
        <stp>BID</stp>
        <stp>.SPY160916C204.5</stp>
        <tr r="C726" s="1"/>
      </tp>
      <tp t="s">
        <v>N/A</v>
        <stp/>
        <stp>BID</stp>
        <stp>.SPY170317C214.5</stp>
        <tr r="C872" s="1"/>
      </tp>
      <tp t="s">
        <v>N/A</v>
        <stp/>
        <stp>BID</stp>
        <stp>.SPY170317C204.5</stp>
        <tr r="C852" s="1"/>
      </tp>
      <tp t="s">
        <v>N/A</v>
        <stp/>
        <stp>BID</stp>
        <stp>.SPY170120C203.5</stp>
        <tr r="C808" s="1"/>
      </tp>
      <tp t="s">
        <v>N/A</v>
        <stp/>
        <stp>BID</stp>
        <stp>.SPY170120C213.5</stp>
        <tr r="C828" s="1"/>
      </tp>
      <tp t="s">
        <v>N/A</v>
        <stp/>
        <stp>BID</stp>
        <stp>.SPY160115C217.5</stp>
        <tr r="C626" s="1"/>
      </tp>
      <tp t="s">
        <v>N/A</v>
        <stp/>
        <stp>BID</stp>
        <stp>.SPY160115C207.5</stp>
        <tr r="C606" s="1"/>
      </tp>
      <tp t="s">
        <v>N/A</v>
        <stp/>
        <stp>BID</stp>
        <stp>.SPY150717C216.5</stp>
        <tr r="C414" s="1"/>
      </tp>
      <tp t="s">
        <v>N/A</v>
        <stp/>
        <stp>BID</stp>
        <stp>.SPY150717C206.5</stp>
        <tr r="C394" s="1"/>
      </tp>
      <tp t="s">
        <v>N/A</v>
        <stp/>
        <stp>BID</stp>
        <stp>.SPY150630C211.5</stp>
        <tr r="C362" s="1"/>
      </tp>
      <tp t="s">
        <v>N/A</v>
        <stp/>
        <stp>BID</stp>
        <stp>.SPY150630C201.5</stp>
        <tr r="C342" s="1"/>
      </tp>
      <tp t="s">
        <v>N/A</v>
        <stp/>
        <stp>BID</stp>
        <stp>.SPY150619C218.5</stp>
        <tr r="C334" s="1"/>
      </tp>
      <tp t="s">
        <v>N/A</v>
        <stp/>
        <stp>BID</stp>
        <stp>.SPY160617C215.5</stp>
        <tr r="C706" s="1"/>
      </tp>
      <tp t="s">
        <v>N/A</v>
        <stp/>
        <stp>BID</stp>
        <stp>.SPY150619C208.5</stp>
        <tr r="C314" s="1"/>
      </tp>
      <tp t="s">
        <v>N/A</v>
        <stp/>
        <stp>BID</stp>
        <stp>.SPY160617C205.5</stp>
        <tr r="C686" s="1"/>
      </tp>
      <tp>
        <v>8.27</v>
        <stp/>
        <stp>BID</stp>
        <stp>.SPY150522C203.5</stp>
        <tr r="C220" s="1"/>
      </tp>
      <tp>
        <v>4.3499999999999996</v>
        <stp/>
        <stp>BID</stp>
        <stp>.SPY150529C208.5</stp>
        <tr r="C272" s="1"/>
      </tp>
      <tp>
        <v>0.96</v>
        <stp/>
        <stp>BID</stp>
        <stp>.SPY150522C213.5</stp>
        <tr r="C240" s="1"/>
      </tp>
      <tp>
        <v>0.11</v>
        <stp/>
        <stp>BID</stp>
        <stp>.SPY150529C218.5</stp>
        <tr r="C292" s="1"/>
      </tp>
      <tp>
        <v>10.08</v>
        <stp/>
        <stp>BID</stp>
        <stp>.SPY150501C200.5</stp>
        <tr r="C88" s="1"/>
      </tp>
      <tp>
        <v>2.34</v>
        <stp/>
        <stp>BID</stp>
        <stp>.SPY150508C209.5</stp>
        <tr r="C148" s="1"/>
      </tp>
      <tp>
        <v>0.31</v>
        <stp/>
        <stp>BID</stp>
        <stp>.SPY150515C214.5</stp>
        <tr r="C200" s="1"/>
      </tp>
      <tp>
        <v>0.19</v>
        <stp/>
        <stp>BID</stp>
        <stp>.SPY150501C210.5</stp>
        <tr r="C108" s="1"/>
      </tp>
      <tp>
        <v>0</v>
        <stp/>
        <stp>BID</stp>
        <stp>.SPY150508C219.5</stp>
        <tr r="C168" s="1"/>
      </tp>
      <tp>
        <v>7.09</v>
        <stp/>
        <stp>BID</stp>
        <stp>.SPY150515C204.5</stp>
        <tr r="C180" s="1"/>
      </tp>
      <tp>
        <v>6.05</v>
        <stp/>
        <stp>BID</stp>
        <stp>.SPY150424C205.5</stp>
        <tr r="C56" s="1"/>
      </tp>
      <tp>
        <v>0</v>
        <stp/>
        <stp>BID</stp>
        <stp>.SPY150424C215.5</stp>
        <tr r="C76" s="1"/>
      </tp>
      <tp>
        <v>0</v>
        <stp/>
        <stp>BID</stp>
        <stp>.SPY150417C216.5</stp>
        <tr r="C36" s="1"/>
      </tp>
      <tp>
        <v>1.58</v>
        <stp/>
        <stp>BID</stp>
        <stp>.SPY150417C206.5</stp>
        <tr r="C16" s="1"/>
      </tp>
      <tp t="s">
        <v>N/A</v>
        <stp/>
        <stp>BID</stp>
        <stp>.SPY151231C210.5</stp>
        <tr r="C570" s="1"/>
      </tp>
      <tp t="s">
        <v>N/A</v>
        <stp/>
        <stp>BID</stp>
        <stp>.SPY151231C200.5</stp>
        <tr r="C550" s="1"/>
      </tp>
      <tp t="s">
        <v>N/A</v>
        <stp/>
        <stp>BID</stp>
        <stp>.SPY151219C218.5</stp>
        <tr r="C544" s="1"/>
      </tp>
      <tp t="s">
        <v>N/A</v>
        <stp/>
        <stp>BID</stp>
        <stp>.SPY161216C214.5</stp>
        <tr r="C788" s="1"/>
      </tp>
      <tp t="s">
        <v>N/A</v>
        <stp/>
        <stp>BID</stp>
        <stp>.SPY171215C216.5</stp>
        <tr r="C918" s="1"/>
      </tp>
      <tp t="s">
        <v>N/A</v>
        <stp/>
        <stp>BID</stp>
        <stp>.SPY151219C208.5</stp>
        <tr r="C524" s="1"/>
      </tp>
      <tp t="s">
        <v>N/A</v>
        <stp/>
        <stp>BID</stp>
        <stp>.SPY161216C204.5</stp>
        <tr r="C768" s="1"/>
      </tp>
      <tp t="s">
        <v>N/A</v>
        <stp/>
        <stp>BID</stp>
        <stp>.SPY171215C206.5</stp>
        <tr r="C898" s="1"/>
      </tp>
      <tp t="s">
        <v>N/A</v>
        <stp/>
        <stp>RHO</stp>
        <stp>.SPY151231C211.5</stp>
        <tr r="K572" s="1"/>
      </tp>
      <tp t="s">
        <v>N/A</v>
        <stp/>
        <stp>RHO</stp>
        <stp>.SPY151231C201.5</stp>
        <tr r="K552" s="1"/>
      </tp>
      <tp t="s">
        <v>N/A</v>
        <stp/>
        <stp>RHO</stp>
        <stp>.SPY151219C219.5</stp>
        <tr r="K546" s="1"/>
      </tp>
      <tp t="s">
        <v>N/A</v>
        <stp/>
        <stp>RHO</stp>
        <stp>.SPY161216C215.5</stp>
        <tr r="K790" s="1"/>
      </tp>
      <tp t="s">
        <v>N/A</v>
        <stp/>
        <stp>RHO</stp>
        <stp>.SPY171215C217.5</stp>
        <tr r="K920" s="1"/>
      </tp>
      <tp t="s">
        <v>N/A</v>
        <stp/>
        <stp>RHO</stp>
        <stp>.SPY151219C209.5</stp>
        <tr r="K526" s="1"/>
      </tp>
      <tp t="s">
        <v>N/A</v>
        <stp/>
        <stp>RHO</stp>
        <stp>.SPY161216C205.5</stp>
        <tr r="K770" s="1"/>
      </tp>
      <tp t="s">
        <v>N/A</v>
        <stp/>
        <stp>RHO</stp>
        <stp>.SPY171215C207.5</stp>
        <tr r="K900" s="1"/>
      </tp>
      <tp t="s">
        <v>N/A</v>
        <stp/>
        <stp>RHO</stp>
        <stp>.SPY150930C210.5</stp>
        <tr r="K486" s="1"/>
      </tp>
      <tp t="s">
        <v>N/A</v>
        <stp/>
        <stp>RHO</stp>
        <stp>.SPY150930C200.5</stp>
        <tr r="K466" s="1"/>
      </tp>
      <tp t="s">
        <v>N/A</v>
        <stp/>
        <stp>RHO</stp>
        <stp>.SPY150918C218.5</stp>
        <tr r="K460" s="1"/>
      </tp>
      <tp t="s">
        <v>N/A</v>
        <stp/>
        <stp>RHO</stp>
        <stp>.SPY160916C215.5</stp>
        <tr r="K748" s="1"/>
      </tp>
      <tp t="s">
        <v>N/A</v>
        <stp/>
        <stp>RHO</stp>
        <stp>.SPY150918C208.5</stp>
        <tr r="K440" s="1"/>
      </tp>
      <tp t="s">
        <v>N/A</v>
        <stp/>
        <stp>RHO</stp>
        <stp>.SPY160916C205.5</stp>
        <tr r="K728" s="1"/>
      </tp>
      <tp t="s">
        <v>N/A</v>
        <stp/>
        <stp>RHO</stp>
        <stp>.SPY170317C215.5</stp>
        <tr r="K874" s="1"/>
      </tp>
      <tp t="s">
        <v>N/A</v>
        <stp/>
        <stp>RHO</stp>
        <stp>.SPY170317C205.5</stp>
        <tr r="K854" s="1"/>
      </tp>
      <tp t="s">
        <v>N/A</v>
        <stp/>
        <stp>RHO</stp>
        <stp>.SPY170120C202.5</stp>
        <tr r="K806" s="1"/>
      </tp>
      <tp t="s">
        <v>N/A</v>
        <stp/>
        <stp>RHO</stp>
        <stp>.SPY170120C212.5</stp>
        <tr r="K826" s="1"/>
      </tp>
      <tp t="s">
        <v>N/A</v>
        <stp/>
        <stp>RHO</stp>
        <stp>.SPY160115C216.5</stp>
        <tr r="K624" s="1"/>
      </tp>
      <tp t="s">
        <v>N/A</v>
        <stp/>
        <stp>RHO</stp>
        <stp>.SPY160115C206.5</stp>
        <tr r="K604" s="1"/>
      </tp>
      <tp t="s">
        <v>N/A</v>
        <stp/>
        <stp>RHO</stp>
        <stp>.SPY150717C217.5</stp>
        <tr r="K416" s="1"/>
      </tp>
      <tp t="s">
        <v>N/A</v>
        <stp/>
        <stp>RHO</stp>
        <stp>.SPY150717C207.5</stp>
        <tr r="K396" s="1"/>
      </tp>
      <tp t="s">
        <v>N/A</v>
        <stp/>
        <stp>RHO</stp>
        <stp>.SPY150630C210.5</stp>
        <tr r="K360" s="1"/>
      </tp>
      <tp t="s">
        <v>N/A</v>
        <stp/>
        <stp>RHO</stp>
        <stp>.SPY150630C200.5</stp>
        <tr r="K340" s="1"/>
      </tp>
      <tp t="s">
        <v>N/A</v>
        <stp/>
        <stp>RHO</stp>
        <stp>.SPY150619C219.5</stp>
        <tr r="K336" s="1"/>
      </tp>
      <tp t="s">
        <v>N/A</v>
        <stp/>
        <stp>RHO</stp>
        <stp>.SPY160617C214.5</stp>
        <tr r="K704" s="1"/>
      </tp>
      <tp t="s">
        <v>N/A</v>
        <stp/>
        <stp>RHO</stp>
        <stp>.SPY150619C209.5</stp>
        <tr r="K316" s="1"/>
      </tp>
      <tp t="s">
        <v>N/A</v>
        <stp/>
        <stp>RHO</stp>
        <stp>.SPY160617C204.5</stp>
        <tr r="K684" s="1"/>
      </tp>
      <tp>
        <v>6.1030000000000001E-2</v>
        <stp/>
        <stp>RHO</stp>
        <stp>.SPY150522C202.5</stp>
        <tr r="K218" s="1"/>
      </tp>
      <tp>
        <v>8.1390000000000004E-2</v>
        <stp/>
        <stp>RHO</stp>
        <stp>.SPY150529C209.5</stp>
        <tr r="K274" s="1"/>
      </tp>
      <tp>
        <v>4.2939999999999999E-2</v>
        <stp/>
        <stp>RHO</stp>
        <stp>.SPY150522C212.5</stp>
        <tr r="K238" s="1"/>
      </tp>
      <tp>
        <v>6.3299999999999997E-3</v>
        <stp/>
        <stp>RHO</stp>
        <stp>.SPY150529C219.5</stp>
        <tr r="K294" s="1"/>
      </tp>
      <tp t="s">
        <v>N/A</v>
        <stp/>
        <stp>RHO</stp>
        <stp>.SPY150501C201.5</stp>
        <tr r="K90" s="1"/>
      </tp>
      <tp>
        <v>1.8839999999999999E-2</v>
        <stp/>
        <stp>RHO</stp>
        <stp>.SPY150508C208.5</stp>
        <tr r="K146" s="1"/>
      </tp>
      <tp>
        <v>7.1599999999999997E-3</v>
        <stp/>
        <stp>RHO</stp>
        <stp>.SPY150515C215.5</stp>
        <tr r="K202" s="1"/>
      </tp>
      <tp t="s">
        <v>N/A</v>
        <stp/>
        <stp>RHO</stp>
        <stp>.SPY150501C211.5</stp>
        <tr r="K110" s="1"/>
      </tp>
      <tp>
        <v>1.7000000000000001E-4</v>
        <stp/>
        <stp>RHO</stp>
        <stp>.SPY150508C218.5</stp>
        <tr r="K166" s="1"/>
      </tp>
      <tp>
        <v>4.2090000000000002E-2</v>
        <stp/>
        <stp>RHO</stp>
        <stp>.SPY150515C205.5</stp>
        <tr r="K182" s="1"/>
      </tp>
      <tp t="s">
        <v>N/A</v>
        <stp/>
        <stp>RHO</stp>
        <stp>.SPY150424C204.5</stp>
        <tr r="K54" s="1"/>
      </tp>
      <tp t="s">
        <v>N/A</v>
        <stp/>
        <stp>RHO</stp>
        <stp>.SPY150424C214.5</stp>
        <tr r="K74" s="1"/>
      </tp>
      <tp t="s">
        <v>N/A</v>
        <stp/>
        <stp>RHO</stp>
        <stp>.SPY150417C217.5</stp>
        <tr r="K38" s="1"/>
      </tp>
      <tp t="s">
        <v>N/A</v>
        <stp/>
        <stp>RHO</stp>
        <stp>.SPY150417C207.5</stp>
        <tr r="K18" s="1"/>
      </tp>
      <tp t="s">
        <v>N/A</v>
        <stp/>
        <stp>BID</stp>
        <stp>.SPY151231P210.5</stp>
        <tr r="N570" s="1"/>
      </tp>
      <tp t="s">
        <v>N/A</v>
        <stp/>
        <stp>BID</stp>
        <stp>.SPY151231P200.5</stp>
        <tr r="N550" s="1"/>
      </tp>
      <tp t="s">
        <v>N/A</v>
        <stp/>
        <stp>BID</stp>
        <stp>.SPY151219P218.5</stp>
        <tr r="N544" s="1"/>
      </tp>
      <tp t="s">
        <v>N/A</v>
        <stp/>
        <stp>BID</stp>
        <stp>.SPY161216P214.5</stp>
        <tr r="N788" s="1"/>
      </tp>
      <tp t="s">
        <v>N/A</v>
        <stp/>
        <stp>BID</stp>
        <stp>.SPY171215P216.5</stp>
        <tr r="N918" s="1"/>
      </tp>
      <tp t="s">
        <v>N/A</v>
        <stp/>
        <stp>BID</stp>
        <stp>.SPY151219P208.5</stp>
        <tr r="N524" s="1"/>
      </tp>
      <tp t="s">
        <v>N/A</v>
        <stp/>
        <stp>BID</stp>
        <stp>.SPY161216P204.5</stp>
        <tr r="N768" s="1"/>
      </tp>
      <tp t="s">
        <v>N/A</v>
        <stp/>
        <stp>BID</stp>
        <stp>.SPY171215P206.5</stp>
        <tr r="N898" s="1"/>
      </tp>
      <tp t="s">
        <v>N/A</v>
        <stp/>
        <stp>BID</stp>
        <stp>.SPY150930P211.5</stp>
        <tr r="N488" s="1"/>
      </tp>
      <tp t="s">
        <v>N/A</v>
        <stp/>
        <stp>BID</stp>
        <stp>.SPY150930P201.5</stp>
        <tr r="N468" s="1"/>
      </tp>
      <tp t="s">
        <v>N/A</v>
        <stp/>
        <stp>BID</stp>
        <stp>.SPY150918P219.5</stp>
        <tr r="N462" s="1"/>
      </tp>
      <tp t="s">
        <v>N/A</v>
        <stp/>
        <stp>BID</stp>
        <stp>.SPY160916P214.5</stp>
        <tr r="N746" s="1"/>
      </tp>
      <tp t="s">
        <v>N/A</v>
        <stp/>
        <stp>BID</stp>
        <stp>.SPY150918P209.5</stp>
        <tr r="N442" s="1"/>
      </tp>
      <tp t="s">
        <v>N/A</v>
        <stp/>
        <stp>BID</stp>
        <stp>.SPY160916P204.5</stp>
        <tr r="N726" s="1"/>
      </tp>
      <tp t="s">
        <v>N/A</v>
        <stp/>
        <stp>BID</stp>
        <stp>.SPY170317P214.5</stp>
        <tr r="N872" s="1"/>
      </tp>
      <tp t="s">
        <v>N/A</v>
        <stp/>
        <stp>BID</stp>
        <stp>.SPY170317P204.5</stp>
        <tr r="N852" s="1"/>
      </tp>
      <tp t="s">
        <v>N/A</v>
        <stp/>
        <stp>BID</stp>
        <stp>.SPY170120P203.5</stp>
        <tr r="N808" s="1"/>
      </tp>
      <tp t="s">
        <v>N/A</v>
        <stp/>
        <stp>BID</stp>
        <stp>.SPY170120P213.5</stp>
        <tr r="N828" s="1"/>
      </tp>
      <tp t="s">
        <v>N/A</v>
        <stp/>
        <stp>BID</stp>
        <stp>.SPY160115P217.5</stp>
        <tr r="N626" s="1"/>
      </tp>
      <tp t="s">
        <v>N/A</v>
        <stp/>
        <stp>BID</stp>
        <stp>.SPY160115P207.5</stp>
        <tr r="N606" s="1"/>
      </tp>
      <tp t="s">
        <v>N/A</v>
        <stp/>
        <stp>BID</stp>
        <stp>.SPY150717P216.5</stp>
        <tr r="N414" s="1"/>
      </tp>
      <tp t="s">
        <v>N/A</v>
        <stp/>
        <stp>BID</stp>
        <stp>.SPY150717P206.5</stp>
        <tr r="N394" s="1"/>
      </tp>
      <tp t="s">
        <v>N/A</v>
        <stp/>
        <stp>BID</stp>
        <stp>.SPY150630P211.5</stp>
        <tr r="N362" s="1"/>
      </tp>
      <tp t="s">
        <v>N/A</v>
        <stp/>
        <stp>BID</stp>
        <stp>.SPY150630P201.5</stp>
        <tr r="N342" s="1"/>
      </tp>
      <tp t="s">
        <v>N/A</v>
        <stp/>
        <stp>BID</stp>
        <stp>.SPY150619P218.5</stp>
        <tr r="N334" s="1"/>
      </tp>
      <tp t="s">
        <v>N/A</v>
        <stp/>
        <stp>BID</stp>
        <stp>.SPY160617P215.5</stp>
        <tr r="N706" s="1"/>
      </tp>
      <tp t="s">
        <v>N/A</v>
        <stp/>
        <stp>BID</stp>
        <stp>.SPY150619P208.5</stp>
        <tr r="N314" s="1"/>
      </tp>
      <tp t="s">
        <v>N/A</v>
        <stp/>
        <stp>BID</stp>
        <stp>.SPY160617P205.5</stp>
        <tr r="N686" s="1"/>
      </tp>
      <tp>
        <v>0.4</v>
        <stp/>
        <stp>BID</stp>
        <stp>.SPY150522P203.5</stp>
        <tr r="N220" s="1"/>
      </tp>
      <tp>
        <v>1.44</v>
        <stp/>
        <stp>BID</stp>
        <stp>.SPY150529P208.5</stp>
        <tr r="N272" s="1"/>
      </tp>
      <tp>
        <v>2.95</v>
        <stp/>
        <stp>BID</stp>
        <stp>.SPY150522P213.5</stp>
        <tr r="N240" s="1"/>
      </tp>
      <tp>
        <v>7.02</v>
        <stp/>
        <stp>BID</stp>
        <stp>.SPY150529P218.5</stp>
        <tr r="N292" s="1"/>
      </tp>
      <tp>
        <v>0</v>
        <stp/>
        <stp>BID</stp>
        <stp>.SPY150501P200.5</stp>
        <tr r="N88" s="1"/>
      </tp>
      <tp>
        <v>0.42</v>
        <stp/>
        <stp>BID</stp>
        <stp>.SPY150508P209.5</stp>
        <tr r="N148" s="1"/>
      </tp>
      <tp>
        <v>3.28</v>
        <stp/>
        <stp>BID</stp>
        <stp>.SPY150515P214.5</stp>
        <tr r="N200" s="1"/>
      </tp>
      <tp>
        <v>0</v>
        <stp/>
        <stp>BID</stp>
        <stp>.SPY150501P210.5</stp>
        <tr r="N108" s="1"/>
      </tp>
      <tp>
        <v>7.9</v>
        <stp/>
        <stp>BID</stp>
        <stp>.SPY150508P219.5</stp>
        <tr r="N168" s="1"/>
      </tp>
      <tp>
        <v>0.26</v>
        <stp/>
        <stp>BID</stp>
        <stp>.SPY150515P204.5</stp>
        <tr r="N180" s="1"/>
      </tp>
      <tp>
        <v>0</v>
        <stp/>
        <stp>BID</stp>
        <stp>.SPY150424P205.5</stp>
        <tr r="N56" s="1"/>
      </tp>
      <tp>
        <v>3.71</v>
        <stp/>
        <stp>BID</stp>
        <stp>.SPY150424P215.5</stp>
        <tr r="N76" s="1"/>
      </tp>
      <tp>
        <v>8.25</v>
        <stp/>
        <stp>BID</stp>
        <stp>.SPY150417P216.5</stp>
        <tr r="N36" s="1"/>
      </tp>
      <tp>
        <v>0</v>
        <stp/>
        <stp>BID</stp>
        <stp>.SPY150417P206.5</stp>
        <tr r="N16" s="1"/>
      </tp>
      <tp t="s">
        <v>N/A</v>
        <stp/>
        <stp>RHO</stp>
        <stp>.SPY150930P210.5</stp>
        <tr r="V486" s="1"/>
      </tp>
      <tp t="s">
        <v>N/A</v>
        <stp/>
        <stp>RHO</stp>
        <stp>.SPY150930P200.5</stp>
        <tr r="V466" s="1"/>
      </tp>
      <tp t="s">
        <v>N/A</v>
        <stp/>
        <stp>RHO</stp>
        <stp>.SPY150918P218.5</stp>
        <tr r="V460" s="1"/>
      </tp>
      <tp t="s">
        <v>N/A</v>
        <stp/>
        <stp>RHO</stp>
        <stp>.SPY160916P215.5</stp>
        <tr r="V748" s="1"/>
      </tp>
      <tp t="s">
        <v>N/A</v>
        <stp/>
        <stp>RHO</stp>
        <stp>.SPY150918P208.5</stp>
        <tr r="V440" s="1"/>
      </tp>
      <tp t="s">
        <v>N/A</v>
        <stp/>
        <stp>RHO</stp>
        <stp>.SPY160916P205.5</stp>
        <tr r="V728" s="1"/>
      </tp>
      <tp t="s">
        <v>N/A</v>
        <stp/>
        <stp>RHO</stp>
        <stp>.SPY170317P215.5</stp>
        <tr r="V874" s="1"/>
      </tp>
      <tp t="s">
        <v>N/A</v>
        <stp/>
        <stp>RHO</stp>
        <stp>.SPY170317P205.5</stp>
        <tr r="V854" s="1"/>
      </tp>
      <tp t="s">
        <v>N/A</v>
        <stp/>
        <stp>RHO</stp>
        <stp>.SPY170120P202.5</stp>
        <tr r="V806" s="1"/>
      </tp>
      <tp t="s">
        <v>N/A</v>
        <stp/>
        <stp>RHO</stp>
        <stp>.SPY170120P212.5</stp>
        <tr r="V826" s="1"/>
      </tp>
      <tp t="s">
        <v>N/A</v>
        <stp/>
        <stp>RHO</stp>
        <stp>.SPY160115P216.5</stp>
        <tr r="V624" s="1"/>
      </tp>
      <tp t="s">
        <v>N/A</v>
        <stp/>
        <stp>RHO</stp>
        <stp>.SPY160115P206.5</stp>
        <tr r="V604" s="1"/>
      </tp>
      <tp t="s">
        <v>N/A</v>
        <stp/>
        <stp>RHO</stp>
        <stp>.SPY150717P217.5</stp>
        <tr r="V416" s="1"/>
      </tp>
      <tp t="s">
        <v>N/A</v>
        <stp/>
        <stp>RHO</stp>
        <stp>.SPY150717P207.5</stp>
        <tr r="V396" s="1"/>
      </tp>
      <tp t="s">
        <v>N/A</v>
        <stp/>
        <stp>RHO</stp>
        <stp>.SPY150630P210.5</stp>
        <tr r="V360" s="1"/>
      </tp>
      <tp t="s">
        <v>N/A</v>
        <stp/>
        <stp>RHO</stp>
        <stp>.SPY150630P200.5</stp>
        <tr r="V340" s="1"/>
      </tp>
      <tp t="s">
        <v>N/A</v>
        <stp/>
        <stp>RHO</stp>
        <stp>.SPY150619P219.5</stp>
        <tr r="V336" s="1"/>
      </tp>
      <tp t="s">
        <v>N/A</v>
        <stp/>
        <stp>RHO</stp>
        <stp>.SPY160617P214.5</stp>
        <tr r="V704" s="1"/>
      </tp>
      <tp t="s">
        <v>N/A</v>
        <stp/>
        <stp>RHO</stp>
        <stp>.SPY150619P209.5</stp>
        <tr r="V316" s="1"/>
      </tp>
      <tp t="s">
        <v>N/A</v>
        <stp/>
        <stp>RHO</stp>
        <stp>.SPY160617P204.5</stp>
        <tr r="V684" s="1"/>
      </tp>
      <tp>
        <v>-1.1140000000000001E-2</v>
        <stp/>
        <stp>RHO</stp>
        <stp>.SPY150522P202.5</stp>
        <tr r="V218" s="1"/>
      </tp>
      <tp>
        <v>-5.9110000000000003E-2</v>
        <stp/>
        <stp>RHO</stp>
        <stp>.SPY150529P209.5</stp>
        <tr r="V274" s="1"/>
      </tp>
      <tp>
        <v>-6.7110000000000003E-2</v>
        <stp/>
        <stp>RHO</stp>
        <stp>.SPY150522P212.5</stp>
        <tr r="V238" s="1"/>
      </tp>
      <tp>
        <v>-0.15622</v>
        <stp/>
        <stp>RHO</stp>
        <stp>.SPY150529P219.5</stp>
        <tr r="V294" s="1"/>
      </tp>
      <tp t="s">
        <v>N/A</v>
        <stp/>
        <stp>RHO</stp>
        <stp>.SPY150501P201.5</stp>
        <tr r="V90" s="1"/>
      </tp>
      <tp>
        <v>-4.9199999999999999E-3</v>
        <stp/>
        <stp>RHO</stp>
        <stp>.SPY150508P208.5</stp>
        <tr r="V146" s="1"/>
      </tp>
      <tp>
        <v>-6.7150000000000001E-2</v>
        <stp/>
        <stp>RHO</stp>
        <stp>.SPY150515P215.5</stp>
        <tr r="V202" s="1"/>
      </tp>
      <tp t="s">
        <v>N/A</v>
        <stp/>
        <stp>RHO</stp>
        <stp>.SPY150501P211.5</stp>
        <tr r="V110" s="1"/>
      </tp>
      <tp>
        <v>0</v>
        <stp/>
        <stp>RHO</stp>
        <stp>.SPY150508P218.5</stp>
        <tr r="V166" s="1"/>
      </tp>
      <tp>
        <v>-9.1199999999999996E-3</v>
        <stp/>
        <stp>RHO</stp>
        <stp>.SPY150515P205.5</stp>
        <tr r="V182" s="1"/>
      </tp>
      <tp t="s">
        <v>N/A</v>
        <stp/>
        <stp>RHO</stp>
        <stp>.SPY150424P204.5</stp>
        <tr r="V54" s="1"/>
      </tp>
      <tp t="s">
        <v>N/A</v>
        <stp/>
        <stp>RHO</stp>
        <stp>.SPY150424P214.5</stp>
        <tr r="V74" s="1"/>
      </tp>
      <tp t="s">
        <v>N/A</v>
        <stp/>
        <stp>RHO</stp>
        <stp>.SPY150417P217.5</stp>
        <tr r="V38" s="1"/>
      </tp>
      <tp t="s">
        <v>N/A</v>
        <stp/>
        <stp>RHO</stp>
        <stp>.SPY150417P207.5</stp>
        <tr r="V18" s="1"/>
      </tp>
      <tp t="s">
        <v>N/A</v>
        <stp/>
        <stp>RHO</stp>
        <stp>.SPY151231P211.5</stp>
        <tr r="V572" s="1"/>
      </tp>
      <tp t="s">
        <v>N/A</v>
        <stp/>
        <stp>RHO</stp>
        <stp>.SPY151231P201.5</stp>
        <tr r="V552" s="1"/>
      </tp>
      <tp t="s">
        <v>N/A</v>
        <stp/>
        <stp>RHO</stp>
        <stp>.SPY151219P219.5</stp>
        <tr r="V546" s="1"/>
      </tp>
      <tp t="s">
        <v>N/A</v>
        <stp/>
        <stp>RHO</stp>
        <stp>.SPY161216P215.5</stp>
        <tr r="V790" s="1"/>
      </tp>
      <tp t="s">
        <v>N/A</v>
        <stp/>
        <stp>RHO</stp>
        <stp>.SPY171215P217.5</stp>
        <tr r="V920" s="1"/>
      </tp>
      <tp t="s">
        <v>N/A</v>
        <stp/>
        <stp>RHO</stp>
        <stp>.SPY151219P209.5</stp>
        <tr r="V526" s="1"/>
      </tp>
      <tp t="s">
        <v>N/A</v>
        <stp/>
        <stp>RHO</stp>
        <stp>.SPY161216P205.5</stp>
        <tr r="V770" s="1"/>
      </tp>
      <tp t="s">
        <v>N/A</v>
        <stp/>
        <stp>RHO</stp>
        <stp>.SPY171215P207.5</stp>
        <tr r="V900" s="1"/>
      </tp>
      <tp t="s">
        <v>N/A</v>
        <stp/>
        <stp>DELTA</stp>
        <stp>.SPY150918P213.5</stp>
        <tr r="R450" s="1"/>
      </tp>
      <tp t="s">
        <v>N/A</v>
        <stp/>
        <stp>DELTA</stp>
        <stp>.SPY150918P203.5</stp>
        <tr r="R430" s="1"/>
      </tp>
      <tp>
        <v>-0.36437999999999998</v>
        <stp/>
        <stp>DELTA</stp>
        <stp>.SPY150522P209.5</stp>
        <tr r="R232" s="1"/>
      </tp>
      <tp>
        <v>-0.12995000000000001</v>
        <stp/>
        <stp>DELTA</stp>
        <stp>.SPY150529P202.5</stp>
        <tr r="R260" s="1"/>
      </tp>
      <tp>
        <v>-0.99907999999999997</v>
        <stp/>
        <stp>DELTA</stp>
        <stp>.SPY150522P219.5</stp>
        <tr r="R252" s="1"/>
      </tp>
      <tp>
        <v>-0.58748999999999996</v>
        <stp/>
        <stp>DELTA</stp>
        <stp>.SPY150529P212.5</stp>
        <tr r="R280" s="1"/>
      </tp>
      <tp>
        <v>-2.7709999999999999E-2</v>
        <stp/>
        <stp>DELTA</stp>
        <stp>.SPY150508P203.5</stp>
        <tr r="R136" s="1"/>
      </tp>
      <tp>
        <v>-0.85067000000000004</v>
        <stp/>
        <stp>DELTA</stp>
        <stp>.SPY150508P213.5</stp>
        <tr r="R156" s="1"/>
      </tp>
      <tp t="s">
        <v>N/A</v>
        <stp/>
        <stp>DELTA</stp>
        <stp>.SPY150619P212.5</stp>
        <tr r="R322" s="1"/>
      </tp>
      <tp t="s">
        <v>N/A</v>
        <stp/>
        <stp>DELTA</stp>
        <stp>.SPY150619P202.5</stp>
        <tr r="R302" s="1"/>
      </tp>
      <tp t="s">
        <v>N/A</v>
        <stp/>
        <stp>DELTA</stp>
        <stp>.SPY170120P209.5</stp>
        <tr r="R820" s="1"/>
      </tp>
      <tp t="s">
        <v>N/A</v>
        <stp/>
        <stp>DELTA</stp>
        <stp>.SPY170120P219.5</stp>
        <tr r="R840" s="1"/>
      </tp>
      <tp t="s">
        <v>N/A</v>
        <stp/>
        <stp>DELTA</stp>
        <stp>.SPY160318P210.5</stp>
        <tr r="R654" s="1"/>
      </tp>
      <tp t="s">
        <v>N/A</v>
        <stp/>
        <stp>DELTA</stp>
        <stp>.SPY160318P200.5</stp>
        <tr r="R634" s="1"/>
      </tp>
      <tp t="s">
        <v>N/A</v>
        <stp/>
        <stp>DELTA</stp>
        <stp>.SPY151219P212.5</stp>
        <tr r="R532" s="1"/>
      </tp>
      <tp t="s">
        <v>N/A</v>
        <stp/>
        <stp>DELTA</stp>
        <stp>.SPY151219P202.5</stp>
        <tr r="R512" s="1"/>
      </tp>
      <tp t="s">
        <v>N/A</v>
        <stp/>
        <stp>THETA</stp>
        <stp>.SPY151219C202.5</stp>
        <tr r="H512" s="1"/>
      </tp>
      <tp t="s">
        <v>N/A</v>
        <stp/>
        <stp>THETA</stp>
        <stp>.SPY151219C212.5</stp>
        <tr r="H532" s="1"/>
      </tp>
      <tp t="s">
        <v>N/A</v>
        <stp/>
        <stp>THETA</stp>
        <stp>.SPY170120C219.5</stp>
        <tr r="H840" s="1"/>
      </tp>
      <tp t="s">
        <v>N/A</v>
        <stp/>
        <stp>THETA</stp>
        <stp>.SPY170120C209.5</stp>
        <tr r="H820" s="1"/>
      </tp>
      <tp t="s">
        <v>N/A</v>
        <stp/>
        <stp>THETA</stp>
        <stp>.SPY160318C200.5</stp>
        <tr r="H634" s="1"/>
      </tp>
      <tp t="s">
        <v>N/A</v>
        <stp/>
        <stp>THETA</stp>
        <stp>.SPY160318C210.5</stp>
        <tr r="H654" s="1"/>
      </tp>
      <tp>
        <v>-5.8500000000000002E-3</v>
        <stp/>
        <stp>THETA</stp>
        <stp>.SPY150522C219.5</stp>
        <tr r="H252" s="1"/>
      </tp>
      <tp>
        <v>-4.0730000000000002E-2</v>
        <stp/>
        <stp>THETA</stp>
        <stp>.SPY150529C212.5</stp>
        <tr r="H280" s="1"/>
      </tp>
      <tp>
        <v>-5.3280000000000001E-2</v>
        <stp/>
        <stp>THETA</stp>
        <stp>.SPY150522C209.5</stp>
        <tr r="H232" s="1"/>
      </tp>
      <tp>
        <v>-3.4369999999999998E-2</v>
        <stp/>
        <stp>THETA</stp>
        <stp>.SPY150529C202.5</stp>
        <tr r="H260" s="1"/>
      </tp>
      <tp>
        <v>-4.8030000000000003E-2</v>
        <stp/>
        <stp>THETA</stp>
        <stp>.SPY150508C213.5</stp>
        <tr r="H156" s="1"/>
      </tp>
      <tp>
        <v>-3.8969999999999998E-2</v>
        <stp/>
        <stp>THETA</stp>
        <stp>.SPY150508C203.5</stp>
        <tr r="H136" s="1"/>
      </tp>
      <tp t="s">
        <v>N/A</v>
        <stp/>
        <stp>THETA</stp>
        <stp>.SPY150619C202.5</stp>
        <tr r="H302" s="1"/>
      </tp>
      <tp t="s">
        <v>N/A</v>
        <stp/>
        <stp>THETA</stp>
        <stp>.SPY150619C212.5</stp>
        <tr r="H322" s="1"/>
      </tp>
      <tp t="s">
        <v>N/A</v>
        <stp/>
        <stp>THETA</stp>
        <stp>.SPY150918C203.5</stp>
        <tr r="H430" s="1"/>
      </tp>
      <tp t="s">
        <v>N/A</v>
        <stp/>
        <stp>THETA</stp>
        <stp>.SPY150918C213.5</stp>
        <tr r="H450" s="1"/>
      </tp>
      <tp t="s">
        <v>N/A</v>
        <stp/>
        <stp>THETA</stp>
        <stp>.SPY170120P219.5</stp>
        <tr r="S840" s="1"/>
      </tp>
      <tp t="s">
        <v>N/A</v>
        <stp/>
        <stp>THETA</stp>
        <stp>.SPY170120P209.5</stp>
        <tr r="S820" s="1"/>
      </tp>
      <tp t="s">
        <v>N/A</v>
        <stp/>
        <stp>THETA</stp>
        <stp>.SPY160318P200.5</stp>
        <tr r="S634" s="1"/>
      </tp>
      <tp t="s">
        <v>N/A</v>
        <stp/>
        <stp>THETA</stp>
        <stp>.SPY160318P210.5</stp>
        <tr r="S654" s="1"/>
      </tp>
      <tp>
        <v>-8.6899999999999998E-3</v>
        <stp/>
        <stp>THETA</stp>
        <stp>.SPY150522P219.5</stp>
        <tr r="S252" s="1"/>
      </tp>
      <tp>
        <v>-4.471E-2</v>
        <stp/>
        <stp>THETA</stp>
        <stp>.SPY150529P212.5</stp>
        <tr r="S280" s="1"/>
      </tp>
      <tp>
        <v>-5.6239999999999998E-2</v>
        <stp/>
        <stp>THETA</stp>
        <stp>.SPY150522P209.5</stp>
        <tr r="S232" s="1"/>
      </tp>
      <tp>
        <v>-3.4079999999999999E-2</v>
        <stp/>
        <stp>THETA</stp>
        <stp>.SPY150529P202.5</stp>
        <tr r="S260" s="1"/>
      </tp>
      <tp>
        <v>-5.3170000000000002E-2</v>
        <stp/>
        <stp>THETA</stp>
        <stp>.SPY150508P213.5</stp>
        <tr r="S156" s="1"/>
      </tp>
      <tp>
        <v>-3.0710000000000001E-2</v>
        <stp/>
        <stp>THETA</stp>
        <stp>.SPY150508P203.5</stp>
        <tr r="S136" s="1"/>
      </tp>
      <tp t="s">
        <v>N/A</v>
        <stp/>
        <stp>THETA</stp>
        <stp>.SPY150619P202.5</stp>
        <tr r="S302" s="1"/>
      </tp>
      <tp t="s">
        <v>N/A</v>
        <stp/>
        <stp>THETA</stp>
        <stp>.SPY150619P212.5</stp>
        <tr r="S322" s="1"/>
      </tp>
      <tp t="s">
        <v>N/A</v>
        <stp/>
        <stp>THETA</stp>
        <stp>.SPY150918P203.5</stp>
        <tr r="S430" s="1"/>
      </tp>
      <tp t="s">
        <v>N/A</v>
        <stp/>
        <stp>THETA</stp>
        <stp>.SPY150918P213.5</stp>
        <tr r="S450" s="1"/>
      </tp>
      <tp t="s">
        <v>N/A</v>
        <stp/>
        <stp>THETA</stp>
        <stp>.SPY151219P202.5</stp>
        <tr r="S512" s="1"/>
      </tp>
      <tp t="s">
        <v>N/A</v>
        <stp/>
        <stp>THETA</stp>
        <stp>.SPY151219P212.5</stp>
        <tr r="S532" s="1"/>
      </tp>
      <tp t="s">
        <v>N/A</v>
        <stp/>
        <stp>DELTA</stp>
        <stp>.SPY151219C212.5</stp>
        <tr r="G532" s="1"/>
      </tp>
      <tp t="s">
        <v>N/A</v>
        <stp/>
        <stp>DELTA</stp>
        <stp>.SPY151219C202.5</stp>
        <tr r="G512" s="1"/>
      </tp>
      <tp t="s">
        <v>N/A</v>
        <stp/>
        <stp>DELTA</stp>
        <stp>.SPY150918C213.5</stp>
        <tr r="G450" s="1"/>
      </tp>
      <tp t="s">
        <v>N/A</v>
        <stp/>
        <stp>DELTA</stp>
        <stp>.SPY150918C203.5</stp>
        <tr r="G430" s="1"/>
      </tp>
      <tp>
        <v>0.62744999999999995</v>
        <stp/>
        <stp>DELTA</stp>
        <stp>.SPY150522C209.5</stp>
        <tr r="G232" s="1"/>
      </tp>
      <tp>
        <v>0.85163</v>
        <stp/>
        <stp>DELTA</stp>
        <stp>.SPY150529C202.5</stp>
        <tr r="G260" s="1"/>
      </tp>
      <tp>
        <v>2.342E-2</v>
        <stp/>
        <stp>DELTA</stp>
        <stp>.SPY150522C219.5</stp>
        <tr r="G252" s="1"/>
      </tp>
      <tp>
        <v>0.42243000000000003</v>
        <stp/>
        <stp>DELTA</stp>
        <stp>.SPY150529C212.5</stp>
        <tr r="G280" s="1"/>
      </tp>
      <tp>
        <v>0.95465</v>
        <stp/>
        <stp>DELTA</stp>
        <stp>.SPY150508C203.5</stp>
        <tr r="G136" s="1"/>
      </tp>
      <tp>
        <v>0.15867999999999999</v>
        <stp/>
        <stp>DELTA</stp>
        <stp>.SPY150508C213.5</stp>
        <tr r="G156" s="1"/>
      </tp>
      <tp t="s">
        <v>N/A</v>
        <stp/>
        <stp>DELTA</stp>
        <stp>.SPY150619C212.5</stp>
        <tr r="G322" s="1"/>
      </tp>
      <tp t="s">
        <v>N/A</v>
        <stp/>
        <stp>DELTA</stp>
        <stp>.SPY150619C202.5</stp>
        <tr r="G302" s="1"/>
      </tp>
      <tp t="s">
        <v>N/A</v>
        <stp/>
        <stp>DELTA</stp>
        <stp>.SPY170120C209.5</stp>
        <tr r="G820" s="1"/>
      </tp>
      <tp t="s">
        <v>N/A</v>
        <stp/>
        <stp>DELTA</stp>
        <stp>.SPY170120C219.5</stp>
        <tr r="G840" s="1"/>
      </tp>
      <tp t="s">
        <v>N/A</v>
        <stp/>
        <stp>DELTA</stp>
        <stp>.SPY160318C210.5</stp>
        <tr r="G654" s="1"/>
      </tp>
      <tp t="s">
        <v>N/A</v>
        <stp/>
        <stp>DELTA</stp>
        <stp>.SPY160318C200.5</stp>
        <tr r="G634" s="1"/>
      </tp>
      <tp t="s">
        <v>N/A</v>
        <stp/>
        <stp>BID</stp>
        <stp>.SPY150930C212.5</stp>
        <tr r="C490" s="1"/>
      </tp>
      <tp t="s">
        <v>N/A</v>
        <stp/>
        <stp>BID</stp>
        <stp>.SPY150930C202.5</stp>
        <tr r="C470" s="1"/>
      </tp>
      <tp t="s">
        <v>N/A</v>
        <stp/>
        <stp>BID</stp>
        <stp>.SPY160916C217.5</stp>
        <tr r="C752" s="1"/>
      </tp>
      <tp t="s">
        <v>N/A</v>
        <stp/>
        <stp>BID</stp>
        <stp>.SPY160916C207.5</stp>
        <tr r="C732" s="1"/>
      </tp>
      <tp t="s">
        <v>N/A</v>
        <stp/>
        <stp>BID</stp>
        <stp>.SPY160318C219.5</stp>
        <tr r="C672" s="1"/>
      </tp>
      <tp t="s">
        <v>N/A</v>
        <stp/>
        <stp>BID</stp>
        <stp>.SPY170317C217.5</stp>
        <tr r="C878" s="1"/>
      </tp>
      <tp t="s">
        <v>N/A</v>
        <stp/>
        <stp>BID</stp>
        <stp>.SPY160318C209.5</stp>
        <tr r="C652" s="1"/>
      </tp>
      <tp t="s">
        <v>N/A</v>
        <stp/>
        <stp>BID</stp>
        <stp>.SPY170317C207.5</stp>
        <tr r="C858" s="1"/>
      </tp>
      <tp t="s">
        <v>N/A</v>
        <stp/>
        <stp>BID</stp>
        <stp>.SPY170120C200.5</stp>
        <tr r="C802" s="1"/>
      </tp>
      <tp t="s">
        <v>N/A</v>
        <stp/>
        <stp>BID</stp>
        <stp>.SPY170120C210.5</stp>
        <tr r="C822" s="1"/>
      </tp>
      <tp t="s">
        <v>N/A</v>
        <stp/>
        <stp>BID</stp>
        <stp>.SPY160115C214.5</stp>
        <tr r="C620" s="1"/>
      </tp>
      <tp t="s">
        <v>N/A</v>
        <stp/>
        <stp>BID</stp>
        <stp>.SPY160115C204.5</stp>
        <tr r="C600" s="1"/>
      </tp>
      <tp t="s">
        <v>N/A</v>
        <stp/>
        <stp>BID</stp>
        <stp>.SPY150717C215.5</stp>
        <tr r="C412" s="1"/>
      </tp>
      <tp t="s">
        <v>N/A</v>
        <stp/>
        <stp>BID</stp>
        <stp>.SPY150717C205.5</stp>
        <tr r="C392" s="1"/>
      </tp>
      <tp t="s">
        <v>N/A</v>
        <stp/>
        <stp>BID</stp>
        <stp>.SPY150630C212.5</stp>
        <tr r="C364" s="1"/>
      </tp>
      <tp t="s">
        <v>N/A</v>
        <stp/>
        <stp>BID</stp>
        <stp>.SPY150630C202.5</stp>
        <tr r="C344" s="1"/>
      </tp>
      <tp t="s">
        <v>N/A</v>
        <stp/>
        <stp>BID</stp>
        <stp>.SPY160617C216.5</stp>
        <tr r="C708" s="1"/>
      </tp>
      <tp t="s">
        <v>N/A</v>
        <stp/>
        <stp>BID</stp>
        <stp>.SPY160617C206.5</stp>
        <tr r="C688" s="1"/>
      </tp>
      <tp>
        <v>11.08</v>
        <stp/>
        <stp>BID</stp>
        <stp>.SPY150522C200.5</stp>
        <tr r="C214" s="1"/>
      </tp>
      <tp>
        <v>2.6</v>
        <stp/>
        <stp>BID</stp>
        <stp>.SPY150522C210.5</stp>
        <tr r="C234" s="1"/>
      </tp>
      <tp>
        <v>7.08</v>
        <stp/>
        <stp>BID</stp>
        <stp>.SPY150501C203.5</stp>
        <tr r="C94" s="1"/>
      </tp>
      <tp>
        <v>0.03</v>
        <stp/>
        <stp>BID</stp>
        <stp>.SPY150515C217.5</stp>
        <tr r="C206" s="1"/>
      </tp>
      <tp>
        <v>0</v>
        <stp/>
        <stp>BID</stp>
        <stp>.SPY150501C213.5</stp>
        <tr r="C114" s="1"/>
      </tp>
      <tp>
        <v>4.42</v>
        <stp/>
        <stp>BID</stp>
        <stp>.SPY150515C207.5</stp>
        <tr r="C186" s="1"/>
      </tp>
      <tp>
        <v>5.05</v>
        <stp/>
        <stp>BID</stp>
        <stp>.SPY150424C206.5</stp>
        <tr r="C58" s="1"/>
      </tp>
      <tp>
        <v>0</v>
        <stp/>
        <stp>BID</stp>
        <stp>.SPY150424C216.5</stp>
        <tr r="C78" s="1"/>
      </tp>
      <tp>
        <v>0</v>
        <stp/>
        <stp>BID</stp>
        <stp>.SPY150417C215.5</stp>
        <tr r="C34" s="1"/>
      </tp>
      <tp>
        <v>2.5299999999999998</v>
        <stp/>
        <stp>BID</stp>
        <stp>.SPY150417C205.5</stp>
        <tr r="C14" s="1"/>
      </tp>
      <tp t="s">
        <v>N/A</v>
        <stp/>
        <stp>BID</stp>
        <stp>.SPY151231C213.5</stp>
        <tr r="C576" s="1"/>
      </tp>
      <tp t="s">
        <v>N/A</v>
        <stp/>
        <stp>BID</stp>
        <stp>.SPY151231C203.5</stp>
        <tr r="C556" s="1"/>
      </tp>
      <tp t="s">
        <v>N/A</v>
        <stp/>
        <stp>BID</stp>
        <stp>.SPY161216C217.5</stp>
        <tr r="C794" s="1"/>
      </tp>
      <tp t="s">
        <v>N/A</v>
        <stp/>
        <stp>BID</stp>
        <stp>.SPY171215C215.5</stp>
        <tr r="C916" s="1"/>
      </tp>
      <tp t="s">
        <v>N/A</v>
        <stp/>
        <stp>BID</stp>
        <stp>.SPY161216C207.5</stp>
        <tr r="C774" s="1"/>
      </tp>
      <tp t="s">
        <v>N/A</v>
        <stp/>
        <stp>BID</stp>
        <stp>.SPY171215C205.5</stp>
        <tr r="C896" s="1"/>
      </tp>
      <tp t="s">
        <v>N/A</v>
        <stp/>
        <stp>RHO</stp>
        <stp>.SPY151231C212.5</stp>
        <tr r="K574" s="1"/>
      </tp>
      <tp t="s">
        <v>N/A</v>
        <stp/>
        <stp>RHO</stp>
        <stp>.SPY151231C202.5</stp>
        <tr r="K554" s="1"/>
      </tp>
      <tp t="s">
        <v>N/A</v>
        <stp/>
        <stp>RHO</stp>
        <stp>.SPY161216C216.5</stp>
        <tr r="K792" s="1"/>
      </tp>
      <tp t="s">
        <v>N/A</v>
        <stp/>
        <stp>RHO</stp>
        <stp>.SPY171215C214.5</stp>
        <tr r="K914" s="1"/>
      </tp>
      <tp t="s">
        <v>N/A</v>
        <stp/>
        <stp>RHO</stp>
        <stp>.SPY161216C206.5</stp>
        <tr r="K772" s="1"/>
      </tp>
      <tp t="s">
        <v>N/A</v>
        <stp/>
        <stp>RHO</stp>
        <stp>.SPY171215C204.5</stp>
        <tr r="K894" s="1"/>
      </tp>
      <tp t="s">
        <v>N/A</v>
        <stp/>
        <stp>RHO</stp>
        <stp>.SPY150930C213.5</stp>
        <tr r="K492" s="1"/>
      </tp>
      <tp t="s">
        <v>N/A</v>
        <stp/>
        <stp>RHO</stp>
        <stp>.SPY150930C203.5</stp>
        <tr r="K472" s="1"/>
      </tp>
      <tp t="s">
        <v>N/A</v>
        <stp/>
        <stp>RHO</stp>
        <stp>.SPY160916C216.5</stp>
        <tr r="K750" s="1"/>
      </tp>
      <tp t="s">
        <v>N/A</v>
        <stp/>
        <stp>RHO</stp>
        <stp>.SPY160916C206.5</stp>
        <tr r="K730" s="1"/>
      </tp>
      <tp t="s">
        <v>N/A</v>
        <stp/>
        <stp>RHO</stp>
        <stp>.SPY160318C218.5</stp>
        <tr r="K670" s="1"/>
      </tp>
      <tp t="s">
        <v>N/A</v>
        <stp/>
        <stp>RHO</stp>
        <stp>.SPY170317C216.5</stp>
        <tr r="K876" s="1"/>
      </tp>
      <tp t="s">
        <v>N/A</v>
        <stp/>
        <stp>RHO</stp>
        <stp>.SPY160318C208.5</stp>
        <tr r="K650" s="1"/>
      </tp>
      <tp t="s">
        <v>N/A</v>
        <stp/>
        <stp>RHO</stp>
        <stp>.SPY170317C206.5</stp>
        <tr r="K856" s="1"/>
      </tp>
      <tp t="s">
        <v>N/A</v>
        <stp/>
        <stp>RHO</stp>
        <stp>.SPY170120C201.5</stp>
        <tr r="K804" s="1"/>
      </tp>
      <tp t="s">
        <v>N/A</v>
        <stp/>
        <stp>RHO</stp>
        <stp>.SPY170120C211.5</stp>
        <tr r="K824" s="1"/>
      </tp>
      <tp t="s">
        <v>N/A</v>
        <stp/>
        <stp>RHO</stp>
        <stp>.SPY160115C215.5</stp>
        <tr r="K622" s="1"/>
      </tp>
      <tp t="s">
        <v>N/A</v>
        <stp/>
        <stp>RHO</stp>
        <stp>.SPY160115C205.5</stp>
        <tr r="K602" s="1"/>
      </tp>
      <tp t="s">
        <v>N/A</v>
        <stp/>
        <stp>RHO</stp>
        <stp>.SPY150717C214.5</stp>
        <tr r="K410" s="1"/>
      </tp>
      <tp t="s">
        <v>N/A</v>
        <stp/>
        <stp>RHO</stp>
        <stp>.SPY150717C204.5</stp>
        <tr r="K390" s="1"/>
      </tp>
      <tp t="s">
        <v>N/A</v>
        <stp/>
        <stp>RHO</stp>
        <stp>.SPY150630C213.5</stp>
        <tr r="K366" s="1"/>
      </tp>
      <tp t="s">
        <v>N/A</v>
        <stp/>
        <stp>RHO</stp>
        <stp>.SPY150630C203.5</stp>
        <tr r="K346" s="1"/>
      </tp>
      <tp t="s">
        <v>N/A</v>
        <stp/>
        <stp>RHO</stp>
        <stp>.SPY160617C217.5</stp>
        <tr r="K710" s="1"/>
      </tp>
      <tp t="s">
        <v>N/A</v>
        <stp/>
        <stp>RHO</stp>
        <stp>.SPY160617C207.5</stp>
        <tr r="K690" s="1"/>
      </tp>
      <tp>
        <v>5.7790000000000001E-2</v>
        <stp/>
        <stp>RHO</stp>
        <stp>.SPY150522C201.5</stp>
        <tr r="K216" s="1"/>
      </tp>
      <tp>
        <v>5.0430000000000003E-2</v>
        <stp/>
        <stp>RHO</stp>
        <stp>.SPY150522C211.5</stp>
        <tr r="K236" s="1"/>
      </tp>
      <tp t="s">
        <v>N/A</v>
        <stp/>
        <stp>RHO</stp>
        <stp>.SPY150501C202.5</stp>
        <tr r="K92" s="1"/>
      </tp>
      <tp>
        <v>3.8500000000000001E-3</v>
        <stp/>
        <stp>RHO</stp>
        <stp>.SPY150515C216.5</stp>
        <tr r="K204" s="1"/>
      </tp>
      <tp t="s">
        <v>N/A</v>
        <stp/>
        <stp>RHO</stp>
        <stp>.SPY150501C212.5</stp>
        <tr r="K112" s="1"/>
      </tp>
      <tp>
        <v>4.3659999999999997E-2</v>
        <stp/>
        <stp>RHO</stp>
        <stp>.SPY150515C206.5</stp>
        <tr r="K184" s="1"/>
      </tp>
      <tp t="s">
        <v>N/A</v>
        <stp/>
        <stp>RHO</stp>
        <stp>.SPY150424C207.5</stp>
        <tr r="K60" s="1"/>
      </tp>
      <tp t="s">
        <v>N/A</v>
        <stp/>
        <stp>RHO</stp>
        <stp>.SPY150424C217.5</stp>
        <tr r="K80" s="1"/>
      </tp>
      <tp t="s">
        <v>N/A</v>
        <stp/>
        <stp>RHO</stp>
        <stp>.SPY150417C214.5</stp>
        <tr r="K32" s="1"/>
      </tp>
      <tp t="s">
        <v>N/A</v>
        <stp/>
        <stp>RHO</stp>
        <stp>.SPY150417C204.5</stp>
        <tr r="K12" s="1"/>
      </tp>
      <tp t="s">
        <v>N/A</v>
        <stp/>
        <stp>BID</stp>
        <stp>.SPY151231P213.5</stp>
        <tr r="N576" s="1"/>
      </tp>
      <tp t="s">
        <v>N/A</v>
        <stp/>
        <stp>BID</stp>
        <stp>.SPY151231P203.5</stp>
        <tr r="N556" s="1"/>
      </tp>
      <tp t="s">
        <v>N/A</v>
        <stp/>
        <stp>BID</stp>
        <stp>.SPY161216P217.5</stp>
        <tr r="N794" s="1"/>
      </tp>
      <tp t="s">
        <v>N/A</v>
        <stp/>
        <stp>BID</stp>
        <stp>.SPY171215P215.5</stp>
        <tr r="N916" s="1"/>
      </tp>
      <tp t="s">
        <v>N/A</v>
        <stp/>
        <stp>BID</stp>
        <stp>.SPY161216P207.5</stp>
        <tr r="N774" s="1"/>
      </tp>
      <tp t="s">
        <v>N/A</v>
        <stp/>
        <stp>BID</stp>
        <stp>.SPY171215P205.5</stp>
        <tr r="N896" s="1"/>
      </tp>
      <tp t="s">
        <v>N/A</v>
        <stp/>
        <stp>BID</stp>
        <stp>.SPY150930P212.5</stp>
        <tr r="N490" s="1"/>
      </tp>
      <tp t="s">
        <v>N/A</v>
        <stp/>
        <stp>BID</stp>
        <stp>.SPY150930P202.5</stp>
        <tr r="N470" s="1"/>
      </tp>
      <tp t="s">
        <v>N/A</v>
        <stp/>
        <stp>BID</stp>
        <stp>.SPY160916P217.5</stp>
        <tr r="N752" s="1"/>
      </tp>
      <tp t="s">
        <v>N/A</v>
        <stp/>
        <stp>BID</stp>
        <stp>.SPY160916P207.5</stp>
        <tr r="N732" s="1"/>
      </tp>
      <tp t="s">
        <v>N/A</v>
        <stp/>
        <stp>BID</stp>
        <stp>.SPY160318P219.5</stp>
        <tr r="N672" s="1"/>
      </tp>
      <tp t="s">
        <v>N/A</v>
        <stp/>
        <stp>BID</stp>
        <stp>.SPY170317P217.5</stp>
        <tr r="N878" s="1"/>
      </tp>
      <tp t="s">
        <v>N/A</v>
        <stp/>
        <stp>BID</stp>
        <stp>.SPY160318P209.5</stp>
        <tr r="N652" s="1"/>
      </tp>
      <tp t="s">
        <v>N/A</v>
        <stp/>
        <stp>BID</stp>
        <stp>.SPY170317P207.5</stp>
        <tr r="N858" s="1"/>
      </tp>
      <tp t="s">
        <v>N/A</v>
        <stp/>
        <stp>BID</stp>
        <stp>.SPY170120P200.5</stp>
        <tr r="N802" s="1"/>
      </tp>
      <tp t="s">
        <v>N/A</v>
        <stp/>
        <stp>BID</stp>
        <stp>.SPY170120P210.5</stp>
        <tr r="N822" s="1"/>
      </tp>
      <tp t="s">
        <v>N/A</v>
        <stp/>
        <stp>BID</stp>
        <stp>.SPY160115P214.5</stp>
        <tr r="N620" s="1"/>
      </tp>
      <tp t="s">
        <v>N/A</v>
        <stp/>
        <stp>BID</stp>
        <stp>.SPY160115P204.5</stp>
        <tr r="N600" s="1"/>
      </tp>
      <tp t="s">
        <v>N/A</v>
        <stp/>
        <stp>BID</stp>
        <stp>.SPY150717P215.5</stp>
        <tr r="N412" s="1"/>
      </tp>
      <tp t="s">
        <v>N/A</v>
        <stp/>
        <stp>BID</stp>
        <stp>.SPY150717P205.5</stp>
        <tr r="N392" s="1"/>
      </tp>
      <tp t="s">
        <v>N/A</v>
        <stp/>
        <stp>BID</stp>
        <stp>.SPY150630P212.5</stp>
        <tr r="N364" s="1"/>
      </tp>
      <tp t="s">
        <v>N/A</v>
        <stp/>
        <stp>BID</stp>
        <stp>.SPY150630P202.5</stp>
        <tr r="N344" s="1"/>
      </tp>
      <tp t="s">
        <v>N/A</v>
        <stp/>
        <stp>BID</stp>
        <stp>.SPY160617P216.5</stp>
        <tr r="N708" s="1"/>
      </tp>
      <tp t="s">
        <v>N/A</v>
        <stp/>
        <stp>BID</stp>
        <stp>.SPY160617P206.5</stp>
        <tr r="N688" s="1"/>
      </tp>
      <tp>
        <v>0.22</v>
        <stp/>
        <stp>BID</stp>
        <stp>.SPY150522P200.5</stp>
        <tr r="N214" s="1"/>
      </tp>
      <tp>
        <v>1.65</v>
        <stp/>
        <stp>BID</stp>
        <stp>.SPY150522P210.5</stp>
        <tr r="N234" s="1"/>
      </tp>
      <tp>
        <v>0</v>
        <stp/>
        <stp>BID</stp>
        <stp>.SPY150501P203.5</stp>
        <tr r="N94" s="1"/>
      </tp>
      <tp>
        <v>5.95</v>
        <stp/>
        <stp>BID</stp>
        <stp>.SPY150515P217.5</stp>
        <tr r="N206" s="1"/>
      </tp>
      <tp>
        <v>2.64</v>
        <stp/>
        <stp>BID</stp>
        <stp>.SPY150501P213.5</stp>
        <tr r="N114" s="1"/>
      </tp>
      <tp>
        <v>0.56000000000000005</v>
        <stp/>
        <stp>BID</stp>
        <stp>.SPY150515P207.5</stp>
        <tr r="N186" s="1"/>
      </tp>
      <tp>
        <v>0</v>
        <stp/>
        <stp>BID</stp>
        <stp>.SPY150424P206.5</stp>
        <tr r="N58" s="1"/>
      </tp>
      <tp>
        <v>4.71</v>
        <stp/>
        <stp>BID</stp>
        <stp>.SPY150424P216.5</stp>
        <tr r="N78" s="1"/>
      </tp>
      <tp>
        <v>7.25</v>
        <stp/>
        <stp>BID</stp>
        <stp>.SPY150417P215.5</stp>
        <tr r="N34" s="1"/>
      </tp>
      <tp>
        <v>0</v>
        <stp/>
        <stp>BID</stp>
        <stp>.SPY150417P205.5</stp>
        <tr r="N14" s="1"/>
      </tp>
      <tp t="s">
        <v>N/A</v>
        <stp/>
        <stp>RHO</stp>
        <stp>.SPY150930P213.5</stp>
        <tr r="V492" s="1"/>
      </tp>
      <tp t="s">
        <v>N/A</v>
        <stp/>
        <stp>RHO</stp>
        <stp>.SPY150930P203.5</stp>
        <tr r="V472" s="1"/>
      </tp>
      <tp t="s">
        <v>N/A</v>
        <stp/>
        <stp>RHO</stp>
        <stp>.SPY160916P216.5</stp>
        <tr r="V750" s="1"/>
      </tp>
      <tp t="s">
        <v>N/A</v>
        <stp/>
        <stp>RHO</stp>
        <stp>.SPY160916P206.5</stp>
        <tr r="V730" s="1"/>
      </tp>
      <tp t="s">
        <v>N/A</v>
        <stp/>
        <stp>RHO</stp>
        <stp>.SPY160318P218.5</stp>
        <tr r="V670" s="1"/>
      </tp>
      <tp t="s">
        <v>N/A</v>
        <stp/>
        <stp>RHO</stp>
        <stp>.SPY170317P216.5</stp>
        <tr r="V876" s="1"/>
      </tp>
      <tp t="s">
        <v>N/A</v>
        <stp/>
        <stp>RHO</stp>
        <stp>.SPY160318P208.5</stp>
        <tr r="V650" s="1"/>
      </tp>
      <tp t="s">
        <v>N/A</v>
        <stp/>
        <stp>RHO</stp>
        <stp>.SPY170317P206.5</stp>
        <tr r="V856" s="1"/>
      </tp>
      <tp t="s">
        <v>N/A</v>
        <stp/>
        <stp>RHO</stp>
        <stp>.SPY170120P201.5</stp>
        <tr r="V804" s="1"/>
      </tp>
      <tp t="s">
        <v>N/A</v>
        <stp/>
        <stp>RHO</stp>
        <stp>.SPY170120P211.5</stp>
        <tr r="V824" s="1"/>
      </tp>
      <tp t="s">
        <v>N/A</v>
        <stp/>
        <stp>RHO</stp>
        <stp>.SPY160115P215.5</stp>
        <tr r="V622" s="1"/>
      </tp>
      <tp t="s">
        <v>N/A</v>
        <stp/>
        <stp>RHO</stp>
        <stp>.SPY160115P205.5</stp>
        <tr r="V602" s="1"/>
      </tp>
      <tp t="s">
        <v>N/A</v>
        <stp/>
        <stp>RHO</stp>
        <stp>.SPY150717P214.5</stp>
        <tr r="V410" s="1"/>
      </tp>
      <tp t="s">
        <v>N/A</v>
        <stp/>
        <stp>RHO</stp>
        <stp>.SPY150717P204.5</stp>
        <tr r="V390" s="1"/>
      </tp>
      <tp t="s">
        <v>N/A</v>
        <stp/>
        <stp>RHO</stp>
        <stp>.SPY150630P213.5</stp>
        <tr r="V366" s="1"/>
      </tp>
      <tp t="s">
        <v>N/A</v>
        <stp/>
        <stp>RHO</stp>
        <stp>.SPY150630P203.5</stp>
        <tr r="V346" s="1"/>
      </tp>
      <tp t="s">
        <v>N/A</v>
        <stp/>
        <stp>RHO</stp>
        <stp>.SPY160617P217.5</stp>
        <tr r="V710" s="1"/>
      </tp>
      <tp t="s">
        <v>N/A</v>
        <stp/>
        <stp>RHO</stp>
        <stp>.SPY160617P207.5</stp>
        <tr r="V690" s="1"/>
      </tp>
      <tp>
        <v>-9.1199999999999996E-3</v>
        <stp/>
        <stp>RHO</stp>
        <stp>.SPY150522P201.5</stp>
        <tr r="V216" s="1"/>
      </tp>
      <tp>
        <v>-5.7329999999999999E-2</v>
        <stp/>
        <stp>RHO</stp>
        <stp>.SPY150522P211.5</stp>
        <tr r="V236" s="1"/>
      </tp>
      <tp t="s">
        <v>N/A</v>
        <stp/>
        <stp>RHO</stp>
        <stp>.SPY150501P202.5</stp>
        <tr r="V92" s="1"/>
      </tp>
      <tp>
        <v>-7.1120000000000003E-2</v>
        <stp/>
        <stp>RHO</stp>
        <stp>.SPY150515P216.5</stp>
        <tr r="V204" s="1"/>
      </tp>
      <tp t="s">
        <v>N/A</v>
        <stp/>
        <stp>RHO</stp>
        <stp>.SPY150501P212.5</stp>
        <tr r="V112" s="1"/>
      </tp>
      <tp>
        <v>-1.1509999999999999E-2</v>
        <stp/>
        <stp>RHO</stp>
        <stp>.SPY150515P206.5</stp>
        <tr r="V184" s="1"/>
      </tp>
      <tp t="s">
        <v>N/A</v>
        <stp/>
        <stp>RHO</stp>
        <stp>.SPY150424P207.5</stp>
        <tr r="V60" s="1"/>
      </tp>
      <tp t="s">
        <v>N/A</v>
        <stp/>
        <stp>RHO</stp>
        <stp>.SPY150424P217.5</stp>
        <tr r="V80" s="1"/>
      </tp>
      <tp t="s">
        <v>N/A</v>
        <stp/>
        <stp>RHO</stp>
        <stp>.SPY150417P214.5</stp>
        <tr r="V32" s="1"/>
      </tp>
      <tp t="s">
        <v>N/A</v>
        <stp/>
        <stp>RHO</stp>
        <stp>.SPY150417P204.5</stp>
        <tr r="V12" s="1"/>
      </tp>
      <tp t="s">
        <v>N/A</v>
        <stp/>
        <stp>RHO</stp>
        <stp>.SPY151231P212.5</stp>
        <tr r="V574" s="1"/>
      </tp>
      <tp t="s">
        <v>N/A</v>
        <stp/>
        <stp>RHO</stp>
        <stp>.SPY151231P202.5</stp>
        <tr r="V554" s="1"/>
      </tp>
      <tp t="s">
        <v>N/A</v>
        <stp/>
        <stp>RHO</stp>
        <stp>.SPY161216P216.5</stp>
        <tr r="V792" s="1"/>
      </tp>
      <tp t="s">
        <v>N/A</v>
        <stp/>
        <stp>RHO</stp>
        <stp>.SPY171215P214.5</stp>
        <tr r="V914" s="1"/>
      </tp>
      <tp t="s">
        <v>N/A</v>
        <stp/>
        <stp>RHO</stp>
        <stp>.SPY161216P206.5</stp>
        <tr r="V772" s="1"/>
      </tp>
      <tp t="s">
        <v>N/A</v>
        <stp/>
        <stp>RHO</stp>
        <stp>.SPY171215P204.5</stp>
        <tr r="V894" s="1"/>
      </tp>
      <tp t="s">
        <v>N/A</v>
        <stp/>
        <stp>DELTA</stp>
        <stp>.SPY150918P212.5</stp>
        <tr r="R448" s="1"/>
      </tp>
      <tp t="s">
        <v>N/A</v>
        <stp/>
        <stp>DELTA</stp>
        <stp>.SPY150918P202.5</stp>
        <tr r="R428" s="1"/>
      </tp>
      <tp>
        <v>-0.30542000000000002</v>
        <stp/>
        <stp>DELTA</stp>
        <stp>.SPY150522P208.5</stp>
        <tr r="R230" s="1"/>
      </tp>
      <tp>
        <v>-0.15273999999999999</v>
        <stp/>
        <stp>DELTA</stp>
        <stp>.SPY150529P203.5</stp>
        <tr r="R262" s="1"/>
      </tp>
      <tp>
        <v>-0.99907999999999997</v>
        <stp/>
        <stp>DELTA</stp>
        <stp>.SPY150522P218.5</stp>
        <tr r="R250" s="1"/>
      </tp>
      <tp>
        <v>-0.66893000000000002</v>
        <stp/>
        <stp>DELTA</stp>
        <stp>.SPY150529P213.5</stp>
        <tr r="R282" s="1"/>
      </tp>
      <tp>
        <v>-2.0729999999999998E-2</v>
        <stp/>
        <stp>DELTA</stp>
        <stp>.SPY150508P202.5</stp>
        <tr r="R134" s="1"/>
      </tp>
      <tp>
        <v>-0.68808000000000002</v>
        <stp/>
        <stp>DELTA</stp>
        <stp>.SPY150508P212.5</stp>
        <tr r="R154" s="1"/>
      </tp>
      <tp t="s">
        <v>N/A</v>
        <stp/>
        <stp>DELTA</stp>
        <stp>.SPY150619P213.5</stp>
        <tr r="R324" s="1"/>
      </tp>
      <tp t="s">
        <v>N/A</v>
        <stp/>
        <stp>DELTA</stp>
        <stp>.SPY150619P203.5</stp>
        <tr r="R304" s="1"/>
      </tp>
      <tp t="s">
        <v>N/A</v>
        <stp/>
        <stp>DELTA</stp>
        <stp>.SPY170120P208.5</stp>
        <tr r="R818" s="1"/>
      </tp>
      <tp t="s">
        <v>N/A</v>
        <stp/>
        <stp>DELTA</stp>
        <stp>.SPY170120P218.5</stp>
        <tr r="R838" s="1"/>
      </tp>
      <tp t="s">
        <v>N/A</v>
        <stp/>
        <stp>DELTA</stp>
        <stp>.SPY160318P211.5</stp>
        <tr r="R656" s="1"/>
      </tp>
      <tp t="s">
        <v>N/A</v>
        <stp/>
        <stp>DELTA</stp>
        <stp>.SPY160318P201.5</stp>
        <tr r="R636" s="1"/>
      </tp>
      <tp t="s">
        <v>N/A</v>
        <stp/>
        <stp>DELTA</stp>
        <stp>.SPY151219P213.5</stp>
        <tr r="R534" s="1"/>
      </tp>
      <tp t="s">
        <v>N/A</v>
        <stp/>
        <stp>DELTA</stp>
        <stp>.SPY151219P203.5</stp>
        <tr r="R514" s="1"/>
      </tp>
      <tp t="s">
        <v>N/A</v>
        <stp/>
        <stp>THETA</stp>
        <stp>.SPY151219C203.5</stp>
        <tr r="H514" s="1"/>
      </tp>
      <tp t="s">
        <v>N/A</v>
        <stp/>
        <stp>THETA</stp>
        <stp>.SPY151219C213.5</stp>
        <tr r="H534" s="1"/>
      </tp>
      <tp t="s">
        <v>N/A</v>
        <stp/>
        <stp>THETA</stp>
        <stp>.SPY170120C218.5</stp>
        <tr r="H838" s="1"/>
      </tp>
      <tp t="s">
        <v>N/A</v>
        <stp/>
        <stp>THETA</stp>
        <stp>.SPY170120C208.5</stp>
        <tr r="H818" s="1"/>
      </tp>
      <tp t="s">
        <v>N/A</v>
        <stp/>
        <stp>THETA</stp>
        <stp>.SPY160318C201.5</stp>
        <tr r="H636" s="1"/>
      </tp>
      <tp t="s">
        <v>N/A</v>
        <stp/>
        <stp>THETA</stp>
        <stp>.SPY160318C211.5</stp>
        <tr r="H656" s="1"/>
      </tp>
      <tp>
        <v>-8.5299999999999994E-3</v>
        <stp/>
        <stp>THETA</stp>
        <stp>.SPY150522C218.5</stp>
        <tr r="H250" s="1"/>
      </tp>
      <tp>
        <v>-3.669E-2</v>
        <stp/>
        <stp>THETA</stp>
        <stp>.SPY150529C213.5</stp>
        <tr r="H282" s="1"/>
      </tp>
      <tp>
        <v>-5.176E-2</v>
        <stp/>
        <stp>THETA</stp>
        <stp>.SPY150522C208.5</stp>
        <tr r="H230" s="1"/>
      </tp>
      <tp>
        <v>-3.669E-2</v>
        <stp/>
        <stp>THETA</stp>
        <stp>.SPY150529C203.5</stp>
        <tr r="H262" s="1"/>
      </tp>
      <tp>
        <v>-7.4450000000000002E-2</v>
        <stp/>
        <stp>THETA</stp>
        <stp>.SPY150508C212.5</stp>
        <tr r="H154" s="1"/>
      </tp>
      <tp>
        <v>-4.5269999999999998E-2</v>
        <stp/>
        <stp>THETA</stp>
        <stp>.SPY150508C202.5</stp>
        <tr r="H134" s="1"/>
      </tp>
      <tp t="s">
        <v>N/A</v>
        <stp/>
        <stp>THETA</stp>
        <stp>.SPY150619C203.5</stp>
        <tr r="H304" s="1"/>
      </tp>
      <tp t="s">
        <v>N/A</v>
        <stp/>
        <stp>THETA</stp>
        <stp>.SPY150619C213.5</stp>
        <tr r="H324" s="1"/>
      </tp>
      <tp t="s">
        <v>N/A</v>
        <stp/>
        <stp>THETA</stp>
        <stp>.SPY150918C202.5</stp>
        <tr r="H428" s="1"/>
      </tp>
      <tp t="s">
        <v>N/A</v>
        <stp/>
        <stp>THETA</stp>
        <stp>.SPY150918C212.5</stp>
        <tr r="H448" s="1"/>
      </tp>
      <tp t="s">
        <v>N/A</v>
        <stp/>
        <stp>THETA</stp>
        <stp>.SPY170120P218.5</stp>
        <tr r="S838" s="1"/>
      </tp>
      <tp t="s">
        <v>N/A</v>
        <stp/>
        <stp>THETA</stp>
        <stp>.SPY170120P208.5</stp>
        <tr r="S818" s="1"/>
      </tp>
      <tp t="s">
        <v>N/A</v>
        <stp/>
        <stp>THETA</stp>
        <stp>.SPY160318P201.5</stp>
        <tr r="S636" s="1"/>
      </tp>
      <tp t="s">
        <v>N/A</v>
        <stp/>
        <stp>THETA</stp>
        <stp>.SPY160318P211.5</stp>
        <tr r="S656" s="1"/>
      </tp>
      <tp>
        <v>-8.6999999999999994E-3</v>
        <stp/>
        <stp>THETA</stp>
        <stp>.SPY150522P218.5</stp>
        <tr r="S250" s="1"/>
      </tp>
      <tp>
        <v>-4.0280000000000003E-2</v>
        <stp/>
        <stp>THETA</stp>
        <stp>.SPY150529P213.5</stp>
        <tr r="S282" s="1"/>
      </tp>
      <tp>
        <v>-5.4769999999999999E-2</v>
        <stp/>
        <stp>THETA</stp>
        <stp>.SPY150522P208.5</stp>
        <tr r="S230" s="1"/>
      </tp>
      <tp>
        <v>-3.6999999999999998E-2</v>
        <stp/>
        <stp>THETA</stp>
        <stp>.SPY150529P203.5</stp>
        <tr r="S262" s="1"/>
      </tp>
      <tp>
        <v>-7.9820000000000002E-2</v>
        <stp/>
        <stp>THETA</stp>
        <stp>.SPY150508P212.5</stp>
        <tr r="S154" s="1"/>
      </tp>
      <tp>
        <v>-2.6069999999999999E-2</v>
        <stp/>
        <stp>THETA</stp>
        <stp>.SPY150508P202.5</stp>
        <tr r="S134" s="1"/>
      </tp>
      <tp t="s">
        <v>N/A</v>
        <stp/>
        <stp>THETA</stp>
        <stp>.SPY150619P203.5</stp>
        <tr r="S304" s="1"/>
      </tp>
      <tp t="s">
        <v>N/A</v>
        <stp/>
        <stp>THETA</stp>
        <stp>.SPY150619P213.5</stp>
        <tr r="S324" s="1"/>
      </tp>
      <tp t="s">
        <v>N/A</v>
        <stp/>
        <stp>THETA</stp>
        <stp>.SPY150918P202.5</stp>
        <tr r="S428" s="1"/>
      </tp>
      <tp t="s">
        <v>N/A</v>
        <stp/>
        <stp>THETA</stp>
        <stp>.SPY150918P212.5</stp>
        <tr r="S448" s="1"/>
      </tp>
      <tp t="s">
        <v>N/A</v>
        <stp/>
        <stp>THETA</stp>
        <stp>.SPY151219P203.5</stp>
        <tr r="S514" s="1"/>
      </tp>
      <tp t="s">
        <v>N/A</v>
        <stp/>
        <stp>THETA</stp>
        <stp>.SPY151219P213.5</stp>
        <tr r="S534" s="1"/>
      </tp>
      <tp t="s">
        <v>N/A</v>
        <stp/>
        <stp>DELTA</stp>
        <stp>.SPY151219C213.5</stp>
        <tr r="G534" s="1"/>
      </tp>
      <tp t="s">
        <v>N/A</v>
        <stp/>
        <stp>DELTA</stp>
        <stp>.SPY151219C203.5</stp>
        <tr r="G514" s="1"/>
      </tp>
      <tp t="s">
        <v>N/A</v>
        <stp/>
        <stp>DELTA</stp>
        <stp>.SPY150918C212.5</stp>
        <tr r="G448" s="1"/>
      </tp>
      <tp t="s">
        <v>N/A</v>
        <stp/>
        <stp>DELTA</stp>
        <stp>.SPY150918C202.5</stp>
        <tr r="G428" s="1"/>
      </tp>
      <tp>
        <v>0.68447999999999998</v>
        <stp/>
        <stp>DELTA</stp>
        <stp>.SPY150522C208.5</stp>
        <tr r="G230" s="1"/>
      </tp>
      <tp>
        <v>0.82942000000000005</v>
        <stp/>
        <stp>DELTA</stp>
        <stp>.SPY150529C203.5</stp>
        <tr r="G262" s="1"/>
      </tp>
      <tp>
        <v>3.814E-2</v>
        <stp/>
        <stp>DELTA</stp>
        <stp>.SPY150522C218.5</stp>
        <tr r="G250" s="1"/>
      </tp>
      <tp>
        <v>0.34976000000000002</v>
        <stp/>
        <stp>DELTA</stp>
        <stp>.SPY150529C213.5</stp>
        <tr r="G282" s="1"/>
      </tp>
      <tp>
        <v>0.95337000000000005</v>
        <stp/>
        <stp>DELTA</stp>
        <stp>.SPY150508C202.5</stp>
        <tr r="G134" s="1"/>
      </tp>
      <tp>
        <v>0.31829000000000002</v>
        <stp/>
        <stp>DELTA</stp>
        <stp>.SPY150508C212.5</stp>
        <tr r="G154" s="1"/>
      </tp>
      <tp t="s">
        <v>N/A</v>
        <stp/>
        <stp>DELTA</stp>
        <stp>.SPY150619C213.5</stp>
        <tr r="G324" s="1"/>
      </tp>
      <tp t="s">
        <v>N/A</v>
        <stp/>
        <stp>DELTA</stp>
        <stp>.SPY150619C203.5</stp>
        <tr r="G304" s="1"/>
      </tp>
      <tp t="s">
        <v>N/A</v>
        <stp/>
        <stp>DELTA</stp>
        <stp>.SPY170120C208.5</stp>
        <tr r="G818" s="1"/>
      </tp>
      <tp t="s">
        <v>N/A</v>
        <stp/>
        <stp>DELTA</stp>
        <stp>.SPY170120C218.5</stp>
        <tr r="G838" s="1"/>
      </tp>
      <tp t="s">
        <v>N/A</v>
        <stp/>
        <stp>DELTA</stp>
        <stp>.SPY160318C211.5</stp>
        <tr r="G656" s="1"/>
      </tp>
      <tp t="s">
        <v>N/A</v>
        <stp/>
        <stp>DELTA</stp>
        <stp>.SPY160318C201.5</stp>
        <tr r="G636" s="1"/>
      </tp>
      <tp t="s">
        <v>N/A</v>
        <stp/>
        <stp>BID</stp>
        <stp>.SPY150930C213.5</stp>
        <tr r="C492" s="1"/>
      </tp>
      <tp t="s">
        <v>N/A</v>
        <stp/>
        <stp>BID</stp>
        <stp>.SPY150930C203.5</stp>
        <tr r="C472" s="1"/>
      </tp>
      <tp t="s">
        <v>N/A</v>
        <stp/>
        <stp>BID</stp>
        <stp>.SPY160916C216.5</stp>
        <tr r="C750" s="1"/>
      </tp>
      <tp t="s">
        <v>N/A</v>
        <stp/>
        <stp>BID</stp>
        <stp>.SPY160916C206.5</stp>
        <tr r="C730" s="1"/>
      </tp>
      <tp t="s">
        <v>N/A</v>
        <stp/>
        <stp>BID</stp>
        <stp>.SPY160318C218.5</stp>
        <tr r="C670" s="1"/>
      </tp>
      <tp t="s">
        <v>N/A</v>
        <stp/>
        <stp>BID</stp>
        <stp>.SPY170317C216.5</stp>
        <tr r="C876" s="1"/>
      </tp>
      <tp t="s">
        <v>N/A</v>
        <stp/>
        <stp>BID</stp>
        <stp>.SPY160318C208.5</stp>
        <tr r="C650" s="1"/>
      </tp>
      <tp t="s">
        <v>N/A</v>
        <stp/>
        <stp>BID</stp>
        <stp>.SPY170317C206.5</stp>
        <tr r="C856" s="1"/>
      </tp>
      <tp t="s">
        <v>N/A</v>
        <stp/>
        <stp>BID</stp>
        <stp>.SPY170120C201.5</stp>
        <tr r="C804" s="1"/>
      </tp>
      <tp t="s">
        <v>N/A</v>
        <stp/>
        <stp>BID</stp>
        <stp>.SPY170120C211.5</stp>
        <tr r="C824" s="1"/>
      </tp>
      <tp t="s">
        <v>N/A</v>
        <stp/>
        <stp>BID</stp>
        <stp>.SPY160115C215.5</stp>
        <tr r="C622" s="1"/>
      </tp>
      <tp t="s">
        <v>N/A</v>
        <stp/>
        <stp>BID</stp>
        <stp>.SPY160115C205.5</stp>
        <tr r="C602" s="1"/>
      </tp>
      <tp t="s">
        <v>N/A</v>
        <stp/>
        <stp>BID</stp>
        <stp>.SPY150717C214.5</stp>
        <tr r="C410" s="1"/>
      </tp>
      <tp t="s">
        <v>N/A</v>
        <stp/>
        <stp>BID</stp>
        <stp>.SPY150717C204.5</stp>
        <tr r="C390" s="1"/>
      </tp>
      <tp t="s">
        <v>N/A</v>
        <stp/>
        <stp>BID</stp>
        <stp>.SPY150630C213.5</stp>
        <tr r="C366" s="1"/>
      </tp>
      <tp t="s">
        <v>N/A</v>
        <stp/>
        <stp>BID</stp>
        <stp>.SPY150630C203.5</stp>
        <tr r="C346" s="1"/>
      </tp>
      <tp t="s">
        <v>N/A</v>
        <stp/>
        <stp>BID</stp>
        <stp>.SPY160617C217.5</stp>
        <tr r="C710" s="1"/>
      </tp>
      <tp t="s">
        <v>N/A</v>
        <stp/>
        <stp>BID</stp>
        <stp>.SPY160617C207.5</stp>
        <tr r="C690" s="1"/>
      </tp>
      <tp>
        <v>10.130000000000001</v>
        <stp/>
        <stp>BID</stp>
        <stp>.SPY150522C201.5</stp>
        <tr r="C216" s="1"/>
      </tp>
      <tp>
        <v>1.96</v>
        <stp/>
        <stp>BID</stp>
        <stp>.SPY150522C211.5</stp>
        <tr r="C236" s="1"/>
      </tp>
      <tp>
        <v>8.08</v>
        <stp/>
        <stp>BID</stp>
        <stp>.SPY150501C202.5</stp>
        <tr r="C92" s="1"/>
      </tp>
      <tp>
        <v>7.0000000000000007E-2</v>
        <stp/>
        <stp>BID</stp>
        <stp>.SPY150515C216.5</stp>
        <tr r="C204" s="1"/>
      </tp>
      <tp>
        <v>0</v>
        <stp/>
        <stp>BID</stp>
        <stp>.SPY150501C212.5</stp>
        <tr r="C112" s="1"/>
      </tp>
      <tp>
        <v>5.29</v>
        <stp/>
        <stp>BID</stp>
        <stp>.SPY150515C206.5</stp>
        <tr r="C184" s="1"/>
      </tp>
      <tp>
        <v>4.07</v>
        <stp/>
        <stp>BID</stp>
        <stp>.SPY150424C207.5</stp>
        <tr r="C60" s="1"/>
      </tp>
      <tp>
        <v>0</v>
        <stp/>
        <stp>BID</stp>
        <stp>.SPY150424C217.5</stp>
        <tr r="C80" s="1"/>
      </tp>
      <tp>
        <v>0</v>
        <stp/>
        <stp>BID</stp>
        <stp>.SPY150417C214.5</stp>
        <tr r="C32" s="1"/>
      </tp>
      <tp>
        <v>3.51</v>
        <stp/>
        <stp>BID</stp>
        <stp>.SPY150417C204.5</stp>
        <tr r="C12" s="1"/>
      </tp>
      <tp t="s">
        <v>N/A</v>
        <stp/>
        <stp>BID</stp>
        <stp>.SPY151231C212.5</stp>
        <tr r="C574" s="1"/>
      </tp>
      <tp t="s">
        <v>N/A</v>
        <stp/>
        <stp>BID</stp>
        <stp>.SPY151231C202.5</stp>
        <tr r="C554" s="1"/>
      </tp>
      <tp t="s">
        <v>N/A</v>
        <stp/>
        <stp>BID</stp>
        <stp>.SPY161216C216.5</stp>
        <tr r="C792" s="1"/>
      </tp>
      <tp t="s">
        <v>N/A</v>
        <stp/>
        <stp>BID</stp>
        <stp>.SPY171215C214.5</stp>
        <tr r="C914" s="1"/>
      </tp>
      <tp t="s">
        <v>N/A</v>
        <stp/>
        <stp>BID</stp>
        <stp>.SPY161216C206.5</stp>
        <tr r="C772" s="1"/>
      </tp>
      <tp t="s">
        <v>N/A</v>
        <stp/>
        <stp>BID</stp>
        <stp>.SPY171215C204.5</stp>
        <tr r="C894" s="1"/>
      </tp>
      <tp t="s">
        <v>N/A</v>
        <stp/>
        <stp>RHO</stp>
        <stp>.SPY151231C213.5</stp>
        <tr r="K576" s="1"/>
      </tp>
      <tp t="s">
        <v>N/A</v>
        <stp/>
        <stp>RHO</stp>
        <stp>.SPY151231C203.5</stp>
        <tr r="K556" s="1"/>
      </tp>
      <tp t="s">
        <v>N/A</v>
        <stp/>
        <stp>RHO</stp>
        <stp>.SPY161216C217.5</stp>
        <tr r="K794" s="1"/>
      </tp>
      <tp t="s">
        <v>N/A</v>
        <stp/>
        <stp>RHO</stp>
        <stp>.SPY171215C215.5</stp>
        <tr r="K916" s="1"/>
      </tp>
      <tp t="s">
        <v>N/A</v>
        <stp/>
        <stp>RHO</stp>
        <stp>.SPY161216C207.5</stp>
        <tr r="K774" s="1"/>
      </tp>
      <tp t="s">
        <v>N/A</v>
        <stp/>
        <stp>RHO</stp>
        <stp>.SPY171215C205.5</stp>
        <tr r="K896" s="1"/>
      </tp>
      <tp t="s">
        <v>N/A</v>
        <stp/>
        <stp>RHO</stp>
        <stp>.SPY150930C212.5</stp>
        <tr r="K490" s="1"/>
      </tp>
      <tp t="s">
        <v>N/A</v>
        <stp/>
        <stp>RHO</stp>
        <stp>.SPY150930C202.5</stp>
        <tr r="K470" s="1"/>
      </tp>
      <tp t="s">
        <v>N/A</v>
        <stp/>
        <stp>RHO</stp>
        <stp>.SPY160916C217.5</stp>
        <tr r="K752" s="1"/>
      </tp>
      <tp t="s">
        <v>N/A</v>
        <stp/>
        <stp>RHO</stp>
        <stp>.SPY160916C207.5</stp>
        <tr r="K732" s="1"/>
      </tp>
      <tp t="s">
        <v>N/A</v>
        <stp/>
        <stp>RHO</stp>
        <stp>.SPY160318C219.5</stp>
        <tr r="K672" s="1"/>
      </tp>
      <tp t="s">
        <v>N/A</v>
        <stp/>
        <stp>RHO</stp>
        <stp>.SPY170317C217.5</stp>
        <tr r="K878" s="1"/>
      </tp>
      <tp t="s">
        <v>N/A</v>
        <stp/>
        <stp>RHO</stp>
        <stp>.SPY160318C209.5</stp>
        <tr r="K652" s="1"/>
      </tp>
      <tp t="s">
        <v>N/A</v>
        <stp/>
        <stp>RHO</stp>
        <stp>.SPY170317C207.5</stp>
        <tr r="K858" s="1"/>
      </tp>
      <tp t="s">
        <v>N/A</v>
        <stp/>
        <stp>RHO</stp>
        <stp>.SPY170120C200.5</stp>
        <tr r="K802" s="1"/>
      </tp>
      <tp t="s">
        <v>N/A</v>
        <stp/>
        <stp>RHO</stp>
        <stp>.SPY170120C210.5</stp>
        <tr r="K822" s="1"/>
      </tp>
      <tp t="s">
        <v>N/A</v>
        <stp/>
        <stp>RHO</stp>
        <stp>.SPY160115C214.5</stp>
        <tr r="K620" s="1"/>
      </tp>
      <tp t="s">
        <v>N/A</v>
        <stp/>
        <stp>RHO</stp>
        <stp>.SPY160115C204.5</stp>
        <tr r="K600" s="1"/>
      </tp>
      <tp t="s">
        <v>N/A</v>
        <stp/>
        <stp>RHO</stp>
        <stp>.SPY150717C215.5</stp>
        <tr r="K412" s="1"/>
      </tp>
      <tp t="s">
        <v>N/A</v>
        <stp/>
        <stp>RHO</stp>
        <stp>.SPY150717C205.5</stp>
        <tr r="K392" s="1"/>
      </tp>
      <tp t="s">
        <v>N/A</v>
        <stp/>
        <stp>RHO</stp>
        <stp>.SPY150630C212.5</stp>
        <tr r="K364" s="1"/>
      </tp>
      <tp t="s">
        <v>N/A</v>
        <stp/>
        <stp>RHO</stp>
        <stp>.SPY150630C202.5</stp>
        <tr r="K344" s="1"/>
      </tp>
      <tp t="s">
        <v>N/A</v>
        <stp/>
        <stp>RHO</stp>
        <stp>.SPY160617C216.5</stp>
        <tr r="K708" s="1"/>
      </tp>
      <tp t="s">
        <v>N/A</v>
        <stp/>
        <stp>RHO</stp>
        <stp>.SPY160617C206.5</stp>
        <tr r="K688" s="1"/>
      </tp>
      <tp>
        <v>5.4039999999999998E-2</v>
        <stp/>
        <stp>RHO</stp>
        <stp>.SPY150522C200.5</stp>
        <tr r="K214" s="1"/>
      </tp>
      <tp>
        <v>5.672E-2</v>
        <stp/>
        <stp>RHO</stp>
        <stp>.SPY150522C210.5</stp>
        <tr r="K234" s="1"/>
      </tp>
      <tp t="s">
        <v>N/A</v>
        <stp/>
        <stp>RHO</stp>
        <stp>.SPY150501C203.5</stp>
        <tr r="K94" s="1"/>
      </tp>
      <tp>
        <v>2.2100000000000002E-3</v>
        <stp/>
        <stp>RHO</stp>
        <stp>.SPY150515C217.5</stp>
        <tr r="K206" s="1"/>
      </tp>
      <tp t="s">
        <v>N/A</v>
        <stp/>
        <stp>RHO</stp>
        <stp>.SPY150501C213.5</stp>
        <tr r="K114" s="1"/>
      </tp>
      <tp>
        <v>4.4060000000000002E-2</v>
        <stp/>
        <stp>RHO</stp>
        <stp>.SPY150515C207.5</stp>
        <tr r="K186" s="1"/>
      </tp>
      <tp t="s">
        <v>N/A</v>
        <stp/>
        <stp>RHO</stp>
        <stp>.SPY150424C206.5</stp>
        <tr r="K58" s="1"/>
      </tp>
      <tp t="s">
        <v>N/A</v>
        <stp/>
        <stp>RHO</stp>
        <stp>.SPY150424C216.5</stp>
        <tr r="K78" s="1"/>
      </tp>
      <tp t="s">
        <v>N/A</v>
        <stp/>
        <stp>RHO</stp>
        <stp>.SPY150417C215.5</stp>
        <tr r="K34" s="1"/>
      </tp>
      <tp t="s">
        <v>N/A</v>
        <stp/>
        <stp>RHO</stp>
        <stp>.SPY150417C205.5</stp>
        <tr r="K14" s="1"/>
      </tp>
      <tp t="s">
        <v>N/A</v>
        <stp/>
        <stp>BID</stp>
        <stp>.SPY151231P212.5</stp>
        <tr r="N574" s="1"/>
      </tp>
      <tp t="s">
        <v>N/A</v>
        <stp/>
        <stp>BID</stp>
        <stp>.SPY151231P202.5</stp>
        <tr r="N554" s="1"/>
      </tp>
      <tp t="s">
        <v>N/A</v>
        <stp/>
        <stp>BID</stp>
        <stp>.SPY161216P216.5</stp>
        <tr r="N792" s="1"/>
      </tp>
      <tp t="s">
        <v>N/A</v>
        <stp/>
        <stp>BID</stp>
        <stp>.SPY171215P214.5</stp>
        <tr r="N914" s="1"/>
      </tp>
      <tp t="s">
        <v>N/A</v>
        <stp/>
        <stp>BID</stp>
        <stp>.SPY161216P206.5</stp>
        <tr r="N772" s="1"/>
      </tp>
      <tp t="s">
        <v>N/A</v>
        <stp/>
        <stp>BID</stp>
        <stp>.SPY171215P204.5</stp>
        <tr r="N894" s="1"/>
      </tp>
      <tp t="s">
        <v>N/A</v>
        <stp/>
        <stp>BID</stp>
        <stp>.SPY150930P213.5</stp>
        <tr r="N492" s="1"/>
      </tp>
      <tp t="s">
        <v>N/A</v>
        <stp/>
        <stp>BID</stp>
        <stp>.SPY150930P203.5</stp>
        <tr r="N472" s="1"/>
      </tp>
      <tp t="s">
        <v>N/A</v>
        <stp/>
        <stp>BID</stp>
        <stp>.SPY160916P216.5</stp>
        <tr r="N750" s="1"/>
      </tp>
      <tp t="s">
        <v>N/A</v>
        <stp/>
        <stp>BID</stp>
        <stp>.SPY160916P206.5</stp>
        <tr r="N730" s="1"/>
      </tp>
      <tp t="s">
        <v>N/A</v>
        <stp/>
        <stp>BID</stp>
        <stp>.SPY160318P218.5</stp>
        <tr r="N670" s="1"/>
      </tp>
      <tp t="s">
        <v>N/A</v>
        <stp/>
        <stp>BID</stp>
        <stp>.SPY170317P216.5</stp>
        <tr r="N876" s="1"/>
      </tp>
      <tp t="s">
        <v>N/A</v>
        <stp/>
        <stp>BID</stp>
        <stp>.SPY160318P208.5</stp>
        <tr r="N650" s="1"/>
      </tp>
      <tp t="s">
        <v>N/A</v>
        <stp/>
        <stp>BID</stp>
        <stp>.SPY170317P206.5</stp>
        <tr r="N856" s="1"/>
      </tp>
      <tp t="s">
        <v>N/A</v>
        <stp/>
        <stp>BID</stp>
        <stp>.SPY170120P201.5</stp>
        <tr r="N804" s="1"/>
      </tp>
      <tp t="s">
        <v>N/A</v>
        <stp/>
        <stp>BID</stp>
        <stp>.SPY170120P211.5</stp>
        <tr r="N824" s="1"/>
      </tp>
      <tp t="s">
        <v>N/A</v>
        <stp/>
        <stp>BID</stp>
        <stp>.SPY160115P215.5</stp>
        <tr r="N622" s="1"/>
      </tp>
      <tp t="s">
        <v>N/A</v>
        <stp/>
        <stp>BID</stp>
        <stp>.SPY160115P205.5</stp>
        <tr r="N602" s="1"/>
      </tp>
      <tp t="s">
        <v>N/A</v>
        <stp/>
        <stp>BID</stp>
        <stp>.SPY150717P214.5</stp>
        <tr r="N410" s="1"/>
      </tp>
      <tp t="s">
        <v>N/A</v>
        <stp/>
        <stp>BID</stp>
        <stp>.SPY150717P204.5</stp>
        <tr r="N390" s="1"/>
      </tp>
      <tp t="s">
        <v>N/A</v>
        <stp/>
        <stp>BID</stp>
        <stp>.SPY150630P213.5</stp>
        <tr r="N366" s="1"/>
      </tp>
      <tp t="s">
        <v>N/A</v>
        <stp/>
        <stp>BID</stp>
        <stp>.SPY150630P203.5</stp>
        <tr r="N346" s="1"/>
      </tp>
      <tp t="s">
        <v>N/A</v>
        <stp/>
        <stp>BID</stp>
        <stp>.SPY160617P217.5</stp>
        <tr r="N710" s="1"/>
      </tp>
      <tp t="s">
        <v>N/A</v>
        <stp/>
        <stp>BID</stp>
        <stp>.SPY160617P207.5</stp>
        <tr r="N690" s="1"/>
      </tp>
      <tp>
        <v>0.26</v>
        <stp/>
        <stp>BID</stp>
        <stp>.SPY150522P201.5</stp>
        <tr r="N216" s="1"/>
      </tp>
      <tp>
        <v>2</v>
        <stp/>
        <stp>BID</stp>
        <stp>.SPY150522P211.5</stp>
        <tr r="N236" s="1"/>
      </tp>
      <tp>
        <v>0</v>
        <stp/>
        <stp>BID</stp>
        <stp>.SPY150501P202.5</stp>
        <tr r="N92" s="1"/>
      </tp>
      <tp>
        <v>4.9800000000000004</v>
        <stp/>
        <stp>BID</stp>
        <stp>.SPY150515P216.5</stp>
        <tr r="N204" s="1"/>
      </tp>
      <tp>
        <v>1.67</v>
        <stp/>
        <stp>BID</stp>
        <stp>.SPY150501P212.5</stp>
        <tr r="N112" s="1"/>
      </tp>
      <tp>
        <v>0.44</v>
        <stp/>
        <stp>BID</stp>
        <stp>.SPY150515P206.5</stp>
        <tr r="N184" s="1"/>
      </tp>
      <tp>
        <v>0</v>
        <stp/>
        <stp>BID</stp>
        <stp>.SPY150424P207.5</stp>
        <tr r="N60" s="1"/>
      </tp>
      <tp>
        <v>5.67</v>
        <stp/>
        <stp>BID</stp>
        <stp>.SPY150424P217.5</stp>
        <tr r="N80" s="1"/>
      </tp>
      <tp>
        <v>6.25</v>
        <stp/>
        <stp>BID</stp>
        <stp>.SPY150417P214.5</stp>
        <tr r="N32" s="1"/>
      </tp>
      <tp>
        <v>0</v>
        <stp/>
        <stp>BID</stp>
        <stp>.SPY150417P204.5</stp>
        <tr r="N12" s="1"/>
      </tp>
      <tp t="s">
        <v>N/A</v>
        <stp/>
        <stp>RHO</stp>
        <stp>.SPY150930P212.5</stp>
        <tr r="V490" s="1"/>
      </tp>
      <tp t="s">
        <v>N/A</v>
        <stp/>
        <stp>RHO</stp>
        <stp>.SPY150930P202.5</stp>
        <tr r="V470" s="1"/>
      </tp>
      <tp t="s">
        <v>N/A</v>
        <stp/>
        <stp>RHO</stp>
        <stp>.SPY160916P217.5</stp>
        <tr r="V752" s="1"/>
      </tp>
      <tp t="s">
        <v>N/A</v>
        <stp/>
        <stp>RHO</stp>
        <stp>.SPY160916P207.5</stp>
        <tr r="V732" s="1"/>
      </tp>
      <tp t="s">
        <v>N/A</v>
        <stp/>
        <stp>RHO</stp>
        <stp>.SPY160318P219.5</stp>
        <tr r="V672" s="1"/>
      </tp>
      <tp t="s">
        <v>N/A</v>
        <stp/>
        <stp>RHO</stp>
        <stp>.SPY170317P217.5</stp>
        <tr r="V878" s="1"/>
      </tp>
      <tp t="s">
        <v>N/A</v>
        <stp/>
        <stp>RHO</stp>
        <stp>.SPY160318P209.5</stp>
        <tr r="V652" s="1"/>
      </tp>
      <tp t="s">
        <v>N/A</v>
        <stp/>
        <stp>RHO</stp>
        <stp>.SPY170317P207.5</stp>
        <tr r="V858" s="1"/>
      </tp>
      <tp t="s">
        <v>N/A</v>
        <stp/>
        <stp>RHO</stp>
        <stp>.SPY170120P200.5</stp>
        <tr r="V802" s="1"/>
      </tp>
      <tp t="s">
        <v>N/A</v>
        <stp/>
        <stp>RHO</stp>
        <stp>.SPY170120P210.5</stp>
        <tr r="V822" s="1"/>
      </tp>
      <tp t="s">
        <v>N/A</v>
        <stp/>
        <stp>RHO</stp>
        <stp>.SPY160115P214.5</stp>
        <tr r="V620" s="1"/>
      </tp>
      <tp t="s">
        <v>N/A</v>
        <stp/>
        <stp>RHO</stp>
        <stp>.SPY160115P204.5</stp>
        <tr r="V600" s="1"/>
      </tp>
      <tp t="s">
        <v>N/A</v>
        <stp/>
        <stp>RHO</stp>
        <stp>.SPY150717P215.5</stp>
        <tr r="V412" s="1"/>
      </tp>
      <tp t="s">
        <v>N/A</v>
        <stp/>
        <stp>RHO</stp>
        <stp>.SPY150717P205.5</stp>
        <tr r="V392" s="1"/>
      </tp>
      <tp t="s">
        <v>N/A</v>
        <stp/>
        <stp>RHO</stp>
        <stp>.SPY150630P212.5</stp>
        <tr r="V364" s="1"/>
      </tp>
      <tp t="s">
        <v>N/A</v>
        <stp/>
        <stp>RHO</stp>
        <stp>.SPY150630P202.5</stp>
        <tr r="V344" s="1"/>
      </tp>
      <tp t="s">
        <v>N/A</v>
        <stp/>
        <stp>RHO</stp>
        <stp>.SPY160617P216.5</stp>
        <tr r="V708" s="1"/>
      </tp>
      <tp t="s">
        <v>N/A</v>
        <stp/>
        <stp>RHO</stp>
        <stp>.SPY160617P206.5</stp>
        <tr r="V688" s="1"/>
      </tp>
      <tp>
        <v>-7.6299999999999996E-3</v>
        <stp/>
        <stp>RHO</stp>
        <stp>.SPY150522P200.5</stp>
        <tr r="V214" s="1"/>
      </tp>
      <tp>
        <v>-4.8489999999999998E-2</v>
        <stp/>
        <stp>RHO</stp>
        <stp>.SPY150522P210.5</stp>
        <tr r="V234" s="1"/>
      </tp>
      <tp t="s">
        <v>N/A</v>
        <stp/>
        <stp>RHO</stp>
        <stp>.SPY150501P203.5</stp>
        <tr r="V94" s="1"/>
      </tp>
      <tp>
        <v>-7.145E-2</v>
        <stp/>
        <stp>RHO</stp>
        <stp>.SPY150515P217.5</stp>
        <tr r="V206" s="1"/>
      </tp>
      <tp t="s">
        <v>N/A</v>
        <stp/>
        <stp>RHO</stp>
        <stp>.SPY150501P213.5</stp>
        <tr r="V114" s="1"/>
      </tp>
      <tp>
        <v>-1.461E-2</v>
        <stp/>
        <stp>RHO</stp>
        <stp>.SPY150515P207.5</stp>
        <tr r="V186" s="1"/>
      </tp>
      <tp t="s">
        <v>N/A</v>
        <stp/>
        <stp>RHO</stp>
        <stp>.SPY150424P206.5</stp>
        <tr r="V58" s="1"/>
      </tp>
      <tp t="s">
        <v>N/A</v>
        <stp/>
        <stp>RHO</stp>
        <stp>.SPY150424P216.5</stp>
        <tr r="V78" s="1"/>
      </tp>
      <tp t="s">
        <v>N/A</v>
        <stp/>
        <stp>RHO</stp>
        <stp>.SPY150417P215.5</stp>
        <tr r="V34" s="1"/>
      </tp>
      <tp t="s">
        <v>N/A</v>
        <stp/>
        <stp>RHO</stp>
        <stp>.SPY150417P205.5</stp>
        <tr r="V14" s="1"/>
      </tp>
      <tp t="s">
        <v>N/A</v>
        <stp/>
        <stp>RHO</stp>
        <stp>.SPY151231P213.5</stp>
        <tr r="V576" s="1"/>
      </tp>
      <tp t="s">
        <v>N/A</v>
        <stp/>
        <stp>RHO</stp>
        <stp>.SPY151231P203.5</stp>
        <tr r="V556" s="1"/>
      </tp>
      <tp t="s">
        <v>N/A</v>
        <stp/>
        <stp>RHO</stp>
        <stp>.SPY161216P217.5</stp>
        <tr r="V794" s="1"/>
      </tp>
      <tp t="s">
        <v>N/A</v>
        <stp/>
        <stp>RHO</stp>
        <stp>.SPY171215P215.5</stp>
        <tr r="V916" s="1"/>
      </tp>
      <tp t="s">
        <v>N/A</v>
        <stp/>
        <stp>RHO</stp>
        <stp>.SPY161216P207.5</stp>
        <tr r="V774" s="1"/>
      </tp>
      <tp t="s">
        <v>N/A</v>
        <stp/>
        <stp>RHO</stp>
        <stp>.SPY171215P205.5</stp>
        <tr r="V896" s="1"/>
      </tp>
      <tp t="s">
        <v>N/A</v>
        <stp/>
        <stp>DELTA</stp>
        <stp>.SPY150918P215.5</stp>
        <tr r="R454" s="1"/>
      </tp>
      <tp t="s">
        <v>N/A</v>
        <stp/>
        <stp>DELTA</stp>
        <stp>.SPY160916P218.5</stp>
        <tr r="R754" s="1"/>
      </tp>
      <tp t="s">
        <v>N/A</v>
        <stp/>
        <stp>DELTA</stp>
        <stp>.SPY150918P205.5</stp>
        <tr r="R434" s="1"/>
      </tp>
      <tp t="s">
        <v>N/A</v>
        <stp/>
        <stp>DELTA</stp>
        <stp>.SPY160916P208.5</stp>
        <tr r="R734" s="1"/>
      </tp>
      <tp t="s">
        <v>N/A</v>
        <stp/>
        <stp>DELTA</stp>
        <stp>.SPY150424P209.5</stp>
        <tr r="R64" s="1"/>
      </tp>
      <tp t="s">
        <v>N/A</v>
        <stp/>
        <stp>DELTA</stp>
        <stp>.SPY150424P219.5</stp>
        <tr r="R84" s="1"/>
      </tp>
      <tp>
        <v>-0.1794</v>
        <stp/>
        <stp>DELTA</stp>
        <stp>.SPY150529P204.5</stp>
        <tr r="R264" s="1"/>
      </tp>
      <tp>
        <v>-0.75543000000000005</v>
        <stp/>
        <stp>DELTA</stp>
        <stp>.SPY150529P214.5</stp>
        <tr r="R284" s="1"/>
      </tp>
      <tp>
        <v>-5.5379999999999999E-2</v>
        <stp/>
        <stp>DELTA</stp>
        <stp>.SPY150508P205.5</stp>
        <tr r="R140" s="1"/>
      </tp>
      <tp>
        <v>-1</v>
        <stp/>
        <stp>DELTA</stp>
        <stp>.SPY150515P218.5</stp>
        <tr r="R208" s="1"/>
      </tp>
      <tp>
        <v>-1</v>
        <stp/>
        <stp>DELTA</stp>
        <stp>.SPY150508P215.5</stp>
        <tr r="R160" s="1"/>
      </tp>
      <tp>
        <v>-0.26264999999999999</v>
        <stp/>
        <stp>DELTA</stp>
        <stp>.SPY150515P208.5</stp>
        <tr r="R188" s="1"/>
      </tp>
      <tp t="s">
        <v>N/A</v>
        <stp/>
        <stp>DELTA</stp>
        <stp>.SPY150619P214.5</stp>
        <tr r="R326" s="1"/>
      </tp>
      <tp t="s">
        <v>N/A</v>
        <stp/>
        <stp>DELTA</stp>
        <stp>.SPY160617P219.5</stp>
        <tr r="R714" s="1"/>
      </tp>
      <tp t="s">
        <v>N/A</v>
        <stp/>
        <stp>DELTA</stp>
        <stp>.SPY150619P204.5</stp>
        <tr r="R306" s="1"/>
      </tp>
      <tp t="s">
        <v>N/A</v>
        <stp/>
        <stp>DELTA</stp>
        <stp>.SPY160617P209.5</stp>
        <tr r="R694" s="1"/>
      </tp>
      <tp t="s">
        <v>N/A</v>
        <stp/>
        <stp>DELTA</stp>
        <stp>.SPY160318P216.5</stp>
        <tr r="R666" s="1"/>
      </tp>
      <tp t="s">
        <v>N/A</v>
        <stp/>
        <stp>DELTA</stp>
        <stp>.SPY170317P218.5</stp>
        <tr r="R880" s="1"/>
      </tp>
      <tp t="s">
        <v>N/A</v>
        <stp/>
        <stp>DELTA</stp>
        <stp>.SPY160318P206.5</stp>
        <tr r="R646" s="1"/>
      </tp>
      <tp t="s">
        <v>N/A</v>
        <stp/>
        <stp>DELTA</stp>
        <stp>.SPY170317P208.5</stp>
        <tr r="R860" s="1"/>
      </tp>
      <tp t="s">
        <v>N/A</v>
        <stp/>
        <stp>DELTA</stp>
        <stp>.SPY151219P214.5</stp>
        <tr r="R536" s="1"/>
      </tp>
      <tp t="s">
        <v>N/A</v>
        <stp/>
        <stp>DELTA</stp>
        <stp>.SPY161216P218.5</stp>
        <tr r="R796" s="1"/>
      </tp>
      <tp t="s">
        <v>N/A</v>
        <stp/>
        <stp>DELTA</stp>
        <stp>.SPY151219P204.5</stp>
        <tr r="R516" s="1"/>
      </tp>
      <tp t="s">
        <v>N/A</v>
        <stp/>
        <stp>DELTA</stp>
        <stp>.SPY161216P208.5</stp>
        <tr r="R776" s="1"/>
      </tp>
      <tp t="s">
        <v>N/A</v>
        <stp/>
        <stp>THETA</stp>
        <stp>.SPY151219C204.5</stp>
        <tr r="H516" s="1"/>
      </tp>
      <tp t="s">
        <v>N/A</v>
        <stp/>
        <stp>THETA</stp>
        <stp>.SPY161216C208.5</stp>
        <tr r="H776" s="1"/>
      </tp>
      <tp t="s">
        <v>N/A</v>
        <stp/>
        <stp>THETA</stp>
        <stp>.SPY151219C214.5</stp>
        <tr r="H536" s="1"/>
      </tp>
      <tp t="s">
        <v>N/A</v>
        <stp/>
        <stp>THETA</stp>
        <stp>.SPY161216C218.5</stp>
        <tr r="H796" s="1"/>
      </tp>
      <tp t="s">
        <v>N/A</v>
        <stp/>
        <stp>THETA</stp>
        <stp>.SPY160318C206.5</stp>
        <tr r="H646" s="1"/>
      </tp>
      <tp t="s">
        <v>N/A</v>
        <stp/>
        <stp>THETA</stp>
        <stp>.SPY170317C208.5</stp>
        <tr r="H860" s="1"/>
      </tp>
      <tp t="s">
        <v>N/A</v>
        <stp/>
        <stp>THETA</stp>
        <stp>.SPY160318C216.5</stp>
        <tr r="H666" s="1"/>
      </tp>
      <tp t="s">
        <v>N/A</v>
        <stp/>
        <stp>THETA</stp>
        <stp>.SPY170317C218.5</stp>
        <tr r="H880" s="1"/>
      </tp>
      <tp>
        <v>-3.1669999999999997E-2</v>
        <stp/>
        <stp>THETA</stp>
        <stp>.SPY150529C214.5</stp>
        <tr r="H284" s="1"/>
      </tp>
      <tp>
        <v>-3.8859999999999999E-2</v>
        <stp/>
        <stp>THETA</stp>
        <stp>.SPY150529C204.5</stp>
        <tr r="H264" s="1"/>
      </tp>
      <tp>
        <v>-1.6039999999999999E-2</v>
        <stp/>
        <stp>THETA</stp>
        <stp>.SPY150508C215.5</stp>
        <tr r="H160" s="1"/>
      </tp>
      <tp>
        <v>-6.0040000000000003E-2</v>
        <stp/>
        <stp>THETA</stp>
        <stp>.SPY150515C208.5</stp>
        <tr r="H188" s="1"/>
      </tp>
      <tp>
        <v>-4.0090000000000001E-2</v>
        <stp/>
        <stp>THETA</stp>
        <stp>.SPY150508C205.5</stp>
        <tr r="H140" s="1"/>
      </tp>
      <tp>
        <v>-7.1399999999999996E-3</v>
        <stp/>
        <stp>THETA</stp>
        <stp>.SPY150515C218.5</stp>
        <tr r="H208" s="1"/>
      </tp>
      <tp t="s">
        <v>N/A</v>
        <stp/>
        <stp>THETA</stp>
        <stp>.SPY150424C219.5</stp>
        <tr r="H84" s="1"/>
      </tp>
      <tp t="s">
        <v>N/A</v>
        <stp/>
        <stp>THETA</stp>
        <stp>.SPY150424C209.5</stp>
        <tr r="H64" s="1"/>
      </tp>
      <tp t="s">
        <v>N/A</v>
        <stp/>
        <stp>THETA</stp>
        <stp>.SPY150619C204.5</stp>
        <tr r="H306" s="1"/>
      </tp>
      <tp t="s">
        <v>N/A</v>
        <stp/>
        <stp>THETA</stp>
        <stp>.SPY160617C209.5</stp>
        <tr r="H694" s="1"/>
      </tp>
      <tp t="s">
        <v>N/A</v>
        <stp/>
        <stp>THETA</stp>
        <stp>.SPY150619C214.5</stp>
        <tr r="H326" s="1"/>
      </tp>
      <tp t="s">
        <v>N/A</v>
        <stp/>
        <stp>THETA</stp>
        <stp>.SPY160617C219.5</stp>
        <tr r="H714" s="1"/>
      </tp>
      <tp t="s">
        <v>N/A</v>
        <stp/>
        <stp>THETA</stp>
        <stp>.SPY150918C205.5</stp>
        <tr r="H434" s="1"/>
      </tp>
      <tp t="s">
        <v>N/A</v>
        <stp/>
        <stp>THETA</stp>
        <stp>.SPY160916C208.5</stp>
        <tr r="H734" s="1"/>
      </tp>
      <tp t="s">
        <v>N/A</v>
        <stp/>
        <stp>THETA</stp>
        <stp>.SPY150918C215.5</stp>
        <tr r="H454" s="1"/>
      </tp>
      <tp t="s">
        <v>N/A</v>
        <stp/>
        <stp>THETA</stp>
        <stp>.SPY160916C218.5</stp>
        <tr r="H754" s="1"/>
      </tp>
      <tp t="s">
        <v>N/A</v>
        <stp/>
        <stp>THETA</stp>
        <stp>.SPY160318P206.5</stp>
        <tr r="S646" s="1"/>
      </tp>
      <tp t="s">
        <v>N/A</v>
        <stp/>
        <stp>THETA</stp>
        <stp>.SPY170317P208.5</stp>
        <tr r="S860" s="1"/>
      </tp>
      <tp t="s">
        <v>N/A</v>
        <stp/>
        <stp>THETA</stp>
        <stp>.SPY160318P216.5</stp>
        <tr r="S666" s="1"/>
      </tp>
      <tp t="s">
        <v>N/A</v>
        <stp/>
        <stp>THETA</stp>
        <stp>.SPY170317P218.5</stp>
        <tr r="S880" s="1"/>
      </tp>
      <tp>
        <v>-3.4049999999999997E-2</v>
        <stp/>
        <stp>THETA</stp>
        <stp>.SPY150529P214.5</stp>
        <tr r="S284" s="1"/>
      </tp>
      <tp>
        <v>-3.9940000000000003E-2</v>
        <stp/>
        <stp>THETA</stp>
        <stp>.SPY150529P204.5</stp>
        <tr r="S264" s="1"/>
      </tp>
      <tp>
        <v>-5.2319999999999998E-2</v>
        <stp/>
        <stp>THETA</stp>
        <stp>.SPY150508P215.5</stp>
        <tr r="S160" s="1"/>
      </tp>
      <tp>
        <v>-6.4350000000000004E-2</v>
        <stp/>
        <stp>THETA</stp>
        <stp>.SPY150515P208.5</stp>
        <tr r="S188" s="1"/>
      </tp>
      <tp>
        <v>-4.5929999999999999E-2</v>
        <stp/>
        <stp>THETA</stp>
        <stp>.SPY150508P205.5</stp>
        <tr r="S140" s="1"/>
      </tp>
      <tp>
        <v>0</v>
        <stp/>
        <stp>THETA</stp>
        <stp>.SPY150515P218.5</stp>
        <tr r="S208" s="1"/>
      </tp>
      <tp t="s">
        <v>N/A</v>
        <stp/>
        <stp>THETA</stp>
        <stp>.SPY150424P219.5</stp>
        <tr r="S84" s="1"/>
      </tp>
      <tp t="s">
        <v>N/A</v>
        <stp/>
        <stp>THETA</stp>
        <stp>.SPY150424P209.5</stp>
        <tr r="S64" s="1"/>
      </tp>
      <tp t="s">
        <v>N/A</v>
        <stp/>
        <stp>THETA</stp>
        <stp>.SPY150619P204.5</stp>
        <tr r="S306" s="1"/>
      </tp>
      <tp t="s">
        <v>N/A</v>
        <stp/>
        <stp>THETA</stp>
        <stp>.SPY160617P209.5</stp>
        <tr r="S694" s="1"/>
      </tp>
      <tp t="s">
        <v>N/A</v>
        <stp/>
        <stp>THETA</stp>
        <stp>.SPY150619P214.5</stp>
        <tr r="S326" s="1"/>
      </tp>
      <tp t="s">
        <v>N/A</v>
        <stp/>
        <stp>THETA</stp>
        <stp>.SPY160617P219.5</stp>
        <tr r="S714" s="1"/>
      </tp>
      <tp t="s">
        <v>N/A</v>
        <stp/>
        <stp>THETA</stp>
        <stp>.SPY150918P205.5</stp>
        <tr r="S434" s="1"/>
      </tp>
      <tp t="s">
        <v>N/A</v>
        <stp/>
        <stp>THETA</stp>
        <stp>.SPY160916P208.5</stp>
        <tr r="S734" s="1"/>
      </tp>
      <tp t="s">
        <v>N/A</v>
        <stp/>
        <stp>THETA</stp>
        <stp>.SPY150918P215.5</stp>
        <tr r="S454" s="1"/>
      </tp>
      <tp t="s">
        <v>N/A</v>
        <stp/>
        <stp>THETA</stp>
        <stp>.SPY160916P218.5</stp>
        <tr r="S754" s="1"/>
      </tp>
      <tp t="s">
        <v>N/A</v>
        <stp/>
        <stp>THETA</stp>
        <stp>.SPY151219P204.5</stp>
        <tr r="S516" s="1"/>
      </tp>
      <tp t="s">
        <v>N/A</v>
        <stp/>
        <stp>THETA</stp>
        <stp>.SPY161216P208.5</stp>
        <tr r="S776" s="1"/>
      </tp>
      <tp t="s">
        <v>N/A</v>
        <stp/>
        <stp>THETA</stp>
        <stp>.SPY151219P214.5</stp>
        <tr r="S536" s="1"/>
      </tp>
      <tp t="s">
        <v>N/A</v>
        <stp/>
        <stp>THETA</stp>
        <stp>.SPY161216P218.5</stp>
        <tr r="S796" s="1"/>
      </tp>
      <tp t="s">
        <v>N/A</v>
        <stp/>
        <stp>DELTA</stp>
        <stp>.SPY151219C214.5</stp>
        <tr r="G536" s="1"/>
      </tp>
      <tp t="s">
        <v>N/A</v>
        <stp/>
        <stp>DELTA</stp>
        <stp>.SPY161216C218.5</stp>
        <tr r="G796" s="1"/>
      </tp>
      <tp t="s">
        <v>N/A</v>
        <stp/>
        <stp>DELTA</stp>
        <stp>.SPY151219C204.5</stp>
        <tr r="G516" s="1"/>
      </tp>
      <tp t="s">
        <v>N/A</v>
        <stp/>
        <stp>DELTA</stp>
        <stp>.SPY161216C208.5</stp>
        <tr r="G776" s="1"/>
      </tp>
      <tp t="s">
        <v>N/A</v>
        <stp/>
        <stp>DELTA</stp>
        <stp>.SPY150918C215.5</stp>
        <tr r="G454" s="1"/>
      </tp>
      <tp t="s">
        <v>N/A</v>
        <stp/>
        <stp>DELTA</stp>
        <stp>.SPY160916C218.5</stp>
        <tr r="G754" s="1"/>
      </tp>
      <tp t="s">
        <v>N/A</v>
        <stp/>
        <stp>DELTA</stp>
        <stp>.SPY150918C205.5</stp>
        <tr r="G434" s="1"/>
      </tp>
      <tp t="s">
        <v>N/A</v>
        <stp/>
        <stp>DELTA</stp>
        <stp>.SPY160916C208.5</stp>
        <tr r="G734" s="1"/>
      </tp>
      <tp t="s">
        <v>N/A</v>
        <stp/>
        <stp>DELTA</stp>
        <stp>.SPY150424C209.5</stp>
        <tr r="G64" s="1"/>
      </tp>
      <tp t="s">
        <v>N/A</v>
        <stp/>
        <stp>DELTA</stp>
        <stp>.SPY150424C219.5</stp>
        <tr r="G84" s="1"/>
      </tp>
      <tp>
        <v>0.80410000000000004</v>
        <stp/>
        <stp>DELTA</stp>
        <stp>.SPY150529C204.5</stp>
        <tr r="G264" s="1"/>
      </tp>
      <tp>
        <v>0.27625</v>
        <stp/>
        <stp>DELTA</stp>
        <stp>.SPY150529C214.5</stp>
        <tr r="G284" s="1"/>
      </tp>
      <tp>
        <v>0.94293000000000005</v>
        <stp/>
        <stp>DELTA</stp>
        <stp>.SPY150508C205.5</stp>
        <tr r="G140" s="1"/>
      </tp>
      <tp>
        <v>2.0119999999999999E-2</v>
        <stp/>
        <stp>DELTA</stp>
        <stp>.SPY150515C218.5</stp>
        <tr r="G208" s="1"/>
      </tp>
      <tp>
        <v>3.032E-2</v>
        <stp/>
        <stp>DELTA</stp>
        <stp>.SPY150508C215.5</stp>
        <tr r="G160" s="1"/>
      </tp>
      <tp>
        <v>0.73114000000000001</v>
        <stp/>
        <stp>DELTA</stp>
        <stp>.SPY150515C208.5</stp>
        <tr r="G188" s="1"/>
      </tp>
      <tp t="s">
        <v>N/A</v>
        <stp/>
        <stp>DELTA</stp>
        <stp>.SPY150619C214.5</stp>
        <tr r="G326" s="1"/>
      </tp>
      <tp t="s">
        <v>N/A</v>
        <stp/>
        <stp>DELTA</stp>
        <stp>.SPY160617C219.5</stp>
        <tr r="G714" s="1"/>
      </tp>
      <tp t="s">
        <v>N/A</v>
        <stp/>
        <stp>DELTA</stp>
        <stp>.SPY150619C204.5</stp>
        <tr r="G306" s="1"/>
      </tp>
      <tp t="s">
        <v>N/A</v>
        <stp/>
        <stp>DELTA</stp>
        <stp>.SPY160617C209.5</stp>
        <tr r="G694" s="1"/>
      </tp>
      <tp t="s">
        <v>N/A</v>
        <stp/>
        <stp>DELTA</stp>
        <stp>.SPY160318C216.5</stp>
        <tr r="G666" s="1"/>
      </tp>
      <tp t="s">
        <v>N/A</v>
        <stp/>
        <stp>DELTA</stp>
        <stp>.SPY170317C218.5</stp>
        <tr r="G880" s="1"/>
      </tp>
      <tp t="s">
        <v>N/A</v>
        <stp/>
        <stp>DELTA</stp>
        <stp>.SPY160318C206.5</stp>
        <tr r="G646" s="1"/>
      </tp>
      <tp t="s">
        <v>N/A</v>
        <stp/>
        <stp>DELTA</stp>
        <stp>.SPY170317C208.5</stp>
        <tr r="G860" s="1"/>
      </tp>
      <tp t="s">
        <v>N/A</v>
        <stp/>
        <stp>BID</stp>
        <stp>.SPY150930C214.5</stp>
        <tr r="C494" s="1"/>
      </tp>
      <tp t="s">
        <v>N/A</v>
        <stp/>
        <stp>BID</stp>
        <stp>.SPY150930C204.5</stp>
        <tr r="C474" s="1"/>
      </tp>
      <tp t="s">
        <v>N/A</v>
        <stp/>
        <stp>BID</stp>
        <stp>.SPY160916C211.5</stp>
        <tr r="C740" s="1"/>
      </tp>
      <tp t="s">
        <v>N/A</v>
        <stp/>
        <stp>BID</stp>
        <stp>.SPY160916C201.5</stp>
        <tr r="C720" s="1"/>
      </tp>
      <tp t="s">
        <v>N/A</v>
        <stp/>
        <stp>BID</stp>
        <stp>.SPY170317C211.5</stp>
        <tr r="C866" s="1"/>
      </tp>
      <tp t="s">
        <v>N/A</v>
        <stp/>
        <stp>BID</stp>
        <stp>.SPY170317C201.5</stp>
        <tr r="C846" s="1"/>
      </tp>
      <tp t="s">
        <v>N/A</v>
        <stp/>
        <stp>BID</stp>
        <stp>.SPY170120C206.5</stp>
        <tr r="C814" s="1"/>
      </tp>
      <tp t="s">
        <v>N/A</v>
        <stp/>
        <stp>BID</stp>
        <stp>.SPY170120C216.5</stp>
        <tr r="C834" s="1"/>
      </tp>
      <tp t="s">
        <v>N/A</v>
        <stp/>
        <stp>BID</stp>
        <stp>.SPY160115C212.5</stp>
        <tr r="C616" s="1"/>
      </tp>
      <tp t="s">
        <v>N/A</v>
        <stp/>
        <stp>BID</stp>
        <stp>.SPY160115C202.5</stp>
        <tr r="C596" s="1"/>
      </tp>
      <tp t="s">
        <v>N/A</v>
        <stp/>
        <stp>BID</stp>
        <stp>.SPY150717C213.5</stp>
        <tr r="C408" s="1"/>
      </tp>
      <tp t="s">
        <v>N/A</v>
        <stp/>
        <stp>BID</stp>
        <stp>.SPY150717C203.5</stp>
        <tr r="C388" s="1"/>
      </tp>
      <tp t="s">
        <v>N/A</v>
        <stp/>
        <stp>BID</stp>
        <stp>.SPY150630C214.5</stp>
        <tr r="C368" s="1"/>
      </tp>
      <tp t="s">
        <v>N/A</v>
        <stp/>
        <stp>BID</stp>
        <stp>.SPY150630C204.5</stp>
        <tr r="C348" s="1"/>
      </tp>
      <tp t="s">
        <v>N/A</v>
        <stp/>
        <stp>BID</stp>
        <stp>.SPY160617C210.5</stp>
        <tr r="C696" s="1"/>
      </tp>
      <tp t="s">
        <v>N/A</v>
        <stp/>
        <stp>BID</stp>
        <stp>.SPY160617C200.5</stp>
        <tr r="C676" s="1"/>
      </tp>
      <tp>
        <v>5.64</v>
        <stp/>
        <stp>BID</stp>
        <stp>.SPY150522C206.5</stp>
        <tr r="C226" s="1"/>
      </tp>
      <tp>
        <v>0.19</v>
        <stp/>
        <stp>BID</stp>
        <stp>.SPY150522C216.5</stp>
        <tr r="C246" s="1"/>
      </tp>
      <tp>
        <v>5.0999999999999996</v>
        <stp/>
        <stp>BID</stp>
        <stp>.SPY150501C205.5</stp>
        <tr r="C98" s="1"/>
      </tp>
      <tp>
        <v>1.57</v>
        <stp/>
        <stp>BID</stp>
        <stp>.SPY150515C211.5</stp>
        <tr r="C194" s="1"/>
      </tp>
      <tp>
        <v>0</v>
        <stp/>
        <stp>BID</stp>
        <stp>.SPY150501C215.5</stp>
        <tr r="C118" s="1"/>
      </tp>
      <tp>
        <v>9.9600000000000009</v>
        <stp/>
        <stp>BID</stp>
        <stp>.SPY150515C201.5</stp>
        <tr r="C174" s="1"/>
      </tp>
      <tp>
        <v>11.05</v>
        <stp/>
        <stp>BID</stp>
        <stp>.SPY150424C200.5</stp>
        <tr r="C46" s="1"/>
      </tp>
      <tp>
        <v>1.07</v>
        <stp/>
        <stp>BID</stp>
        <stp>.SPY150424C210.5</stp>
        <tr r="C66" s="1"/>
      </tp>
      <tp>
        <v>0</v>
        <stp/>
        <stp>BID</stp>
        <stp>.SPY150417C213.5</stp>
        <tr r="C30" s="1"/>
      </tp>
      <tp>
        <v>4.5</v>
        <stp/>
        <stp>BID</stp>
        <stp>.SPY150417C203.5</stp>
        <tr r="C10" s="1"/>
      </tp>
      <tp t="s">
        <v>N/A</v>
        <stp/>
        <stp>BID</stp>
        <stp>.SPY151231C215.5</stp>
        <tr r="C580" s="1"/>
      </tp>
      <tp t="s">
        <v>N/A</v>
        <stp/>
        <stp>BID</stp>
        <stp>.SPY151231C205.5</stp>
        <tr r="C560" s="1"/>
      </tp>
      <tp t="s">
        <v>N/A</v>
        <stp/>
        <stp>BID</stp>
        <stp>.SPY161216C211.5</stp>
        <tr r="C782" s="1"/>
      </tp>
      <tp t="s">
        <v>N/A</v>
        <stp/>
        <stp>BID</stp>
        <stp>.SPY171215C213.5</stp>
        <tr r="C912" s="1"/>
      </tp>
      <tp t="s">
        <v>N/A</v>
        <stp/>
        <stp>BID</stp>
        <stp>.SPY161216C201.5</stp>
        <tr r="C762" s="1"/>
      </tp>
      <tp t="s">
        <v>N/A</v>
        <stp/>
        <stp>BID</stp>
        <stp>.SPY171215C203.5</stp>
        <tr r="C892" s="1"/>
      </tp>
      <tp t="s">
        <v>N/A</v>
        <stp/>
        <stp>RHO</stp>
        <stp>.SPY151231C214.5</stp>
        <tr r="K578" s="1"/>
      </tp>
      <tp t="s">
        <v>N/A</v>
        <stp/>
        <stp>RHO</stp>
        <stp>.SPY151231C204.5</stp>
        <tr r="K558" s="1"/>
      </tp>
      <tp t="s">
        <v>N/A</v>
        <stp/>
        <stp>RHO</stp>
        <stp>.SPY161216C210.5</stp>
        <tr r="K780" s="1"/>
      </tp>
      <tp t="s">
        <v>N/A</v>
        <stp/>
        <stp>RHO</stp>
        <stp>.SPY171215C212.5</stp>
        <tr r="K910" s="1"/>
      </tp>
      <tp t="s">
        <v>N/A</v>
        <stp/>
        <stp>RHO</stp>
        <stp>.SPY161216C200.5</stp>
        <tr r="K760" s="1"/>
      </tp>
      <tp t="s">
        <v>N/A</v>
        <stp/>
        <stp>RHO</stp>
        <stp>.SPY171215C202.5</stp>
        <tr r="K890" s="1"/>
      </tp>
      <tp t="s">
        <v>N/A</v>
        <stp/>
        <stp>RHO</stp>
        <stp>.SPY150930C215.5</stp>
        <tr r="K496" s="1"/>
      </tp>
      <tp t="s">
        <v>N/A</v>
        <stp/>
        <stp>RHO</stp>
        <stp>.SPY150930C205.5</stp>
        <tr r="K476" s="1"/>
      </tp>
      <tp t="s">
        <v>N/A</v>
        <stp/>
        <stp>RHO</stp>
        <stp>.SPY160916C210.5</stp>
        <tr r="K738" s="1"/>
      </tp>
      <tp t="s">
        <v>N/A</v>
        <stp/>
        <stp>RHO</stp>
        <stp>.SPY160916C200.5</stp>
        <tr r="K718" s="1"/>
      </tp>
      <tp t="s">
        <v>N/A</v>
        <stp/>
        <stp>RHO</stp>
        <stp>.SPY170317C210.5</stp>
        <tr r="K864" s="1"/>
      </tp>
      <tp t="s">
        <v>N/A</v>
        <stp/>
        <stp>RHO</stp>
        <stp>.SPY170317C200.5</stp>
        <tr r="K844" s="1"/>
      </tp>
      <tp t="s">
        <v>N/A</v>
        <stp/>
        <stp>RHO</stp>
        <stp>.SPY170120C207.5</stp>
        <tr r="K816" s="1"/>
      </tp>
      <tp t="s">
        <v>N/A</v>
        <stp/>
        <stp>RHO</stp>
        <stp>.SPY170120C217.5</stp>
        <tr r="K836" s="1"/>
      </tp>
      <tp t="s">
        <v>N/A</v>
        <stp/>
        <stp>RHO</stp>
        <stp>.SPY160115C213.5</stp>
        <tr r="K618" s="1"/>
      </tp>
      <tp t="s">
        <v>N/A</v>
        <stp/>
        <stp>RHO</stp>
        <stp>.SPY160115C203.5</stp>
        <tr r="K598" s="1"/>
      </tp>
      <tp t="s">
        <v>N/A</v>
        <stp/>
        <stp>RHO</stp>
        <stp>.SPY150717C212.5</stp>
        <tr r="K406" s="1"/>
      </tp>
      <tp t="s">
        <v>N/A</v>
        <stp/>
        <stp>RHO</stp>
        <stp>.SPY150717C202.5</stp>
        <tr r="K386" s="1"/>
      </tp>
      <tp t="s">
        <v>N/A</v>
        <stp/>
        <stp>RHO</stp>
        <stp>.SPY150630C215.5</stp>
        <tr r="K370" s="1"/>
      </tp>
      <tp t="s">
        <v>N/A</v>
        <stp/>
        <stp>RHO</stp>
        <stp>.SPY150630C205.5</stp>
        <tr r="K350" s="1"/>
      </tp>
      <tp t="s">
        <v>N/A</v>
        <stp/>
        <stp>RHO</stp>
        <stp>.SPY160617C211.5</stp>
        <tr r="K698" s="1"/>
      </tp>
      <tp t="s">
        <v>N/A</v>
        <stp/>
        <stp>RHO</stp>
        <stp>.SPY160617C201.5</stp>
        <tr r="K678" s="1"/>
      </tp>
      <tp>
        <v>6.7210000000000006E-2</v>
        <stp/>
        <stp>RHO</stp>
        <stp>.SPY150522C207.5</stp>
        <tr r="K228" s="1"/>
      </tp>
      <tp>
        <v>6.7400000000000003E-3</v>
        <stp/>
        <stp>RHO</stp>
        <stp>.SPY150522C217.5</stp>
        <tr r="K248" s="1"/>
      </tp>
      <tp t="s">
        <v>N/A</v>
        <stp/>
        <stp>RHO</stp>
        <stp>.SPY150501C204.5</stp>
        <tr r="K96" s="1"/>
      </tp>
      <tp>
        <v>3.7269999999999998E-2</v>
        <stp/>
        <stp>RHO</stp>
        <stp>.SPY150515C210.5</stp>
        <tr r="K192" s="1"/>
      </tp>
      <tp t="s">
        <v>N/A</v>
        <stp/>
        <stp>RHO</stp>
        <stp>.SPY150501C214.5</stp>
        <tr r="K116" s="1"/>
      </tp>
      <tp>
        <v>2.7269999999999999E-2</v>
        <stp/>
        <stp>RHO</stp>
        <stp>.SPY150515C200.5</stp>
        <tr r="K172" s="1"/>
      </tp>
      <tp t="s">
        <v>N/A</v>
        <stp/>
        <stp>RHO</stp>
        <stp>.SPY150424C201.5</stp>
        <tr r="K48" s="1"/>
      </tp>
      <tp t="s">
        <v>N/A</v>
        <stp/>
        <stp>RHO</stp>
        <stp>.SPY150424C211.5</stp>
        <tr r="K68" s="1"/>
      </tp>
      <tp t="s">
        <v>N/A</v>
        <stp/>
        <stp>RHO</stp>
        <stp>.SPY150417C212.5</stp>
        <tr r="K28" s="1"/>
      </tp>
      <tp t="s">
        <v>N/A</v>
        <stp/>
        <stp>RHO</stp>
        <stp>.SPY150417C202.5</stp>
        <tr r="K8" s="1"/>
      </tp>
      <tp t="s">
        <v>N/A</v>
        <stp/>
        <stp>BID</stp>
        <stp>.SPY151231P215.5</stp>
        <tr r="N580" s="1"/>
      </tp>
      <tp t="s">
        <v>N/A</v>
        <stp/>
        <stp>BID</stp>
        <stp>.SPY151231P205.5</stp>
        <tr r="N560" s="1"/>
      </tp>
      <tp t="s">
        <v>N/A</v>
        <stp/>
        <stp>BID</stp>
        <stp>.SPY161216P211.5</stp>
        <tr r="N782" s="1"/>
      </tp>
      <tp t="s">
        <v>N/A</v>
        <stp/>
        <stp>BID</stp>
        <stp>.SPY171215P213.5</stp>
        <tr r="N912" s="1"/>
      </tp>
      <tp t="s">
        <v>N/A</v>
        <stp/>
        <stp>BID</stp>
        <stp>.SPY161216P201.5</stp>
        <tr r="N762" s="1"/>
      </tp>
      <tp t="s">
        <v>N/A</v>
        <stp/>
        <stp>BID</stp>
        <stp>.SPY171215P203.5</stp>
        <tr r="N892" s="1"/>
      </tp>
      <tp t="s">
        <v>N/A</v>
        <stp/>
        <stp>BID</stp>
        <stp>.SPY150930P214.5</stp>
        <tr r="N494" s="1"/>
      </tp>
      <tp t="s">
        <v>N/A</v>
        <stp/>
        <stp>BID</stp>
        <stp>.SPY150930P204.5</stp>
        <tr r="N474" s="1"/>
      </tp>
      <tp t="s">
        <v>N/A</v>
        <stp/>
        <stp>BID</stp>
        <stp>.SPY160916P211.5</stp>
        <tr r="N740" s="1"/>
      </tp>
      <tp t="s">
        <v>N/A</v>
        <stp/>
        <stp>BID</stp>
        <stp>.SPY160916P201.5</stp>
        <tr r="N720" s="1"/>
      </tp>
      <tp t="s">
        <v>N/A</v>
        <stp/>
        <stp>BID</stp>
        <stp>.SPY170317P211.5</stp>
        <tr r="N866" s="1"/>
      </tp>
      <tp t="s">
        <v>N/A</v>
        <stp/>
        <stp>BID</stp>
        <stp>.SPY170317P201.5</stp>
        <tr r="N846" s="1"/>
      </tp>
      <tp t="s">
        <v>N/A</v>
        <stp/>
        <stp>BID</stp>
        <stp>.SPY170120P206.5</stp>
        <tr r="N814" s="1"/>
      </tp>
      <tp t="s">
        <v>N/A</v>
        <stp/>
        <stp>BID</stp>
        <stp>.SPY170120P216.5</stp>
        <tr r="N834" s="1"/>
      </tp>
      <tp t="s">
        <v>N/A</v>
        <stp/>
        <stp>BID</stp>
        <stp>.SPY160115P212.5</stp>
        <tr r="N616" s="1"/>
      </tp>
      <tp t="s">
        <v>N/A</v>
        <stp/>
        <stp>BID</stp>
        <stp>.SPY160115P202.5</stp>
        <tr r="N596" s="1"/>
      </tp>
      <tp t="s">
        <v>N/A</v>
        <stp/>
        <stp>BID</stp>
        <stp>.SPY150717P213.5</stp>
        <tr r="N408" s="1"/>
      </tp>
      <tp t="s">
        <v>N/A</v>
        <stp/>
        <stp>BID</stp>
        <stp>.SPY150717P203.5</stp>
        <tr r="N388" s="1"/>
      </tp>
      <tp t="s">
        <v>N/A</v>
        <stp/>
        <stp>BID</stp>
        <stp>.SPY150630P214.5</stp>
        <tr r="N368" s="1"/>
      </tp>
      <tp t="s">
        <v>N/A</v>
        <stp/>
        <stp>BID</stp>
        <stp>.SPY150630P204.5</stp>
        <tr r="N348" s="1"/>
      </tp>
      <tp t="s">
        <v>N/A</v>
        <stp/>
        <stp>BID</stp>
        <stp>.SPY160617P210.5</stp>
        <tr r="N696" s="1"/>
      </tp>
      <tp t="s">
        <v>N/A</v>
        <stp/>
        <stp>BID</stp>
        <stp>.SPY160617P200.5</stp>
        <tr r="N676" s="1"/>
      </tp>
      <tp>
        <v>0.74</v>
        <stp/>
        <stp>BID</stp>
        <stp>.SPY150522P206.5</stp>
        <tr r="N226" s="1"/>
      </tp>
      <tp>
        <v>5.13</v>
        <stp/>
        <stp>BID</stp>
        <stp>.SPY150522P216.5</stp>
        <tr r="N246" s="1"/>
      </tp>
      <tp>
        <v>0</v>
        <stp/>
        <stp>BID</stp>
        <stp>.SPY150501P205.5</stp>
        <tr r="N98" s="1"/>
      </tp>
      <tp>
        <v>1.59</v>
        <stp/>
        <stp>BID</stp>
        <stp>.SPY150515P211.5</stp>
        <tr r="N194" s="1"/>
      </tp>
      <tp>
        <v>4.6399999999999997</v>
        <stp/>
        <stp>BID</stp>
        <stp>.SPY150501P215.5</stp>
        <tr r="N118" s="1"/>
      </tp>
      <tp>
        <v>0.12</v>
        <stp/>
        <stp>BID</stp>
        <stp>.SPY150515P201.5</stp>
        <tr r="N174" s="1"/>
      </tp>
      <tp>
        <v>0</v>
        <stp/>
        <stp>BID</stp>
        <stp>.SPY150424P200.5</stp>
        <tr r="N46" s="1"/>
      </tp>
      <tp>
        <v>0</v>
        <stp/>
        <stp>BID</stp>
        <stp>.SPY150424P210.5</stp>
        <tr r="N66" s="1"/>
      </tp>
      <tp>
        <v>5.25</v>
        <stp/>
        <stp>BID</stp>
        <stp>.SPY150417P213.5</stp>
        <tr r="N30" s="1"/>
      </tp>
      <tp>
        <v>0</v>
        <stp/>
        <stp>BID</stp>
        <stp>.SPY150417P203.5</stp>
        <tr r="N10" s="1"/>
      </tp>
      <tp t="s">
        <v>N/A</v>
        <stp/>
        <stp>RHO</stp>
        <stp>.SPY150930P215.5</stp>
        <tr r="V496" s="1"/>
      </tp>
      <tp t="s">
        <v>N/A</v>
        <stp/>
        <stp>RHO</stp>
        <stp>.SPY150930P205.5</stp>
        <tr r="V476" s="1"/>
      </tp>
      <tp t="s">
        <v>N/A</v>
        <stp/>
        <stp>RHO</stp>
        <stp>.SPY160916P210.5</stp>
        <tr r="V738" s="1"/>
      </tp>
      <tp t="s">
        <v>N/A</v>
        <stp/>
        <stp>RHO</stp>
        <stp>.SPY160916P200.5</stp>
        <tr r="V718" s="1"/>
      </tp>
      <tp t="s">
        <v>N/A</v>
        <stp/>
        <stp>RHO</stp>
        <stp>.SPY170317P210.5</stp>
        <tr r="V864" s="1"/>
      </tp>
      <tp t="s">
        <v>N/A</v>
        <stp/>
        <stp>RHO</stp>
        <stp>.SPY170317P200.5</stp>
        <tr r="V844" s="1"/>
      </tp>
      <tp t="s">
        <v>N/A</v>
        <stp/>
        <stp>RHO</stp>
        <stp>.SPY170120P207.5</stp>
        <tr r="V816" s="1"/>
      </tp>
      <tp t="s">
        <v>N/A</v>
        <stp/>
        <stp>RHO</stp>
        <stp>.SPY170120P217.5</stp>
        <tr r="V836" s="1"/>
      </tp>
      <tp t="s">
        <v>N/A</v>
        <stp/>
        <stp>RHO</stp>
        <stp>.SPY160115P213.5</stp>
        <tr r="V618" s="1"/>
      </tp>
      <tp t="s">
        <v>N/A</v>
        <stp/>
        <stp>RHO</stp>
        <stp>.SPY160115P203.5</stp>
        <tr r="V598" s="1"/>
      </tp>
      <tp t="s">
        <v>N/A</v>
        <stp/>
        <stp>RHO</stp>
        <stp>.SPY150717P212.5</stp>
        <tr r="V406" s="1"/>
      </tp>
      <tp t="s">
        <v>N/A</v>
        <stp/>
        <stp>RHO</stp>
        <stp>.SPY150717P202.5</stp>
        <tr r="V386" s="1"/>
      </tp>
      <tp t="s">
        <v>N/A</v>
        <stp/>
        <stp>RHO</stp>
        <stp>.SPY150630P215.5</stp>
        <tr r="V370" s="1"/>
      </tp>
      <tp t="s">
        <v>N/A</v>
        <stp/>
        <stp>RHO</stp>
        <stp>.SPY150630P205.5</stp>
        <tr r="V350" s="1"/>
      </tp>
      <tp t="s">
        <v>N/A</v>
        <stp/>
        <stp>RHO</stp>
        <stp>.SPY160617P211.5</stp>
        <tr r="V698" s="1"/>
      </tp>
      <tp t="s">
        <v>N/A</v>
        <stp/>
        <stp>RHO</stp>
        <stp>.SPY160617P201.5</stp>
        <tr r="V678" s="1"/>
      </tp>
      <tp>
        <v>-2.8510000000000001E-2</v>
        <stp/>
        <stp>RHO</stp>
        <stp>.SPY150522P207.5</stp>
        <tr r="V228" s="1"/>
      </tp>
      <tp>
        <v>-0.11312999999999999</v>
        <stp/>
        <stp>RHO</stp>
        <stp>.SPY150522P217.5</stp>
        <tr r="V248" s="1"/>
      </tp>
      <tp t="s">
        <v>N/A</v>
        <stp/>
        <stp>RHO</stp>
        <stp>.SPY150501P204.5</stp>
        <tr r="V96" s="1"/>
      </tp>
      <tp>
        <v>-2.9170000000000001E-2</v>
        <stp/>
        <stp>RHO</stp>
        <stp>.SPY150515P210.5</stp>
        <tr r="V192" s="1"/>
      </tp>
      <tp t="s">
        <v>N/A</v>
        <stp/>
        <stp>RHO</stp>
        <stp>.SPY150501P214.5</stp>
        <tr r="V116" s="1"/>
      </tp>
      <tp>
        <v>-2.9099999999999998E-3</v>
        <stp/>
        <stp>RHO</stp>
        <stp>.SPY150515P200.5</stp>
        <tr r="V172" s="1"/>
      </tp>
      <tp t="s">
        <v>N/A</v>
        <stp/>
        <stp>RHO</stp>
        <stp>.SPY150424P201.5</stp>
        <tr r="V48" s="1"/>
      </tp>
      <tp t="s">
        <v>N/A</v>
        <stp/>
        <stp>RHO</stp>
        <stp>.SPY150424P211.5</stp>
        <tr r="V68" s="1"/>
      </tp>
      <tp t="s">
        <v>N/A</v>
        <stp/>
        <stp>RHO</stp>
        <stp>.SPY150417P212.5</stp>
        <tr r="V28" s="1"/>
      </tp>
      <tp t="s">
        <v>N/A</v>
        <stp/>
        <stp>RHO</stp>
        <stp>.SPY150417P202.5</stp>
        <tr r="V8" s="1"/>
      </tp>
      <tp t="s">
        <v>N/A</v>
        <stp/>
        <stp>RHO</stp>
        <stp>.SPY151231P214.5</stp>
        <tr r="V578" s="1"/>
      </tp>
      <tp t="s">
        <v>N/A</v>
        <stp/>
        <stp>RHO</stp>
        <stp>.SPY151231P204.5</stp>
        <tr r="V558" s="1"/>
      </tp>
      <tp t="s">
        <v>N/A</v>
        <stp/>
        <stp>RHO</stp>
        <stp>.SPY161216P210.5</stp>
        <tr r="V780" s="1"/>
      </tp>
      <tp t="s">
        <v>N/A</v>
        <stp/>
        <stp>RHO</stp>
        <stp>.SPY171215P212.5</stp>
        <tr r="V910" s="1"/>
      </tp>
      <tp t="s">
        <v>N/A</v>
        <stp/>
        <stp>RHO</stp>
        <stp>.SPY161216P200.5</stp>
        <tr r="V760" s="1"/>
      </tp>
      <tp t="s">
        <v>N/A</v>
        <stp/>
        <stp>RHO</stp>
        <stp>.SPY171215P202.5</stp>
        <tr r="V890" s="1"/>
      </tp>
      <tp t="s">
        <v>N/A</v>
        <stp/>
        <stp>DELTA</stp>
        <stp>.SPY150918P214.5</stp>
        <tr r="R452" s="1"/>
      </tp>
      <tp t="s">
        <v>N/A</v>
        <stp/>
        <stp>DELTA</stp>
        <stp>.SPY160916P219.5</stp>
        <tr r="R756" s="1"/>
      </tp>
      <tp t="s">
        <v>N/A</v>
        <stp/>
        <stp>DELTA</stp>
        <stp>.SPY150918P204.5</stp>
        <tr r="R432" s="1"/>
      </tp>
      <tp t="s">
        <v>N/A</v>
        <stp/>
        <stp>DELTA</stp>
        <stp>.SPY160916P209.5</stp>
        <tr r="R736" s="1"/>
      </tp>
      <tp t="s">
        <v>N/A</v>
        <stp/>
        <stp>DELTA</stp>
        <stp>.SPY150424P208.5</stp>
        <tr r="R62" s="1"/>
      </tp>
      <tp t="s">
        <v>N/A</v>
        <stp/>
        <stp>DELTA</stp>
        <stp>.SPY150424P218.5</stp>
        <tr r="R82" s="1"/>
      </tp>
      <tp>
        <v>-0.20952000000000001</v>
        <stp/>
        <stp>DELTA</stp>
        <stp>.SPY150529P205.5</stp>
        <tr r="R266" s="1"/>
      </tp>
      <tp>
        <v>-0.84043999999999996</v>
        <stp/>
        <stp>DELTA</stp>
        <stp>.SPY150529P215.5</stp>
        <tr r="R286" s="1"/>
      </tp>
      <tp>
        <v>-3.5400000000000001E-2</v>
        <stp/>
        <stp>DELTA</stp>
        <stp>.SPY150508P204.5</stp>
        <tr r="R138" s="1"/>
      </tp>
      <tp>
        <v>-0.99941999999999998</v>
        <stp/>
        <stp>DELTA</stp>
        <stp>.SPY150515P219.5</stp>
        <tr r="R210" s="1"/>
      </tp>
      <tp>
        <v>-0.96108000000000005</v>
        <stp/>
        <stp>DELTA</stp>
        <stp>.SPY150508P214.5</stp>
        <tr r="R158" s="1"/>
      </tp>
      <tp>
        <v>-0.33215</v>
        <stp/>
        <stp>DELTA</stp>
        <stp>.SPY150515P209.5</stp>
        <tr r="R190" s="1"/>
      </tp>
      <tp t="s">
        <v>N/A</v>
        <stp/>
        <stp>DELTA</stp>
        <stp>.SPY150619P215.5</stp>
        <tr r="R328" s="1"/>
      </tp>
      <tp t="s">
        <v>N/A</v>
        <stp/>
        <stp>DELTA</stp>
        <stp>.SPY160617P218.5</stp>
        <tr r="R712" s="1"/>
      </tp>
      <tp t="s">
        <v>N/A</v>
        <stp/>
        <stp>DELTA</stp>
        <stp>.SPY150619P205.5</stp>
        <tr r="R308" s="1"/>
      </tp>
      <tp t="s">
        <v>N/A</v>
        <stp/>
        <stp>DELTA</stp>
        <stp>.SPY160617P208.5</stp>
        <tr r="R692" s="1"/>
      </tp>
      <tp t="s">
        <v>N/A</v>
        <stp/>
        <stp>DELTA</stp>
        <stp>.SPY160318P217.5</stp>
        <tr r="R668" s="1"/>
      </tp>
      <tp t="s">
        <v>N/A</v>
        <stp/>
        <stp>DELTA</stp>
        <stp>.SPY170317P219.5</stp>
        <tr r="R882" s="1"/>
      </tp>
      <tp t="s">
        <v>N/A</v>
        <stp/>
        <stp>DELTA</stp>
        <stp>.SPY160318P207.5</stp>
        <tr r="R648" s="1"/>
      </tp>
      <tp t="s">
        <v>N/A</v>
        <stp/>
        <stp>DELTA</stp>
        <stp>.SPY170317P209.5</stp>
        <tr r="R862" s="1"/>
      </tp>
      <tp t="s">
        <v>N/A</v>
        <stp/>
        <stp>DELTA</stp>
        <stp>.SPY151219P215.5</stp>
        <tr r="R538" s="1"/>
      </tp>
      <tp t="s">
        <v>N/A</v>
        <stp/>
        <stp>DELTA</stp>
        <stp>.SPY161216P219.5</stp>
        <tr r="R798" s="1"/>
      </tp>
      <tp t="s">
        <v>N/A</v>
        <stp/>
        <stp>DELTA</stp>
        <stp>.SPY151219P205.5</stp>
        <tr r="R518" s="1"/>
      </tp>
      <tp t="s">
        <v>N/A</v>
        <stp/>
        <stp>DELTA</stp>
        <stp>.SPY161216P209.5</stp>
        <tr r="R778" s="1"/>
      </tp>
      <tp t="s">
        <v>N/A</v>
        <stp/>
        <stp>THETA</stp>
        <stp>.SPY151219C205.5</stp>
        <tr r="H518" s="1"/>
      </tp>
      <tp t="s">
        <v>N/A</v>
        <stp/>
        <stp>THETA</stp>
        <stp>.SPY161216C209.5</stp>
        <tr r="H778" s="1"/>
      </tp>
      <tp t="s">
        <v>N/A</v>
        <stp/>
        <stp>THETA</stp>
        <stp>.SPY151219C215.5</stp>
        <tr r="H538" s="1"/>
      </tp>
      <tp t="s">
        <v>N/A</v>
        <stp/>
        <stp>THETA</stp>
        <stp>.SPY161216C219.5</stp>
        <tr r="H798" s="1"/>
      </tp>
      <tp t="s">
        <v>N/A</v>
        <stp/>
        <stp>THETA</stp>
        <stp>.SPY160318C207.5</stp>
        <tr r="H648" s="1"/>
      </tp>
      <tp t="s">
        <v>N/A</v>
        <stp/>
        <stp>THETA</stp>
        <stp>.SPY170317C209.5</stp>
        <tr r="H862" s="1"/>
      </tp>
      <tp t="s">
        <v>N/A</v>
        <stp/>
        <stp>THETA</stp>
        <stp>.SPY160318C217.5</stp>
        <tr r="H668" s="1"/>
      </tp>
      <tp t="s">
        <v>N/A</v>
        <stp/>
        <stp>THETA</stp>
        <stp>.SPY170317C219.5</stp>
        <tr r="H882" s="1"/>
      </tp>
      <tp>
        <v>-2.5860000000000001E-2</v>
        <stp/>
        <stp>THETA</stp>
        <stp>.SPY150529C215.5</stp>
        <tr r="H286" s="1"/>
      </tp>
      <tp>
        <v>-4.088E-2</v>
        <stp/>
        <stp>THETA</stp>
        <stp>.SPY150529C205.5</stp>
        <tr r="H266" s="1"/>
      </tp>
      <tp>
        <v>-2.725E-2</v>
        <stp/>
        <stp>THETA</stp>
        <stp>.SPY150508C214.5</stp>
        <tr r="H158" s="1"/>
      </tp>
      <tp>
        <v>-6.3390000000000002E-2</v>
        <stp/>
        <stp>THETA</stp>
        <stp>.SPY150515C209.5</stp>
        <tr r="H190" s="1"/>
      </tp>
      <tp>
        <v>-3.925E-2</v>
        <stp/>
        <stp>THETA</stp>
        <stp>.SPY150508C204.5</stp>
        <tr r="H138" s="1"/>
      </tp>
      <tp>
        <v>-5.0400000000000002E-3</v>
        <stp/>
        <stp>THETA</stp>
        <stp>.SPY150515C219.5</stp>
        <tr r="H210" s="1"/>
      </tp>
      <tp t="s">
        <v>N/A</v>
        <stp/>
        <stp>THETA</stp>
        <stp>.SPY150424C218.5</stp>
        <tr r="H82" s="1"/>
      </tp>
      <tp t="s">
        <v>N/A</v>
        <stp/>
        <stp>THETA</stp>
        <stp>.SPY150424C208.5</stp>
        <tr r="H62" s="1"/>
      </tp>
      <tp t="s">
        <v>N/A</v>
        <stp/>
        <stp>THETA</stp>
        <stp>.SPY150619C205.5</stp>
        <tr r="H308" s="1"/>
      </tp>
      <tp t="s">
        <v>N/A</v>
        <stp/>
        <stp>THETA</stp>
        <stp>.SPY160617C208.5</stp>
        <tr r="H692" s="1"/>
      </tp>
      <tp t="s">
        <v>N/A</v>
        <stp/>
        <stp>THETA</stp>
        <stp>.SPY150619C215.5</stp>
        <tr r="H328" s="1"/>
      </tp>
      <tp t="s">
        <v>N/A</v>
        <stp/>
        <stp>THETA</stp>
        <stp>.SPY160617C218.5</stp>
        <tr r="H712" s="1"/>
      </tp>
      <tp t="s">
        <v>N/A</v>
        <stp/>
        <stp>THETA</stp>
        <stp>.SPY150918C204.5</stp>
        <tr r="H432" s="1"/>
      </tp>
      <tp t="s">
        <v>N/A</v>
        <stp/>
        <stp>THETA</stp>
        <stp>.SPY160916C209.5</stp>
        <tr r="H736" s="1"/>
      </tp>
      <tp t="s">
        <v>N/A</v>
        <stp/>
        <stp>THETA</stp>
        <stp>.SPY150918C214.5</stp>
        <tr r="H452" s="1"/>
      </tp>
      <tp t="s">
        <v>N/A</v>
        <stp/>
        <stp>THETA</stp>
        <stp>.SPY160916C219.5</stp>
        <tr r="H756" s="1"/>
      </tp>
      <tp t="s">
        <v>N/A</v>
        <stp/>
        <stp>THETA</stp>
        <stp>.SPY160318P207.5</stp>
        <tr r="S648" s="1"/>
      </tp>
      <tp t="s">
        <v>N/A</v>
        <stp/>
        <stp>THETA</stp>
        <stp>.SPY170317P209.5</stp>
        <tr r="S862" s="1"/>
      </tp>
      <tp t="s">
        <v>N/A</v>
        <stp/>
        <stp>THETA</stp>
        <stp>.SPY160318P217.5</stp>
        <tr r="S668" s="1"/>
      </tp>
      <tp t="s">
        <v>N/A</v>
        <stp/>
        <stp>THETA</stp>
        <stp>.SPY170317P219.5</stp>
        <tr r="S882" s="1"/>
      </tp>
      <tp>
        <v>-2.6679999999999999E-2</v>
        <stp/>
        <stp>THETA</stp>
        <stp>.SPY150529P215.5</stp>
        <tr r="S286" s="1"/>
      </tp>
      <tp>
        <v>-4.2529999999999998E-2</v>
        <stp/>
        <stp>THETA</stp>
        <stp>.SPY150529P205.5</stp>
        <tr r="S266" s="1"/>
      </tp>
      <tp>
        <v>-2.4080000000000001E-2</v>
        <stp/>
        <stp>THETA</stp>
        <stp>.SPY150508P214.5</stp>
        <tr r="S158" s="1"/>
      </tp>
      <tp>
        <v>-6.8699999999999997E-2</v>
        <stp/>
        <stp>THETA</stp>
        <stp>.SPY150515P209.5</stp>
        <tr r="S190" s="1"/>
      </tp>
      <tp>
        <v>-3.4160000000000003E-2</v>
        <stp/>
        <stp>THETA</stp>
        <stp>.SPY150508P204.5</stp>
        <tr r="S138" s="1"/>
      </tp>
      <tp>
        <v>-8.6899999999999998E-3</v>
        <stp/>
        <stp>THETA</stp>
        <stp>.SPY150515P219.5</stp>
        <tr r="S210" s="1"/>
      </tp>
      <tp t="s">
        <v>N/A</v>
        <stp/>
        <stp>THETA</stp>
        <stp>.SPY150424P218.5</stp>
        <tr r="S82" s="1"/>
      </tp>
      <tp t="s">
        <v>N/A</v>
        <stp/>
        <stp>THETA</stp>
        <stp>.SPY150424P208.5</stp>
        <tr r="S62" s="1"/>
      </tp>
      <tp t="s">
        <v>N/A</v>
        <stp/>
        <stp>THETA</stp>
        <stp>.SPY150619P205.5</stp>
        <tr r="S308" s="1"/>
      </tp>
      <tp t="s">
        <v>N/A</v>
        <stp/>
        <stp>THETA</stp>
        <stp>.SPY160617P208.5</stp>
        <tr r="S692" s="1"/>
      </tp>
      <tp t="s">
        <v>N/A</v>
        <stp/>
        <stp>THETA</stp>
        <stp>.SPY150619P215.5</stp>
        <tr r="S328" s="1"/>
      </tp>
      <tp t="s">
        <v>N/A</v>
        <stp/>
        <stp>THETA</stp>
        <stp>.SPY160617P218.5</stp>
        <tr r="S712" s="1"/>
      </tp>
      <tp t="s">
        <v>N/A</v>
        <stp/>
        <stp>THETA</stp>
        <stp>.SPY150918P204.5</stp>
        <tr r="S432" s="1"/>
      </tp>
      <tp t="s">
        <v>N/A</v>
        <stp/>
        <stp>THETA</stp>
        <stp>.SPY160916P209.5</stp>
        <tr r="S736" s="1"/>
      </tp>
      <tp t="s">
        <v>N/A</v>
        <stp/>
        <stp>THETA</stp>
        <stp>.SPY150918P214.5</stp>
        <tr r="S452" s="1"/>
      </tp>
      <tp t="s">
        <v>N/A</v>
        <stp/>
        <stp>THETA</stp>
        <stp>.SPY160916P219.5</stp>
        <tr r="S756" s="1"/>
      </tp>
      <tp t="s">
        <v>N/A</v>
        <stp/>
        <stp>THETA</stp>
        <stp>.SPY151219P205.5</stp>
        <tr r="S518" s="1"/>
      </tp>
      <tp t="s">
        <v>N/A</v>
        <stp/>
        <stp>THETA</stp>
        <stp>.SPY161216P209.5</stp>
        <tr r="S778" s="1"/>
      </tp>
      <tp t="s">
        <v>N/A</v>
        <stp/>
        <stp>THETA</stp>
        <stp>.SPY151219P215.5</stp>
        <tr r="S538" s="1"/>
      </tp>
      <tp t="s">
        <v>N/A</v>
        <stp/>
        <stp>THETA</stp>
        <stp>.SPY161216P219.5</stp>
        <tr r="S798" s="1"/>
      </tp>
      <tp t="s">
        <v>N/A</v>
        <stp/>
        <stp>DELTA</stp>
        <stp>.SPY151219C215.5</stp>
        <tr r="G538" s="1"/>
      </tp>
      <tp t="s">
        <v>N/A</v>
        <stp/>
        <stp>DELTA</stp>
        <stp>.SPY161216C219.5</stp>
        <tr r="G798" s="1"/>
      </tp>
      <tp t="s">
        <v>N/A</v>
        <stp/>
        <stp>DELTA</stp>
        <stp>.SPY151219C205.5</stp>
        <tr r="G518" s="1"/>
      </tp>
      <tp t="s">
        <v>N/A</v>
        <stp/>
        <stp>DELTA</stp>
        <stp>.SPY161216C209.5</stp>
        <tr r="G778" s="1"/>
      </tp>
      <tp t="s">
        <v>N/A</v>
        <stp/>
        <stp>DELTA</stp>
        <stp>.SPY150918C214.5</stp>
        <tr r="G452" s="1"/>
      </tp>
      <tp t="s">
        <v>N/A</v>
        <stp/>
        <stp>DELTA</stp>
        <stp>.SPY160916C219.5</stp>
        <tr r="G756" s="1"/>
      </tp>
      <tp t="s">
        <v>N/A</v>
        <stp/>
        <stp>DELTA</stp>
        <stp>.SPY150918C204.5</stp>
        <tr r="G432" s="1"/>
      </tp>
      <tp t="s">
        <v>N/A</v>
        <stp/>
        <stp>DELTA</stp>
        <stp>.SPY160916C209.5</stp>
        <tr r="G736" s="1"/>
      </tp>
      <tp t="s">
        <v>N/A</v>
        <stp/>
        <stp>DELTA</stp>
        <stp>.SPY150424C208.5</stp>
        <tr r="G62" s="1"/>
      </tp>
      <tp t="s">
        <v>N/A</v>
        <stp/>
        <stp>DELTA</stp>
        <stp>.SPY150424C218.5</stp>
        <tr r="G82" s="1"/>
      </tp>
      <tp>
        <v>0.77490000000000003</v>
        <stp/>
        <stp>DELTA</stp>
        <stp>.SPY150529C205.5</stp>
        <tr r="G266" s="1"/>
      </tp>
      <tp>
        <v>0.20594999999999999</v>
        <stp/>
        <stp>DELTA</stp>
        <stp>.SPY150529C215.5</stp>
        <tr r="G286" s="1"/>
      </tp>
      <tp>
        <v>0.95025000000000004</v>
        <stp/>
        <stp>DELTA</stp>
        <stp>.SPY150508C204.5</stp>
        <tr r="G138" s="1"/>
      </tp>
      <tp>
        <v>1.2500000000000001E-2</v>
        <stp/>
        <stp>DELTA</stp>
        <stp>.SPY150515C219.5</stp>
        <tr r="G210" s="1"/>
      </tp>
      <tp>
        <v>6.7580000000000001E-2</v>
        <stp/>
        <stp>DELTA</stp>
        <stp>.SPY150508C214.5</stp>
        <tr r="G158" s="1"/>
      </tp>
      <tp>
        <v>0.66410999999999998</v>
        <stp/>
        <stp>DELTA</stp>
        <stp>.SPY150515C209.5</stp>
        <tr r="G190" s="1"/>
      </tp>
      <tp t="s">
        <v>N/A</v>
        <stp/>
        <stp>DELTA</stp>
        <stp>.SPY150619C215.5</stp>
        <tr r="G328" s="1"/>
      </tp>
      <tp t="s">
        <v>N/A</v>
        <stp/>
        <stp>DELTA</stp>
        <stp>.SPY160617C218.5</stp>
        <tr r="G712" s="1"/>
      </tp>
      <tp t="s">
        <v>N/A</v>
        <stp/>
        <stp>DELTA</stp>
        <stp>.SPY150619C205.5</stp>
        <tr r="G308" s="1"/>
      </tp>
      <tp t="s">
        <v>N/A</v>
        <stp/>
        <stp>DELTA</stp>
        <stp>.SPY160617C208.5</stp>
        <tr r="G692" s="1"/>
      </tp>
      <tp t="s">
        <v>N/A</v>
        <stp/>
        <stp>DELTA</stp>
        <stp>.SPY160318C217.5</stp>
        <tr r="G668" s="1"/>
      </tp>
      <tp t="s">
        <v>N/A</v>
        <stp/>
        <stp>DELTA</stp>
        <stp>.SPY170317C219.5</stp>
        <tr r="G882" s="1"/>
      </tp>
      <tp t="s">
        <v>N/A</v>
        <stp/>
        <stp>DELTA</stp>
        <stp>.SPY160318C207.5</stp>
        <tr r="G648" s="1"/>
      </tp>
      <tp t="s">
        <v>N/A</v>
        <stp/>
        <stp>DELTA</stp>
        <stp>.SPY170317C209.5</stp>
        <tr r="G862" s="1"/>
      </tp>
      <tp t="s">
        <v>N/A</v>
        <stp/>
        <stp>BID</stp>
        <stp>.SPY150930C215.5</stp>
        <tr r="C496" s="1"/>
      </tp>
      <tp t="s">
        <v>N/A</v>
        <stp/>
        <stp>BID</stp>
        <stp>.SPY150930C205.5</stp>
        <tr r="C476" s="1"/>
      </tp>
      <tp t="s">
        <v>N/A</v>
        <stp/>
        <stp>BID</stp>
        <stp>.SPY160916C210.5</stp>
        <tr r="C738" s="1"/>
      </tp>
      <tp t="s">
        <v>N/A</v>
        <stp/>
        <stp>BID</stp>
        <stp>.SPY160916C200.5</stp>
        <tr r="C718" s="1"/>
      </tp>
      <tp t="s">
        <v>N/A</v>
        <stp/>
        <stp>BID</stp>
        <stp>.SPY170317C210.5</stp>
        <tr r="C864" s="1"/>
      </tp>
      <tp t="s">
        <v>N/A</v>
        <stp/>
        <stp>BID</stp>
        <stp>.SPY170317C200.5</stp>
        <tr r="C844" s="1"/>
      </tp>
      <tp t="s">
        <v>N/A</v>
        <stp/>
        <stp>BID</stp>
        <stp>.SPY170120C207.5</stp>
        <tr r="C816" s="1"/>
      </tp>
      <tp t="s">
        <v>N/A</v>
        <stp/>
        <stp>BID</stp>
        <stp>.SPY170120C217.5</stp>
        <tr r="C836" s="1"/>
      </tp>
      <tp t="s">
        <v>N/A</v>
        <stp/>
        <stp>BID</stp>
        <stp>.SPY160115C213.5</stp>
        <tr r="C618" s="1"/>
      </tp>
      <tp t="s">
        <v>N/A</v>
        <stp/>
        <stp>BID</stp>
        <stp>.SPY160115C203.5</stp>
        <tr r="C598" s="1"/>
      </tp>
      <tp t="s">
        <v>N/A</v>
        <stp/>
        <stp>BID</stp>
        <stp>.SPY150717C212.5</stp>
        <tr r="C406" s="1"/>
      </tp>
      <tp t="s">
        <v>N/A</v>
        <stp/>
        <stp>BID</stp>
        <stp>.SPY150717C202.5</stp>
        <tr r="C386" s="1"/>
      </tp>
      <tp t="s">
        <v>N/A</v>
        <stp/>
        <stp>BID</stp>
        <stp>.SPY150630C215.5</stp>
        <tr r="C370" s="1"/>
      </tp>
      <tp t="s">
        <v>N/A</v>
        <stp/>
        <stp>BID</stp>
        <stp>.SPY150630C205.5</stp>
        <tr r="C350" s="1"/>
      </tp>
      <tp t="s">
        <v>N/A</v>
        <stp/>
        <stp>BID</stp>
        <stp>.SPY160617C211.5</stp>
        <tr r="C698" s="1"/>
      </tp>
      <tp t="s">
        <v>N/A</v>
        <stp/>
        <stp>BID</stp>
        <stp>.SPY160617C201.5</stp>
        <tr r="C678" s="1"/>
      </tp>
      <tp>
        <v>4.8099999999999996</v>
        <stp/>
        <stp>BID</stp>
        <stp>.SPY150522C207.5</stp>
        <tr r="C228" s="1"/>
      </tp>
      <tp>
        <v>0.1</v>
        <stp/>
        <stp>BID</stp>
        <stp>.SPY150522C217.5</stp>
        <tr r="C248" s="1"/>
      </tp>
      <tp>
        <v>6.1</v>
        <stp/>
        <stp>BID</stp>
        <stp>.SPY150501C204.5</stp>
        <tr r="C96" s="1"/>
      </tp>
      <tp>
        <v>2.1800000000000002</v>
        <stp/>
        <stp>BID</stp>
        <stp>.SPY150515C210.5</stp>
        <tr r="C192" s="1"/>
      </tp>
      <tp>
        <v>0</v>
        <stp/>
        <stp>BID</stp>
        <stp>.SPY150501C214.5</stp>
        <tr r="C116" s="1"/>
      </tp>
      <tp>
        <v>10.94</v>
        <stp/>
        <stp>BID</stp>
        <stp>.SPY150515C200.5</stp>
        <tr r="C172" s="1"/>
      </tp>
      <tp>
        <v>10.050000000000001</v>
        <stp/>
        <stp>BID</stp>
        <stp>.SPY150424C201.5</stp>
        <tr r="C48" s="1"/>
      </tp>
      <tp>
        <v>0.19</v>
        <stp/>
        <stp>BID</stp>
        <stp>.SPY150424C211.5</stp>
        <tr r="C68" s="1"/>
      </tp>
      <tp>
        <v>0</v>
        <stp/>
        <stp>BID</stp>
        <stp>.SPY150417C212.5</stp>
        <tr r="C28" s="1"/>
      </tp>
      <tp>
        <v>5.49</v>
        <stp/>
        <stp>BID</stp>
        <stp>.SPY150417C202.5</stp>
        <tr r="C8" s="1"/>
      </tp>
      <tp t="s">
        <v>N/A</v>
        <stp/>
        <stp>BID</stp>
        <stp>.SPY151231C214.5</stp>
        <tr r="C578" s="1"/>
      </tp>
      <tp t="s">
        <v>N/A</v>
        <stp/>
        <stp>BID</stp>
        <stp>.SPY151231C204.5</stp>
        <tr r="C558" s="1"/>
      </tp>
      <tp t="s">
        <v>N/A</v>
        <stp/>
        <stp>BID</stp>
        <stp>.SPY161216C210.5</stp>
        <tr r="C780" s="1"/>
      </tp>
      <tp t="s">
        <v>N/A</v>
        <stp/>
        <stp>BID</stp>
        <stp>.SPY171215C212.5</stp>
        <tr r="C910" s="1"/>
      </tp>
      <tp t="s">
        <v>N/A</v>
        <stp/>
        <stp>BID</stp>
        <stp>.SPY161216C200.5</stp>
        <tr r="C760" s="1"/>
      </tp>
      <tp t="s">
        <v>N/A</v>
        <stp/>
        <stp>BID</stp>
        <stp>.SPY171215C202.5</stp>
        <tr r="C890" s="1"/>
      </tp>
      <tp t="s">
        <v>N/A</v>
        <stp/>
        <stp>RHO</stp>
        <stp>.SPY151231C215.5</stp>
        <tr r="K580" s="1"/>
      </tp>
      <tp t="s">
        <v>N/A</v>
        <stp/>
        <stp>RHO</stp>
        <stp>.SPY151231C205.5</stp>
        <tr r="K560" s="1"/>
      </tp>
      <tp t="s">
        <v>N/A</v>
        <stp/>
        <stp>RHO</stp>
        <stp>.SPY161216C211.5</stp>
        <tr r="K782" s="1"/>
      </tp>
      <tp t="s">
        <v>N/A</v>
        <stp/>
        <stp>RHO</stp>
        <stp>.SPY171215C213.5</stp>
        <tr r="K912" s="1"/>
      </tp>
      <tp t="s">
        <v>N/A</v>
        <stp/>
        <stp>RHO</stp>
        <stp>.SPY161216C201.5</stp>
        <tr r="K762" s="1"/>
      </tp>
      <tp t="s">
        <v>N/A</v>
        <stp/>
        <stp>RHO</stp>
        <stp>.SPY171215C203.5</stp>
        <tr r="K892" s="1"/>
      </tp>
      <tp t="s">
        <v>N/A</v>
        <stp/>
        <stp>RHO</stp>
        <stp>.SPY150930C214.5</stp>
        <tr r="K494" s="1"/>
      </tp>
      <tp t="s">
        <v>N/A</v>
        <stp/>
        <stp>RHO</stp>
        <stp>.SPY150930C204.5</stp>
        <tr r="K474" s="1"/>
      </tp>
      <tp t="s">
        <v>N/A</v>
        <stp/>
        <stp>RHO</stp>
        <stp>.SPY160916C211.5</stp>
        <tr r="K740" s="1"/>
      </tp>
      <tp t="s">
        <v>N/A</v>
        <stp/>
        <stp>RHO</stp>
        <stp>.SPY160916C201.5</stp>
        <tr r="K720" s="1"/>
      </tp>
      <tp t="s">
        <v>N/A</v>
        <stp/>
        <stp>RHO</stp>
        <stp>.SPY170317C211.5</stp>
        <tr r="K866" s="1"/>
      </tp>
      <tp t="s">
        <v>N/A</v>
        <stp/>
        <stp>RHO</stp>
        <stp>.SPY170317C201.5</stp>
        <tr r="K846" s="1"/>
      </tp>
      <tp t="s">
        <v>N/A</v>
        <stp/>
        <stp>RHO</stp>
        <stp>.SPY170120C206.5</stp>
        <tr r="K814" s="1"/>
      </tp>
      <tp t="s">
        <v>N/A</v>
        <stp/>
        <stp>RHO</stp>
        <stp>.SPY170120C216.5</stp>
        <tr r="K834" s="1"/>
      </tp>
      <tp t="s">
        <v>N/A</v>
        <stp/>
        <stp>RHO</stp>
        <stp>.SPY160115C212.5</stp>
        <tr r="K616" s="1"/>
      </tp>
      <tp t="s">
        <v>N/A</v>
        <stp/>
        <stp>RHO</stp>
        <stp>.SPY160115C202.5</stp>
        <tr r="K596" s="1"/>
      </tp>
      <tp t="s">
        <v>N/A</v>
        <stp/>
        <stp>RHO</stp>
        <stp>.SPY150717C213.5</stp>
        <tr r="K408" s="1"/>
      </tp>
      <tp t="s">
        <v>N/A</v>
        <stp/>
        <stp>RHO</stp>
        <stp>.SPY150717C203.5</stp>
        <tr r="K388" s="1"/>
      </tp>
      <tp t="s">
        <v>N/A</v>
        <stp/>
        <stp>RHO</stp>
        <stp>.SPY150630C214.5</stp>
        <tr r="K368" s="1"/>
      </tp>
      <tp t="s">
        <v>N/A</v>
        <stp/>
        <stp>RHO</stp>
        <stp>.SPY150630C204.5</stp>
        <tr r="K348" s="1"/>
      </tp>
      <tp t="s">
        <v>N/A</v>
        <stp/>
        <stp>RHO</stp>
        <stp>.SPY160617C210.5</stp>
        <tr r="K696" s="1"/>
      </tp>
      <tp t="s">
        <v>N/A</v>
        <stp/>
        <stp>RHO</stp>
        <stp>.SPY160617C200.5</stp>
        <tr r="K676" s="1"/>
      </tp>
      <tp>
        <v>6.8089999999999998E-2</v>
        <stp/>
        <stp>RHO</stp>
        <stp>.SPY150522C206.5</stp>
        <tr r="K226" s="1"/>
      </tp>
      <tp>
        <v>1.1140000000000001E-2</v>
        <stp/>
        <stp>RHO</stp>
        <stp>.SPY150522C216.5</stp>
        <tr r="K246" s="1"/>
      </tp>
      <tp t="s">
        <v>N/A</v>
        <stp/>
        <stp>RHO</stp>
        <stp>.SPY150501C205.5</stp>
        <tr r="K98" s="1"/>
      </tp>
      <tp>
        <v>3.2210000000000003E-2</v>
        <stp/>
        <stp>RHO</stp>
        <stp>.SPY150515C211.5</stp>
        <tr r="K194" s="1"/>
      </tp>
      <tp t="s">
        <v>N/A</v>
        <stp/>
        <stp>RHO</stp>
        <stp>.SPY150501C215.5</stp>
        <tr r="K118" s="1"/>
      </tp>
      <tp>
        <v>2.947E-2</v>
        <stp/>
        <stp>RHO</stp>
        <stp>.SPY150515C201.5</stp>
        <tr r="K174" s="1"/>
      </tp>
      <tp t="s">
        <v>N/A</v>
        <stp/>
        <stp>RHO</stp>
        <stp>.SPY150424C200.5</stp>
        <tr r="K46" s="1"/>
      </tp>
      <tp t="s">
        <v>N/A</v>
        <stp/>
        <stp>RHO</stp>
        <stp>.SPY150424C210.5</stp>
        <tr r="K66" s="1"/>
      </tp>
      <tp t="s">
        <v>N/A</v>
        <stp/>
        <stp>RHO</stp>
        <stp>.SPY150417C213.5</stp>
        <tr r="K30" s="1"/>
      </tp>
      <tp t="s">
        <v>N/A</v>
        <stp/>
        <stp>RHO</stp>
        <stp>.SPY150417C203.5</stp>
        <tr r="K10" s="1"/>
      </tp>
      <tp t="s">
        <v>N/A</v>
        <stp/>
        <stp>BID</stp>
        <stp>.SPY151231P214.5</stp>
        <tr r="N578" s="1"/>
      </tp>
      <tp t="s">
        <v>N/A</v>
        <stp/>
        <stp>BID</stp>
        <stp>.SPY151231P204.5</stp>
        <tr r="N558" s="1"/>
      </tp>
      <tp t="s">
        <v>N/A</v>
        <stp/>
        <stp>BID</stp>
        <stp>.SPY161216P210.5</stp>
        <tr r="N780" s="1"/>
      </tp>
      <tp t="s">
        <v>N/A</v>
        <stp/>
        <stp>BID</stp>
        <stp>.SPY171215P212.5</stp>
        <tr r="N910" s="1"/>
      </tp>
      <tp t="s">
        <v>N/A</v>
        <stp/>
        <stp>BID</stp>
        <stp>.SPY161216P200.5</stp>
        <tr r="N760" s="1"/>
      </tp>
      <tp t="s">
        <v>N/A</v>
        <stp/>
        <stp>BID</stp>
        <stp>.SPY171215P202.5</stp>
        <tr r="N890" s="1"/>
      </tp>
      <tp t="s">
        <v>N/A</v>
        <stp/>
        <stp>BID</stp>
        <stp>.SPY150930P215.5</stp>
        <tr r="N496" s="1"/>
      </tp>
      <tp t="s">
        <v>N/A</v>
        <stp/>
        <stp>BID</stp>
        <stp>.SPY150930P205.5</stp>
        <tr r="N476" s="1"/>
      </tp>
      <tp t="s">
        <v>N/A</v>
        <stp/>
        <stp>BID</stp>
        <stp>.SPY160916P210.5</stp>
        <tr r="N738" s="1"/>
      </tp>
      <tp t="s">
        <v>N/A</v>
        <stp/>
        <stp>BID</stp>
        <stp>.SPY160916P200.5</stp>
        <tr r="N718" s="1"/>
      </tp>
      <tp t="s">
        <v>N/A</v>
        <stp/>
        <stp>BID</stp>
        <stp>.SPY170317P210.5</stp>
        <tr r="N864" s="1"/>
      </tp>
      <tp t="s">
        <v>N/A</v>
        <stp/>
        <stp>BID</stp>
        <stp>.SPY170317P200.5</stp>
        <tr r="N844" s="1"/>
      </tp>
      <tp t="s">
        <v>N/A</v>
        <stp/>
        <stp>BID</stp>
        <stp>.SPY170120P207.5</stp>
        <tr r="N816" s="1"/>
      </tp>
      <tp t="s">
        <v>N/A</v>
        <stp/>
        <stp>BID</stp>
        <stp>.SPY170120P217.5</stp>
        <tr r="N836" s="1"/>
      </tp>
      <tp t="s">
        <v>N/A</v>
        <stp/>
        <stp>BID</stp>
        <stp>.SPY160115P213.5</stp>
        <tr r="N618" s="1"/>
      </tp>
      <tp t="s">
        <v>N/A</v>
        <stp/>
        <stp>BID</stp>
        <stp>.SPY160115P203.5</stp>
        <tr r="N598" s="1"/>
      </tp>
      <tp t="s">
        <v>N/A</v>
        <stp/>
        <stp>BID</stp>
        <stp>.SPY150717P212.5</stp>
        <tr r="N406" s="1"/>
      </tp>
      <tp t="s">
        <v>N/A</v>
        <stp/>
        <stp>BID</stp>
        <stp>.SPY150717P202.5</stp>
        <tr r="N386" s="1"/>
      </tp>
      <tp t="s">
        <v>N/A</v>
        <stp/>
        <stp>BID</stp>
        <stp>.SPY150630P215.5</stp>
        <tr r="N370" s="1"/>
      </tp>
      <tp t="s">
        <v>N/A</v>
        <stp/>
        <stp>BID</stp>
        <stp>.SPY150630P205.5</stp>
        <tr r="N350" s="1"/>
      </tp>
      <tp t="s">
        <v>N/A</v>
        <stp/>
        <stp>BID</stp>
        <stp>.SPY160617P211.5</stp>
        <tr r="N698" s="1"/>
      </tp>
      <tp t="s">
        <v>N/A</v>
        <stp/>
        <stp>BID</stp>
        <stp>.SPY160617P201.5</stp>
        <tr r="N678" s="1"/>
      </tp>
      <tp>
        <v>0.91</v>
        <stp/>
        <stp>BID</stp>
        <stp>.SPY150522P207.5</stp>
        <tr r="N228" s="1"/>
      </tp>
      <tp>
        <v>6.01</v>
        <stp/>
        <stp>BID</stp>
        <stp>.SPY150522P217.5</stp>
        <tr r="N248" s="1"/>
      </tp>
      <tp>
        <v>0</v>
        <stp/>
        <stp>BID</stp>
        <stp>.SPY150501P204.5</stp>
        <tr r="N96" s="1"/>
      </tp>
      <tp>
        <v>1.24</v>
        <stp/>
        <stp>BID</stp>
        <stp>.SPY150515P210.5</stp>
        <tr r="N192" s="1"/>
      </tp>
      <tp>
        <v>3.64</v>
        <stp/>
        <stp>BID</stp>
        <stp>.SPY150501P214.5</stp>
        <tr r="N116" s="1"/>
      </tp>
      <tp>
        <v>0.1</v>
        <stp/>
        <stp>BID</stp>
        <stp>.SPY150515P200.5</stp>
        <tr r="N172" s="1"/>
      </tp>
      <tp>
        <v>0</v>
        <stp/>
        <stp>BID</stp>
        <stp>.SPY150424P201.5</stp>
        <tr r="N48" s="1"/>
      </tp>
      <tp>
        <v>0</v>
        <stp/>
        <stp>BID</stp>
        <stp>.SPY150424P211.5</stp>
        <tr r="N68" s="1"/>
      </tp>
      <tp>
        <v>4.26</v>
        <stp/>
        <stp>BID</stp>
        <stp>.SPY150417P212.5</stp>
        <tr r="N28" s="1"/>
      </tp>
      <tp>
        <v>0</v>
        <stp/>
        <stp>BID</stp>
        <stp>.SPY150417P202.5</stp>
        <tr r="N8" s="1"/>
      </tp>
      <tp t="s">
        <v>N/A</v>
        <stp/>
        <stp>RHO</stp>
        <stp>.SPY150930P214.5</stp>
        <tr r="V494" s="1"/>
      </tp>
      <tp t="s">
        <v>N/A</v>
        <stp/>
        <stp>RHO</stp>
        <stp>.SPY150930P204.5</stp>
        <tr r="V474" s="1"/>
      </tp>
      <tp t="s">
        <v>N/A</v>
        <stp/>
        <stp>RHO</stp>
        <stp>.SPY160916P211.5</stp>
        <tr r="V740" s="1"/>
      </tp>
      <tp t="s">
        <v>N/A</v>
        <stp/>
        <stp>RHO</stp>
        <stp>.SPY160916P201.5</stp>
        <tr r="V720" s="1"/>
      </tp>
      <tp t="s">
        <v>N/A</v>
        <stp/>
        <stp>RHO</stp>
        <stp>.SPY170317P211.5</stp>
        <tr r="V866" s="1"/>
      </tp>
      <tp t="s">
        <v>N/A</v>
        <stp/>
        <stp>RHO</stp>
        <stp>.SPY170317P201.5</stp>
        <tr r="V846" s="1"/>
      </tp>
      <tp t="s">
        <v>N/A</v>
        <stp/>
        <stp>RHO</stp>
        <stp>.SPY170120P206.5</stp>
        <tr r="V814" s="1"/>
      </tp>
      <tp t="s">
        <v>N/A</v>
        <stp/>
        <stp>RHO</stp>
        <stp>.SPY170120P216.5</stp>
        <tr r="V834" s="1"/>
      </tp>
      <tp t="s">
        <v>N/A</v>
        <stp/>
        <stp>RHO</stp>
        <stp>.SPY160115P212.5</stp>
        <tr r="V616" s="1"/>
      </tp>
      <tp t="s">
        <v>N/A</v>
        <stp/>
        <stp>RHO</stp>
        <stp>.SPY160115P202.5</stp>
        <tr r="V596" s="1"/>
      </tp>
      <tp t="s">
        <v>N/A</v>
        <stp/>
        <stp>RHO</stp>
        <stp>.SPY150717P213.5</stp>
        <tr r="V408" s="1"/>
      </tp>
      <tp t="s">
        <v>N/A</v>
        <stp/>
        <stp>RHO</stp>
        <stp>.SPY150717P203.5</stp>
        <tr r="V388" s="1"/>
      </tp>
      <tp t="s">
        <v>N/A</v>
        <stp/>
        <stp>RHO</stp>
        <stp>.SPY150630P214.5</stp>
        <tr r="V368" s="1"/>
      </tp>
      <tp t="s">
        <v>N/A</v>
        <stp/>
        <stp>RHO</stp>
        <stp>.SPY150630P204.5</stp>
        <tr r="V348" s="1"/>
      </tp>
      <tp t="s">
        <v>N/A</v>
        <stp/>
        <stp>RHO</stp>
        <stp>.SPY160617P210.5</stp>
        <tr r="V696" s="1"/>
      </tp>
      <tp t="s">
        <v>N/A</v>
        <stp/>
        <stp>RHO</stp>
        <stp>.SPY160617P200.5</stp>
        <tr r="V676" s="1"/>
      </tp>
      <tp>
        <v>-2.368E-2</v>
        <stp/>
        <stp>RHO</stp>
        <stp>.SPY150522P206.5</stp>
        <tr r="V226" s="1"/>
      </tp>
      <tp>
        <v>-0.10944</v>
        <stp/>
        <stp>RHO</stp>
        <stp>.SPY150522P216.5</stp>
        <tr r="V246" s="1"/>
      </tp>
      <tp t="s">
        <v>N/A</v>
        <stp/>
        <stp>RHO</stp>
        <stp>.SPY150501P205.5</stp>
        <tr r="V98" s="1"/>
      </tp>
      <tp>
        <v>-3.601E-2</v>
        <stp/>
        <stp>RHO</stp>
        <stp>.SPY150515P211.5</stp>
        <tr r="V194" s="1"/>
      </tp>
      <tp t="s">
        <v>N/A</v>
        <stp/>
        <stp>RHO</stp>
        <stp>.SPY150501P215.5</stp>
        <tr r="V118" s="1"/>
      </tp>
      <tp>
        <v>-3.5000000000000001E-3</v>
        <stp/>
        <stp>RHO</stp>
        <stp>.SPY150515P201.5</stp>
        <tr r="V174" s="1"/>
      </tp>
      <tp t="s">
        <v>N/A</v>
        <stp/>
        <stp>RHO</stp>
        <stp>.SPY150424P200.5</stp>
        <tr r="V46" s="1"/>
      </tp>
      <tp t="s">
        <v>N/A</v>
        <stp/>
        <stp>RHO</stp>
        <stp>.SPY150424P210.5</stp>
        <tr r="V66" s="1"/>
      </tp>
      <tp t="s">
        <v>N/A</v>
        <stp/>
        <stp>RHO</stp>
        <stp>.SPY150417P213.5</stp>
        <tr r="V30" s="1"/>
      </tp>
      <tp t="s">
        <v>N/A</v>
        <stp/>
        <stp>RHO</stp>
        <stp>.SPY150417P203.5</stp>
        <tr r="V10" s="1"/>
      </tp>
      <tp t="s">
        <v>N/A</v>
        <stp/>
        <stp>RHO</stp>
        <stp>.SPY151231P215.5</stp>
        <tr r="V580" s="1"/>
      </tp>
      <tp t="s">
        <v>N/A</v>
        <stp/>
        <stp>RHO</stp>
        <stp>.SPY151231P205.5</stp>
        <tr r="V560" s="1"/>
      </tp>
      <tp t="s">
        <v>N/A</v>
        <stp/>
        <stp>RHO</stp>
        <stp>.SPY161216P211.5</stp>
        <tr r="V782" s="1"/>
      </tp>
      <tp t="s">
        <v>N/A</v>
        <stp/>
        <stp>RHO</stp>
        <stp>.SPY171215P213.5</stp>
        <tr r="V912" s="1"/>
      </tp>
      <tp t="s">
        <v>N/A</v>
        <stp/>
        <stp>RHO</stp>
        <stp>.SPY161216P201.5</stp>
        <tr r="V762" s="1"/>
      </tp>
      <tp t="s">
        <v>N/A</v>
        <stp/>
        <stp>RHO</stp>
        <stp>.SPY171215P203.5</stp>
        <tr r="V892" s="1"/>
      </tp>
      <tp t="s">
        <v>N/A</v>
        <stp/>
        <stp>DELTA</stp>
        <stp>.SPY150918P217.5</stp>
        <tr r="R458" s="1"/>
      </tp>
      <tp t="s">
        <v>N/A</v>
        <stp/>
        <stp>DELTA</stp>
        <stp>.SPY150918P207.5</stp>
        <tr r="R438" s="1"/>
      </tp>
      <tp t="s">
        <v>N/A</v>
        <stp/>
        <stp>DELTA</stp>
        <stp>.SPY150417P218.5</stp>
        <tr r="R40" s="1"/>
      </tp>
      <tp t="s">
        <v>N/A</v>
        <stp/>
        <stp>DELTA</stp>
        <stp>.SPY150417P208.5</stp>
        <tr r="R20" s="1"/>
      </tp>
      <tp>
        <v>-0.24496999999999999</v>
        <stp/>
        <stp>DELTA</stp>
        <stp>.SPY150529P206.5</stp>
        <tr r="R268" s="1"/>
      </tp>
      <tp>
        <v>-0.92412000000000005</v>
        <stp/>
        <stp>DELTA</stp>
        <stp>.SPY150529P216.5</stp>
        <tr r="R288" s="1"/>
      </tp>
      <tp>
        <v>-0.11576</v>
        <stp/>
        <stp>DELTA</stp>
        <stp>.SPY150508P207.5</stp>
        <tr r="R144" s="1"/>
      </tp>
      <tp>
        <v>-0.99975999999999998</v>
        <stp/>
        <stp>DELTA</stp>
        <stp>.SPY150508P217.5</stp>
        <tr r="R164" s="1"/>
      </tp>
      <tp t="s">
        <v>N/A</v>
        <stp/>
        <stp>DELTA</stp>
        <stp>.SPY150619P216.5</stp>
        <tr r="R330" s="1"/>
      </tp>
      <tp t="s">
        <v>N/A</v>
        <stp/>
        <stp>DELTA</stp>
        <stp>.SPY150619P206.5</stp>
        <tr r="R310" s="1"/>
      </tp>
      <tp t="s">
        <v>N/A</v>
        <stp/>
        <stp>DELTA</stp>
        <stp>.SPY150717P218.5</stp>
        <tr r="R418" s="1"/>
      </tp>
      <tp t="s">
        <v>N/A</v>
        <stp/>
        <stp>DELTA</stp>
        <stp>.SPY150717P208.5</stp>
        <tr r="R398" s="1"/>
      </tp>
      <tp t="s">
        <v>N/A</v>
        <stp/>
        <stp>DELTA</stp>
        <stp>.SPY160115P219.5</stp>
        <tr r="R630" s="1"/>
      </tp>
      <tp t="s">
        <v>N/A</v>
        <stp/>
        <stp>DELTA</stp>
        <stp>.SPY160115P209.5</stp>
        <tr r="R610" s="1"/>
      </tp>
      <tp t="s">
        <v>N/A</v>
        <stp/>
        <stp>DELTA</stp>
        <stp>.SPY160318P214.5</stp>
        <tr r="R662" s="1"/>
      </tp>
      <tp t="s">
        <v>N/A</v>
        <stp/>
        <stp>DELTA</stp>
        <stp>.SPY160318P204.5</stp>
        <tr r="R642" s="1"/>
      </tp>
      <tp t="s">
        <v>N/A</v>
        <stp/>
        <stp>DELTA</stp>
        <stp>.SPY151219P216.5</stp>
        <tr r="R540" s="1"/>
      </tp>
      <tp t="s">
        <v>N/A</v>
        <stp/>
        <stp>DELTA</stp>
        <stp>.SPY171215P218.5</stp>
        <tr r="R922" s="1"/>
      </tp>
      <tp t="s">
        <v>N/A</v>
        <stp/>
        <stp>DELTA</stp>
        <stp>.SPY151219P206.5</stp>
        <tr r="R520" s="1"/>
      </tp>
      <tp t="s">
        <v>N/A</v>
        <stp/>
        <stp>DELTA</stp>
        <stp>.SPY171215P208.5</stp>
        <tr r="R902" s="1"/>
      </tp>
      <tp t="s">
        <v>N/A</v>
        <stp/>
        <stp>THETA</stp>
        <stp>.SPY151219C206.5</stp>
        <tr r="H520" s="1"/>
      </tp>
      <tp t="s">
        <v>N/A</v>
        <stp/>
        <stp>THETA</stp>
        <stp>.SPY171215C208.5</stp>
        <tr r="H902" s="1"/>
      </tp>
      <tp t="s">
        <v>N/A</v>
        <stp/>
        <stp>THETA</stp>
        <stp>.SPY151219C216.5</stp>
        <tr r="H540" s="1"/>
      </tp>
      <tp t="s">
        <v>N/A</v>
        <stp/>
        <stp>THETA</stp>
        <stp>.SPY171215C218.5</stp>
        <tr r="H922" s="1"/>
      </tp>
      <tp t="s">
        <v>N/A</v>
        <stp/>
        <stp>THETA</stp>
        <stp>.SPY160115C209.5</stp>
        <tr r="H610" s="1"/>
      </tp>
      <tp t="s">
        <v>N/A</v>
        <stp/>
        <stp>THETA</stp>
        <stp>.SPY160115C219.5</stp>
        <tr r="H630" s="1"/>
      </tp>
      <tp t="s">
        <v>N/A</v>
        <stp/>
        <stp>THETA</stp>
        <stp>.SPY160318C204.5</stp>
        <tr r="H642" s="1"/>
      </tp>
      <tp t="s">
        <v>N/A</v>
        <stp/>
        <stp>THETA</stp>
        <stp>.SPY160318C214.5</stp>
        <tr r="H662" s="1"/>
      </tp>
      <tp>
        <v>-1.992E-2</v>
        <stp/>
        <stp>THETA</stp>
        <stp>.SPY150529C216.5</stp>
        <tr r="H288" s="1"/>
      </tp>
      <tp>
        <v>-4.2709999999999998E-2</v>
        <stp/>
        <stp>THETA</stp>
        <stp>.SPY150529C206.5</stp>
        <tr r="H268" s="1"/>
      </tp>
      <tp>
        <v>-5.4200000000000003E-3</v>
        <stp/>
        <stp>THETA</stp>
        <stp>.SPY150508C217.5</stp>
        <tr r="H164" s="1"/>
      </tp>
      <tp>
        <v>-5.7090000000000002E-2</v>
        <stp/>
        <stp>THETA</stp>
        <stp>.SPY150508C207.5</stp>
        <tr r="H144" s="1"/>
      </tp>
      <tp t="s">
        <v>N/A</v>
        <stp/>
        <stp>THETA</stp>
        <stp>.SPY150417C208.5</stp>
        <tr r="H20" s="1"/>
      </tp>
      <tp t="s">
        <v>N/A</v>
        <stp/>
        <stp>THETA</stp>
        <stp>.SPY150417C218.5</stp>
        <tr r="H40" s="1"/>
      </tp>
      <tp t="s">
        <v>N/A</v>
        <stp/>
        <stp>THETA</stp>
        <stp>.SPY150717C208.5</stp>
        <tr r="H398" s="1"/>
      </tp>
      <tp t="s">
        <v>N/A</v>
        <stp/>
        <stp>THETA</stp>
        <stp>.SPY150717C218.5</stp>
        <tr r="H418" s="1"/>
      </tp>
      <tp t="s">
        <v>N/A</v>
        <stp/>
        <stp>THETA</stp>
        <stp>.SPY150619C206.5</stp>
        <tr r="H310" s="1"/>
      </tp>
      <tp t="s">
        <v>N/A</v>
        <stp/>
        <stp>THETA</stp>
        <stp>.SPY150619C216.5</stp>
        <tr r="H330" s="1"/>
      </tp>
      <tp t="s">
        <v>N/A</v>
        <stp/>
        <stp>THETA</stp>
        <stp>.SPY150918C207.5</stp>
        <tr r="H438" s="1"/>
      </tp>
      <tp t="s">
        <v>N/A</v>
        <stp/>
        <stp>THETA</stp>
        <stp>.SPY150918C217.5</stp>
        <tr r="H458" s="1"/>
      </tp>
      <tp t="s">
        <v>N/A</v>
        <stp/>
        <stp>THETA</stp>
        <stp>.SPY160115P209.5</stp>
        <tr r="S610" s="1"/>
      </tp>
      <tp t="s">
        <v>N/A</v>
        <stp/>
        <stp>THETA</stp>
        <stp>.SPY160115P219.5</stp>
        <tr r="S630" s="1"/>
      </tp>
      <tp t="s">
        <v>N/A</v>
        <stp/>
        <stp>THETA</stp>
        <stp>.SPY160318P204.5</stp>
        <tr r="S642" s="1"/>
      </tp>
      <tp t="s">
        <v>N/A</v>
        <stp/>
        <stp>THETA</stp>
        <stp>.SPY160318P214.5</stp>
        <tr r="S662" s="1"/>
      </tp>
      <tp>
        <v>-1.7829999999999999E-2</v>
        <stp/>
        <stp>THETA</stp>
        <stp>.SPY150529P216.5</stp>
        <tr r="S288" s="1"/>
      </tp>
      <tp>
        <v>-4.5060000000000003E-2</v>
        <stp/>
        <stp>THETA</stp>
        <stp>.SPY150529P206.5</stp>
        <tr r="S268" s="1"/>
      </tp>
      <tp>
        <v>-8.7100000000000007E-3</v>
        <stp/>
        <stp>THETA</stp>
        <stp>.SPY150508P217.5</stp>
        <tr r="S164" s="1"/>
      </tp>
      <tp>
        <v>-6.7280000000000006E-2</v>
        <stp/>
        <stp>THETA</stp>
        <stp>.SPY150508P207.5</stp>
        <tr r="S144" s="1"/>
      </tp>
      <tp t="s">
        <v>N/A</v>
        <stp/>
        <stp>THETA</stp>
        <stp>.SPY150417P208.5</stp>
        <tr r="S20" s="1"/>
      </tp>
      <tp t="s">
        <v>N/A</v>
        <stp/>
        <stp>THETA</stp>
        <stp>.SPY150417P218.5</stp>
        <tr r="S40" s="1"/>
      </tp>
      <tp t="s">
        <v>N/A</v>
        <stp/>
        <stp>THETA</stp>
        <stp>.SPY150717P208.5</stp>
        <tr r="S398" s="1"/>
      </tp>
      <tp t="s">
        <v>N/A</v>
        <stp/>
        <stp>THETA</stp>
        <stp>.SPY150717P218.5</stp>
        <tr r="S418" s="1"/>
      </tp>
      <tp t="s">
        <v>N/A</v>
        <stp/>
        <stp>THETA</stp>
        <stp>.SPY150619P206.5</stp>
        <tr r="S310" s="1"/>
      </tp>
      <tp t="s">
        <v>N/A</v>
        <stp/>
        <stp>THETA</stp>
        <stp>.SPY150619P216.5</stp>
        <tr r="S330" s="1"/>
      </tp>
      <tp t="s">
        <v>N/A</v>
        <stp/>
        <stp>THETA</stp>
        <stp>.SPY150918P207.5</stp>
        <tr r="S438" s="1"/>
      </tp>
      <tp t="s">
        <v>N/A</v>
        <stp/>
        <stp>THETA</stp>
        <stp>.SPY150918P217.5</stp>
        <tr r="S458" s="1"/>
      </tp>
      <tp t="s">
        <v>N/A</v>
        <stp/>
        <stp>THETA</stp>
        <stp>.SPY151219P206.5</stp>
        <tr r="S520" s="1"/>
      </tp>
      <tp t="s">
        <v>N/A</v>
        <stp/>
        <stp>THETA</stp>
        <stp>.SPY171215P208.5</stp>
        <tr r="S902" s="1"/>
      </tp>
      <tp t="s">
        <v>N/A</v>
        <stp/>
        <stp>THETA</stp>
        <stp>.SPY151219P216.5</stp>
        <tr r="S540" s="1"/>
      </tp>
      <tp t="s">
        <v>N/A</v>
        <stp/>
        <stp>THETA</stp>
        <stp>.SPY171215P218.5</stp>
        <tr r="S922" s="1"/>
      </tp>
      <tp t="s">
        <v>N/A</v>
        <stp/>
        <stp>DELTA</stp>
        <stp>.SPY151219C216.5</stp>
        <tr r="G540" s="1"/>
      </tp>
      <tp t="s">
        <v>N/A</v>
        <stp/>
        <stp>DELTA</stp>
        <stp>.SPY171215C218.5</stp>
        <tr r="G922" s="1"/>
      </tp>
      <tp t="s">
        <v>N/A</v>
        <stp/>
        <stp>DELTA</stp>
        <stp>.SPY151219C206.5</stp>
        <tr r="G520" s="1"/>
      </tp>
      <tp t="s">
        <v>N/A</v>
        <stp/>
        <stp>DELTA</stp>
        <stp>.SPY171215C208.5</stp>
        <tr r="G902" s="1"/>
      </tp>
      <tp t="s">
        <v>N/A</v>
        <stp/>
        <stp>DELTA</stp>
        <stp>.SPY150918C217.5</stp>
        <tr r="G458" s="1"/>
      </tp>
      <tp t="s">
        <v>N/A</v>
        <stp/>
        <stp>DELTA</stp>
        <stp>.SPY150918C207.5</stp>
        <tr r="G438" s="1"/>
      </tp>
      <tp t="s">
        <v>N/A</v>
        <stp/>
        <stp>DELTA</stp>
        <stp>.SPY150417C218.5</stp>
        <tr r="G40" s="1"/>
      </tp>
      <tp t="s">
        <v>N/A</v>
        <stp/>
        <stp>DELTA</stp>
        <stp>.SPY150417C208.5</stp>
        <tr r="G20" s="1"/>
      </tp>
      <tp>
        <v>0.74123000000000006</v>
        <stp/>
        <stp>DELTA</stp>
        <stp>.SPY150529C206.5</stp>
        <tr r="G268" s="1"/>
      </tp>
      <tp>
        <v>0.14443</v>
        <stp/>
        <stp>DELTA</stp>
        <stp>.SPY150529C216.5</stp>
        <tr r="G288" s="1"/>
      </tp>
      <tp>
        <v>0.89012999999999998</v>
        <stp/>
        <stp>DELTA</stp>
        <stp>.SPY150508C207.5</stp>
        <tr r="G144" s="1"/>
      </tp>
      <tp>
        <v>6.4799999999999996E-3</v>
        <stp/>
        <stp>DELTA</stp>
        <stp>.SPY150508C217.5</stp>
        <tr r="G164" s="1"/>
      </tp>
      <tp t="s">
        <v>N/A</v>
        <stp/>
        <stp>DELTA</stp>
        <stp>.SPY150619C216.5</stp>
        <tr r="G330" s="1"/>
      </tp>
      <tp t="s">
        <v>N/A</v>
        <stp/>
        <stp>DELTA</stp>
        <stp>.SPY150619C206.5</stp>
        <tr r="G310" s="1"/>
      </tp>
      <tp t="s">
        <v>N/A</v>
        <stp/>
        <stp>DELTA</stp>
        <stp>.SPY150717C218.5</stp>
        <tr r="G418" s="1"/>
      </tp>
      <tp t="s">
        <v>N/A</v>
        <stp/>
        <stp>DELTA</stp>
        <stp>.SPY150717C208.5</stp>
        <tr r="G398" s="1"/>
      </tp>
      <tp t="s">
        <v>N/A</v>
        <stp/>
        <stp>DELTA</stp>
        <stp>.SPY160115C219.5</stp>
        <tr r="G630" s="1"/>
      </tp>
      <tp t="s">
        <v>N/A</v>
        <stp/>
        <stp>DELTA</stp>
        <stp>.SPY160115C209.5</stp>
        <tr r="G610" s="1"/>
      </tp>
      <tp t="s">
        <v>N/A</v>
        <stp/>
        <stp>DELTA</stp>
        <stp>.SPY160318C214.5</stp>
        <tr r="G662" s="1"/>
      </tp>
      <tp t="s">
        <v>N/A</v>
        <stp/>
        <stp>DELTA</stp>
        <stp>.SPY160318C204.5</stp>
        <tr r="G642" s="1"/>
      </tp>
      <tp t="s">
        <v>N/A</v>
        <stp/>
        <stp>BID</stp>
        <stp>.SPY150930C216.5</stp>
        <tr r="C498" s="1"/>
      </tp>
      <tp t="s">
        <v>N/A</v>
        <stp/>
        <stp>BID</stp>
        <stp>.SPY150930C206.5</stp>
        <tr r="C478" s="1"/>
      </tp>
      <tp t="s">
        <v>N/A</v>
        <stp/>
        <stp>BID</stp>
        <stp>.SPY160916C213.5</stp>
        <tr r="C744" s="1"/>
      </tp>
      <tp t="s">
        <v>N/A</v>
        <stp/>
        <stp>BID</stp>
        <stp>.SPY160916C203.5</stp>
        <tr r="C724" s="1"/>
      </tp>
      <tp t="s">
        <v>N/A</v>
        <stp/>
        <stp>BID</stp>
        <stp>.SPY170317C213.5</stp>
        <tr r="C870" s="1"/>
      </tp>
      <tp t="s">
        <v>N/A</v>
        <stp/>
        <stp>BID</stp>
        <stp>.SPY170317C203.5</stp>
        <tr r="C850" s="1"/>
      </tp>
      <tp t="s">
        <v>N/A</v>
        <stp/>
        <stp>BID</stp>
        <stp>.SPY170120C204.5</stp>
        <tr r="C810" s="1"/>
      </tp>
      <tp t="s">
        <v>N/A</v>
        <stp/>
        <stp>BID</stp>
        <stp>.SPY170120C214.5</stp>
        <tr r="C830" s="1"/>
      </tp>
      <tp t="s">
        <v>N/A</v>
        <stp/>
        <stp>BID</stp>
        <stp>.SPY160115C210.5</stp>
        <tr r="C612" s="1"/>
      </tp>
      <tp t="s">
        <v>N/A</v>
        <stp/>
        <stp>BID</stp>
        <stp>.SPY160115C200.5</stp>
        <tr r="C592" s="1"/>
      </tp>
      <tp t="s">
        <v>N/A</v>
        <stp/>
        <stp>BID</stp>
        <stp>.SPY150717C211.5</stp>
        <tr r="C404" s="1"/>
      </tp>
      <tp t="s">
        <v>N/A</v>
        <stp/>
        <stp>BID</stp>
        <stp>.SPY150717C201.5</stp>
        <tr r="C384" s="1"/>
      </tp>
      <tp t="s">
        <v>N/A</v>
        <stp/>
        <stp>BID</stp>
        <stp>.SPY150630C216.5</stp>
        <tr r="C372" s="1"/>
      </tp>
      <tp t="s">
        <v>N/A</v>
        <stp/>
        <stp>BID</stp>
        <stp>.SPY150630C206.5</stp>
        <tr r="C352" s="1"/>
      </tp>
      <tp t="s">
        <v>N/A</v>
        <stp/>
        <stp>BID</stp>
        <stp>.SPY160617C212.5</stp>
        <tr r="C700" s="1"/>
      </tp>
      <tp t="s">
        <v>N/A</v>
        <stp/>
        <stp>BID</stp>
        <stp>.SPY160617C202.5</stp>
        <tr r="C680" s="1"/>
      </tp>
      <tp>
        <v>7.37</v>
        <stp/>
        <stp>BID</stp>
        <stp>.SPY150522C204.5</stp>
        <tr r="C222" s="1"/>
      </tp>
      <tp>
        <v>0.6</v>
        <stp/>
        <stp>BID</stp>
        <stp>.SPY150522C214.5</stp>
        <tr r="C242" s="1"/>
      </tp>
      <tp>
        <v>3.11</v>
        <stp/>
        <stp>BID</stp>
        <stp>.SPY150501C207.5</stp>
        <tr r="C102" s="1"/>
      </tp>
      <tp>
        <v>0.61</v>
        <stp/>
        <stp>BID</stp>
        <stp>.SPY150515C213.5</stp>
        <tr r="C198" s="1"/>
      </tp>
      <tp>
        <v>0</v>
        <stp/>
        <stp>BID</stp>
        <stp>.SPY150501C217.5</stp>
        <tr r="C122" s="1"/>
      </tp>
      <tp>
        <v>8.0299999999999994</v>
        <stp/>
        <stp>BID</stp>
        <stp>.SPY150515C203.5</stp>
        <tr r="C178" s="1"/>
      </tp>
      <tp>
        <v>9.0500000000000007</v>
        <stp/>
        <stp>BID</stp>
        <stp>.SPY150424C202.5</stp>
        <tr r="C50" s="1"/>
      </tp>
      <tp>
        <v>0</v>
        <stp/>
        <stp>BID</stp>
        <stp>.SPY150424C212.5</stp>
        <tr r="C70" s="1"/>
      </tp>
      <tp>
        <v>0</v>
        <stp/>
        <stp>BID</stp>
        <stp>.SPY150417C211.5</stp>
        <tr r="C26" s="1"/>
      </tp>
      <tp>
        <v>6.49</v>
        <stp/>
        <stp>BID</stp>
        <stp>.SPY150417C201.5</stp>
        <tr r="C6" s="1"/>
      </tp>
      <tp t="s">
        <v>N/A</v>
        <stp/>
        <stp>BID</stp>
        <stp>.SPY151231C217.5</stp>
        <tr r="C584" s="1"/>
      </tp>
      <tp t="s">
        <v>N/A</v>
        <stp/>
        <stp>BID</stp>
        <stp>.SPY151231C207.5</stp>
        <tr r="C564" s="1"/>
      </tp>
      <tp t="s">
        <v>N/A</v>
        <stp/>
        <stp>BID</stp>
        <stp>.SPY161216C213.5</stp>
        <tr r="C786" s="1"/>
      </tp>
      <tp t="s">
        <v>N/A</v>
        <stp/>
        <stp>BID</stp>
        <stp>.SPY171215C211.5</stp>
        <tr r="C908" s="1"/>
      </tp>
      <tp t="s">
        <v>N/A</v>
        <stp/>
        <stp>BID</stp>
        <stp>.SPY161216C203.5</stp>
        <tr r="C766" s="1"/>
      </tp>
      <tp t="s">
        <v>N/A</v>
        <stp/>
        <stp>BID</stp>
        <stp>.SPY171215C201.5</stp>
        <tr r="C888" s="1"/>
      </tp>
      <tp t="s">
        <v>N/A</v>
        <stp/>
        <stp>RHO</stp>
        <stp>.SPY151231C216.5</stp>
        <tr r="K582" s="1"/>
      </tp>
      <tp t="s">
        <v>N/A</v>
        <stp/>
        <stp>RHO</stp>
        <stp>.SPY151231C206.5</stp>
        <tr r="K562" s="1"/>
      </tp>
      <tp t="s">
        <v>N/A</v>
        <stp/>
        <stp>RHO</stp>
        <stp>.SPY161216C212.5</stp>
        <tr r="K784" s="1"/>
      </tp>
      <tp t="s">
        <v>N/A</v>
        <stp/>
        <stp>RHO</stp>
        <stp>.SPY171215C210.5</stp>
        <tr r="K906" s="1"/>
      </tp>
      <tp t="s">
        <v>N/A</v>
        <stp/>
        <stp>RHO</stp>
        <stp>.SPY161216C202.5</stp>
        <tr r="K764" s="1"/>
      </tp>
      <tp t="s">
        <v>N/A</v>
        <stp/>
        <stp>RHO</stp>
        <stp>.SPY171215C200.5</stp>
        <tr r="K886" s="1"/>
      </tp>
      <tp t="s">
        <v>N/A</v>
        <stp/>
        <stp>RHO</stp>
        <stp>.SPY150930C217.5</stp>
        <tr r="K500" s="1"/>
      </tp>
      <tp t="s">
        <v>N/A</v>
        <stp/>
        <stp>RHO</stp>
        <stp>.SPY150930C207.5</stp>
        <tr r="K480" s="1"/>
      </tp>
      <tp t="s">
        <v>N/A</v>
        <stp/>
        <stp>RHO</stp>
        <stp>.SPY160916C212.5</stp>
        <tr r="K742" s="1"/>
      </tp>
      <tp t="s">
        <v>N/A</v>
        <stp/>
        <stp>RHO</stp>
        <stp>.SPY160916C202.5</stp>
        <tr r="K722" s="1"/>
      </tp>
      <tp t="s">
        <v>N/A</v>
        <stp/>
        <stp>RHO</stp>
        <stp>.SPY170317C212.5</stp>
        <tr r="K868" s="1"/>
      </tp>
      <tp t="s">
        <v>N/A</v>
        <stp/>
        <stp>RHO</stp>
        <stp>.SPY170317C202.5</stp>
        <tr r="K848" s="1"/>
      </tp>
      <tp t="s">
        <v>N/A</v>
        <stp/>
        <stp>RHO</stp>
        <stp>.SPY170120C205.5</stp>
        <tr r="K812" s="1"/>
      </tp>
      <tp t="s">
        <v>N/A</v>
        <stp/>
        <stp>RHO</stp>
        <stp>.SPY170120C215.5</stp>
        <tr r="K832" s="1"/>
      </tp>
      <tp t="s">
        <v>N/A</v>
        <stp/>
        <stp>RHO</stp>
        <stp>.SPY160115C211.5</stp>
        <tr r="K614" s="1"/>
      </tp>
      <tp t="s">
        <v>N/A</v>
        <stp/>
        <stp>RHO</stp>
        <stp>.SPY160115C201.5</stp>
        <tr r="K594" s="1"/>
      </tp>
      <tp t="s">
        <v>N/A</v>
        <stp/>
        <stp>RHO</stp>
        <stp>.SPY150717C210.5</stp>
        <tr r="K402" s="1"/>
      </tp>
      <tp t="s">
        <v>N/A</v>
        <stp/>
        <stp>RHO</stp>
        <stp>.SPY150717C200.5</stp>
        <tr r="K382" s="1"/>
      </tp>
      <tp t="s">
        <v>N/A</v>
        <stp/>
        <stp>RHO</stp>
        <stp>.SPY150630C217.5</stp>
        <tr r="K374" s="1"/>
      </tp>
      <tp t="s">
        <v>N/A</v>
        <stp/>
        <stp>RHO</stp>
        <stp>.SPY150630C207.5</stp>
        <tr r="K354" s="1"/>
      </tp>
      <tp t="s">
        <v>N/A</v>
        <stp/>
        <stp>RHO</stp>
        <stp>.SPY160617C213.5</stp>
        <tr r="K702" s="1"/>
      </tp>
      <tp t="s">
        <v>N/A</v>
        <stp/>
        <stp>RHO</stp>
        <stp>.SPY160617C203.5</stp>
        <tr r="K682" s="1"/>
      </tp>
      <tp>
        <v>6.7790000000000003E-2</v>
        <stp/>
        <stp>RHO</stp>
        <stp>.SPY150522C205.5</stp>
        <tr r="K224" s="1"/>
      </tp>
      <tp>
        <v>1.753E-2</v>
        <stp/>
        <stp>RHO</stp>
        <stp>.SPY150522C215.5</stp>
        <tr r="K244" s="1"/>
      </tp>
      <tp t="s">
        <v>N/A</v>
        <stp/>
        <stp>RHO</stp>
        <stp>.SPY150501C206.5</stp>
        <tr r="K100" s="1"/>
      </tp>
      <tp>
        <v>2.597E-2</v>
        <stp/>
        <stp>RHO</stp>
        <stp>.SPY150515C212.5</stp>
        <tr r="K196" s="1"/>
      </tp>
      <tp t="s">
        <v>N/A</v>
        <stp/>
        <stp>RHO</stp>
        <stp>.SPY150501C216.5</stp>
        <tr r="K120" s="1"/>
      </tp>
      <tp>
        <v>3.3009999999999998E-2</v>
        <stp/>
        <stp>RHO</stp>
        <stp>.SPY150515C202.5</stp>
        <tr r="K176" s="1"/>
      </tp>
      <tp t="s">
        <v>N/A</v>
        <stp/>
        <stp>RHO</stp>
        <stp>.SPY150424C203.5</stp>
        <tr r="K52" s="1"/>
      </tp>
      <tp t="s">
        <v>N/A</v>
        <stp/>
        <stp>RHO</stp>
        <stp>.SPY150424C213.5</stp>
        <tr r="K72" s="1"/>
      </tp>
      <tp t="s">
        <v>N/A</v>
        <stp/>
        <stp>RHO</stp>
        <stp>.SPY150417C210.5</stp>
        <tr r="K24" s="1"/>
      </tp>
      <tp t="s">
        <v>N/A</v>
        <stp/>
        <stp>RHO</stp>
        <stp>.SPY150417C200.5</stp>
        <tr r="K4" s="1"/>
      </tp>
      <tp t="s">
        <v>N/A</v>
        <stp/>
        <stp>BID</stp>
        <stp>.SPY151231P217.5</stp>
        <tr r="N584" s="1"/>
      </tp>
      <tp t="s">
        <v>N/A</v>
        <stp/>
        <stp>BID</stp>
        <stp>.SPY151231P207.5</stp>
        <tr r="N564" s="1"/>
      </tp>
      <tp t="s">
        <v>N/A</v>
        <stp/>
        <stp>BID</stp>
        <stp>.SPY161216P213.5</stp>
        <tr r="N786" s="1"/>
      </tp>
      <tp t="s">
        <v>N/A</v>
        <stp/>
        <stp>BID</stp>
        <stp>.SPY171215P211.5</stp>
        <tr r="N908" s="1"/>
      </tp>
      <tp t="s">
        <v>N/A</v>
        <stp/>
        <stp>BID</stp>
        <stp>.SPY161216P203.5</stp>
        <tr r="N766" s="1"/>
      </tp>
      <tp t="s">
        <v>N/A</v>
        <stp/>
        <stp>BID</stp>
        <stp>.SPY171215P201.5</stp>
        <tr r="N888" s="1"/>
      </tp>
      <tp t="s">
        <v>N/A</v>
        <stp/>
        <stp>BID</stp>
        <stp>.SPY150930P216.5</stp>
        <tr r="N498" s="1"/>
      </tp>
      <tp t="s">
        <v>N/A</v>
        <stp/>
        <stp>BID</stp>
        <stp>.SPY150930P206.5</stp>
        <tr r="N478" s="1"/>
      </tp>
      <tp t="s">
        <v>N/A</v>
        <stp/>
        <stp>BID</stp>
        <stp>.SPY160916P213.5</stp>
        <tr r="N744" s="1"/>
      </tp>
      <tp t="s">
        <v>N/A</v>
        <stp/>
        <stp>BID</stp>
        <stp>.SPY160916P203.5</stp>
        <tr r="N724" s="1"/>
      </tp>
      <tp t="s">
        <v>N/A</v>
        <stp/>
        <stp>BID</stp>
        <stp>.SPY170317P213.5</stp>
        <tr r="N870" s="1"/>
      </tp>
      <tp t="s">
        <v>N/A</v>
        <stp/>
        <stp>BID</stp>
        <stp>.SPY170317P203.5</stp>
        <tr r="N850" s="1"/>
      </tp>
      <tp t="s">
        <v>N/A</v>
        <stp/>
        <stp>BID</stp>
        <stp>.SPY170120P204.5</stp>
        <tr r="N810" s="1"/>
      </tp>
      <tp t="s">
        <v>N/A</v>
        <stp/>
        <stp>BID</stp>
        <stp>.SPY170120P214.5</stp>
        <tr r="N830" s="1"/>
      </tp>
      <tp t="s">
        <v>N/A</v>
        <stp/>
        <stp>BID</stp>
        <stp>.SPY160115P210.5</stp>
        <tr r="N612" s="1"/>
      </tp>
      <tp t="s">
        <v>N/A</v>
        <stp/>
        <stp>BID</stp>
        <stp>.SPY160115P200.5</stp>
        <tr r="N592" s="1"/>
      </tp>
      <tp t="s">
        <v>N/A</v>
        <stp/>
        <stp>BID</stp>
        <stp>.SPY150717P211.5</stp>
        <tr r="N404" s="1"/>
      </tp>
      <tp t="s">
        <v>N/A</v>
        <stp/>
        <stp>BID</stp>
        <stp>.SPY150717P201.5</stp>
        <tr r="N384" s="1"/>
      </tp>
      <tp t="s">
        <v>N/A</v>
        <stp/>
        <stp>BID</stp>
        <stp>.SPY150630P216.5</stp>
        <tr r="N372" s="1"/>
      </tp>
      <tp t="s">
        <v>N/A</v>
        <stp/>
        <stp>BID</stp>
        <stp>.SPY150630P206.5</stp>
        <tr r="N352" s="1"/>
      </tp>
      <tp t="s">
        <v>N/A</v>
        <stp/>
        <stp>BID</stp>
        <stp>.SPY160617P212.5</stp>
        <tr r="N700" s="1"/>
      </tp>
      <tp t="s">
        <v>N/A</v>
        <stp/>
        <stp>BID</stp>
        <stp>.SPY160617P202.5</stp>
        <tr r="N680" s="1"/>
      </tp>
      <tp>
        <v>0.49</v>
        <stp/>
        <stp>BID</stp>
        <stp>.SPY150522P204.5</stp>
        <tr r="N222" s="1"/>
      </tp>
      <tp>
        <v>3.58</v>
        <stp/>
        <stp>BID</stp>
        <stp>.SPY150522P214.5</stp>
        <tr r="N242" s="1"/>
      </tp>
      <tp>
        <v>0</v>
        <stp/>
        <stp>BID</stp>
        <stp>.SPY150501P207.5</stp>
        <tr r="N102" s="1"/>
      </tp>
      <tp>
        <v>2.6</v>
        <stp/>
        <stp>BID</stp>
        <stp>.SPY150515P213.5</stp>
        <tr r="N198" s="1"/>
      </tp>
      <tp>
        <v>6.64</v>
        <stp/>
        <stp>BID</stp>
        <stp>.SPY150501P217.5</stp>
        <tr r="N122" s="1"/>
      </tp>
      <tp>
        <v>0.2</v>
        <stp/>
        <stp>BID</stp>
        <stp>.SPY150515P203.5</stp>
        <tr r="N178" s="1"/>
      </tp>
      <tp>
        <v>0</v>
        <stp/>
        <stp>BID</stp>
        <stp>.SPY150424P202.5</stp>
        <tr r="N50" s="1"/>
      </tp>
      <tp>
        <v>0.73</v>
        <stp/>
        <stp>BID</stp>
        <stp>.SPY150424P212.5</stp>
        <tr r="N70" s="1"/>
      </tp>
      <tp>
        <v>3.26</v>
        <stp/>
        <stp>BID</stp>
        <stp>.SPY150417P211.5</stp>
        <tr r="N26" s="1"/>
      </tp>
      <tp>
        <v>0</v>
        <stp/>
        <stp>BID</stp>
        <stp>.SPY150417P201.5</stp>
        <tr r="N6" s="1"/>
      </tp>
      <tp t="s">
        <v>N/A</v>
        <stp/>
        <stp>RHO</stp>
        <stp>.SPY150930P217.5</stp>
        <tr r="V500" s="1"/>
      </tp>
      <tp t="s">
        <v>N/A</v>
        <stp/>
        <stp>RHO</stp>
        <stp>.SPY150930P207.5</stp>
        <tr r="V480" s="1"/>
      </tp>
      <tp t="s">
        <v>N/A</v>
        <stp/>
        <stp>RHO</stp>
        <stp>.SPY160916P212.5</stp>
        <tr r="V742" s="1"/>
      </tp>
      <tp t="s">
        <v>N/A</v>
        <stp/>
        <stp>RHO</stp>
        <stp>.SPY160916P202.5</stp>
        <tr r="V722" s="1"/>
      </tp>
      <tp t="s">
        <v>N/A</v>
        <stp/>
        <stp>RHO</stp>
        <stp>.SPY170317P212.5</stp>
        <tr r="V868" s="1"/>
      </tp>
      <tp t="s">
        <v>N/A</v>
        <stp/>
        <stp>RHO</stp>
        <stp>.SPY170317P202.5</stp>
        <tr r="V848" s="1"/>
      </tp>
      <tp t="s">
        <v>N/A</v>
        <stp/>
        <stp>RHO</stp>
        <stp>.SPY170120P205.5</stp>
        <tr r="V812" s="1"/>
      </tp>
      <tp t="s">
        <v>N/A</v>
        <stp/>
        <stp>RHO</stp>
        <stp>.SPY170120P215.5</stp>
        <tr r="V832" s="1"/>
      </tp>
      <tp t="s">
        <v>N/A</v>
        <stp/>
        <stp>RHO</stp>
        <stp>.SPY160115P211.5</stp>
        <tr r="V614" s="1"/>
      </tp>
      <tp t="s">
        <v>N/A</v>
        <stp/>
        <stp>RHO</stp>
        <stp>.SPY160115P201.5</stp>
        <tr r="V594" s="1"/>
      </tp>
      <tp t="s">
        <v>N/A</v>
        <stp/>
        <stp>RHO</stp>
        <stp>.SPY150717P210.5</stp>
        <tr r="V402" s="1"/>
      </tp>
      <tp t="s">
        <v>N/A</v>
        <stp/>
        <stp>RHO</stp>
        <stp>.SPY150717P200.5</stp>
        <tr r="V382" s="1"/>
      </tp>
      <tp t="s">
        <v>N/A</v>
        <stp/>
        <stp>RHO</stp>
        <stp>.SPY150630P217.5</stp>
        <tr r="V374" s="1"/>
      </tp>
      <tp t="s">
        <v>N/A</v>
        <stp/>
        <stp>RHO</stp>
        <stp>.SPY150630P207.5</stp>
        <tr r="V354" s="1"/>
      </tp>
      <tp t="s">
        <v>N/A</v>
        <stp/>
        <stp>RHO</stp>
        <stp>.SPY160617P213.5</stp>
        <tr r="V702" s="1"/>
      </tp>
      <tp t="s">
        <v>N/A</v>
        <stp/>
        <stp>RHO</stp>
        <stp>.SPY160617P203.5</stp>
        <tr r="V682" s="1"/>
      </tp>
      <tp>
        <v>-1.968E-2</v>
        <stp/>
        <stp>RHO</stp>
        <stp>.SPY150522P205.5</stp>
        <tr r="V224" s="1"/>
      </tp>
      <tp>
        <v>-9.9049999999999999E-2</v>
        <stp/>
        <stp>RHO</stp>
        <stp>.SPY150522P215.5</stp>
        <tr r="V244" s="1"/>
      </tp>
      <tp t="s">
        <v>N/A</v>
        <stp/>
        <stp>RHO</stp>
        <stp>.SPY150501P206.5</stp>
        <tr r="V100" s="1"/>
      </tp>
      <tp>
        <v>-4.3729999999999998E-2</v>
        <stp/>
        <stp>RHO</stp>
        <stp>.SPY150515P212.5</stp>
        <tr r="V196" s="1"/>
      </tp>
      <tp t="s">
        <v>N/A</v>
        <stp/>
        <stp>RHO</stp>
        <stp>.SPY150501P216.5</stp>
        <tr r="V120" s="1"/>
      </tp>
      <tp>
        <v>-4.6100000000000004E-3</v>
        <stp/>
        <stp>RHO</stp>
        <stp>.SPY150515P202.5</stp>
        <tr r="V176" s="1"/>
      </tp>
      <tp t="s">
        <v>N/A</v>
        <stp/>
        <stp>RHO</stp>
        <stp>.SPY150424P203.5</stp>
        <tr r="V52" s="1"/>
      </tp>
      <tp t="s">
        <v>N/A</v>
        <stp/>
        <stp>RHO</stp>
        <stp>.SPY150424P213.5</stp>
        <tr r="V72" s="1"/>
      </tp>
      <tp t="s">
        <v>N/A</v>
        <stp/>
        <stp>RHO</stp>
        <stp>.SPY150417P210.5</stp>
        <tr r="V24" s="1"/>
      </tp>
      <tp t="s">
        <v>N/A</v>
        <stp/>
        <stp>RHO</stp>
        <stp>.SPY150417P200.5</stp>
        <tr r="V4" s="1"/>
      </tp>
      <tp t="s">
        <v>N/A</v>
        <stp/>
        <stp>RHO</stp>
        <stp>.SPY151231P216.5</stp>
        <tr r="V582" s="1"/>
      </tp>
      <tp t="s">
        <v>N/A</v>
        <stp/>
        <stp>RHO</stp>
        <stp>.SPY151231P206.5</stp>
        <tr r="V562" s="1"/>
      </tp>
      <tp t="s">
        <v>N/A</v>
        <stp/>
        <stp>RHO</stp>
        <stp>.SPY161216P212.5</stp>
        <tr r="V784" s="1"/>
      </tp>
      <tp t="s">
        <v>N/A</v>
        <stp/>
        <stp>RHO</stp>
        <stp>.SPY171215P210.5</stp>
        <tr r="V906" s="1"/>
      </tp>
      <tp t="s">
        <v>N/A</v>
        <stp/>
        <stp>RHO</stp>
        <stp>.SPY161216P202.5</stp>
        <tr r="V764" s="1"/>
      </tp>
      <tp t="s">
        <v>N/A</v>
        <stp/>
        <stp>RHO</stp>
        <stp>.SPY171215P200.5</stp>
        <tr r="V886" s="1"/>
      </tp>
      <tp t="s">
        <v>N/A</v>
        <stp/>
        <stp>DELTA</stp>
        <stp>.SPY150918P216.5</stp>
        <tr r="R456" s="1"/>
      </tp>
      <tp t="s">
        <v>N/A</v>
        <stp/>
        <stp>DELTA</stp>
        <stp>.SPY150918P206.5</stp>
        <tr r="R436" s="1"/>
      </tp>
      <tp t="s">
        <v>N/A</v>
        <stp/>
        <stp>DELTA</stp>
        <stp>.SPY150417P219.5</stp>
        <tr r="R42" s="1"/>
      </tp>
      <tp t="s">
        <v>N/A</v>
        <stp/>
        <stp>DELTA</stp>
        <stp>.SPY150417P209.5</stp>
        <tr r="R22" s="1"/>
      </tp>
      <tp>
        <v>-0.28538999999999998</v>
        <stp/>
        <stp>DELTA</stp>
        <stp>.SPY150529P207.5</stp>
        <tr r="R270" s="1"/>
      </tp>
      <tp>
        <v>-1</v>
        <stp/>
        <stp>DELTA</stp>
        <stp>.SPY150529P217.5</stp>
        <tr r="R290" s="1"/>
      </tp>
      <tp>
        <v>-7.5999999999999998E-2</v>
        <stp/>
        <stp>DELTA</stp>
        <stp>.SPY150508P206.5</stp>
        <tr r="R142" s="1"/>
      </tp>
      <tp>
        <v>-0.99975999999999998</v>
        <stp/>
        <stp>DELTA</stp>
        <stp>.SPY150508P216.5</stp>
        <tr r="R162" s="1"/>
      </tp>
      <tp t="s">
        <v>N/A</v>
        <stp/>
        <stp>DELTA</stp>
        <stp>.SPY150619P217.5</stp>
        <tr r="R332" s="1"/>
      </tp>
      <tp t="s">
        <v>N/A</v>
        <stp/>
        <stp>DELTA</stp>
        <stp>.SPY150619P207.5</stp>
        <tr r="R312" s="1"/>
      </tp>
      <tp t="s">
        <v>N/A</v>
        <stp/>
        <stp>DELTA</stp>
        <stp>.SPY150717P219.5</stp>
        <tr r="R420" s="1"/>
      </tp>
      <tp t="s">
        <v>N/A</v>
        <stp/>
        <stp>DELTA</stp>
        <stp>.SPY150717P209.5</stp>
        <tr r="R400" s="1"/>
      </tp>
      <tp t="s">
        <v>N/A</v>
        <stp/>
        <stp>DELTA</stp>
        <stp>.SPY160115P218.5</stp>
        <tr r="R628" s="1"/>
      </tp>
      <tp t="s">
        <v>N/A</v>
        <stp/>
        <stp>DELTA</stp>
        <stp>.SPY160115P208.5</stp>
        <tr r="R608" s="1"/>
      </tp>
      <tp t="s">
        <v>N/A</v>
        <stp/>
        <stp>DELTA</stp>
        <stp>.SPY160318P215.5</stp>
        <tr r="R664" s="1"/>
      </tp>
      <tp t="s">
        <v>N/A</v>
        <stp/>
        <stp>DELTA</stp>
        <stp>.SPY160318P205.5</stp>
        <tr r="R644" s="1"/>
      </tp>
      <tp t="s">
        <v>N/A</v>
        <stp/>
        <stp>DELTA</stp>
        <stp>.SPY151219P217.5</stp>
        <tr r="R542" s="1"/>
      </tp>
      <tp t="s">
        <v>N/A</v>
        <stp/>
        <stp>DELTA</stp>
        <stp>.SPY171215P219.5</stp>
        <tr r="R924" s="1"/>
      </tp>
      <tp t="s">
        <v>N/A</v>
        <stp/>
        <stp>DELTA</stp>
        <stp>.SPY151219P207.5</stp>
        <tr r="R522" s="1"/>
      </tp>
      <tp t="s">
        <v>N/A</v>
        <stp/>
        <stp>DELTA</stp>
        <stp>.SPY171215P209.5</stp>
        <tr r="R904" s="1"/>
      </tp>
      <tp t="s">
        <v>N/A</v>
        <stp/>
        <stp>THETA</stp>
        <stp>.SPY151219C207.5</stp>
        <tr r="H522" s="1"/>
      </tp>
      <tp t="s">
        <v>N/A</v>
        <stp/>
        <stp>THETA</stp>
        <stp>.SPY171215C209.5</stp>
        <tr r="H904" s="1"/>
      </tp>
      <tp t="s">
        <v>N/A</v>
        <stp/>
        <stp>THETA</stp>
        <stp>.SPY151219C217.5</stp>
        <tr r="H542" s="1"/>
      </tp>
      <tp t="s">
        <v>N/A</v>
        <stp/>
        <stp>THETA</stp>
        <stp>.SPY171215C219.5</stp>
        <tr r="H924" s="1"/>
      </tp>
      <tp t="s">
        <v>N/A</v>
        <stp/>
        <stp>THETA</stp>
        <stp>.SPY160115C208.5</stp>
        <tr r="H608" s="1"/>
      </tp>
      <tp t="s">
        <v>N/A</v>
        <stp/>
        <stp>THETA</stp>
        <stp>.SPY160115C218.5</stp>
        <tr r="H628" s="1"/>
      </tp>
      <tp t="s">
        <v>N/A</v>
        <stp/>
        <stp>THETA</stp>
        <stp>.SPY160318C205.5</stp>
        <tr r="H644" s="1"/>
      </tp>
      <tp t="s">
        <v>N/A</v>
        <stp/>
        <stp>THETA</stp>
        <stp>.SPY160318C215.5</stp>
        <tr r="H664" s="1"/>
      </tp>
      <tp>
        <v>-1.4630000000000001E-2</v>
        <stp/>
        <stp>THETA</stp>
        <stp>.SPY150529C217.5</stp>
        <tr r="H290" s="1"/>
      </tp>
      <tp>
        <v>-4.4229999999999998E-2</v>
        <stp/>
        <stp>THETA</stp>
        <stp>.SPY150529C207.5</stp>
        <tr r="H270" s="1"/>
      </tp>
      <tp>
        <v>-1.187E-2</v>
        <stp/>
        <stp>THETA</stp>
        <stp>.SPY150508C216.5</stp>
        <tr r="H162" s="1"/>
      </tp>
      <tp>
        <v>-4.5569999999999999E-2</v>
        <stp/>
        <stp>THETA</stp>
        <stp>.SPY150508C206.5</stp>
        <tr r="H142" s="1"/>
      </tp>
      <tp t="s">
        <v>N/A</v>
        <stp/>
        <stp>THETA</stp>
        <stp>.SPY150417C209.5</stp>
        <tr r="H22" s="1"/>
      </tp>
      <tp t="s">
        <v>N/A</v>
        <stp/>
        <stp>THETA</stp>
        <stp>.SPY150417C219.5</stp>
        <tr r="H42" s="1"/>
      </tp>
      <tp t="s">
        <v>N/A</v>
        <stp/>
        <stp>THETA</stp>
        <stp>.SPY150717C209.5</stp>
        <tr r="H400" s="1"/>
      </tp>
      <tp t="s">
        <v>N/A</v>
        <stp/>
        <stp>THETA</stp>
        <stp>.SPY150717C219.5</stp>
        <tr r="H420" s="1"/>
      </tp>
      <tp t="s">
        <v>N/A</v>
        <stp/>
        <stp>THETA</stp>
        <stp>.SPY150619C207.5</stp>
        <tr r="H312" s="1"/>
      </tp>
      <tp t="s">
        <v>N/A</v>
        <stp/>
        <stp>THETA</stp>
        <stp>.SPY150619C217.5</stp>
        <tr r="H332" s="1"/>
      </tp>
      <tp t="s">
        <v>N/A</v>
        <stp/>
        <stp>THETA</stp>
        <stp>.SPY150918C206.5</stp>
        <tr r="H436" s="1"/>
      </tp>
      <tp t="s">
        <v>N/A</v>
        <stp/>
        <stp>THETA</stp>
        <stp>.SPY150918C216.5</stp>
        <tr r="H456" s="1"/>
      </tp>
      <tp t="s">
        <v>N/A</v>
        <stp/>
        <stp>THETA</stp>
        <stp>.SPY160115P208.5</stp>
        <tr r="S608" s="1"/>
      </tp>
      <tp t="s">
        <v>N/A</v>
        <stp/>
        <stp>THETA</stp>
        <stp>.SPY160115P218.5</stp>
        <tr r="S628" s="1"/>
      </tp>
      <tp t="s">
        <v>N/A</v>
        <stp/>
        <stp>THETA</stp>
        <stp>.SPY160318P205.5</stp>
        <tr r="S644" s="1"/>
      </tp>
      <tp t="s">
        <v>N/A</v>
        <stp/>
        <stp>THETA</stp>
        <stp>.SPY160318P215.5</stp>
        <tr r="S664" s="1"/>
      </tp>
      <tp>
        <v>0</v>
        <stp/>
        <stp>THETA</stp>
        <stp>.SPY150529P217.5</stp>
        <tr r="S290" s="1"/>
      </tp>
      <tp>
        <v>-4.709E-2</v>
        <stp/>
        <stp>THETA</stp>
        <stp>.SPY150529P207.5</stp>
        <tr r="S270" s="1"/>
      </tp>
      <tp>
        <v>-8.7200000000000003E-3</v>
        <stp/>
        <stp>THETA</stp>
        <stp>.SPY150508P216.5</stp>
        <tr r="S162" s="1"/>
      </tp>
      <tp>
        <v>-5.3129999999999997E-2</v>
        <stp/>
        <stp>THETA</stp>
        <stp>.SPY150508P206.5</stp>
        <tr r="S142" s="1"/>
      </tp>
      <tp t="s">
        <v>N/A</v>
        <stp/>
        <stp>THETA</stp>
        <stp>.SPY150417P209.5</stp>
        <tr r="S22" s="1"/>
      </tp>
      <tp t="s">
        <v>N/A</v>
        <stp/>
        <stp>THETA</stp>
        <stp>.SPY150417P219.5</stp>
        <tr r="S42" s="1"/>
      </tp>
      <tp t="s">
        <v>N/A</v>
        <stp/>
        <stp>THETA</stp>
        <stp>.SPY150717P209.5</stp>
        <tr r="S400" s="1"/>
      </tp>
      <tp t="s">
        <v>N/A</v>
        <stp/>
        <stp>THETA</stp>
        <stp>.SPY150717P219.5</stp>
        <tr r="S420" s="1"/>
      </tp>
      <tp t="s">
        <v>N/A</v>
        <stp/>
        <stp>THETA</stp>
        <stp>.SPY150619P207.5</stp>
        <tr r="S312" s="1"/>
      </tp>
      <tp t="s">
        <v>N/A</v>
        <stp/>
        <stp>THETA</stp>
        <stp>.SPY150619P217.5</stp>
        <tr r="S332" s="1"/>
      </tp>
      <tp t="s">
        <v>N/A</v>
        <stp/>
        <stp>THETA</stp>
        <stp>.SPY150918P206.5</stp>
        <tr r="S436" s="1"/>
      </tp>
      <tp t="s">
        <v>N/A</v>
        <stp/>
        <stp>THETA</stp>
        <stp>.SPY150918P216.5</stp>
        <tr r="S456" s="1"/>
      </tp>
      <tp t="s">
        <v>N/A</v>
        <stp/>
        <stp>THETA</stp>
        <stp>.SPY151219P207.5</stp>
        <tr r="S522" s="1"/>
      </tp>
      <tp t="s">
        <v>N/A</v>
        <stp/>
        <stp>THETA</stp>
        <stp>.SPY171215P209.5</stp>
        <tr r="S904" s="1"/>
      </tp>
      <tp t="s">
        <v>N/A</v>
        <stp/>
        <stp>THETA</stp>
        <stp>.SPY151219P217.5</stp>
        <tr r="S542" s="1"/>
      </tp>
      <tp t="s">
        <v>N/A</v>
        <stp/>
        <stp>THETA</stp>
        <stp>.SPY171215P219.5</stp>
        <tr r="S924" s="1"/>
      </tp>
      <tp t="s">
        <v>N/A</v>
        <stp/>
        <stp>DELTA</stp>
        <stp>.SPY151219C217.5</stp>
        <tr r="G542" s="1"/>
      </tp>
      <tp t="s">
        <v>N/A</v>
        <stp/>
        <stp>DELTA</stp>
        <stp>.SPY171215C219.5</stp>
        <tr r="G924" s="1"/>
      </tp>
      <tp t="s">
        <v>N/A</v>
        <stp/>
        <stp>DELTA</stp>
        <stp>.SPY151219C207.5</stp>
        <tr r="G522" s="1"/>
      </tp>
      <tp t="s">
        <v>N/A</v>
        <stp/>
        <stp>DELTA</stp>
        <stp>.SPY171215C209.5</stp>
        <tr r="G904" s="1"/>
      </tp>
      <tp t="s">
        <v>N/A</v>
        <stp/>
        <stp>DELTA</stp>
        <stp>.SPY150918C216.5</stp>
        <tr r="G456" s="1"/>
      </tp>
      <tp t="s">
        <v>N/A</v>
        <stp/>
        <stp>DELTA</stp>
        <stp>.SPY150918C206.5</stp>
        <tr r="G436" s="1"/>
      </tp>
      <tp t="s">
        <v>N/A</v>
        <stp/>
        <stp>DELTA</stp>
        <stp>.SPY150417C219.5</stp>
        <tr r="G42" s="1"/>
      </tp>
      <tp t="s">
        <v>N/A</v>
        <stp/>
        <stp>DELTA</stp>
        <stp>.SPY150417C209.5</stp>
        <tr r="G22" s="1"/>
      </tp>
      <tp>
        <v>0.70257000000000003</v>
        <stp/>
        <stp>DELTA</stp>
        <stp>.SPY150529C207.5</stp>
        <tr r="G270" s="1"/>
      </tp>
      <tp>
        <v>9.6250000000000002E-2</v>
        <stp/>
        <stp>DELTA</stp>
        <stp>.SPY150529C217.5</stp>
        <tr r="G290" s="1"/>
      </tp>
      <tp>
        <v>0.92559000000000002</v>
        <stp/>
        <stp>DELTA</stp>
        <stp>.SPY150508C206.5</stp>
        <tr r="G142" s="1"/>
      </tp>
      <tp>
        <v>1.779E-2</v>
        <stp/>
        <stp>DELTA</stp>
        <stp>.SPY150508C216.5</stp>
        <tr r="G162" s="1"/>
      </tp>
      <tp t="s">
        <v>N/A</v>
        <stp/>
        <stp>DELTA</stp>
        <stp>.SPY150619C217.5</stp>
        <tr r="G332" s="1"/>
      </tp>
      <tp t="s">
        <v>N/A</v>
        <stp/>
        <stp>DELTA</stp>
        <stp>.SPY150619C207.5</stp>
        <tr r="G312" s="1"/>
      </tp>
      <tp t="s">
        <v>N/A</v>
        <stp/>
        <stp>DELTA</stp>
        <stp>.SPY150717C219.5</stp>
        <tr r="G420" s="1"/>
      </tp>
      <tp t="s">
        <v>N/A</v>
        <stp/>
        <stp>DELTA</stp>
        <stp>.SPY150717C209.5</stp>
        <tr r="G400" s="1"/>
      </tp>
      <tp t="s">
        <v>N/A</v>
        <stp/>
        <stp>DELTA</stp>
        <stp>.SPY160115C218.5</stp>
        <tr r="G628" s="1"/>
      </tp>
      <tp t="s">
        <v>N/A</v>
        <stp/>
        <stp>DELTA</stp>
        <stp>.SPY160115C208.5</stp>
        <tr r="G608" s="1"/>
      </tp>
      <tp t="s">
        <v>N/A</v>
        <stp/>
        <stp>DELTA</stp>
        <stp>.SPY160318C215.5</stp>
        <tr r="G664" s="1"/>
      </tp>
      <tp t="s">
        <v>N/A</v>
        <stp/>
        <stp>DELTA</stp>
        <stp>.SPY160318C205.5</stp>
        <tr r="G644" s="1"/>
      </tp>
      <tp t="s">
        <v>N/A</v>
        <stp/>
        <stp>BID</stp>
        <stp>.SPY150930C217.5</stp>
        <tr r="C500" s="1"/>
      </tp>
      <tp t="s">
        <v>N/A</v>
        <stp/>
        <stp>BID</stp>
        <stp>.SPY150930C207.5</stp>
        <tr r="C480" s="1"/>
      </tp>
      <tp t="s">
        <v>N/A</v>
        <stp/>
        <stp>BID</stp>
        <stp>.SPY160916C212.5</stp>
        <tr r="C742" s="1"/>
      </tp>
      <tp t="s">
        <v>N/A</v>
        <stp/>
        <stp>BID</stp>
        <stp>.SPY160916C202.5</stp>
        <tr r="C722" s="1"/>
      </tp>
      <tp t="s">
        <v>N/A</v>
        <stp/>
        <stp>BID</stp>
        <stp>.SPY170317C212.5</stp>
        <tr r="C868" s="1"/>
      </tp>
      <tp t="s">
        <v>N/A</v>
        <stp/>
        <stp>BID</stp>
        <stp>.SPY170317C202.5</stp>
        <tr r="C848" s="1"/>
      </tp>
      <tp t="s">
        <v>N/A</v>
        <stp/>
        <stp>BID</stp>
        <stp>.SPY170120C205.5</stp>
        <tr r="C812" s="1"/>
      </tp>
      <tp t="s">
        <v>N/A</v>
        <stp/>
        <stp>BID</stp>
        <stp>.SPY170120C215.5</stp>
        <tr r="C832" s="1"/>
      </tp>
      <tp t="s">
        <v>N/A</v>
        <stp/>
        <stp>BID</stp>
        <stp>.SPY160115C211.5</stp>
        <tr r="C614" s="1"/>
      </tp>
      <tp t="s">
        <v>N/A</v>
        <stp/>
        <stp>BID</stp>
        <stp>.SPY160115C201.5</stp>
        <tr r="C594" s="1"/>
      </tp>
      <tp t="s">
        <v>N/A</v>
        <stp/>
        <stp>BID</stp>
        <stp>.SPY150717C210.5</stp>
        <tr r="C402" s="1"/>
      </tp>
      <tp t="s">
        <v>N/A</v>
        <stp/>
        <stp>BID</stp>
        <stp>.SPY150717C200.5</stp>
        <tr r="C382" s="1"/>
      </tp>
      <tp t="s">
        <v>N/A</v>
        <stp/>
        <stp>BID</stp>
        <stp>.SPY150630C217.5</stp>
        <tr r="C374" s="1"/>
      </tp>
      <tp t="s">
        <v>N/A</v>
        <stp/>
        <stp>BID</stp>
        <stp>.SPY150630C207.5</stp>
        <tr r="C354" s="1"/>
      </tp>
      <tp t="s">
        <v>N/A</v>
        <stp/>
        <stp>BID</stp>
        <stp>.SPY160617C213.5</stp>
        <tr r="C702" s="1"/>
      </tp>
      <tp t="s">
        <v>N/A</v>
        <stp/>
        <stp>BID</stp>
        <stp>.SPY160617C203.5</stp>
        <tr r="C682" s="1"/>
      </tp>
      <tp>
        <v>6.49</v>
        <stp/>
        <stp>BID</stp>
        <stp>.SPY150522C205.5</stp>
        <tr r="C224" s="1"/>
      </tp>
      <tp>
        <v>0.34</v>
        <stp/>
        <stp>BID</stp>
        <stp>.SPY150522C215.5</stp>
        <tr r="C244" s="1"/>
      </tp>
      <tp>
        <v>4.0999999999999996</v>
        <stp/>
        <stp>BID</stp>
        <stp>.SPY150501C206.5</stp>
        <tr r="C100" s="1"/>
      </tp>
      <tp>
        <v>1.03</v>
        <stp/>
        <stp>BID</stp>
        <stp>.SPY150515C212.5</stp>
        <tr r="C196" s="1"/>
      </tp>
      <tp>
        <v>0</v>
        <stp/>
        <stp>BID</stp>
        <stp>.SPY150501C216.5</stp>
        <tr r="C120" s="1"/>
      </tp>
      <tp>
        <v>8.99</v>
        <stp/>
        <stp>BID</stp>
        <stp>.SPY150515C202.5</stp>
        <tr r="C176" s="1"/>
      </tp>
      <tp>
        <v>8.0500000000000007</v>
        <stp/>
        <stp>BID</stp>
        <stp>.SPY150424C203.5</stp>
        <tr r="C52" s="1"/>
      </tp>
      <tp>
        <v>0</v>
        <stp/>
        <stp>BID</stp>
        <stp>.SPY150424C213.5</stp>
        <tr r="C72" s="1"/>
      </tp>
      <tp>
        <v>0</v>
        <stp/>
        <stp>BID</stp>
        <stp>.SPY150417C210.5</stp>
        <tr r="C24" s="1"/>
      </tp>
      <tp>
        <v>7.49</v>
        <stp/>
        <stp>BID</stp>
        <stp>.SPY150417C200.5</stp>
        <tr r="C4" s="1"/>
      </tp>
      <tp t="s">
        <v>N/A</v>
        <stp/>
        <stp>BID</stp>
        <stp>.SPY151231C216.5</stp>
        <tr r="C582" s="1"/>
      </tp>
      <tp t="s">
        <v>N/A</v>
        <stp/>
        <stp>BID</stp>
        <stp>.SPY151231C206.5</stp>
        <tr r="C562" s="1"/>
      </tp>
      <tp t="s">
        <v>N/A</v>
        <stp/>
        <stp>BID</stp>
        <stp>.SPY161216C212.5</stp>
        <tr r="C784" s="1"/>
      </tp>
      <tp t="s">
        <v>N/A</v>
        <stp/>
        <stp>BID</stp>
        <stp>.SPY171215C210.5</stp>
        <tr r="C906" s="1"/>
      </tp>
      <tp t="s">
        <v>N/A</v>
        <stp/>
        <stp>BID</stp>
        <stp>.SPY161216C202.5</stp>
        <tr r="C764" s="1"/>
      </tp>
      <tp t="s">
        <v>N/A</v>
        <stp/>
        <stp>BID</stp>
        <stp>.SPY171215C200.5</stp>
        <tr r="C886" s="1"/>
      </tp>
      <tp t="s">
        <v>N/A</v>
        <stp/>
        <stp>RHO</stp>
        <stp>.SPY151231C217.5</stp>
        <tr r="K584" s="1"/>
      </tp>
      <tp t="s">
        <v>N/A</v>
        <stp/>
        <stp>RHO</stp>
        <stp>.SPY151231C207.5</stp>
        <tr r="K564" s="1"/>
      </tp>
      <tp t="s">
        <v>N/A</v>
        <stp/>
        <stp>RHO</stp>
        <stp>.SPY161216C213.5</stp>
        <tr r="K786" s="1"/>
      </tp>
      <tp t="s">
        <v>N/A</v>
        <stp/>
        <stp>RHO</stp>
        <stp>.SPY171215C211.5</stp>
        <tr r="K908" s="1"/>
      </tp>
      <tp t="s">
        <v>N/A</v>
        <stp/>
        <stp>RHO</stp>
        <stp>.SPY161216C203.5</stp>
        <tr r="K766" s="1"/>
      </tp>
      <tp t="s">
        <v>N/A</v>
        <stp/>
        <stp>RHO</stp>
        <stp>.SPY171215C201.5</stp>
        <tr r="K888" s="1"/>
      </tp>
      <tp t="s">
        <v>N/A</v>
        <stp/>
        <stp>RHO</stp>
        <stp>.SPY150930C216.5</stp>
        <tr r="K498" s="1"/>
      </tp>
      <tp t="s">
        <v>N/A</v>
        <stp/>
        <stp>RHO</stp>
        <stp>.SPY150930C206.5</stp>
        <tr r="K478" s="1"/>
      </tp>
      <tp t="s">
        <v>N/A</v>
        <stp/>
        <stp>RHO</stp>
        <stp>.SPY160916C213.5</stp>
        <tr r="K744" s="1"/>
      </tp>
      <tp t="s">
        <v>N/A</v>
        <stp/>
        <stp>RHO</stp>
        <stp>.SPY160916C203.5</stp>
        <tr r="K724" s="1"/>
      </tp>
      <tp t="s">
        <v>N/A</v>
        <stp/>
        <stp>RHO</stp>
        <stp>.SPY170317C213.5</stp>
        <tr r="K870" s="1"/>
      </tp>
      <tp t="s">
        <v>N/A</v>
        <stp/>
        <stp>RHO</stp>
        <stp>.SPY170317C203.5</stp>
        <tr r="K850" s="1"/>
      </tp>
      <tp t="s">
        <v>N/A</v>
        <stp/>
        <stp>RHO</stp>
        <stp>.SPY170120C204.5</stp>
        <tr r="K810" s="1"/>
      </tp>
      <tp t="s">
        <v>N/A</v>
        <stp/>
        <stp>RHO</stp>
        <stp>.SPY170120C214.5</stp>
        <tr r="K830" s="1"/>
      </tp>
      <tp t="s">
        <v>N/A</v>
        <stp/>
        <stp>RHO</stp>
        <stp>.SPY160115C210.5</stp>
        <tr r="K612" s="1"/>
      </tp>
      <tp t="s">
        <v>N/A</v>
        <stp/>
        <stp>RHO</stp>
        <stp>.SPY160115C200.5</stp>
        <tr r="K592" s="1"/>
      </tp>
      <tp t="s">
        <v>N/A</v>
        <stp/>
        <stp>RHO</stp>
        <stp>.SPY150717C211.5</stp>
        <tr r="K404" s="1"/>
      </tp>
      <tp t="s">
        <v>N/A</v>
        <stp/>
        <stp>RHO</stp>
        <stp>.SPY150717C201.5</stp>
        <tr r="K384" s="1"/>
      </tp>
      <tp t="s">
        <v>N/A</v>
        <stp/>
        <stp>RHO</stp>
        <stp>.SPY150630C216.5</stp>
        <tr r="K372" s="1"/>
      </tp>
      <tp t="s">
        <v>N/A</v>
        <stp/>
        <stp>RHO</stp>
        <stp>.SPY150630C206.5</stp>
        <tr r="K352" s="1"/>
      </tp>
      <tp t="s">
        <v>N/A</v>
        <stp/>
        <stp>RHO</stp>
        <stp>.SPY160617C212.5</stp>
        <tr r="K700" s="1"/>
      </tp>
      <tp t="s">
        <v>N/A</v>
        <stp/>
        <stp>RHO</stp>
        <stp>.SPY160617C202.5</stp>
        <tr r="K680" s="1"/>
      </tp>
      <tp>
        <v>6.6489999999999994E-2</v>
        <stp/>
        <stp>RHO</stp>
        <stp>.SPY150522C204.5</stp>
        <tr r="K222" s="1"/>
      </tp>
      <tp>
        <v>2.5729999999999999E-2</v>
        <stp/>
        <stp>RHO</stp>
        <stp>.SPY150522C214.5</stp>
        <tr r="K242" s="1"/>
      </tp>
      <tp t="s">
        <v>N/A</v>
        <stp/>
        <stp>RHO</stp>
        <stp>.SPY150501C207.5</stp>
        <tr r="K102" s="1"/>
      </tp>
      <tp>
        <v>1.9040000000000001E-2</v>
        <stp/>
        <stp>RHO</stp>
        <stp>.SPY150515C213.5</stp>
        <tr r="K198" s="1"/>
      </tp>
      <tp t="s">
        <v>N/A</v>
        <stp/>
        <stp>RHO</stp>
        <stp>.SPY150501C217.5</stp>
        <tr r="K122" s="1"/>
      </tp>
      <tp>
        <v>3.6409999999999998E-2</v>
        <stp/>
        <stp>RHO</stp>
        <stp>.SPY150515C203.5</stp>
        <tr r="K178" s="1"/>
      </tp>
      <tp t="s">
        <v>N/A</v>
        <stp/>
        <stp>RHO</stp>
        <stp>.SPY150424C202.5</stp>
        <tr r="K50" s="1"/>
      </tp>
      <tp t="s">
        <v>N/A</v>
        <stp/>
        <stp>RHO</stp>
        <stp>.SPY150424C212.5</stp>
        <tr r="K70" s="1"/>
      </tp>
      <tp t="s">
        <v>N/A</v>
        <stp/>
        <stp>RHO</stp>
        <stp>.SPY150417C211.5</stp>
        <tr r="K26" s="1"/>
      </tp>
      <tp t="s">
        <v>N/A</v>
        <stp/>
        <stp>RHO</stp>
        <stp>.SPY150417C201.5</stp>
        <tr r="K6" s="1"/>
      </tp>
      <tp t="s">
        <v>N/A</v>
        <stp/>
        <stp>BID</stp>
        <stp>.SPY151231P216.5</stp>
        <tr r="N582" s="1"/>
      </tp>
      <tp t="s">
        <v>N/A</v>
        <stp/>
        <stp>BID</stp>
        <stp>.SPY151231P206.5</stp>
        <tr r="N562" s="1"/>
      </tp>
      <tp t="s">
        <v>N/A</v>
        <stp/>
        <stp>BID</stp>
        <stp>.SPY161216P212.5</stp>
        <tr r="N784" s="1"/>
      </tp>
      <tp t="s">
        <v>N/A</v>
        <stp/>
        <stp>BID</stp>
        <stp>.SPY171215P210.5</stp>
        <tr r="N906" s="1"/>
      </tp>
      <tp t="s">
        <v>N/A</v>
        <stp/>
        <stp>BID</stp>
        <stp>.SPY161216P202.5</stp>
        <tr r="N764" s="1"/>
      </tp>
      <tp t="s">
        <v>N/A</v>
        <stp/>
        <stp>BID</stp>
        <stp>.SPY171215P200.5</stp>
        <tr r="N886" s="1"/>
      </tp>
      <tp t="s">
        <v>N/A</v>
        <stp/>
        <stp>BID</stp>
        <stp>.SPY150930P217.5</stp>
        <tr r="N500" s="1"/>
      </tp>
      <tp t="s">
        <v>N/A</v>
        <stp/>
        <stp>BID</stp>
        <stp>.SPY150930P207.5</stp>
        <tr r="N480" s="1"/>
      </tp>
      <tp t="s">
        <v>N/A</v>
        <stp/>
        <stp>BID</stp>
        <stp>.SPY160916P212.5</stp>
        <tr r="N742" s="1"/>
      </tp>
      <tp t="s">
        <v>N/A</v>
        <stp/>
        <stp>BID</stp>
        <stp>.SPY160916P202.5</stp>
        <tr r="N722" s="1"/>
      </tp>
      <tp t="s">
        <v>N/A</v>
        <stp/>
        <stp>BID</stp>
        <stp>.SPY170317P212.5</stp>
        <tr r="N868" s="1"/>
      </tp>
      <tp t="s">
        <v>N/A</v>
        <stp/>
        <stp>BID</stp>
        <stp>.SPY170317P202.5</stp>
        <tr r="N848" s="1"/>
      </tp>
      <tp t="s">
        <v>N/A</v>
        <stp/>
        <stp>BID</stp>
        <stp>.SPY170120P205.5</stp>
        <tr r="N812" s="1"/>
      </tp>
      <tp t="s">
        <v>N/A</v>
        <stp/>
        <stp>BID</stp>
        <stp>.SPY170120P215.5</stp>
        <tr r="N832" s="1"/>
      </tp>
      <tp t="s">
        <v>N/A</v>
        <stp/>
        <stp>BID</stp>
        <stp>.SPY160115P211.5</stp>
        <tr r="N614" s="1"/>
      </tp>
      <tp t="s">
        <v>N/A</v>
        <stp/>
        <stp>BID</stp>
        <stp>.SPY160115P201.5</stp>
        <tr r="N594" s="1"/>
      </tp>
      <tp t="s">
        <v>N/A</v>
        <stp/>
        <stp>BID</stp>
        <stp>.SPY150717P210.5</stp>
        <tr r="N402" s="1"/>
      </tp>
      <tp t="s">
        <v>N/A</v>
        <stp/>
        <stp>BID</stp>
        <stp>.SPY150717P200.5</stp>
        <tr r="N382" s="1"/>
      </tp>
      <tp t="s">
        <v>N/A</v>
        <stp/>
        <stp>BID</stp>
        <stp>.SPY150630P217.5</stp>
        <tr r="N374" s="1"/>
      </tp>
      <tp t="s">
        <v>N/A</v>
        <stp/>
        <stp>BID</stp>
        <stp>.SPY150630P207.5</stp>
        <tr r="N354" s="1"/>
      </tp>
      <tp t="s">
        <v>N/A</v>
        <stp/>
        <stp>BID</stp>
        <stp>.SPY160617P213.5</stp>
        <tr r="N702" s="1"/>
      </tp>
      <tp t="s">
        <v>N/A</v>
        <stp/>
        <stp>BID</stp>
        <stp>.SPY160617P203.5</stp>
        <tr r="N682" s="1"/>
      </tp>
      <tp>
        <v>0.61</v>
        <stp/>
        <stp>BID</stp>
        <stp>.SPY150522P205.5</stp>
        <tr r="N224" s="1"/>
      </tp>
      <tp>
        <v>4.3099999999999996</v>
        <stp/>
        <stp>BID</stp>
        <stp>.SPY150522P215.5</stp>
        <tr r="N244" s="1"/>
      </tp>
      <tp>
        <v>0</v>
        <stp/>
        <stp>BID</stp>
        <stp>.SPY150501P206.5</stp>
        <tr r="N100" s="1"/>
      </tp>
      <tp>
        <v>2.0299999999999998</v>
        <stp/>
        <stp>BID</stp>
        <stp>.SPY150515P212.5</stp>
        <tr r="N196" s="1"/>
      </tp>
      <tp>
        <v>5.64</v>
        <stp/>
        <stp>BID</stp>
        <stp>.SPY150501P216.5</stp>
        <tr r="N120" s="1"/>
      </tp>
      <tp>
        <v>0.17</v>
        <stp/>
        <stp>BID</stp>
        <stp>.SPY150515P202.5</stp>
        <tr r="N176" s="1"/>
      </tp>
      <tp>
        <v>0</v>
        <stp/>
        <stp>BID</stp>
        <stp>.SPY150424P203.5</stp>
        <tr r="N52" s="1"/>
      </tp>
      <tp>
        <v>1.71</v>
        <stp/>
        <stp>BID</stp>
        <stp>.SPY150424P213.5</stp>
        <tr r="N72" s="1"/>
      </tp>
      <tp>
        <v>2.2799999999999998</v>
        <stp/>
        <stp>BID</stp>
        <stp>.SPY150417P210.5</stp>
        <tr r="N24" s="1"/>
      </tp>
      <tp>
        <v>0</v>
        <stp/>
        <stp>BID</stp>
        <stp>.SPY150417P200.5</stp>
        <tr r="N4" s="1"/>
      </tp>
      <tp t="s">
        <v>N/A</v>
        <stp/>
        <stp>RHO</stp>
        <stp>.SPY150930P216.5</stp>
        <tr r="V498" s="1"/>
      </tp>
      <tp t="s">
        <v>N/A</v>
        <stp/>
        <stp>RHO</stp>
        <stp>.SPY150930P206.5</stp>
        <tr r="V478" s="1"/>
      </tp>
      <tp t="s">
        <v>N/A</v>
        <stp/>
        <stp>RHO</stp>
        <stp>.SPY160916P213.5</stp>
        <tr r="V744" s="1"/>
      </tp>
      <tp t="s">
        <v>N/A</v>
        <stp/>
        <stp>RHO</stp>
        <stp>.SPY160916P203.5</stp>
        <tr r="V724" s="1"/>
      </tp>
      <tp t="s">
        <v>N/A</v>
        <stp/>
        <stp>RHO</stp>
        <stp>.SPY170317P213.5</stp>
        <tr r="V870" s="1"/>
      </tp>
      <tp t="s">
        <v>N/A</v>
        <stp/>
        <stp>RHO</stp>
        <stp>.SPY170317P203.5</stp>
        <tr r="V850" s="1"/>
      </tp>
      <tp t="s">
        <v>N/A</v>
        <stp/>
        <stp>RHO</stp>
        <stp>.SPY170120P204.5</stp>
        <tr r="V810" s="1"/>
      </tp>
      <tp t="s">
        <v>N/A</v>
        <stp/>
        <stp>RHO</stp>
        <stp>.SPY170120P214.5</stp>
        <tr r="V830" s="1"/>
      </tp>
      <tp t="s">
        <v>N/A</v>
        <stp/>
        <stp>RHO</stp>
        <stp>.SPY160115P210.5</stp>
        <tr r="V612" s="1"/>
      </tp>
      <tp t="s">
        <v>N/A</v>
        <stp/>
        <stp>RHO</stp>
        <stp>.SPY160115P200.5</stp>
        <tr r="V592" s="1"/>
      </tp>
      <tp t="s">
        <v>N/A</v>
        <stp/>
        <stp>RHO</stp>
        <stp>.SPY150717P211.5</stp>
        <tr r="V404" s="1"/>
      </tp>
      <tp t="s">
        <v>N/A</v>
        <stp/>
        <stp>RHO</stp>
        <stp>.SPY150717P201.5</stp>
        <tr r="V384" s="1"/>
      </tp>
      <tp t="s">
        <v>N/A</v>
        <stp/>
        <stp>RHO</stp>
        <stp>.SPY150630P216.5</stp>
        <tr r="V372" s="1"/>
      </tp>
      <tp t="s">
        <v>N/A</v>
        <stp/>
        <stp>RHO</stp>
        <stp>.SPY150630P206.5</stp>
        <tr r="V352" s="1"/>
      </tp>
      <tp t="s">
        <v>N/A</v>
        <stp/>
        <stp>RHO</stp>
        <stp>.SPY160617P212.5</stp>
        <tr r="V700" s="1"/>
      </tp>
      <tp t="s">
        <v>N/A</v>
        <stp/>
        <stp>RHO</stp>
        <stp>.SPY160617P202.5</stp>
        <tr r="V680" s="1"/>
      </tp>
      <tp>
        <v>-1.626E-2</v>
        <stp/>
        <stp>RHO</stp>
        <stp>.SPY150522P204.5</stp>
        <tr r="V222" s="1"/>
      </tp>
      <tp>
        <v>-8.8690000000000005E-2</v>
        <stp/>
        <stp>RHO</stp>
        <stp>.SPY150522P214.5</stp>
        <tr r="V242" s="1"/>
      </tp>
      <tp t="s">
        <v>N/A</v>
        <stp/>
        <stp>RHO</stp>
        <stp>.SPY150501P207.5</stp>
        <tr r="V102" s="1"/>
      </tp>
      <tp>
        <v>-5.1909999999999998E-2</v>
        <stp/>
        <stp>RHO</stp>
        <stp>.SPY150515P213.5</stp>
        <tr r="V198" s="1"/>
      </tp>
      <tp t="s">
        <v>N/A</v>
        <stp/>
        <stp>RHO</stp>
        <stp>.SPY150501P217.5</stp>
        <tr r="V122" s="1"/>
      </tp>
      <tp>
        <v>-5.6100000000000004E-3</v>
        <stp/>
        <stp>RHO</stp>
        <stp>.SPY150515P203.5</stp>
        <tr r="V178" s="1"/>
      </tp>
      <tp t="s">
        <v>N/A</v>
        <stp/>
        <stp>RHO</stp>
        <stp>.SPY150424P202.5</stp>
        <tr r="V50" s="1"/>
      </tp>
      <tp t="s">
        <v>N/A</v>
        <stp/>
        <stp>RHO</stp>
        <stp>.SPY150424P212.5</stp>
        <tr r="V70" s="1"/>
      </tp>
      <tp t="s">
        <v>N/A</v>
        <stp/>
        <stp>RHO</stp>
        <stp>.SPY150417P211.5</stp>
        <tr r="V26" s="1"/>
      </tp>
      <tp t="s">
        <v>N/A</v>
        <stp/>
        <stp>RHO</stp>
        <stp>.SPY150417P201.5</stp>
        <tr r="V6" s="1"/>
      </tp>
      <tp t="s">
        <v>N/A</v>
        <stp/>
        <stp>RHO</stp>
        <stp>.SPY151231P217.5</stp>
        <tr r="V584" s="1"/>
      </tp>
      <tp t="s">
        <v>N/A</v>
        <stp/>
        <stp>RHO</stp>
        <stp>.SPY151231P207.5</stp>
        <tr r="V564" s="1"/>
      </tp>
      <tp t="s">
        <v>N/A</v>
        <stp/>
        <stp>RHO</stp>
        <stp>.SPY161216P213.5</stp>
        <tr r="V786" s="1"/>
      </tp>
      <tp t="s">
        <v>N/A</v>
        <stp/>
        <stp>RHO</stp>
        <stp>.SPY171215P211.5</stp>
        <tr r="V908" s="1"/>
      </tp>
      <tp t="s">
        <v>N/A</v>
        <stp/>
        <stp>RHO</stp>
        <stp>.SPY161216P203.5</stp>
        <tr r="V766" s="1"/>
      </tp>
      <tp t="s">
        <v>N/A</v>
        <stp/>
        <stp>RHO</stp>
        <stp>.SPY171215P201.5</stp>
        <tr r="V888" s="1"/>
      </tp>
      <tp>
        <v>0</v>
        <stp/>
        <stp>OPEN_INT</stp>
        <stp>.SPY150501P215.5</stp>
        <tr r="Q118" s="1"/>
      </tp>
      <tp>
        <v>5898</v>
        <stp/>
        <stp>OPEN_INT</stp>
        <stp>.SPY150515P201.5</stp>
        <tr r="Q174" s="1"/>
      </tp>
      <tp>
        <v>25544</v>
        <stp/>
        <stp>OPEN_INT</stp>
        <stp>.SPY150501P205.5</stp>
        <tr r="Q98" s="1"/>
      </tp>
      <tp>
        <v>16598</v>
        <stp/>
        <stp>OPEN_INT</stp>
        <stp>.SPY150515P211.5</stp>
        <tr r="Q194" s="1"/>
      </tp>
      <tp>
        <v>227</v>
        <stp/>
        <stp>OPEN_INT</stp>
        <stp>.SPY150522P216.5</stp>
        <tr r="Q246" s="1"/>
      </tp>
      <tp>
        <v>1401</v>
        <stp/>
        <stp>OPEN_INT</stp>
        <stp>.SPY150522P206.5</stp>
        <tr r="Q226" s="1"/>
      </tp>
      <tp>
        <v>14045</v>
        <stp/>
        <stp>OPEN_INT</stp>
        <stp>.SPY150417P203.5</stp>
        <tr r="Q10" s="1"/>
      </tp>
      <tp>
        <v>0</v>
        <stp/>
        <stp>OPEN_INT</stp>
        <stp>.SPY150417P213.5</stp>
        <tr r="Q30" s="1"/>
      </tp>
      <tp>
        <v>32114</v>
        <stp/>
        <stp>OPEN_INT</stp>
        <stp>.SPY150424P210.5</stp>
        <tr r="Q66" s="1"/>
      </tp>
      <tp>
        <v>1989</v>
        <stp/>
        <stp>OPEN_INT</stp>
        <stp>.SPY150424P200.5</stp>
        <tr r="Q46" s="1"/>
      </tp>
      <tp t="s">
        <v>N/A</v>
        <stp/>
        <stp>OPEN_INT</stp>
        <stp>.SPY150717P203.5</stp>
        <tr r="Q388" s="1"/>
      </tp>
      <tp t="s">
        <v>N/A</v>
        <stp/>
        <stp>OPEN_INT</stp>
        <stp>.SPY150717P213.5</stp>
        <tr r="Q408" s="1"/>
      </tp>
      <tp t="s">
        <v>N/A</v>
        <stp/>
        <stp>OPEN_INT</stp>
        <stp>.SPY160617P200.5</stp>
        <tr r="Q676" s="1"/>
      </tp>
      <tp t="s">
        <v>N/A</v>
        <stp/>
        <stp>OPEN_INT</stp>
        <stp>.SPY160617P210.5</stp>
        <tr r="Q696" s="1"/>
      </tp>
      <tp t="s">
        <v>N/A</v>
        <stp/>
        <stp>OPEN_INT</stp>
        <stp>.SPY150630P204.5</stp>
        <tr r="Q348" s="1"/>
      </tp>
      <tp t="s">
        <v>N/A</v>
        <stp/>
        <stp>OPEN_INT</stp>
        <stp>.SPY150630P214.5</stp>
        <tr r="Q368" s="1"/>
      </tp>
      <tp t="s">
        <v>N/A</v>
        <stp/>
        <stp>OPEN_INT</stp>
        <stp>.SPY160115P202.5</stp>
        <tr r="Q596" s="1"/>
      </tp>
      <tp t="s">
        <v>N/A</v>
        <stp/>
        <stp>OPEN_INT</stp>
        <stp>.SPY160115P212.5</stp>
        <tr r="Q616" s="1"/>
      </tp>
      <tp t="s">
        <v>N/A</v>
        <stp/>
        <stp>OPEN_INT</stp>
        <stp>.SPY170120P216.5</stp>
        <tr r="Q834" s="1"/>
      </tp>
      <tp t="s">
        <v>N/A</v>
        <stp/>
        <stp>OPEN_INT</stp>
        <stp>.SPY170120P206.5</stp>
        <tr r="Q814" s="1"/>
      </tp>
      <tp t="s">
        <v>N/A</v>
        <stp/>
        <stp>OPEN_INT</stp>
        <stp>.SPY170317P201.5</stp>
        <tr r="Q846" s="1"/>
      </tp>
      <tp t="s">
        <v>N/A</v>
        <stp/>
        <stp>OPEN_INT</stp>
        <stp>.SPY170317P211.5</stp>
        <tr r="Q866" s="1"/>
      </tp>
      <tp t="s">
        <v>N/A</v>
        <stp/>
        <stp>OPEN_INT</stp>
        <stp>.SPY160916P201.5</stp>
        <tr r="Q720" s="1"/>
      </tp>
      <tp t="s">
        <v>N/A</v>
        <stp/>
        <stp>OPEN_INT</stp>
        <stp>.SPY160916P211.5</stp>
        <tr r="Q740" s="1"/>
      </tp>
      <tp t="s">
        <v>N/A</v>
        <stp/>
        <stp>OPEN_INT</stp>
        <stp>.SPY150930P204.5</stp>
        <tr r="Q474" s="1"/>
      </tp>
      <tp t="s">
        <v>N/A</v>
        <stp/>
        <stp>OPEN_INT</stp>
        <stp>.SPY150930P214.5</stp>
        <tr r="Q494" s="1"/>
      </tp>
      <tp t="s">
        <v>N/A</v>
        <stp/>
        <stp>OPEN_INT</stp>
        <stp>.SPY161216P201.5</stp>
        <tr r="Q762" s="1"/>
      </tp>
      <tp t="s">
        <v>N/A</v>
        <stp/>
        <stp>OPEN_INT</stp>
        <stp>.SPY171215P203.5</stp>
        <tr r="Q892" s="1"/>
      </tp>
      <tp t="s">
        <v>N/A</v>
        <stp/>
        <stp>OPEN_INT</stp>
        <stp>.SPY161216P211.5</stp>
        <tr r="Q782" s="1"/>
      </tp>
      <tp t="s">
        <v>N/A</v>
        <stp/>
        <stp>OPEN_INT</stp>
        <stp>.SPY171215P213.5</stp>
        <tr r="Q912" s="1"/>
      </tp>
      <tp t="s">
        <v>N/A</v>
        <stp/>
        <stp>OPEN_INT</stp>
        <stp>.SPY151231P205.5</stp>
        <tr r="Q560" s="1"/>
      </tp>
      <tp t="s">
        <v>N/A</v>
        <stp/>
        <stp>OPEN_INT</stp>
        <stp>.SPY151231P215.5</stp>
        <tr r="Q580" s="1"/>
      </tp>
      <tp t="s">
        <v>N/A</v>
        <stp/>
        <stp>OPEN_INT</stp>
        <stp>.SPY161216C201.5</stp>
        <tr r="F762" s="1"/>
      </tp>
      <tp t="s">
        <v>N/A</v>
        <stp/>
        <stp>OPEN_INT</stp>
        <stp>.SPY171215C203.5</stp>
        <tr r="F892" s="1"/>
      </tp>
      <tp t="s">
        <v>N/A</v>
        <stp/>
        <stp>OPEN_INT</stp>
        <stp>.SPY161216C211.5</stp>
        <tr r="F782" s="1"/>
      </tp>
      <tp t="s">
        <v>N/A</v>
        <stp/>
        <stp>OPEN_INT</stp>
        <stp>.SPY171215C213.5</stp>
        <tr r="F912" s="1"/>
      </tp>
      <tp t="s">
        <v>N/A</v>
        <stp/>
        <stp>OPEN_INT</stp>
        <stp>.SPY151231C205.5</stp>
        <tr r="F560" s="1"/>
      </tp>
      <tp t="s">
        <v>N/A</v>
        <stp/>
        <stp>OPEN_INT</stp>
        <stp>.SPY151231C215.5</stp>
        <tr r="F580" s="1"/>
      </tp>
      <tp>
        <v>34284</v>
        <stp/>
        <stp>OPEN_INT</stp>
        <stp>.SPY150501C215.5</stp>
        <tr r="F118" s="1"/>
      </tp>
      <tp>
        <v>401</v>
        <stp/>
        <stp>OPEN_INT</stp>
        <stp>.SPY150515C201.5</stp>
        <tr r="F174" s="1"/>
      </tp>
      <tp>
        <v>0</v>
        <stp/>
        <stp>OPEN_INT</stp>
        <stp>.SPY150501C205.5</stp>
        <tr r="F98" s="1"/>
      </tp>
      <tp>
        <v>17490</v>
        <stp/>
        <stp>OPEN_INT</stp>
        <stp>.SPY150515C211.5</stp>
        <tr r="F194" s="1"/>
      </tp>
      <tp>
        <v>3525</v>
        <stp/>
        <stp>OPEN_INT</stp>
        <stp>.SPY150522C216.5</stp>
        <tr r="F246" s="1"/>
      </tp>
      <tp>
        <v>237</v>
        <stp/>
        <stp>OPEN_INT</stp>
        <stp>.SPY150522C206.5</stp>
        <tr r="F226" s="1"/>
      </tp>
      <tp>
        <v>0</v>
        <stp/>
        <stp>OPEN_INT</stp>
        <stp>.SPY150417C203.5</stp>
        <tr r="F10" s="1"/>
      </tp>
      <tp>
        <v>79109</v>
        <stp/>
        <stp>OPEN_INT</stp>
        <stp>.SPY150417C213.5</stp>
        <tr r="F30" s="1"/>
      </tp>
      <tp>
        <v>0</v>
        <stp/>
        <stp>OPEN_INT</stp>
        <stp>.SPY150424C210.5</stp>
        <tr r="F66" s="1"/>
      </tp>
      <tp>
        <v>0</v>
        <stp/>
        <stp>OPEN_INT</stp>
        <stp>.SPY150424C200.5</stp>
        <tr r="F46" s="1"/>
      </tp>
      <tp t="s">
        <v>N/A</v>
        <stp/>
        <stp>OPEN_INT</stp>
        <stp>.SPY150717C203.5</stp>
        <tr r="F388" s="1"/>
      </tp>
      <tp t="s">
        <v>N/A</v>
        <stp/>
        <stp>OPEN_INT</stp>
        <stp>.SPY150717C213.5</stp>
        <tr r="F408" s="1"/>
      </tp>
      <tp t="s">
        <v>N/A</v>
        <stp/>
        <stp>OPEN_INT</stp>
        <stp>.SPY160617C200.5</stp>
        <tr r="F676" s="1"/>
      </tp>
      <tp t="s">
        <v>N/A</v>
        <stp/>
        <stp>OPEN_INT</stp>
        <stp>.SPY160617C210.5</stp>
        <tr r="F696" s="1"/>
      </tp>
      <tp t="s">
        <v>N/A</v>
        <stp/>
        <stp>OPEN_INT</stp>
        <stp>.SPY150630C204.5</stp>
        <tr r="F348" s="1"/>
      </tp>
      <tp t="s">
        <v>N/A</v>
        <stp/>
        <stp>OPEN_INT</stp>
        <stp>.SPY150630C214.5</stp>
        <tr r="F368" s="1"/>
      </tp>
      <tp t="s">
        <v>N/A</v>
        <stp/>
        <stp>OPEN_INT</stp>
        <stp>.SPY160115C202.5</stp>
        <tr r="F596" s="1"/>
      </tp>
      <tp t="s">
        <v>N/A</v>
        <stp/>
        <stp>OPEN_INT</stp>
        <stp>.SPY160115C212.5</stp>
        <tr r="F616" s="1"/>
      </tp>
      <tp t="s">
        <v>N/A</v>
        <stp/>
        <stp>OPEN_INT</stp>
        <stp>.SPY170120C216.5</stp>
        <tr r="F834" s="1"/>
      </tp>
      <tp t="s">
        <v>N/A</v>
        <stp/>
        <stp>OPEN_INT</stp>
        <stp>.SPY170120C206.5</stp>
        <tr r="F814" s="1"/>
      </tp>
      <tp t="s">
        <v>N/A</v>
        <stp/>
        <stp>OPEN_INT</stp>
        <stp>.SPY170317C201.5</stp>
        <tr r="F846" s="1"/>
      </tp>
      <tp t="s">
        <v>N/A</v>
        <stp/>
        <stp>OPEN_INT</stp>
        <stp>.SPY170317C211.5</stp>
        <tr r="F866" s="1"/>
      </tp>
      <tp t="s">
        <v>N/A</v>
        <stp/>
        <stp>OPEN_INT</stp>
        <stp>.SPY160916C201.5</stp>
        <tr r="F720" s="1"/>
      </tp>
      <tp t="s">
        <v>N/A</v>
        <stp/>
        <stp>OPEN_INT</stp>
        <stp>.SPY160916C211.5</stp>
        <tr r="F740" s="1"/>
      </tp>
      <tp t="s">
        <v>N/A</v>
        <stp/>
        <stp>OPEN_INT</stp>
        <stp>.SPY150930C204.5</stp>
        <tr r="F474" s="1"/>
      </tp>
      <tp t="s">
        <v>N/A</v>
        <stp/>
        <stp>OPEN_INT</stp>
        <stp>.SPY150930C214.5</stp>
        <tr r="F494" s="1"/>
      </tp>
      <tp>
        <v>0</v>
        <stp/>
        <stp>OPEN_INT</stp>
        <stp>.SPY150501P214.5</stp>
        <tr r="Q116" s="1"/>
      </tp>
      <tp>
        <v>2415</v>
        <stp/>
        <stp>OPEN_INT</stp>
        <stp>.SPY150515P200.5</stp>
        <tr r="Q172" s="1"/>
      </tp>
      <tp>
        <v>19205</v>
        <stp/>
        <stp>OPEN_INT</stp>
        <stp>.SPY150501P204.5</stp>
        <tr r="Q96" s="1"/>
      </tp>
      <tp>
        <v>14680</v>
        <stp/>
        <stp>OPEN_INT</stp>
        <stp>.SPY150515P210.5</stp>
        <tr r="Q192" s="1"/>
      </tp>
      <tp>
        <v>90</v>
        <stp/>
        <stp>OPEN_INT</stp>
        <stp>.SPY150522P217.5</stp>
        <tr r="Q248" s="1"/>
      </tp>
      <tp>
        <v>1088</v>
        <stp/>
        <stp>OPEN_INT</stp>
        <stp>.SPY150522P207.5</stp>
        <tr r="Q228" s="1"/>
      </tp>
      <tp>
        <v>14553</v>
        <stp/>
        <stp>OPEN_INT</stp>
        <stp>.SPY150417P202.5</stp>
        <tr r="Q8" s="1"/>
      </tp>
      <tp>
        <v>0</v>
        <stp/>
        <stp>OPEN_INT</stp>
        <stp>.SPY150417P212.5</stp>
        <tr r="Q28" s="1"/>
      </tp>
      <tp>
        <v>13639</v>
        <stp/>
        <stp>OPEN_INT</stp>
        <stp>.SPY150424P211.5</stp>
        <tr r="Q68" s="1"/>
      </tp>
      <tp>
        <v>5384</v>
        <stp/>
        <stp>OPEN_INT</stp>
        <stp>.SPY150424P201.5</stp>
        <tr r="Q48" s="1"/>
      </tp>
      <tp t="s">
        <v>N/A</v>
        <stp/>
        <stp>OPEN_INT</stp>
        <stp>.SPY150717P202.5</stp>
        <tr r="Q386" s="1"/>
      </tp>
      <tp t="s">
        <v>N/A</v>
        <stp/>
        <stp>OPEN_INT</stp>
        <stp>.SPY150717P212.5</stp>
        <tr r="Q406" s="1"/>
      </tp>
      <tp t="s">
        <v>N/A</v>
        <stp/>
        <stp>OPEN_INT</stp>
        <stp>.SPY160617P201.5</stp>
        <tr r="Q678" s="1"/>
      </tp>
      <tp t="s">
        <v>N/A</v>
        <stp/>
        <stp>OPEN_INT</stp>
        <stp>.SPY160617P211.5</stp>
        <tr r="Q698" s="1"/>
      </tp>
      <tp t="s">
        <v>N/A</v>
        <stp/>
        <stp>OPEN_INT</stp>
        <stp>.SPY150630P205.5</stp>
        <tr r="Q350" s="1"/>
      </tp>
      <tp t="s">
        <v>N/A</v>
        <stp/>
        <stp>OPEN_INT</stp>
        <stp>.SPY150630P215.5</stp>
        <tr r="Q370" s="1"/>
      </tp>
      <tp t="s">
        <v>N/A</v>
        <stp/>
        <stp>OPEN_INT</stp>
        <stp>.SPY160115P203.5</stp>
        <tr r="Q598" s="1"/>
      </tp>
      <tp t="s">
        <v>N/A</v>
        <stp/>
        <stp>OPEN_INT</stp>
        <stp>.SPY160115P213.5</stp>
        <tr r="Q618" s="1"/>
      </tp>
      <tp t="s">
        <v>N/A</v>
        <stp/>
        <stp>OPEN_INT</stp>
        <stp>.SPY170120P217.5</stp>
        <tr r="Q836" s="1"/>
      </tp>
      <tp t="s">
        <v>N/A</v>
        <stp/>
        <stp>OPEN_INT</stp>
        <stp>.SPY170120P207.5</stp>
        <tr r="Q816" s="1"/>
      </tp>
      <tp t="s">
        <v>N/A</v>
        <stp/>
        <stp>OPEN_INT</stp>
        <stp>.SPY170317P200.5</stp>
        <tr r="Q844" s="1"/>
      </tp>
      <tp t="s">
        <v>N/A</v>
        <stp/>
        <stp>OPEN_INT</stp>
        <stp>.SPY170317P210.5</stp>
        <tr r="Q864" s="1"/>
      </tp>
      <tp t="s">
        <v>N/A</v>
        <stp/>
        <stp>OPEN_INT</stp>
        <stp>.SPY160916P200.5</stp>
        <tr r="Q718" s="1"/>
      </tp>
      <tp t="s">
        <v>N/A</v>
        <stp/>
        <stp>OPEN_INT</stp>
        <stp>.SPY160916P210.5</stp>
        <tr r="Q738" s="1"/>
      </tp>
      <tp t="s">
        <v>N/A</v>
        <stp/>
        <stp>OPEN_INT</stp>
        <stp>.SPY150930P205.5</stp>
        <tr r="Q476" s="1"/>
      </tp>
      <tp t="s">
        <v>N/A</v>
        <stp/>
        <stp>OPEN_INT</stp>
        <stp>.SPY150930P215.5</stp>
        <tr r="Q496" s="1"/>
      </tp>
      <tp t="s">
        <v>N/A</v>
        <stp/>
        <stp>OPEN_INT</stp>
        <stp>.SPY161216P200.5</stp>
        <tr r="Q760" s="1"/>
      </tp>
      <tp t="s">
        <v>N/A</v>
        <stp/>
        <stp>OPEN_INT</stp>
        <stp>.SPY171215P202.5</stp>
        <tr r="Q890" s="1"/>
      </tp>
      <tp t="s">
        <v>N/A</v>
        <stp/>
        <stp>OPEN_INT</stp>
        <stp>.SPY161216P210.5</stp>
        <tr r="Q780" s="1"/>
      </tp>
      <tp t="s">
        <v>N/A</v>
        <stp/>
        <stp>OPEN_INT</stp>
        <stp>.SPY171215P212.5</stp>
        <tr r="Q910" s="1"/>
      </tp>
      <tp t="s">
        <v>N/A</v>
        <stp/>
        <stp>OPEN_INT</stp>
        <stp>.SPY151231P204.5</stp>
        <tr r="Q558" s="1"/>
      </tp>
      <tp t="s">
        <v>N/A</v>
        <stp/>
        <stp>OPEN_INT</stp>
        <stp>.SPY151231P214.5</stp>
        <tr r="Q578" s="1"/>
      </tp>
      <tp t="s">
        <v>N/A</v>
        <stp/>
        <stp>OPEN_INT</stp>
        <stp>.SPY161216C200.5</stp>
        <tr r="F760" s="1"/>
      </tp>
      <tp t="s">
        <v>N/A</v>
        <stp/>
        <stp>OPEN_INT</stp>
        <stp>.SPY171215C202.5</stp>
        <tr r="F890" s="1"/>
      </tp>
      <tp t="s">
        <v>N/A</v>
        <stp/>
        <stp>OPEN_INT</stp>
        <stp>.SPY161216C210.5</stp>
        <tr r="F780" s="1"/>
      </tp>
      <tp t="s">
        <v>N/A</v>
        <stp/>
        <stp>OPEN_INT</stp>
        <stp>.SPY171215C212.5</stp>
        <tr r="F910" s="1"/>
      </tp>
      <tp t="s">
        <v>N/A</v>
        <stp/>
        <stp>OPEN_INT</stp>
        <stp>.SPY151231C204.5</stp>
        <tr r="F558" s="1"/>
      </tp>
      <tp t="s">
        <v>N/A</v>
        <stp/>
        <stp>OPEN_INT</stp>
        <stp>.SPY151231C214.5</stp>
        <tr r="F578" s="1"/>
      </tp>
      <tp>
        <v>65490</v>
        <stp/>
        <stp>OPEN_INT</stp>
        <stp>.SPY150501C214.5</stp>
        <tr r="F116" s="1"/>
      </tp>
      <tp>
        <v>272</v>
        <stp/>
        <stp>OPEN_INT</stp>
        <stp>.SPY150515C200.5</stp>
        <tr r="F172" s="1"/>
      </tp>
      <tp>
        <v>0</v>
        <stp/>
        <stp>OPEN_INT</stp>
        <stp>.SPY150501C204.5</stp>
        <tr r="F96" s="1"/>
      </tp>
      <tp>
        <v>11751</v>
        <stp/>
        <stp>OPEN_INT</stp>
        <stp>.SPY150515C210.5</stp>
        <tr r="F192" s="1"/>
      </tp>
      <tp>
        <v>3005</v>
        <stp/>
        <stp>OPEN_INT</stp>
        <stp>.SPY150522C217.5</stp>
        <tr r="F248" s="1"/>
      </tp>
      <tp>
        <v>446</v>
        <stp/>
        <stp>OPEN_INT</stp>
        <stp>.SPY150522C207.5</stp>
        <tr r="F228" s="1"/>
      </tp>
      <tp>
        <v>0</v>
        <stp/>
        <stp>OPEN_INT</stp>
        <stp>.SPY150417C202.5</stp>
        <tr r="F8" s="1"/>
      </tp>
      <tp>
        <v>42921</v>
        <stp/>
        <stp>OPEN_INT</stp>
        <stp>.SPY150417C212.5</stp>
        <tr r="F28" s="1"/>
      </tp>
      <tp>
        <v>1</v>
        <stp/>
        <stp>OPEN_INT</stp>
        <stp>.SPY150424C211.5</stp>
        <tr r="F68" s="1"/>
      </tp>
      <tp>
        <v>0</v>
        <stp/>
        <stp>OPEN_INT</stp>
        <stp>.SPY150424C201.5</stp>
        <tr r="F48" s="1"/>
      </tp>
      <tp t="s">
        <v>N/A</v>
        <stp/>
        <stp>OPEN_INT</stp>
        <stp>.SPY150717C202.5</stp>
        <tr r="F386" s="1"/>
      </tp>
      <tp t="s">
        <v>N/A</v>
        <stp/>
        <stp>OPEN_INT</stp>
        <stp>.SPY150717C212.5</stp>
        <tr r="F406" s="1"/>
      </tp>
      <tp t="s">
        <v>N/A</v>
        <stp/>
        <stp>OPEN_INT</stp>
        <stp>.SPY160617C201.5</stp>
        <tr r="F678" s="1"/>
      </tp>
      <tp t="s">
        <v>N/A</v>
        <stp/>
        <stp>OPEN_INT</stp>
        <stp>.SPY160617C211.5</stp>
        <tr r="F698" s="1"/>
      </tp>
      <tp t="s">
        <v>N/A</v>
        <stp/>
        <stp>OPEN_INT</stp>
        <stp>.SPY150630C205.5</stp>
        <tr r="F350" s="1"/>
      </tp>
      <tp t="s">
        <v>N/A</v>
        <stp/>
        <stp>OPEN_INT</stp>
        <stp>.SPY150630C215.5</stp>
        <tr r="F370" s="1"/>
      </tp>
      <tp t="s">
        <v>N/A</v>
        <stp/>
        <stp>OPEN_INT</stp>
        <stp>.SPY160115C203.5</stp>
        <tr r="F598" s="1"/>
      </tp>
      <tp t="s">
        <v>N/A</v>
        <stp/>
        <stp>OPEN_INT</stp>
        <stp>.SPY160115C213.5</stp>
        <tr r="F618" s="1"/>
      </tp>
      <tp t="s">
        <v>N/A</v>
        <stp/>
        <stp>OPEN_INT</stp>
        <stp>.SPY170120C217.5</stp>
        <tr r="F836" s="1"/>
      </tp>
      <tp t="s">
        <v>N/A</v>
        <stp/>
        <stp>OPEN_INT</stp>
        <stp>.SPY170120C207.5</stp>
        <tr r="F816" s="1"/>
      </tp>
      <tp t="s">
        <v>N/A</v>
        <stp/>
        <stp>OPEN_INT</stp>
        <stp>.SPY170317C200.5</stp>
        <tr r="F844" s="1"/>
      </tp>
      <tp t="s">
        <v>N/A</v>
        <stp/>
        <stp>OPEN_INT</stp>
        <stp>.SPY170317C210.5</stp>
        <tr r="F864" s="1"/>
      </tp>
      <tp t="s">
        <v>N/A</v>
        <stp/>
        <stp>OPEN_INT</stp>
        <stp>.SPY160916C200.5</stp>
        <tr r="F718" s="1"/>
      </tp>
      <tp t="s">
        <v>N/A</v>
        <stp/>
        <stp>OPEN_INT</stp>
        <stp>.SPY160916C210.5</stp>
        <tr r="F738" s="1"/>
      </tp>
      <tp t="s">
        <v>N/A</v>
        <stp/>
        <stp>OPEN_INT</stp>
        <stp>.SPY150930C205.5</stp>
        <tr r="F476" s="1"/>
      </tp>
      <tp t="s">
        <v>N/A</v>
        <stp/>
        <stp>OPEN_INT</stp>
        <stp>.SPY150930C215.5</stp>
        <tr r="F496" s="1"/>
      </tp>
      <tp>
        <v>0</v>
        <stp/>
        <stp>OPEN_INT</stp>
        <stp>.SPY150501P217.5</stp>
        <tr r="Q122" s="1"/>
      </tp>
      <tp>
        <v>10115</v>
        <stp/>
        <stp>OPEN_INT</stp>
        <stp>.SPY150515P203.5</stp>
        <tr r="Q178" s="1"/>
      </tp>
      <tp>
        <v>60283</v>
        <stp/>
        <stp>OPEN_INT</stp>
        <stp>.SPY150501P207.5</stp>
        <tr r="Q102" s="1"/>
      </tp>
      <tp>
        <v>599</v>
        <stp/>
        <stp>OPEN_INT</stp>
        <stp>.SPY150515P213.5</stp>
        <tr r="Q198" s="1"/>
      </tp>
      <tp>
        <v>67</v>
        <stp/>
        <stp>OPEN_INT</stp>
        <stp>.SPY150522P214.5</stp>
        <tr r="Q242" s="1"/>
      </tp>
      <tp>
        <v>1790</v>
        <stp/>
        <stp>OPEN_INT</stp>
        <stp>.SPY150522P204.5</stp>
        <tr r="Q222" s="1"/>
      </tp>
      <tp>
        <v>19717</v>
        <stp/>
        <stp>OPEN_INT</stp>
        <stp>.SPY150417P201.5</stp>
        <tr r="Q6" s="1"/>
      </tp>
      <tp>
        <v>0</v>
        <stp/>
        <stp>OPEN_INT</stp>
        <stp>.SPY150417P211.5</stp>
        <tr r="Q26" s="1"/>
      </tp>
      <tp>
        <v>0</v>
        <stp/>
        <stp>OPEN_INT</stp>
        <stp>.SPY150424P212.5</stp>
        <tr r="Q70" s="1"/>
      </tp>
      <tp>
        <v>7419</v>
        <stp/>
        <stp>OPEN_INT</stp>
        <stp>.SPY150424P202.5</stp>
        <tr r="Q50" s="1"/>
      </tp>
      <tp t="s">
        <v>N/A</v>
        <stp/>
        <stp>OPEN_INT</stp>
        <stp>.SPY150717P201.5</stp>
        <tr r="Q384" s="1"/>
      </tp>
      <tp t="s">
        <v>N/A</v>
        <stp/>
        <stp>OPEN_INT</stp>
        <stp>.SPY150717P211.5</stp>
        <tr r="Q404" s="1"/>
      </tp>
      <tp t="s">
        <v>N/A</v>
        <stp/>
        <stp>OPEN_INT</stp>
        <stp>.SPY160617P202.5</stp>
        <tr r="Q680" s="1"/>
      </tp>
      <tp t="s">
        <v>N/A</v>
        <stp/>
        <stp>OPEN_INT</stp>
        <stp>.SPY160617P212.5</stp>
        <tr r="Q700" s="1"/>
      </tp>
      <tp t="s">
        <v>N/A</v>
        <stp/>
        <stp>OPEN_INT</stp>
        <stp>.SPY150630P206.5</stp>
        <tr r="Q352" s="1"/>
      </tp>
      <tp t="s">
        <v>N/A</v>
        <stp/>
        <stp>OPEN_INT</stp>
        <stp>.SPY150630P216.5</stp>
        <tr r="Q372" s="1"/>
      </tp>
      <tp t="s">
        <v>N/A</v>
        <stp/>
        <stp>OPEN_INT</stp>
        <stp>.SPY160115P200.5</stp>
        <tr r="Q592" s="1"/>
      </tp>
      <tp t="s">
        <v>N/A</v>
        <stp/>
        <stp>OPEN_INT</stp>
        <stp>.SPY160115P210.5</stp>
        <tr r="Q612" s="1"/>
      </tp>
      <tp t="s">
        <v>N/A</v>
        <stp/>
        <stp>OPEN_INT</stp>
        <stp>.SPY170120P214.5</stp>
        <tr r="Q830" s="1"/>
      </tp>
      <tp t="s">
        <v>N/A</v>
        <stp/>
        <stp>OPEN_INT</stp>
        <stp>.SPY170120P204.5</stp>
        <tr r="Q810" s="1"/>
      </tp>
      <tp t="s">
        <v>N/A</v>
        <stp/>
        <stp>OPEN_INT</stp>
        <stp>.SPY170317P203.5</stp>
        <tr r="Q850" s="1"/>
      </tp>
      <tp t="s">
        <v>N/A</v>
        <stp/>
        <stp>OPEN_INT</stp>
        <stp>.SPY170317P213.5</stp>
        <tr r="Q870" s="1"/>
      </tp>
      <tp t="s">
        <v>N/A</v>
        <stp/>
        <stp>OPEN_INT</stp>
        <stp>.SPY160916P203.5</stp>
        <tr r="Q724" s="1"/>
      </tp>
      <tp t="s">
        <v>N/A</v>
        <stp/>
        <stp>OPEN_INT</stp>
        <stp>.SPY160916P213.5</stp>
        <tr r="Q744" s="1"/>
      </tp>
      <tp t="s">
        <v>N/A</v>
        <stp/>
        <stp>OPEN_INT</stp>
        <stp>.SPY150930P206.5</stp>
        <tr r="Q478" s="1"/>
      </tp>
      <tp t="s">
        <v>N/A</v>
        <stp/>
        <stp>OPEN_INT</stp>
        <stp>.SPY150930P216.5</stp>
        <tr r="Q498" s="1"/>
      </tp>
      <tp t="s">
        <v>N/A</v>
        <stp/>
        <stp>OPEN_INT</stp>
        <stp>.SPY161216P203.5</stp>
        <tr r="Q766" s="1"/>
      </tp>
      <tp t="s">
        <v>N/A</v>
        <stp/>
        <stp>OPEN_INT</stp>
        <stp>.SPY171215P201.5</stp>
        <tr r="Q888" s="1"/>
      </tp>
      <tp t="s">
        <v>N/A</v>
        <stp/>
        <stp>OPEN_INT</stp>
        <stp>.SPY161216P213.5</stp>
        <tr r="Q786" s="1"/>
      </tp>
      <tp t="s">
        <v>N/A</v>
        <stp/>
        <stp>OPEN_INT</stp>
        <stp>.SPY171215P211.5</stp>
        <tr r="Q908" s="1"/>
      </tp>
      <tp t="s">
        <v>N/A</v>
        <stp/>
        <stp>OPEN_INT</stp>
        <stp>.SPY151231P207.5</stp>
        <tr r="Q564" s="1"/>
      </tp>
      <tp t="s">
        <v>N/A</v>
        <stp/>
        <stp>OPEN_INT</stp>
        <stp>.SPY151231P217.5</stp>
        <tr r="Q584" s="1"/>
      </tp>
      <tp t="s">
        <v>N/A</v>
        <stp/>
        <stp>OPEN_INT</stp>
        <stp>.SPY161216C203.5</stp>
        <tr r="F766" s="1"/>
      </tp>
      <tp t="s">
        <v>N/A</v>
        <stp/>
        <stp>OPEN_INT</stp>
        <stp>.SPY171215C201.5</stp>
        <tr r="F888" s="1"/>
      </tp>
      <tp t="s">
        <v>N/A</v>
        <stp/>
        <stp>OPEN_INT</stp>
        <stp>.SPY161216C213.5</stp>
        <tr r="F786" s="1"/>
      </tp>
      <tp t="s">
        <v>N/A</v>
        <stp/>
        <stp>OPEN_INT</stp>
        <stp>.SPY171215C211.5</stp>
        <tr r="F908" s="1"/>
      </tp>
      <tp t="s">
        <v>N/A</v>
        <stp/>
        <stp>OPEN_INT</stp>
        <stp>.SPY151231C207.5</stp>
        <tr r="F564" s="1"/>
      </tp>
      <tp t="s">
        <v>N/A</v>
        <stp/>
        <stp>OPEN_INT</stp>
        <stp>.SPY151231C217.5</stp>
        <tr r="F584" s="1"/>
      </tp>
      <tp>
        <v>3289</v>
        <stp/>
        <stp>OPEN_INT</stp>
        <stp>.SPY150501C217.5</stp>
        <tr r="F122" s="1"/>
      </tp>
      <tp>
        <v>294</v>
        <stp/>
        <stp>OPEN_INT</stp>
        <stp>.SPY150515C203.5</stp>
        <tr r="F178" s="1"/>
      </tp>
      <tp>
        <v>0</v>
        <stp/>
        <stp>OPEN_INT</stp>
        <stp>.SPY150501C207.5</stp>
        <tr r="F102" s="1"/>
      </tp>
      <tp>
        <v>16669</v>
        <stp/>
        <stp>OPEN_INT</stp>
        <stp>.SPY150515C213.5</stp>
        <tr r="F198" s="1"/>
      </tp>
      <tp>
        <v>2859</v>
        <stp/>
        <stp>OPEN_INT</stp>
        <stp>.SPY150522C214.5</stp>
        <tr r="F242" s="1"/>
      </tp>
      <tp>
        <v>25</v>
        <stp/>
        <stp>OPEN_INT</stp>
        <stp>.SPY150522C204.5</stp>
        <tr r="F222" s="1"/>
      </tp>
      <tp>
        <v>0</v>
        <stp/>
        <stp>OPEN_INT</stp>
        <stp>.SPY150417C201.5</stp>
        <tr r="F6" s="1"/>
      </tp>
      <tp>
        <v>27345</v>
        <stp/>
        <stp>OPEN_INT</stp>
        <stp>.SPY150417C211.5</stp>
        <tr r="F26" s="1"/>
      </tp>
      <tp>
        <v>26460</v>
        <stp/>
        <stp>OPEN_INT</stp>
        <stp>.SPY150424C212.5</stp>
        <tr r="F70" s="1"/>
      </tp>
      <tp>
        <v>0</v>
        <stp/>
        <stp>OPEN_INT</stp>
        <stp>.SPY150424C202.5</stp>
        <tr r="F50" s="1"/>
      </tp>
      <tp t="s">
        <v>N/A</v>
        <stp/>
        <stp>OPEN_INT</stp>
        <stp>.SPY150717C201.5</stp>
        <tr r="F384" s="1"/>
      </tp>
      <tp t="s">
        <v>N/A</v>
        <stp/>
        <stp>OPEN_INT</stp>
        <stp>.SPY150717C211.5</stp>
        <tr r="F404" s="1"/>
      </tp>
      <tp t="s">
        <v>N/A</v>
        <stp/>
        <stp>OPEN_INT</stp>
        <stp>.SPY160617C202.5</stp>
        <tr r="F680" s="1"/>
      </tp>
      <tp t="s">
        <v>N/A</v>
        <stp/>
        <stp>OPEN_INT</stp>
        <stp>.SPY160617C212.5</stp>
        <tr r="F700" s="1"/>
      </tp>
      <tp t="s">
        <v>N/A</v>
        <stp/>
        <stp>OPEN_INT</stp>
        <stp>.SPY150630C206.5</stp>
        <tr r="F352" s="1"/>
      </tp>
      <tp t="s">
        <v>N/A</v>
        <stp/>
        <stp>OPEN_INT</stp>
        <stp>.SPY150630C216.5</stp>
        <tr r="F372" s="1"/>
      </tp>
      <tp t="s">
        <v>N/A</v>
        <stp/>
        <stp>OPEN_INT</stp>
        <stp>.SPY160115C200.5</stp>
        <tr r="F592" s="1"/>
      </tp>
      <tp t="s">
        <v>N/A</v>
        <stp/>
        <stp>OPEN_INT</stp>
        <stp>.SPY160115C210.5</stp>
        <tr r="F612" s="1"/>
      </tp>
      <tp t="s">
        <v>N/A</v>
        <stp/>
        <stp>OPEN_INT</stp>
        <stp>.SPY170120C214.5</stp>
        <tr r="F830" s="1"/>
      </tp>
      <tp t="s">
        <v>N/A</v>
        <stp/>
        <stp>OPEN_INT</stp>
        <stp>.SPY170120C204.5</stp>
        <tr r="F810" s="1"/>
      </tp>
      <tp t="s">
        <v>N/A</v>
        <stp/>
        <stp>OPEN_INT</stp>
        <stp>.SPY170317C203.5</stp>
        <tr r="F850" s="1"/>
      </tp>
      <tp t="s">
        <v>N/A</v>
        <stp/>
        <stp>OPEN_INT</stp>
        <stp>.SPY170317C213.5</stp>
        <tr r="F870" s="1"/>
      </tp>
      <tp t="s">
        <v>N/A</v>
        <stp/>
        <stp>OPEN_INT</stp>
        <stp>.SPY160916C203.5</stp>
        <tr r="F724" s="1"/>
      </tp>
      <tp t="s">
        <v>N/A</v>
        <stp/>
        <stp>OPEN_INT</stp>
        <stp>.SPY160916C213.5</stp>
        <tr r="F744" s="1"/>
      </tp>
      <tp t="s">
        <v>N/A</v>
        <stp/>
        <stp>OPEN_INT</stp>
        <stp>.SPY150930C206.5</stp>
        <tr r="F478" s="1"/>
      </tp>
      <tp t="s">
        <v>N/A</v>
        <stp/>
        <stp>OPEN_INT</stp>
        <stp>.SPY150930C216.5</stp>
        <tr r="F498" s="1"/>
      </tp>
      <tp>
        <v>0</v>
        <stp/>
        <stp>OPEN_INT</stp>
        <stp>.SPY150501P216.5</stp>
        <tr r="Q120" s="1"/>
      </tp>
      <tp>
        <v>5542</v>
        <stp/>
        <stp>OPEN_INT</stp>
        <stp>.SPY150515P202.5</stp>
        <tr r="Q176" s="1"/>
      </tp>
      <tp>
        <v>20342</v>
        <stp/>
        <stp>OPEN_INT</stp>
        <stp>.SPY150501P206.5</stp>
        <tr r="Q100" s="1"/>
      </tp>
      <tp>
        <v>3368</v>
        <stp/>
        <stp>OPEN_INT</stp>
        <stp>.SPY150515P212.5</stp>
        <tr r="Q196" s="1"/>
      </tp>
      <tp>
        <v>54</v>
        <stp/>
        <stp>OPEN_INT</stp>
        <stp>.SPY150522P215.5</stp>
        <tr r="Q244" s="1"/>
      </tp>
      <tp>
        <v>1453</v>
        <stp/>
        <stp>OPEN_INT</stp>
        <stp>.SPY150522P205.5</stp>
        <tr r="Q224" s="1"/>
      </tp>
      <tp>
        <v>8406</v>
        <stp/>
        <stp>OPEN_INT</stp>
        <stp>.SPY150417P200.5</stp>
        <tr r="Q4" s="1"/>
      </tp>
      <tp>
        <v>0</v>
        <stp/>
        <stp>OPEN_INT</stp>
        <stp>.SPY150417P210.5</stp>
        <tr r="Q24" s="1"/>
      </tp>
      <tp>
        <v>0</v>
        <stp/>
        <stp>OPEN_INT</stp>
        <stp>.SPY150424P213.5</stp>
        <tr r="Q72" s="1"/>
      </tp>
      <tp>
        <v>4507</v>
        <stp/>
        <stp>OPEN_INT</stp>
        <stp>.SPY150424P203.5</stp>
        <tr r="Q52" s="1"/>
      </tp>
      <tp t="s">
        <v>N/A</v>
        <stp/>
        <stp>OPEN_INT</stp>
        <stp>.SPY150717P200.5</stp>
        <tr r="Q382" s="1"/>
      </tp>
      <tp t="s">
        <v>N/A</v>
        <stp/>
        <stp>OPEN_INT</stp>
        <stp>.SPY150717P210.5</stp>
        <tr r="Q402" s="1"/>
      </tp>
      <tp t="s">
        <v>N/A</v>
        <stp/>
        <stp>OPEN_INT</stp>
        <stp>.SPY160617P203.5</stp>
        <tr r="Q682" s="1"/>
      </tp>
      <tp t="s">
        <v>N/A</v>
        <stp/>
        <stp>OPEN_INT</stp>
        <stp>.SPY160617P213.5</stp>
        <tr r="Q702" s="1"/>
      </tp>
      <tp t="s">
        <v>N/A</v>
        <stp/>
        <stp>OPEN_INT</stp>
        <stp>.SPY150630P207.5</stp>
        <tr r="Q354" s="1"/>
      </tp>
      <tp t="s">
        <v>N/A</v>
        <stp/>
        <stp>OPEN_INT</stp>
        <stp>.SPY150630P217.5</stp>
        <tr r="Q374" s="1"/>
      </tp>
      <tp t="s">
        <v>N/A</v>
        <stp/>
        <stp>OPEN_INT</stp>
        <stp>.SPY160115P201.5</stp>
        <tr r="Q594" s="1"/>
      </tp>
      <tp t="s">
        <v>N/A</v>
        <stp/>
        <stp>OPEN_INT</stp>
        <stp>.SPY160115P211.5</stp>
        <tr r="Q614" s="1"/>
      </tp>
      <tp t="s">
        <v>N/A</v>
        <stp/>
        <stp>OPEN_INT</stp>
        <stp>.SPY170120P215.5</stp>
        <tr r="Q832" s="1"/>
      </tp>
      <tp t="s">
        <v>N/A</v>
        <stp/>
        <stp>OPEN_INT</stp>
        <stp>.SPY170120P205.5</stp>
        <tr r="Q812" s="1"/>
      </tp>
      <tp t="s">
        <v>N/A</v>
        <stp/>
        <stp>OPEN_INT</stp>
        <stp>.SPY170317P202.5</stp>
        <tr r="Q848" s="1"/>
      </tp>
      <tp t="s">
        <v>N/A</v>
        <stp/>
        <stp>OPEN_INT</stp>
        <stp>.SPY170317P212.5</stp>
        <tr r="Q868" s="1"/>
      </tp>
      <tp t="s">
        <v>N/A</v>
        <stp/>
        <stp>OPEN_INT</stp>
        <stp>.SPY160916P202.5</stp>
        <tr r="Q722" s="1"/>
      </tp>
      <tp t="s">
        <v>N/A</v>
        <stp/>
        <stp>OPEN_INT</stp>
        <stp>.SPY160916P212.5</stp>
        <tr r="Q742" s="1"/>
      </tp>
      <tp t="s">
        <v>N/A</v>
        <stp/>
        <stp>OPEN_INT</stp>
        <stp>.SPY150930P207.5</stp>
        <tr r="Q480" s="1"/>
      </tp>
      <tp t="s">
        <v>N/A</v>
        <stp/>
        <stp>OPEN_INT</stp>
        <stp>.SPY150930P217.5</stp>
        <tr r="Q500" s="1"/>
      </tp>
      <tp t="s">
        <v>N/A</v>
        <stp/>
        <stp>OPEN_INT</stp>
        <stp>.SPY161216P202.5</stp>
        <tr r="Q764" s="1"/>
      </tp>
      <tp t="s">
        <v>N/A</v>
        <stp/>
        <stp>OPEN_INT</stp>
        <stp>.SPY171215P200.5</stp>
        <tr r="Q886" s="1"/>
      </tp>
      <tp t="s">
        <v>N/A</v>
        <stp/>
        <stp>OPEN_INT</stp>
        <stp>.SPY161216P212.5</stp>
        <tr r="Q784" s="1"/>
      </tp>
      <tp t="s">
        <v>N/A</v>
        <stp/>
        <stp>OPEN_INT</stp>
        <stp>.SPY171215P210.5</stp>
        <tr r="Q906" s="1"/>
      </tp>
      <tp t="s">
        <v>N/A</v>
        <stp/>
        <stp>OPEN_INT</stp>
        <stp>.SPY151231P206.5</stp>
        <tr r="Q562" s="1"/>
      </tp>
      <tp t="s">
        <v>N/A</v>
        <stp/>
        <stp>OPEN_INT</stp>
        <stp>.SPY151231P216.5</stp>
        <tr r="Q582" s="1"/>
      </tp>
      <tp t="s">
        <v>N/A</v>
        <stp/>
        <stp>OPEN_INT</stp>
        <stp>.SPY161216C202.5</stp>
        <tr r="F764" s="1"/>
      </tp>
      <tp t="s">
        <v>N/A</v>
        <stp/>
        <stp>OPEN_INT</stp>
        <stp>.SPY171215C200.5</stp>
        <tr r="F886" s="1"/>
      </tp>
      <tp t="s">
        <v>N/A</v>
        <stp/>
        <stp>OPEN_INT</stp>
        <stp>.SPY161216C212.5</stp>
        <tr r="F784" s="1"/>
      </tp>
      <tp t="s">
        <v>N/A</v>
        <stp/>
        <stp>OPEN_INT</stp>
        <stp>.SPY171215C210.5</stp>
        <tr r="F906" s="1"/>
      </tp>
      <tp t="s">
        <v>N/A</v>
        <stp/>
        <stp>OPEN_INT</stp>
        <stp>.SPY151231C206.5</stp>
        <tr r="F562" s="1"/>
      </tp>
      <tp t="s">
        <v>N/A</v>
        <stp/>
        <stp>OPEN_INT</stp>
        <stp>.SPY151231C216.5</stp>
        <tr r="F582" s="1"/>
      </tp>
      <tp>
        <v>7085</v>
        <stp/>
        <stp>OPEN_INT</stp>
        <stp>.SPY150501C216.5</stp>
        <tr r="F120" s="1"/>
      </tp>
      <tp>
        <v>46</v>
        <stp/>
        <stp>OPEN_INT</stp>
        <stp>.SPY150515C202.5</stp>
        <tr r="F176" s="1"/>
      </tp>
      <tp>
        <v>0</v>
        <stp/>
        <stp>OPEN_INT</stp>
        <stp>.SPY150501C206.5</stp>
        <tr r="F100" s="1"/>
      </tp>
      <tp>
        <v>16938</v>
        <stp/>
        <stp>OPEN_INT</stp>
        <stp>.SPY150515C212.5</stp>
        <tr r="F196" s="1"/>
      </tp>
      <tp>
        <v>2105</v>
        <stp/>
        <stp>OPEN_INT</stp>
        <stp>.SPY150522C215.5</stp>
        <tr r="F244" s="1"/>
      </tp>
      <tp>
        <v>303</v>
        <stp/>
        <stp>OPEN_INT</stp>
        <stp>.SPY150522C205.5</stp>
        <tr r="F224" s="1"/>
      </tp>
      <tp>
        <v>0</v>
        <stp/>
        <stp>OPEN_INT</stp>
        <stp>.SPY150417C200.5</stp>
        <tr r="F4" s="1"/>
      </tp>
      <tp>
        <v>34769</v>
        <stp/>
        <stp>OPEN_INT</stp>
        <stp>.SPY150417C210.5</stp>
        <tr r="F24" s="1"/>
      </tp>
      <tp>
        <v>43394</v>
        <stp/>
        <stp>OPEN_INT</stp>
        <stp>.SPY150424C213.5</stp>
        <tr r="F72" s="1"/>
      </tp>
      <tp>
        <v>0</v>
        <stp/>
        <stp>OPEN_INT</stp>
        <stp>.SPY150424C203.5</stp>
        <tr r="F52" s="1"/>
      </tp>
      <tp t="s">
        <v>N/A</v>
        <stp/>
        <stp>OPEN_INT</stp>
        <stp>.SPY150717C200.5</stp>
        <tr r="F382" s="1"/>
      </tp>
      <tp t="s">
        <v>N/A</v>
        <stp/>
        <stp>OPEN_INT</stp>
        <stp>.SPY150717C210.5</stp>
        <tr r="F402" s="1"/>
      </tp>
      <tp t="s">
        <v>N/A</v>
        <stp/>
        <stp>OPEN_INT</stp>
        <stp>.SPY160617C203.5</stp>
        <tr r="F682" s="1"/>
      </tp>
      <tp t="s">
        <v>N/A</v>
        <stp/>
        <stp>OPEN_INT</stp>
        <stp>.SPY160617C213.5</stp>
        <tr r="F702" s="1"/>
      </tp>
      <tp t="s">
        <v>N/A</v>
        <stp/>
        <stp>OPEN_INT</stp>
        <stp>.SPY150630C207.5</stp>
        <tr r="F354" s="1"/>
      </tp>
      <tp t="s">
        <v>N/A</v>
        <stp/>
        <stp>OPEN_INT</stp>
        <stp>.SPY150630C217.5</stp>
        <tr r="F374" s="1"/>
      </tp>
      <tp t="s">
        <v>N/A</v>
        <stp/>
        <stp>OPEN_INT</stp>
        <stp>.SPY160115C201.5</stp>
        <tr r="F594" s="1"/>
      </tp>
      <tp t="s">
        <v>N/A</v>
        <stp/>
        <stp>OPEN_INT</stp>
        <stp>.SPY160115C211.5</stp>
        <tr r="F614" s="1"/>
      </tp>
      <tp t="s">
        <v>N/A</v>
        <stp/>
        <stp>OPEN_INT</stp>
        <stp>.SPY170120C215.5</stp>
        <tr r="F832" s="1"/>
      </tp>
      <tp t="s">
        <v>N/A</v>
        <stp/>
        <stp>OPEN_INT</stp>
        <stp>.SPY170120C205.5</stp>
        <tr r="F812" s="1"/>
      </tp>
      <tp t="s">
        <v>N/A</v>
        <stp/>
        <stp>OPEN_INT</stp>
        <stp>.SPY170317C202.5</stp>
        <tr r="F848" s="1"/>
      </tp>
      <tp t="s">
        <v>N/A</v>
        <stp/>
        <stp>OPEN_INT</stp>
        <stp>.SPY170317C212.5</stp>
        <tr r="F868" s="1"/>
      </tp>
      <tp t="s">
        <v>N/A</v>
        <stp/>
        <stp>OPEN_INT</stp>
        <stp>.SPY160916C202.5</stp>
        <tr r="F722" s="1"/>
      </tp>
      <tp t="s">
        <v>N/A</v>
        <stp/>
        <stp>OPEN_INT</stp>
        <stp>.SPY160916C212.5</stp>
        <tr r="F742" s="1"/>
      </tp>
      <tp t="s">
        <v>N/A</v>
        <stp/>
        <stp>OPEN_INT</stp>
        <stp>.SPY150930C207.5</stp>
        <tr r="F480" s="1"/>
      </tp>
      <tp t="s">
        <v>N/A</v>
        <stp/>
        <stp>OPEN_INT</stp>
        <stp>.SPY150930C217.5</stp>
        <tr r="F500" s="1"/>
      </tp>
      <tp>
        <v>0</v>
        <stp/>
        <stp>OPEN_INT</stp>
        <stp>.SPY150501P211.5</stp>
        <tr r="Q110" s="1"/>
      </tp>
      <tp>
        <v>0</v>
        <stp/>
        <stp>OPEN_INT</stp>
        <stp>.SPY150508P218.5</stp>
        <tr r="Q166" s="1"/>
      </tp>
      <tp>
        <v>8607</v>
        <stp/>
        <stp>OPEN_INT</stp>
        <stp>.SPY150515P205.5</stp>
        <tr r="Q182" s="1"/>
      </tp>
      <tp>
        <v>4536</v>
        <stp/>
        <stp>OPEN_INT</stp>
        <stp>.SPY150501P201.5</stp>
        <tr r="Q90" s="1"/>
      </tp>
      <tp>
        <v>26318</v>
        <stp/>
        <stp>OPEN_INT</stp>
        <stp>.SPY150508P208.5</stp>
        <tr r="Q146" s="1"/>
      </tp>
      <tp>
        <v>325</v>
        <stp/>
        <stp>OPEN_INT</stp>
        <stp>.SPY150515P215.5</stp>
        <tr r="Q202" s="1"/>
      </tp>
      <tp>
        <v>323</v>
        <stp/>
        <stp>OPEN_INT</stp>
        <stp>.SPY150522P212.5</stp>
        <tr r="Q238" s="1"/>
      </tp>
      <tp>
        <v>3</v>
        <stp/>
        <stp>OPEN_INT</stp>
        <stp>.SPY150529P219.5</stp>
        <tr r="Q294" s="1"/>
      </tp>
      <tp>
        <v>825</v>
        <stp/>
        <stp>OPEN_INT</stp>
        <stp>.SPY150522P202.5</stp>
        <tr r="Q218" s="1"/>
      </tp>
      <tp>
        <v>2290</v>
        <stp/>
        <stp>OPEN_INT</stp>
        <stp>.SPY150529P209.5</stp>
        <tr r="Q274" s="1"/>
      </tp>
      <tp>
        <v>23279</v>
        <stp/>
        <stp>OPEN_INT</stp>
        <stp>.SPY150417P207.5</stp>
        <tr r="Q18" s="1"/>
      </tp>
      <tp>
        <v>0</v>
        <stp/>
        <stp>OPEN_INT</stp>
        <stp>.SPY150417P217.5</stp>
        <tr r="Q38" s="1"/>
      </tp>
      <tp>
        <v>0</v>
        <stp/>
        <stp>OPEN_INT</stp>
        <stp>.SPY150424P214.5</stp>
        <tr r="Q74" s="1"/>
      </tp>
      <tp>
        <v>9339</v>
        <stp/>
        <stp>OPEN_INT</stp>
        <stp>.SPY150424P204.5</stp>
        <tr r="Q54" s="1"/>
      </tp>
      <tp t="s">
        <v>N/A</v>
        <stp/>
        <stp>OPEN_INT</stp>
        <stp>.SPY150717P207.5</stp>
        <tr r="Q396" s="1"/>
      </tp>
      <tp t="s">
        <v>N/A</v>
        <stp/>
        <stp>OPEN_INT</stp>
        <stp>.SPY150717P217.5</stp>
        <tr r="Q416" s="1"/>
      </tp>
      <tp t="s">
        <v>N/A</v>
        <stp/>
        <stp>OPEN_INT</stp>
        <stp>.SPY150619P209.5</stp>
        <tr r="Q316" s="1"/>
      </tp>
      <tp t="s">
        <v>N/A</v>
        <stp/>
        <stp>OPEN_INT</stp>
        <stp>.SPY160617P204.5</stp>
        <tr r="Q684" s="1"/>
      </tp>
      <tp t="s">
        <v>N/A</v>
        <stp/>
        <stp>OPEN_INT</stp>
        <stp>.SPY150619P219.5</stp>
        <tr r="Q336" s="1"/>
      </tp>
      <tp t="s">
        <v>N/A</v>
        <stp/>
        <stp>OPEN_INT</stp>
        <stp>.SPY160617P214.5</stp>
        <tr r="Q704" s="1"/>
      </tp>
      <tp t="s">
        <v>N/A</v>
        <stp/>
        <stp>OPEN_INT</stp>
        <stp>.SPY150630P200.5</stp>
        <tr r="Q340" s="1"/>
      </tp>
      <tp t="s">
        <v>N/A</v>
        <stp/>
        <stp>OPEN_INT</stp>
        <stp>.SPY150630P210.5</stp>
        <tr r="Q360" s="1"/>
      </tp>
      <tp t="s">
        <v>N/A</v>
        <stp/>
        <stp>OPEN_INT</stp>
        <stp>.SPY160115P206.5</stp>
        <tr r="Q604" s="1"/>
      </tp>
      <tp t="s">
        <v>N/A</v>
        <stp/>
        <stp>OPEN_INT</stp>
        <stp>.SPY160115P216.5</stp>
        <tr r="Q624" s="1"/>
      </tp>
      <tp t="s">
        <v>N/A</v>
        <stp/>
        <stp>OPEN_INT</stp>
        <stp>.SPY170120P212.5</stp>
        <tr r="Q826" s="1"/>
      </tp>
      <tp t="s">
        <v>N/A</v>
        <stp/>
        <stp>OPEN_INT</stp>
        <stp>.SPY170120P202.5</stp>
        <tr r="Q806" s="1"/>
      </tp>
      <tp t="s">
        <v>N/A</v>
        <stp/>
        <stp>OPEN_INT</stp>
        <stp>.SPY170317P205.5</stp>
        <tr r="Q854" s="1"/>
      </tp>
      <tp t="s">
        <v>N/A</v>
        <stp/>
        <stp>OPEN_INT</stp>
        <stp>.SPY170317P215.5</stp>
        <tr r="Q874" s="1"/>
      </tp>
      <tp t="s">
        <v>N/A</v>
        <stp/>
        <stp>OPEN_INT</stp>
        <stp>.SPY150918P208.5</stp>
        <tr r="Q440" s="1"/>
      </tp>
      <tp t="s">
        <v>N/A</v>
        <stp/>
        <stp>OPEN_INT</stp>
        <stp>.SPY160916P205.5</stp>
        <tr r="Q728" s="1"/>
      </tp>
      <tp t="s">
        <v>N/A</v>
        <stp/>
        <stp>OPEN_INT</stp>
        <stp>.SPY150918P218.5</stp>
        <tr r="Q460" s="1"/>
      </tp>
      <tp t="s">
        <v>N/A</v>
        <stp/>
        <stp>OPEN_INT</stp>
        <stp>.SPY160916P215.5</stp>
        <tr r="Q748" s="1"/>
      </tp>
      <tp t="s">
        <v>N/A</v>
        <stp/>
        <stp>OPEN_INT</stp>
        <stp>.SPY150930P200.5</stp>
        <tr r="Q466" s="1"/>
      </tp>
      <tp t="s">
        <v>N/A</v>
        <stp/>
        <stp>OPEN_INT</stp>
        <stp>.SPY150930P210.5</stp>
        <tr r="Q486" s="1"/>
      </tp>
      <tp t="s">
        <v>N/A</v>
        <stp/>
        <stp>OPEN_INT</stp>
        <stp>.SPY151219P209.5</stp>
        <tr r="Q526" s="1"/>
      </tp>
      <tp t="s">
        <v>N/A</v>
        <stp/>
        <stp>OPEN_INT</stp>
        <stp>.SPY161216P205.5</stp>
        <tr r="Q770" s="1"/>
      </tp>
      <tp t="s">
        <v>N/A</v>
        <stp/>
        <stp>OPEN_INT</stp>
        <stp>.SPY171215P207.5</stp>
        <tr r="Q900" s="1"/>
      </tp>
      <tp t="s">
        <v>N/A</v>
        <stp/>
        <stp>OPEN_INT</stp>
        <stp>.SPY151219P219.5</stp>
        <tr r="Q546" s="1"/>
      </tp>
      <tp t="s">
        <v>N/A</v>
        <stp/>
        <stp>OPEN_INT</stp>
        <stp>.SPY161216P215.5</stp>
        <tr r="Q790" s="1"/>
      </tp>
      <tp t="s">
        <v>N/A</v>
        <stp/>
        <stp>OPEN_INT</stp>
        <stp>.SPY171215P217.5</stp>
        <tr r="Q920" s="1"/>
      </tp>
      <tp t="s">
        <v>N/A</v>
        <stp/>
        <stp>OPEN_INT</stp>
        <stp>.SPY151231P201.5</stp>
        <tr r="Q552" s="1"/>
      </tp>
      <tp t="s">
        <v>N/A</v>
        <stp/>
        <stp>OPEN_INT</stp>
        <stp>.SPY151231P211.5</stp>
        <tr r="Q572" s="1"/>
      </tp>
      <tp t="s">
        <v>N/A</v>
        <stp/>
        <stp>OPEN_INT</stp>
        <stp>.SPY151219C209.5</stp>
        <tr r="F526" s="1"/>
      </tp>
      <tp t="s">
        <v>N/A</v>
        <stp/>
        <stp>OPEN_INT</stp>
        <stp>.SPY161216C205.5</stp>
        <tr r="F770" s="1"/>
      </tp>
      <tp t="s">
        <v>N/A</v>
        <stp/>
        <stp>OPEN_INT</stp>
        <stp>.SPY171215C207.5</stp>
        <tr r="F900" s="1"/>
      </tp>
      <tp t="s">
        <v>N/A</v>
        <stp/>
        <stp>OPEN_INT</stp>
        <stp>.SPY151219C219.5</stp>
        <tr r="F546" s="1"/>
      </tp>
      <tp t="s">
        <v>N/A</v>
        <stp/>
        <stp>OPEN_INT</stp>
        <stp>.SPY161216C215.5</stp>
        <tr r="F790" s="1"/>
      </tp>
      <tp t="s">
        <v>N/A</v>
        <stp/>
        <stp>OPEN_INT</stp>
        <stp>.SPY171215C217.5</stp>
        <tr r="F920" s="1"/>
      </tp>
      <tp t="s">
        <v>N/A</v>
        <stp/>
        <stp>OPEN_INT</stp>
        <stp>.SPY151231C201.5</stp>
        <tr r="F552" s="1"/>
      </tp>
      <tp t="s">
        <v>N/A</v>
        <stp/>
        <stp>OPEN_INT</stp>
        <stp>.SPY151231C211.5</stp>
        <tr r="F572" s="1"/>
      </tp>
      <tp>
        <v>33599</v>
        <stp/>
        <stp>OPEN_INT</stp>
        <stp>.SPY150501C211.5</stp>
        <tr r="F110" s="1"/>
      </tp>
      <tp>
        <v>205</v>
        <stp/>
        <stp>OPEN_INT</stp>
        <stp>.SPY150508C218.5</stp>
        <tr r="F166" s="1"/>
      </tp>
      <tp>
        <v>490</v>
        <stp/>
        <stp>OPEN_INT</stp>
        <stp>.SPY150515C205.5</stp>
        <tr r="F182" s="1"/>
      </tp>
      <tp>
        <v>0</v>
        <stp/>
        <stp>OPEN_INT</stp>
        <stp>.SPY150501C201.5</stp>
        <tr r="F90" s="1"/>
      </tp>
      <tp>
        <v>3043</v>
        <stp/>
        <stp>OPEN_INT</stp>
        <stp>.SPY150508C208.5</stp>
        <tr r="F146" s="1"/>
      </tp>
      <tp>
        <v>7078</v>
        <stp/>
        <stp>OPEN_INT</stp>
        <stp>.SPY150515C215.5</stp>
        <tr r="F202" s="1"/>
      </tp>
      <tp>
        <v>1022</v>
        <stp/>
        <stp>OPEN_INT</stp>
        <stp>.SPY150522C212.5</stp>
        <tr r="F238" s="1"/>
      </tp>
      <tp>
        <v>1009</v>
        <stp/>
        <stp>OPEN_INT</stp>
        <stp>.SPY150529C219.5</stp>
        <tr r="F294" s="1"/>
      </tp>
      <tp>
        <v>11</v>
        <stp/>
        <stp>OPEN_INT</stp>
        <stp>.SPY150522C202.5</stp>
        <tr r="F218" s="1"/>
      </tp>
      <tp>
        <v>1390</v>
        <stp/>
        <stp>OPEN_INT</stp>
        <stp>.SPY150529C209.5</stp>
        <tr r="F274" s="1"/>
      </tp>
      <tp>
        <v>0</v>
        <stp/>
        <stp>OPEN_INT</stp>
        <stp>.SPY150417C207.5</stp>
        <tr r="F18" s="1"/>
      </tp>
      <tp>
        <v>2205</v>
        <stp/>
        <stp>OPEN_INT</stp>
        <stp>.SPY150417C217.5</stp>
        <tr r="F38" s="1"/>
      </tp>
      <tp>
        <v>15181</v>
        <stp/>
        <stp>OPEN_INT</stp>
        <stp>.SPY150424C214.5</stp>
        <tr r="F74" s="1"/>
      </tp>
      <tp>
        <v>0</v>
        <stp/>
        <stp>OPEN_INT</stp>
        <stp>.SPY150424C204.5</stp>
        <tr r="F54" s="1"/>
      </tp>
      <tp t="s">
        <v>N/A</v>
        <stp/>
        <stp>OPEN_INT</stp>
        <stp>.SPY150717C207.5</stp>
        <tr r="F396" s="1"/>
      </tp>
      <tp t="s">
        <v>N/A</v>
        <stp/>
        <stp>OPEN_INT</stp>
        <stp>.SPY150717C217.5</stp>
        <tr r="F416" s="1"/>
      </tp>
      <tp t="s">
        <v>N/A</v>
        <stp/>
        <stp>OPEN_INT</stp>
        <stp>.SPY150619C209.5</stp>
        <tr r="F316" s="1"/>
      </tp>
      <tp t="s">
        <v>N/A</v>
        <stp/>
        <stp>OPEN_INT</stp>
        <stp>.SPY160617C204.5</stp>
        <tr r="F684" s="1"/>
      </tp>
      <tp t="s">
        <v>N/A</v>
        <stp/>
        <stp>OPEN_INT</stp>
        <stp>.SPY150619C219.5</stp>
        <tr r="F336" s="1"/>
      </tp>
      <tp t="s">
        <v>N/A</v>
        <stp/>
        <stp>OPEN_INT</stp>
        <stp>.SPY160617C214.5</stp>
        <tr r="F704" s="1"/>
      </tp>
      <tp t="s">
        <v>N/A</v>
        <stp/>
        <stp>OPEN_INT</stp>
        <stp>.SPY150630C200.5</stp>
        <tr r="F340" s="1"/>
      </tp>
      <tp t="s">
        <v>N/A</v>
        <stp/>
        <stp>OPEN_INT</stp>
        <stp>.SPY150630C210.5</stp>
        <tr r="F360" s="1"/>
      </tp>
      <tp t="s">
        <v>N/A</v>
        <stp/>
        <stp>OPEN_INT</stp>
        <stp>.SPY160115C206.5</stp>
        <tr r="F604" s="1"/>
      </tp>
      <tp t="s">
        <v>N/A</v>
        <stp/>
        <stp>OPEN_INT</stp>
        <stp>.SPY160115C216.5</stp>
        <tr r="F624" s="1"/>
      </tp>
      <tp t="s">
        <v>N/A</v>
        <stp/>
        <stp>OPEN_INT</stp>
        <stp>.SPY170120C212.5</stp>
        <tr r="F826" s="1"/>
      </tp>
      <tp t="s">
        <v>N/A</v>
        <stp/>
        <stp>OPEN_INT</stp>
        <stp>.SPY170120C202.5</stp>
        <tr r="F806" s="1"/>
      </tp>
      <tp t="s">
        <v>N/A</v>
        <stp/>
        <stp>OPEN_INT</stp>
        <stp>.SPY170317C205.5</stp>
        <tr r="F854" s="1"/>
      </tp>
      <tp t="s">
        <v>N/A</v>
        <stp/>
        <stp>OPEN_INT</stp>
        <stp>.SPY170317C215.5</stp>
        <tr r="F874" s="1"/>
      </tp>
      <tp t="s">
        <v>N/A</v>
        <stp/>
        <stp>OPEN_INT</stp>
        <stp>.SPY150918C208.5</stp>
        <tr r="F440" s="1"/>
      </tp>
      <tp t="s">
        <v>N/A</v>
        <stp/>
        <stp>OPEN_INT</stp>
        <stp>.SPY160916C205.5</stp>
        <tr r="F728" s="1"/>
      </tp>
      <tp t="s">
        <v>N/A</v>
        <stp/>
        <stp>OPEN_INT</stp>
        <stp>.SPY150918C218.5</stp>
        <tr r="F460" s="1"/>
      </tp>
      <tp t="s">
        <v>N/A</v>
        <stp/>
        <stp>OPEN_INT</stp>
        <stp>.SPY160916C215.5</stp>
        <tr r="F748" s="1"/>
      </tp>
      <tp t="s">
        <v>N/A</v>
        <stp/>
        <stp>OPEN_INT</stp>
        <stp>.SPY150930C200.5</stp>
        <tr r="F466" s="1"/>
      </tp>
      <tp t="s">
        <v>N/A</v>
        <stp/>
        <stp>OPEN_INT</stp>
        <stp>.SPY150930C210.5</stp>
        <tr r="F486" s="1"/>
      </tp>
      <tp>
        <v>10642</v>
        <stp/>
        <stp>OPEN_INT</stp>
        <stp>.SPY150501P210.5</stp>
        <tr r="Q108" s="1"/>
      </tp>
      <tp>
        <v>0</v>
        <stp/>
        <stp>OPEN_INT</stp>
        <stp>.SPY150508P219.5</stp>
        <tr r="Q168" s="1"/>
      </tp>
      <tp>
        <v>12069</v>
        <stp/>
        <stp>OPEN_INT</stp>
        <stp>.SPY150515P204.5</stp>
        <tr r="Q180" s="1"/>
      </tp>
      <tp>
        <v>8711</v>
        <stp/>
        <stp>OPEN_INT</stp>
        <stp>.SPY150501P200.5</stp>
        <tr r="Q88" s="1"/>
      </tp>
      <tp>
        <v>8222</v>
        <stp/>
        <stp>OPEN_INT</stp>
        <stp>.SPY150508P209.5</stp>
        <tr r="Q148" s="1"/>
      </tp>
      <tp>
        <v>306</v>
        <stp/>
        <stp>OPEN_INT</stp>
        <stp>.SPY150515P214.5</stp>
        <tr r="Q200" s="1"/>
      </tp>
      <tp>
        <v>498</v>
        <stp/>
        <stp>OPEN_INT</stp>
        <stp>.SPY150522P213.5</stp>
        <tr r="Q240" s="1"/>
      </tp>
      <tp>
        <v>0</v>
        <stp/>
        <stp>OPEN_INT</stp>
        <stp>.SPY150529P218.5</stp>
        <tr r="Q292" s="1"/>
      </tp>
      <tp>
        <v>1676</v>
        <stp/>
        <stp>OPEN_INT</stp>
        <stp>.SPY150522P203.5</stp>
        <tr r="Q220" s="1"/>
      </tp>
      <tp>
        <v>2162</v>
        <stp/>
        <stp>OPEN_INT</stp>
        <stp>.SPY150529P208.5</stp>
        <tr r="Q272" s="1"/>
      </tp>
      <tp>
        <v>19003</v>
        <stp/>
        <stp>OPEN_INT</stp>
        <stp>.SPY150417P206.5</stp>
        <tr r="Q16" s="1"/>
      </tp>
      <tp>
        <v>0</v>
        <stp/>
        <stp>OPEN_INT</stp>
        <stp>.SPY150417P216.5</stp>
        <tr r="Q36" s="1"/>
      </tp>
      <tp>
        <v>0</v>
        <stp/>
        <stp>OPEN_INT</stp>
        <stp>.SPY150424P215.5</stp>
        <tr r="Q76" s="1"/>
      </tp>
      <tp>
        <v>7944</v>
        <stp/>
        <stp>OPEN_INT</stp>
        <stp>.SPY150424P205.5</stp>
        <tr r="Q56" s="1"/>
      </tp>
      <tp t="s">
        <v>N/A</v>
        <stp/>
        <stp>OPEN_INT</stp>
        <stp>.SPY150717P206.5</stp>
        <tr r="Q394" s="1"/>
      </tp>
      <tp t="s">
        <v>N/A</v>
        <stp/>
        <stp>OPEN_INT</stp>
        <stp>.SPY150717P216.5</stp>
        <tr r="Q414" s="1"/>
      </tp>
      <tp t="s">
        <v>N/A</v>
        <stp/>
        <stp>OPEN_INT</stp>
        <stp>.SPY150619P208.5</stp>
        <tr r="Q314" s="1"/>
      </tp>
      <tp t="s">
        <v>N/A</v>
        <stp/>
        <stp>OPEN_INT</stp>
        <stp>.SPY160617P205.5</stp>
        <tr r="Q686" s="1"/>
      </tp>
      <tp t="s">
        <v>N/A</v>
        <stp/>
        <stp>OPEN_INT</stp>
        <stp>.SPY150619P218.5</stp>
        <tr r="Q334" s="1"/>
      </tp>
      <tp t="s">
        <v>N/A</v>
        <stp/>
        <stp>OPEN_INT</stp>
        <stp>.SPY160617P215.5</stp>
        <tr r="Q706" s="1"/>
      </tp>
      <tp t="s">
        <v>N/A</v>
        <stp/>
        <stp>OPEN_INT</stp>
        <stp>.SPY150630P201.5</stp>
        <tr r="Q342" s="1"/>
      </tp>
      <tp t="s">
        <v>N/A</v>
        <stp/>
        <stp>OPEN_INT</stp>
        <stp>.SPY150630P211.5</stp>
        <tr r="Q362" s="1"/>
      </tp>
      <tp t="s">
        <v>N/A</v>
        <stp/>
        <stp>OPEN_INT</stp>
        <stp>.SPY160115P207.5</stp>
        <tr r="Q606" s="1"/>
      </tp>
      <tp t="s">
        <v>N/A</v>
        <stp/>
        <stp>OPEN_INT</stp>
        <stp>.SPY160115P217.5</stp>
        <tr r="Q626" s="1"/>
      </tp>
      <tp t="s">
        <v>N/A</v>
        <stp/>
        <stp>OPEN_INT</stp>
        <stp>.SPY170120P213.5</stp>
        <tr r="Q828" s="1"/>
      </tp>
      <tp t="s">
        <v>N/A</v>
        <stp/>
        <stp>OPEN_INT</stp>
        <stp>.SPY170120P203.5</stp>
        <tr r="Q808" s="1"/>
      </tp>
      <tp t="s">
        <v>N/A</v>
        <stp/>
        <stp>OPEN_INT</stp>
        <stp>.SPY170317P204.5</stp>
        <tr r="Q852" s="1"/>
      </tp>
      <tp t="s">
        <v>N/A</v>
        <stp/>
        <stp>OPEN_INT</stp>
        <stp>.SPY170317P214.5</stp>
        <tr r="Q872" s="1"/>
      </tp>
      <tp t="s">
        <v>N/A</v>
        <stp/>
        <stp>OPEN_INT</stp>
        <stp>.SPY150918P209.5</stp>
        <tr r="Q442" s="1"/>
      </tp>
      <tp t="s">
        <v>N/A</v>
        <stp/>
        <stp>OPEN_INT</stp>
        <stp>.SPY160916P204.5</stp>
        <tr r="Q726" s="1"/>
      </tp>
      <tp t="s">
        <v>N/A</v>
        <stp/>
        <stp>OPEN_INT</stp>
        <stp>.SPY150918P219.5</stp>
        <tr r="Q462" s="1"/>
      </tp>
      <tp t="s">
        <v>N/A</v>
        <stp/>
        <stp>OPEN_INT</stp>
        <stp>.SPY160916P214.5</stp>
        <tr r="Q746" s="1"/>
      </tp>
      <tp t="s">
        <v>N/A</v>
        <stp/>
        <stp>OPEN_INT</stp>
        <stp>.SPY150930P201.5</stp>
        <tr r="Q468" s="1"/>
      </tp>
      <tp t="s">
        <v>N/A</v>
        <stp/>
        <stp>OPEN_INT</stp>
        <stp>.SPY150930P211.5</stp>
        <tr r="Q488" s="1"/>
      </tp>
      <tp t="s">
        <v>N/A</v>
        <stp/>
        <stp>OPEN_INT</stp>
        <stp>.SPY151219P208.5</stp>
        <tr r="Q524" s="1"/>
      </tp>
      <tp t="s">
        <v>N/A</v>
        <stp/>
        <stp>OPEN_INT</stp>
        <stp>.SPY161216P204.5</stp>
        <tr r="Q768" s="1"/>
      </tp>
      <tp t="s">
        <v>N/A</v>
        <stp/>
        <stp>OPEN_INT</stp>
        <stp>.SPY171215P206.5</stp>
        <tr r="Q898" s="1"/>
      </tp>
      <tp t="s">
        <v>N/A</v>
        <stp/>
        <stp>OPEN_INT</stp>
        <stp>.SPY151219P218.5</stp>
        <tr r="Q544" s="1"/>
      </tp>
      <tp t="s">
        <v>N/A</v>
        <stp/>
        <stp>OPEN_INT</stp>
        <stp>.SPY161216P214.5</stp>
        <tr r="Q788" s="1"/>
      </tp>
      <tp t="s">
        <v>N/A</v>
        <stp/>
        <stp>OPEN_INT</stp>
        <stp>.SPY171215P216.5</stp>
        <tr r="Q918" s="1"/>
      </tp>
      <tp t="s">
        <v>N/A</v>
        <stp/>
        <stp>OPEN_INT</stp>
        <stp>.SPY151231P200.5</stp>
        <tr r="Q550" s="1"/>
      </tp>
      <tp t="s">
        <v>N/A</v>
        <stp/>
        <stp>OPEN_INT</stp>
        <stp>.SPY151231P210.5</stp>
        <tr r="Q570" s="1"/>
      </tp>
      <tp t="s">
        <v>N/A</v>
        <stp/>
        <stp>OPEN_INT</stp>
        <stp>.SPY151219C208.5</stp>
        <tr r="F524" s="1"/>
      </tp>
      <tp t="s">
        <v>N/A</v>
        <stp/>
        <stp>OPEN_INT</stp>
        <stp>.SPY161216C204.5</stp>
        <tr r="F768" s="1"/>
      </tp>
      <tp t="s">
        <v>N/A</v>
        <stp/>
        <stp>OPEN_INT</stp>
        <stp>.SPY171215C206.5</stp>
        <tr r="F898" s="1"/>
      </tp>
      <tp t="s">
        <v>N/A</v>
        <stp/>
        <stp>OPEN_INT</stp>
        <stp>.SPY151219C218.5</stp>
        <tr r="F544" s="1"/>
      </tp>
      <tp t="s">
        <v>N/A</v>
        <stp/>
        <stp>OPEN_INT</stp>
        <stp>.SPY161216C214.5</stp>
        <tr r="F788" s="1"/>
      </tp>
      <tp t="s">
        <v>N/A</v>
        <stp/>
        <stp>OPEN_INT</stp>
        <stp>.SPY171215C216.5</stp>
        <tr r="F918" s="1"/>
      </tp>
      <tp t="s">
        <v>N/A</v>
        <stp/>
        <stp>OPEN_INT</stp>
        <stp>.SPY151231C200.5</stp>
        <tr r="F550" s="1"/>
      </tp>
      <tp t="s">
        <v>N/A</v>
        <stp/>
        <stp>OPEN_INT</stp>
        <stp>.SPY151231C210.5</stp>
        <tr r="F570" s="1"/>
      </tp>
      <tp>
        <v>26</v>
        <stp/>
        <stp>OPEN_INT</stp>
        <stp>.SPY150501C210.5</stp>
        <tr r="F108" s="1"/>
      </tp>
      <tp>
        <v>0</v>
        <stp/>
        <stp>OPEN_INT</stp>
        <stp>.SPY150508C219.5</stp>
        <tr r="F168" s="1"/>
      </tp>
      <tp>
        <v>362</v>
        <stp/>
        <stp>OPEN_INT</stp>
        <stp>.SPY150515C204.5</stp>
        <tr r="F180" s="1"/>
      </tp>
      <tp>
        <v>0</v>
        <stp/>
        <stp>OPEN_INT</stp>
        <stp>.SPY150501C200.5</stp>
        <tr r="F88" s="1"/>
      </tp>
      <tp>
        <v>5752</v>
        <stp/>
        <stp>OPEN_INT</stp>
        <stp>.SPY150508C209.5</stp>
        <tr r="F148" s="1"/>
      </tp>
      <tp>
        <v>19643</v>
        <stp/>
        <stp>OPEN_INT</stp>
        <stp>.SPY150515C214.5</stp>
        <tr r="F200" s="1"/>
      </tp>
      <tp>
        <v>645</v>
        <stp/>
        <stp>OPEN_INT</stp>
        <stp>.SPY150522C213.5</stp>
        <tr r="F240" s="1"/>
      </tp>
      <tp>
        <v>172</v>
        <stp/>
        <stp>OPEN_INT</stp>
        <stp>.SPY150529C218.5</stp>
        <tr r="F292" s="1"/>
      </tp>
      <tp>
        <v>58</v>
        <stp/>
        <stp>OPEN_INT</stp>
        <stp>.SPY150522C203.5</stp>
        <tr r="F220" s="1"/>
      </tp>
      <tp>
        <v>180</v>
        <stp/>
        <stp>OPEN_INT</stp>
        <stp>.SPY150529C208.5</stp>
        <tr r="F272" s="1"/>
      </tp>
      <tp>
        <v>0</v>
        <stp/>
        <stp>OPEN_INT</stp>
        <stp>.SPY150417C206.5</stp>
        <tr r="F16" s="1"/>
      </tp>
      <tp>
        <v>5092</v>
        <stp/>
        <stp>OPEN_INT</stp>
        <stp>.SPY150417C216.5</stp>
        <tr r="F36" s="1"/>
      </tp>
      <tp>
        <v>3144</v>
        <stp/>
        <stp>OPEN_INT</stp>
        <stp>.SPY150424C215.5</stp>
        <tr r="F76" s="1"/>
      </tp>
      <tp>
        <v>0</v>
        <stp/>
        <stp>OPEN_INT</stp>
        <stp>.SPY150424C205.5</stp>
        <tr r="F56" s="1"/>
      </tp>
      <tp t="s">
        <v>N/A</v>
        <stp/>
        <stp>OPEN_INT</stp>
        <stp>.SPY150717C206.5</stp>
        <tr r="F394" s="1"/>
      </tp>
      <tp t="s">
        <v>N/A</v>
        <stp/>
        <stp>OPEN_INT</stp>
        <stp>.SPY150717C216.5</stp>
        <tr r="F414" s="1"/>
      </tp>
      <tp t="s">
        <v>N/A</v>
        <stp/>
        <stp>OPEN_INT</stp>
        <stp>.SPY150619C208.5</stp>
        <tr r="F314" s="1"/>
      </tp>
      <tp t="s">
        <v>N/A</v>
        <stp/>
        <stp>OPEN_INT</stp>
        <stp>.SPY160617C205.5</stp>
        <tr r="F686" s="1"/>
      </tp>
      <tp t="s">
        <v>N/A</v>
        <stp/>
        <stp>OPEN_INT</stp>
        <stp>.SPY150619C218.5</stp>
        <tr r="F334" s="1"/>
      </tp>
      <tp t="s">
        <v>N/A</v>
        <stp/>
        <stp>OPEN_INT</stp>
        <stp>.SPY160617C215.5</stp>
        <tr r="F706" s="1"/>
      </tp>
      <tp t="s">
        <v>N/A</v>
        <stp/>
        <stp>OPEN_INT</stp>
        <stp>.SPY150630C201.5</stp>
        <tr r="F342" s="1"/>
      </tp>
      <tp t="s">
        <v>N/A</v>
        <stp/>
        <stp>OPEN_INT</stp>
        <stp>.SPY150630C211.5</stp>
        <tr r="F362" s="1"/>
      </tp>
      <tp t="s">
        <v>N/A</v>
        <stp/>
        <stp>OPEN_INT</stp>
        <stp>.SPY160115C207.5</stp>
        <tr r="F606" s="1"/>
      </tp>
      <tp t="s">
        <v>N/A</v>
        <stp/>
        <stp>OPEN_INT</stp>
        <stp>.SPY160115C217.5</stp>
        <tr r="F626" s="1"/>
      </tp>
      <tp t="s">
        <v>N/A</v>
        <stp/>
        <stp>OPEN_INT</stp>
        <stp>.SPY170120C213.5</stp>
        <tr r="F828" s="1"/>
      </tp>
      <tp t="s">
        <v>N/A</v>
        <stp/>
        <stp>OPEN_INT</stp>
        <stp>.SPY170120C203.5</stp>
        <tr r="F808" s="1"/>
      </tp>
      <tp t="s">
        <v>N/A</v>
        <stp/>
        <stp>OPEN_INT</stp>
        <stp>.SPY170317C204.5</stp>
        <tr r="F852" s="1"/>
      </tp>
      <tp t="s">
        <v>N/A</v>
        <stp/>
        <stp>OPEN_INT</stp>
        <stp>.SPY170317C214.5</stp>
        <tr r="F872" s="1"/>
      </tp>
      <tp t="s">
        <v>N/A</v>
        <stp/>
        <stp>OPEN_INT</stp>
        <stp>.SPY150918C209.5</stp>
        <tr r="F442" s="1"/>
      </tp>
      <tp t="s">
        <v>N/A</v>
        <stp/>
        <stp>OPEN_INT</stp>
        <stp>.SPY160916C204.5</stp>
        <tr r="F726" s="1"/>
      </tp>
      <tp t="s">
        <v>N/A</v>
        <stp/>
        <stp>OPEN_INT</stp>
        <stp>.SPY150918C219.5</stp>
        <tr r="F462" s="1"/>
      </tp>
      <tp t="s">
        <v>N/A</v>
        <stp/>
        <stp>OPEN_INT</stp>
        <stp>.SPY160916C214.5</stp>
        <tr r="F746" s="1"/>
      </tp>
      <tp t="s">
        <v>N/A</v>
        <stp/>
        <stp>OPEN_INT</stp>
        <stp>.SPY150930C201.5</stp>
        <tr r="F468" s="1"/>
      </tp>
      <tp t="s">
        <v>N/A</v>
        <stp/>
        <stp>OPEN_INT</stp>
        <stp>.SPY150930C211.5</stp>
        <tr r="F488" s="1"/>
      </tp>
      <tp>
        <v>0</v>
        <stp/>
        <stp>OPEN_INT</stp>
        <stp>.SPY150501P213.5</stp>
        <tr r="Q114" s="1"/>
      </tp>
      <tp>
        <v>12840</v>
        <stp/>
        <stp>OPEN_INT</stp>
        <stp>.SPY150515P207.5</stp>
        <tr r="Q186" s="1"/>
      </tp>
      <tp>
        <v>30805</v>
        <stp/>
        <stp>OPEN_INT</stp>
        <stp>.SPY150501P203.5</stp>
        <tr r="Q94" s="1"/>
      </tp>
      <tp>
        <v>42</v>
        <stp/>
        <stp>OPEN_INT</stp>
        <stp>.SPY150515P217.5</stp>
        <tr r="Q206" s="1"/>
      </tp>
      <tp>
        <v>1281</v>
        <stp/>
        <stp>OPEN_INT</stp>
        <stp>.SPY150522P210.5</stp>
        <tr r="Q234" s="1"/>
      </tp>
      <tp>
        <v>534</v>
        <stp/>
        <stp>OPEN_INT</stp>
        <stp>.SPY150522P200.5</stp>
        <tr r="Q214" s="1"/>
      </tp>
      <tp>
        <v>41137</v>
        <stp/>
        <stp>OPEN_INT</stp>
        <stp>.SPY150417P205.5</stp>
        <tr r="Q14" s="1"/>
      </tp>
      <tp>
        <v>0</v>
        <stp/>
        <stp>OPEN_INT</stp>
        <stp>.SPY150417P215.5</stp>
        <tr r="Q34" s="1"/>
      </tp>
      <tp>
        <v>0</v>
        <stp/>
        <stp>OPEN_INT</stp>
        <stp>.SPY150424P216.5</stp>
        <tr r="Q78" s="1"/>
      </tp>
      <tp>
        <v>19835</v>
        <stp/>
        <stp>OPEN_INT</stp>
        <stp>.SPY150424P206.5</stp>
        <tr r="Q58" s="1"/>
      </tp>
      <tp t="s">
        <v>N/A</v>
        <stp/>
        <stp>OPEN_INT</stp>
        <stp>.SPY150717P205.5</stp>
        <tr r="Q392" s="1"/>
      </tp>
      <tp t="s">
        <v>N/A</v>
        <stp/>
        <stp>OPEN_INT</stp>
        <stp>.SPY150717P215.5</stp>
        <tr r="Q412" s="1"/>
      </tp>
      <tp t="s">
        <v>N/A</v>
        <stp/>
        <stp>OPEN_INT</stp>
        <stp>.SPY160617P206.5</stp>
        <tr r="Q688" s="1"/>
      </tp>
      <tp t="s">
        <v>N/A</v>
        <stp/>
        <stp>OPEN_INT</stp>
        <stp>.SPY160617P216.5</stp>
        <tr r="Q708" s="1"/>
      </tp>
      <tp t="s">
        <v>N/A</v>
        <stp/>
        <stp>OPEN_INT</stp>
        <stp>.SPY150630P202.5</stp>
        <tr r="Q344" s="1"/>
      </tp>
      <tp t="s">
        <v>N/A</v>
        <stp/>
        <stp>OPEN_INT</stp>
        <stp>.SPY150630P212.5</stp>
        <tr r="Q364" s="1"/>
      </tp>
      <tp t="s">
        <v>N/A</v>
        <stp/>
        <stp>OPEN_INT</stp>
        <stp>.SPY160115P204.5</stp>
        <tr r="Q600" s="1"/>
      </tp>
      <tp t="s">
        <v>N/A</v>
        <stp/>
        <stp>OPEN_INT</stp>
        <stp>.SPY160115P214.5</stp>
        <tr r="Q620" s="1"/>
      </tp>
      <tp t="s">
        <v>N/A</v>
        <stp/>
        <stp>OPEN_INT</stp>
        <stp>.SPY170120P210.5</stp>
        <tr r="Q822" s="1"/>
      </tp>
      <tp t="s">
        <v>N/A</v>
        <stp/>
        <stp>OPEN_INT</stp>
        <stp>.SPY170120P200.5</stp>
        <tr r="Q802" s="1"/>
      </tp>
      <tp t="s">
        <v>N/A</v>
        <stp/>
        <stp>OPEN_INT</stp>
        <stp>.SPY160318P209.5</stp>
        <tr r="Q652" s="1"/>
      </tp>
      <tp t="s">
        <v>N/A</v>
        <stp/>
        <stp>OPEN_INT</stp>
        <stp>.SPY170317P207.5</stp>
        <tr r="Q858" s="1"/>
      </tp>
      <tp t="s">
        <v>N/A</v>
        <stp/>
        <stp>OPEN_INT</stp>
        <stp>.SPY160318P219.5</stp>
        <tr r="Q672" s="1"/>
      </tp>
      <tp t="s">
        <v>N/A</v>
        <stp/>
        <stp>OPEN_INT</stp>
        <stp>.SPY170317P217.5</stp>
        <tr r="Q878" s="1"/>
      </tp>
      <tp t="s">
        <v>N/A</v>
        <stp/>
        <stp>OPEN_INT</stp>
        <stp>.SPY160916P207.5</stp>
        <tr r="Q732" s="1"/>
      </tp>
      <tp t="s">
        <v>N/A</v>
        <stp/>
        <stp>OPEN_INT</stp>
        <stp>.SPY160916P217.5</stp>
        <tr r="Q752" s="1"/>
      </tp>
      <tp t="s">
        <v>N/A</v>
        <stp/>
        <stp>OPEN_INT</stp>
        <stp>.SPY150930P202.5</stp>
        <tr r="Q470" s="1"/>
      </tp>
      <tp t="s">
        <v>N/A</v>
        <stp/>
        <stp>OPEN_INT</stp>
        <stp>.SPY150930P212.5</stp>
        <tr r="Q490" s="1"/>
      </tp>
      <tp t="s">
        <v>N/A</v>
        <stp/>
        <stp>OPEN_INT</stp>
        <stp>.SPY161216P207.5</stp>
        <tr r="Q774" s="1"/>
      </tp>
      <tp t="s">
        <v>N/A</v>
        <stp/>
        <stp>OPEN_INT</stp>
        <stp>.SPY171215P205.5</stp>
        <tr r="Q896" s="1"/>
      </tp>
      <tp t="s">
        <v>N/A</v>
        <stp/>
        <stp>OPEN_INT</stp>
        <stp>.SPY161216P217.5</stp>
        <tr r="Q794" s="1"/>
      </tp>
      <tp t="s">
        <v>N/A</v>
        <stp/>
        <stp>OPEN_INT</stp>
        <stp>.SPY171215P215.5</stp>
        <tr r="Q916" s="1"/>
      </tp>
      <tp t="s">
        <v>N/A</v>
        <stp/>
        <stp>OPEN_INT</stp>
        <stp>.SPY151231P203.5</stp>
        <tr r="Q556" s="1"/>
      </tp>
      <tp t="s">
        <v>N/A</v>
        <stp/>
        <stp>OPEN_INT</stp>
        <stp>.SPY151231P213.5</stp>
        <tr r="Q576" s="1"/>
      </tp>
      <tp t="s">
        <v>N/A</v>
        <stp/>
        <stp>OPEN_INT</stp>
        <stp>.SPY161216C207.5</stp>
        <tr r="F774" s="1"/>
      </tp>
      <tp t="s">
        <v>N/A</v>
        <stp/>
        <stp>OPEN_INT</stp>
        <stp>.SPY171215C205.5</stp>
        <tr r="F896" s="1"/>
      </tp>
      <tp t="s">
        <v>N/A</v>
        <stp/>
        <stp>OPEN_INT</stp>
        <stp>.SPY161216C217.5</stp>
        <tr r="F794" s="1"/>
      </tp>
      <tp t="s">
        <v>N/A</v>
        <stp/>
        <stp>OPEN_INT</stp>
        <stp>.SPY171215C215.5</stp>
        <tr r="F916" s="1"/>
      </tp>
      <tp t="s">
        <v>N/A</v>
        <stp/>
        <stp>OPEN_INT</stp>
        <stp>.SPY151231C203.5</stp>
        <tr r="F556" s="1"/>
      </tp>
      <tp t="s">
        <v>N/A</v>
        <stp/>
        <stp>OPEN_INT</stp>
        <stp>.SPY151231C213.5</stp>
        <tr r="F576" s="1"/>
      </tp>
      <tp>
        <v>22210</v>
        <stp/>
        <stp>OPEN_INT</stp>
        <stp>.SPY150501C213.5</stp>
        <tr r="F114" s="1"/>
      </tp>
      <tp>
        <v>3146</v>
        <stp/>
        <stp>OPEN_INT</stp>
        <stp>.SPY150515C207.5</stp>
        <tr r="F186" s="1"/>
      </tp>
      <tp>
        <v>0</v>
        <stp/>
        <stp>OPEN_INT</stp>
        <stp>.SPY150501C203.5</stp>
        <tr r="F94" s="1"/>
      </tp>
      <tp>
        <v>5999</v>
        <stp/>
        <stp>OPEN_INT</stp>
        <stp>.SPY150515C217.5</stp>
        <tr r="F206" s="1"/>
      </tp>
      <tp>
        <v>1439</v>
        <stp/>
        <stp>OPEN_INT</stp>
        <stp>.SPY150522C210.5</stp>
        <tr r="F234" s="1"/>
      </tp>
      <tp>
        <v>0</v>
        <stp/>
        <stp>OPEN_INT</stp>
        <stp>.SPY150522C200.5</stp>
        <tr r="F214" s="1"/>
      </tp>
      <tp>
        <v>0</v>
        <stp/>
        <stp>OPEN_INT</stp>
        <stp>.SPY150417C205.5</stp>
        <tr r="F14" s="1"/>
      </tp>
      <tp>
        <v>4816</v>
        <stp/>
        <stp>OPEN_INT</stp>
        <stp>.SPY150417C215.5</stp>
        <tr r="F34" s="1"/>
      </tp>
      <tp>
        <v>5305</v>
        <stp/>
        <stp>OPEN_INT</stp>
        <stp>.SPY150424C216.5</stp>
        <tr r="F78" s="1"/>
      </tp>
      <tp>
        <v>0</v>
        <stp/>
        <stp>OPEN_INT</stp>
        <stp>.SPY150424C206.5</stp>
        <tr r="F58" s="1"/>
      </tp>
      <tp t="s">
        <v>N/A</v>
        <stp/>
        <stp>OPEN_INT</stp>
        <stp>.SPY150717C205.5</stp>
        <tr r="F392" s="1"/>
      </tp>
      <tp t="s">
        <v>N/A</v>
        <stp/>
        <stp>OPEN_INT</stp>
        <stp>.SPY150717C215.5</stp>
        <tr r="F412" s="1"/>
      </tp>
      <tp t="s">
        <v>N/A</v>
        <stp/>
        <stp>OPEN_INT</stp>
        <stp>.SPY160617C206.5</stp>
        <tr r="F688" s="1"/>
      </tp>
      <tp t="s">
        <v>N/A</v>
        <stp/>
        <stp>OPEN_INT</stp>
        <stp>.SPY160617C216.5</stp>
        <tr r="F708" s="1"/>
      </tp>
      <tp t="s">
        <v>N/A</v>
        <stp/>
        <stp>OPEN_INT</stp>
        <stp>.SPY150630C202.5</stp>
        <tr r="F344" s="1"/>
      </tp>
      <tp t="s">
        <v>N/A</v>
        <stp/>
        <stp>OPEN_INT</stp>
        <stp>.SPY150630C212.5</stp>
        <tr r="F364" s="1"/>
      </tp>
      <tp t="s">
        <v>N/A</v>
        <stp/>
        <stp>OPEN_INT</stp>
        <stp>.SPY160115C204.5</stp>
        <tr r="F600" s="1"/>
      </tp>
      <tp t="s">
        <v>N/A</v>
        <stp/>
        <stp>OPEN_INT</stp>
        <stp>.SPY160115C214.5</stp>
        <tr r="F620" s="1"/>
      </tp>
      <tp t="s">
        <v>N/A</v>
        <stp/>
        <stp>OPEN_INT</stp>
        <stp>.SPY170120C210.5</stp>
        <tr r="F822" s="1"/>
      </tp>
      <tp t="s">
        <v>N/A</v>
        <stp/>
        <stp>OPEN_INT</stp>
        <stp>.SPY170120C200.5</stp>
        <tr r="F802" s="1"/>
      </tp>
      <tp t="s">
        <v>N/A</v>
        <stp/>
        <stp>OPEN_INT</stp>
        <stp>.SPY160318C209.5</stp>
        <tr r="F652" s="1"/>
      </tp>
      <tp t="s">
        <v>N/A</v>
        <stp/>
        <stp>OPEN_INT</stp>
        <stp>.SPY170317C207.5</stp>
        <tr r="F858" s="1"/>
      </tp>
      <tp t="s">
        <v>N/A</v>
        <stp/>
        <stp>OPEN_INT</stp>
        <stp>.SPY160318C219.5</stp>
        <tr r="F672" s="1"/>
      </tp>
      <tp t="s">
        <v>N/A</v>
        <stp/>
        <stp>OPEN_INT</stp>
        <stp>.SPY170317C217.5</stp>
        <tr r="F878" s="1"/>
      </tp>
      <tp t="s">
        <v>N/A</v>
        <stp/>
        <stp>OPEN_INT</stp>
        <stp>.SPY160916C207.5</stp>
        <tr r="F732" s="1"/>
      </tp>
      <tp t="s">
        <v>N/A</v>
        <stp/>
        <stp>OPEN_INT</stp>
        <stp>.SPY160916C217.5</stp>
        <tr r="F752" s="1"/>
      </tp>
      <tp t="s">
        <v>N/A</v>
        <stp/>
        <stp>OPEN_INT</stp>
        <stp>.SPY150930C202.5</stp>
        <tr r="F470" s="1"/>
      </tp>
      <tp t="s">
        <v>N/A</v>
        <stp/>
        <stp>OPEN_INT</stp>
        <stp>.SPY150930C212.5</stp>
        <tr r="F490" s="1"/>
      </tp>
      <tp>
        <v>0</v>
        <stp/>
        <stp>OPEN_INT</stp>
        <stp>.SPY150501P212.5</stp>
        <tr r="Q112" s="1"/>
      </tp>
      <tp>
        <v>53481</v>
        <stp/>
        <stp>OPEN_INT</stp>
        <stp>.SPY150515P206.5</stp>
        <tr r="Q184" s="1"/>
      </tp>
      <tp>
        <v>13383</v>
        <stp/>
        <stp>OPEN_INT</stp>
        <stp>.SPY150501P202.5</stp>
        <tr r="Q92" s="1"/>
      </tp>
      <tp>
        <v>11</v>
        <stp/>
        <stp>OPEN_INT</stp>
        <stp>.SPY150515P216.5</stp>
        <tr r="Q204" s="1"/>
      </tp>
      <tp>
        <v>563</v>
        <stp/>
        <stp>OPEN_INT</stp>
        <stp>.SPY150522P211.5</stp>
        <tr r="Q236" s="1"/>
      </tp>
      <tp>
        <v>782</v>
        <stp/>
        <stp>OPEN_INT</stp>
        <stp>.SPY150522P201.5</stp>
        <tr r="Q216" s="1"/>
      </tp>
      <tp>
        <v>25356</v>
        <stp/>
        <stp>OPEN_INT</stp>
        <stp>.SPY150417P204.5</stp>
        <tr r="Q12" s="1"/>
      </tp>
      <tp>
        <v>0</v>
        <stp/>
        <stp>OPEN_INT</stp>
        <stp>.SPY150417P214.5</stp>
        <tr r="Q32" s="1"/>
      </tp>
      <tp>
        <v>0</v>
        <stp/>
        <stp>OPEN_INT</stp>
        <stp>.SPY150424P217.5</stp>
        <tr r="Q80" s="1"/>
      </tp>
      <tp>
        <v>53463</v>
        <stp/>
        <stp>OPEN_INT</stp>
        <stp>.SPY150424P207.5</stp>
        <tr r="Q60" s="1"/>
      </tp>
      <tp t="s">
        <v>N/A</v>
        <stp/>
        <stp>OPEN_INT</stp>
        <stp>.SPY150717P204.5</stp>
        <tr r="Q390" s="1"/>
      </tp>
      <tp t="s">
        <v>N/A</v>
        <stp/>
        <stp>OPEN_INT</stp>
        <stp>.SPY150717P214.5</stp>
        <tr r="Q410" s="1"/>
      </tp>
      <tp t="s">
        <v>N/A</v>
        <stp/>
        <stp>OPEN_INT</stp>
        <stp>.SPY160617P207.5</stp>
        <tr r="Q690" s="1"/>
      </tp>
      <tp t="s">
        <v>N/A</v>
        <stp/>
        <stp>OPEN_INT</stp>
        <stp>.SPY160617P217.5</stp>
        <tr r="Q710" s="1"/>
      </tp>
      <tp t="s">
        <v>N/A</v>
        <stp/>
        <stp>OPEN_INT</stp>
        <stp>.SPY150630P203.5</stp>
        <tr r="Q346" s="1"/>
      </tp>
      <tp t="s">
        <v>N/A</v>
        <stp/>
        <stp>OPEN_INT</stp>
        <stp>.SPY150630P213.5</stp>
        <tr r="Q366" s="1"/>
      </tp>
      <tp t="s">
        <v>N/A</v>
        <stp/>
        <stp>OPEN_INT</stp>
        <stp>.SPY160115P205.5</stp>
        <tr r="Q602" s="1"/>
      </tp>
      <tp t="s">
        <v>N/A</v>
        <stp/>
        <stp>OPEN_INT</stp>
        <stp>.SPY160115P215.5</stp>
        <tr r="Q622" s="1"/>
      </tp>
      <tp t="s">
        <v>N/A</v>
        <stp/>
        <stp>OPEN_INT</stp>
        <stp>.SPY170120P211.5</stp>
        <tr r="Q824" s="1"/>
      </tp>
      <tp t="s">
        <v>N/A</v>
        <stp/>
        <stp>OPEN_INT</stp>
        <stp>.SPY170120P201.5</stp>
        <tr r="Q804" s="1"/>
      </tp>
      <tp t="s">
        <v>N/A</v>
        <stp/>
        <stp>OPEN_INT</stp>
        <stp>.SPY160318P208.5</stp>
        <tr r="Q650" s="1"/>
      </tp>
      <tp t="s">
        <v>N/A</v>
        <stp/>
        <stp>OPEN_INT</stp>
        <stp>.SPY170317P206.5</stp>
        <tr r="Q856" s="1"/>
      </tp>
      <tp t="s">
        <v>N/A</v>
        <stp/>
        <stp>OPEN_INT</stp>
        <stp>.SPY160318P218.5</stp>
        <tr r="Q670" s="1"/>
      </tp>
      <tp t="s">
        <v>N/A</v>
        <stp/>
        <stp>OPEN_INT</stp>
        <stp>.SPY170317P216.5</stp>
        <tr r="Q876" s="1"/>
      </tp>
      <tp t="s">
        <v>N/A</v>
        <stp/>
        <stp>OPEN_INT</stp>
        <stp>.SPY160916P206.5</stp>
        <tr r="Q730" s="1"/>
      </tp>
      <tp t="s">
        <v>N/A</v>
        <stp/>
        <stp>OPEN_INT</stp>
        <stp>.SPY160916P216.5</stp>
        <tr r="Q750" s="1"/>
      </tp>
      <tp t="s">
        <v>N/A</v>
        <stp/>
        <stp>OPEN_INT</stp>
        <stp>.SPY150930P203.5</stp>
        <tr r="Q472" s="1"/>
      </tp>
      <tp t="s">
        <v>N/A</v>
        <stp/>
        <stp>OPEN_INT</stp>
        <stp>.SPY150930P213.5</stp>
        <tr r="Q492" s="1"/>
      </tp>
      <tp t="s">
        <v>N/A</v>
        <stp/>
        <stp>OPEN_INT</stp>
        <stp>.SPY161216P206.5</stp>
        <tr r="Q772" s="1"/>
      </tp>
      <tp t="s">
        <v>N/A</v>
        <stp/>
        <stp>OPEN_INT</stp>
        <stp>.SPY171215P204.5</stp>
        <tr r="Q894" s="1"/>
      </tp>
      <tp t="s">
        <v>N/A</v>
        <stp/>
        <stp>OPEN_INT</stp>
        <stp>.SPY161216P216.5</stp>
        <tr r="Q792" s="1"/>
      </tp>
      <tp t="s">
        <v>N/A</v>
        <stp/>
        <stp>OPEN_INT</stp>
        <stp>.SPY171215P214.5</stp>
        <tr r="Q914" s="1"/>
      </tp>
      <tp t="s">
        <v>N/A</v>
        <stp/>
        <stp>OPEN_INT</stp>
        <stp>.SPY151231P202.5</stp>
        <tr r="Q554" s="1"/>
      </tp>
      <tp t="s">
        <v>N/A</v>
        <stp/>
        <stp>OPEN_INT</stp>
        <stp>.SPY151231P212.5</stp>
        <tr r="Q574" s="1"/>
      </tp>
      <tp t="s">
        <v>N/A</v>
        <stp/>
        <stp>OPEN_INT</stp>
        <stp>.SPY161216C206.5</stp>
        <tr r="F772" s="1"/>
      </tp>
      <tp t="s">
        <v>N/A</v>
        <stp/>
        <stp>OPEN_INT</stp>
        <stp>.SPY171215C204.5</stp>
        <tr r="F894" s="1"/>
      </tp>
      <tp t="s">
        <v>N/A</v>
        <stp/>
        <stp>OPEN_INT</stp>
        <stp>.SPY161216C216.5</stp>
        <tr r="F792" s="1"/>
      </tp>
      <tp t="s">
        <v>N/A</v>
        <stp/>
        <stp>OPEN_INT</stp>
        <stp>.SPY171215C214.5</stp>
        <tr r="F914" s="1"/>
      </tp>
      <tp t="s">
        <v>N/A</v>
        <stp/>
        <stp>OPEN_INT</stp>
        <stp>.SPY151231C202.5</stp>
        <tr r="F554" s="1"/>
      </tp>
      <tp t="s">
        <v>N/A</v>
        <stp/>
        <stp>OPEN_INT</stp>
        <stp>.SPY151231C212.5</stp>
        <tr r="F574" s="1"/>
      </tp>
      <tp>
        <v>35516</v>
        <stp/>
        <stp>OPEN_INT</stp>
        <stp>.SPY150501C212.5</stp>
        <tr r="F112" s="1"/>
      </tp>
      <tp>
        <v>1521</v>
        <stp/>
        <stp>OPEN_INT</stp>
        <stp>.SPY150515C206.5</stp>
        <tr r="F184" s="1"/>
      </tp>
      <tp>
        <v>0</v>
        <stp/>
        <stp>OPEN_INT</stp>
        <stp>.SPY150501C202.5</stp>
        <tr r="F92" s="1"/>
      </tp>
      <tp>
        <v>3991</v>
        <stp/>
        <stp>OPEN_INT</stp>
        <stp>.SPY150515C216.5</stp>
        <tr r="F204" s="1"/>
      </tp>
      <tp>
        <v>808</v>
        <stp/>
        <stp>OPEN_INT</stp>
        <stp>.SPY150522C211.5</stp>
        <tr r="F236" s="1"/>
      </tp>
      <tp>
        <v>2</v>
        <stp/>
        <stp>OPEN_INT</stp>
        <stp>.SPY150522C201.5</stp>
        <tr r="F216" s="1"/>
      </tp>
      <tp>
        <v>0</v>
        <stp/>
        <stp>OPEN_INT</stp>
        <stp>.SPY150417C204.5</stp>
        <tr r="F12" s="1"/>
      </tp>
      <tp>
        <v>35124</v>
        <stp/>
        <stp>OPEN_INT</stp>
        <stp>.SPY150417C214.5</stp>
        <tr r="F32" s="1"/>
      </tp>
      <tp>
        <v>2176</v>
        <stp/>
        <stp>OPEN_INT</stp>
        <stp>.SPY150424C217.5</stp>
        <tr r="F80" s="1"/>
      </tp>
      <tp>
        <v>0</v>
        <stp/>
        <stp>OPEN_INT</stp>
        <stp>.SPY150424C207.5</stp>
        <tr r="F60" s="1"/>
      </tp>
      <tp t="s">
        <v>N/A</v>
        <stp/>
        <stp>OPEN_INT</stp>
        <stp>.SPY150717C204.5</stp>
        <tr r="F390" s="1"/>
      </tp>
      <tp t="s">
        <v>N/A</v>
        <stp/>
        <stp>OPEN_INT</stp>
        <stp>.SPY150717C214.5</stp>
        <tr r="F410" s="1"/>
      </tp>
      <tp t="s">
        <v>N/A</v>
        <stp/>
        <stp>OPEN_INT</stp>
        <stp>.SPY160617C207.5</stp>
        <tr r="F690" s="1"/>
      </tp>
      <tp t="s">
        <v>N/A</v>
        <stp/>
        <stp>OPEN_INT</stp>
        <stp>.SPY160617C217.5</stp>
        <tr r="F710" s="1"/>
      </tp>
      <tp t="s">
        <v>N/A</v>
        <stp/>
        <stp>OPEN_INT</stp>
        <stp>.SPY150630C203.5</stp>
        <tr r="F346" s="1"/>
      </tp>
      <tp t="s">
        <v>N/A</v>
        <stp/>
        <stp>OPEN_INT</stp>
        <stp>.SPY150630C213.5</stp>
        <tr r="F366" s="1"/>
      </tp>
      <tp t="s">
        <v>N/A</v>
        <stp/>
        <stp>OPEN_INT</stp>
        <stp>.SPY160115C205.5</stp>
        <tr r="F602" s="1"/>
      </tp>
      <tp t="s">
        <v>N/A</v>
        <stp/>
        <stp>OPEN_INT</stp>
        <stp>.SPY160115C215.5</stp>
        <tr r="F622" s="1"/>
      </tp>
      <tp t="s">
        <v>N/A</v>
        <stp/>
        <stp>OPEN_INT</stp>
        <stp>.SPY170120C211.5</stp>
        <tr r="F824" s="1"/>
      </tp>
      <tp t="s">
        <v>N/A</v>
        <stp/>
        <stp>OPEN_INT</stp>
        <stp>.SPY170120C201.5</stp>
        <tr r="F804" s="1"/>
      </tp>
      <tp t="s">
        <v>N/A</v>
        <stp/>
        <stp>OPEN_INT</stp>
        <stp>.SPY160318C208.5</stp>
        <tr r="F650" s="1"/>
      </tp>
      <tp t="s">
        <v>N/A</v>
        <stp/>
        <stp>OPEN_INT</stp>
        <stp>.SPY170317C206.5</stp>
        <tr r="F856" s="1"/>
      </tp>
      <tp t="s">
        <v>N/A</v>
        <stp/>
        <stp>OPEN_INT</stp>
        <stp>.SPY160318C218.5</stp>
        <tr r="F670" s="1"/>
      </tp>
      <tp t="s">
        <v>N/A</v>
        <stp/>
        <stp>OPEN_INT</stp>
        <stp>.SPY170317C216.5</stp>
        <tr r="F876" s="1"/>
      </tp>
      <tp t="s">
        <v>N/A</v>
        <stp/>
        <stp>OPEN_INT</stp>
        <stp>.SPY160916C206.5</stp>
        <tr r="F730" s="1"/>
      </tp>
      <tp t="s">
        <v>N/A</v>
        <stp/>
        <stp>OPEN_INT</stp>
        <stp>.SPY160916C216.5</stp>
        <tr r="F750" s="1"/>
      </tp>
      <tp t="s">
        <v>N/A</v>
        <stp/>
        <stp>OPEN_INT</stp>
        <stp>.SPY150930C203.5</stp>
        <tr r="F472" s="1"/>
      </tp>
      <tp t="s">
        <v>N/A</v>
        <stp/>
        <stp>OPEN_INT</stp>
        <stp>.SPY150930C213.5</stp>
        <tr r="F492" s="1"/>
      </tp>
      <tp>
        <v>401</v>
        <stp/>
        <stp>OPEN_INT</stp>
        <stp>.SPY150508P214.5</stp>
        <tr r="Q158" s="1"/>
      </tp>
      <tp>
        <v>26869</v>
        <stp/>
        <stp>OPEN_INT</stp>
        <stp>.SPY150515P209.5</stp>
        <tr r="Q190" s="1"/>
      </tp>
      <tp>
        <v>8207</v>
        <stp/>
        <stp>OPEN_INT</stp>
        <stp>.SPY150508P204.5</stp>
        <tr r="Q138" s="1"/>
      </tp>
      <tp>
        <v>21</v>
        <stp/>
        <stp>OPEN_INT</stp>
        <stp>.SPY150515P219.5</stp>
        <tr r="Q210" s="1"/>
      </tp>
      <tp>
        <v>1</v>
        <stp/>
        <stp>OPEN_INT</stp>
        <stp>.SPY150529P215.5</stp>
        <tr r="Q286" s="1"/>
      </tp>
      <tp>
        <v>773</v>
        <stp/>
        <stp>OPEN_INT</stp>
        <stp>.SPY150529P205.5</stp>
        <tr r="Q266" s="1"/>
      </tp>
      <tp>
        <v>0</v>
        <stp/>
        <stp>OPEN_INT</stp>
        <stp>.SPY150424P218.5</stp>
        <tr r="Q82" s="1"/>
      </tp>
      <tp>
        <v>28621</v>
        <stp/>
        <stp>OPEN_INT</stp>
        <stp>.SPY150424P208.5</stp>
        <tr r="Q62" s="1"/>
      </tp>
      <tp t="s">
        <v>N/A</v>
        <stp/>
        <stp>OPEN_INT</stp>
        <stp>.SPY150619P205.5</stp>
        <tr r="Q308" s="1"/>
      </tp>
      <tp t="s">
        <v>N/A</v>
        <stp/>
        <stp>OPEN_INT</stp>
        <stp>.SPY160617P208.5</stp>
        <tr r="Q692" s="1"/>
      </tp>
      <tp t="s">
        <v>N/A</v>
        <stp/>
        <stp>OPEN_INT</stp>
        <stp>.SPY150619P215.5</stp>
        <tr r="Q328" s="1"/>
      </tp>
      <tp t="s">
        <v>N/A</v>
        <stp/>
        <stp>OPEN_INT</stp>
        <stp>.SPY160617P218.5</stp>
        <tr r="Q712" s="1"/>
      </tp>
      <tp t="s">
        <v>N/A</v>
        <stp/>
        <stp>OPEN_INT</stp>
        <stp>.SPY160318P207.5</stp>
        <tr r="Q648" s="1"/>
      </tp>
      <tp t="s">
        <v>N/A</v>
        <stp/>
        <stp>OPEN_INT</stp>
        <stp>.SPY170317P209.5</stp>
        <tr r="Q862" s="1"/>
      </tp>
      <tp t="s">
        <v>N/A</v>
        <stp/>
        <stp>OPEN_INT</stp>
        <stp>.SPY160318P217.5</stp>
        <tr r="Q668" s="1"/>
      </tp>
      <tp t="s">
        <v>N/A</v>
        <stp/>
        <stp>OPEN_INT</stp>
        <stp>.SPY170317P219.5</stp>
        <tr r="Q882" s="1"/>
      </tp>
      <tp t="s">
        <v>N/A</v>
        <stp/>
        <stp>OPEN_INT</stp>
        <stp>.SPY150918P204.5</stp>
        <tr r="Q432" s="1"/>
      </tp>
      <tp t="s">
        <v>N/A</v>
        <stp/>
        <stp>OPEN_INT</stp>
        <stp>.SPY160916P209.5</stp>
        <tr r="Q736" s="1"/>
      </tp>
      <tp t="s">
        <v>N/A</v>
        <stp/>
        <stp>OPEN_INT</stp>
        <stp>.SPY150918P214.5</stp>
        <tr r="Q452" s="1"/>
      </tp>
      <tp t="s">
        <v>N/A</v>
        <stp/>
        <stp>OPEN_INT</stp>
        <stp>.SPY160916P219.5</stp>
        <tr r="Q756" s="1"/>
      </tp>
      <tp t="s">
        <v>N/A</v>
        <stp/>
        <stp>OPEN_INT</stp>
        <stp>.SPY151219P205.5</stp>
        <tr r="Q518" s="1"/>
      </tp>
      <tp t="s">
        <v>N/A</v>
        <stp/>
        <stp>OPEN_INT</stp>
        <stp>.SPY161216P209.5</stp>
        <tr r="Q778" s="1"/>
      </tp>
      <tp t="s">
        <v>N/A</v>
        <stp/>
        <stp>OPEN_INT</stp>
        <stp>.SPY151219P215.5</stp>
        <tr r="Q538" s="1"/>
      </tp>
      <tp t="s">
        <v>N/A</v>
        <stp/>
        <stp>OPEN_INT</stp>
        <stp>.SPY161216P219.5</stp>
        <tr r="Q798" s="1"/>
      </tp>
      <tp t="s">
        <v>N/A</v>
        <stp/>
        <stp>OPEN_INT</stp>
        <stp>.SPY151219C205.5</stp>
        <tr r="F518" s="1"/>
      </tp>
      <tp t="s">
        <v>N/A</v>
        <stp/>
        <stp>OPEN_INT</stp>
        <stp>.SPY161216C209.5</stp>
        <tr r="F778" s="1"/>
      </tp>
      <tp t="s">
        <v>N/A</v>
        <stp/>
        <stp>OPEN_INT</stp>
        <stp>.SPY151219C215.5</stp>
        <tr r="F538" s="1"/>
      </tp>
      <tp t="s">
        <v>N/A</v>
        <stp/>
        <stp>OPEN_INT</stp>
        <stp>.SPY161216C219.5</stp>
        <tr r="F798" s="1"/>
      </tp>
      <tp>
        <v>79135</v>
        <stp/>
        <stp>OPEN_INT</stp>
        <stp>.SPY150508C214.5</stp>
        <tr r="F158" s="1"/>
      </tp>
      <tp>
        <v>9113</v>
        <stp/>
        <stp>OPEN_INT</stp>
        <stp>.SPY150515C209.5</stp>
        <tr r="F190" s="1"/>
      </tp>
      <tp>
        <v>158</v>
        <stp/>
        <stp>OPEN_INT</stp>
        <stp>.SPY150508C204.5</stp>
        <tr r="F138" s="1"/>
      </tp>
      <tp>
        <v>993</v>
        <stp/>
        <stp>OPEN_INT</stp>
        <stp>.SPY150515C219.5</stp>
        <tr r="F210" s="1"/>
      </tp>
      <tp>
        <v>1087</v>
        <stp/>
        <stp>OPEN_INT</stp>
        <stp>.SPY150529C215.5</stp>
        <tr r="F286" s="1"/>
      </tp>
      <tp>
        <v>144</v>
        <stp/>
        <stp>OPEN_INT</stp>
        <stp>.SPY150529C205.5</stp>
        <tr r="F266" s="1"/>
      </tp>
      <tp>
        <v>180</v>
        <stp/>
        <stp>OPEN_INT</stp>
        <stp>.SPY150424C218.5</stp>
        <tr r="F82" s="1"/>
      </tp>
      <tp>
        <v>0</v>
        <stp/>
        <stp>OPEN_INT</stp>
        <stp>.SPY150424C208.5</stp>
        <tr r="F62" s="1"/>
      </tp>
      <tp t="s">
        <v>N/A</v>
        <stp/>
        <stp>OPEN_INT</stp>
        <stp>.SPY150619C205.5</stp>
        <tr r="F308" s="1"/>
      </tp>
      <tp t="s">
        <v>N/A</v>
        <stp/>
        <stp>OPEN_INT</stp>
        <stp>.SPY160617C208.5</stp>
        <tr r="F692" s="1"/>
      </tp>
      <tp t="s">
        <v>N/A</v>
        <stp/>
        <stp>OPEN_INT</stp>
        <stp>.SPY150619C215.5</stp>
        <tr r="F328" s="1"/>
      </tp>
      <tp t="s">
        <v>N/A</v>
        <stp/>
        <stp>OPEN_INT</stp>
        <stp>.SPY160617C218.5</stp>
        <tr r="F712" s="1"/>
      </tp>
      <tp t="s">
        <v>N/A</v>
        <stp/>
        <stp>OPEN_INT</stp>
        <stp>.SPY160318C207.5</stp>
        <tr r="F648" s="1"/>
      </tp>
      <tp t="s">
        <v>N/A</v>
        <stp/>
        <stp>OPEN_INT</stp>
        <stp>.SPY170317C209.5</stp>
        <tr r="F862" s="1"/>
      </tp>
      <tp t="s">
        <v>N/A</v>
        <stp/>
        <stp>OPEN_INT</stp>
        <stp>.SPY160318C217.5</stp>
        <tr r="F668" s="1"/>
      </tp>
      <tp t="s">
        <v>N/A</v>
        <stp/>
        <stp>OPEN_INT</stp>
        <stp>.SPY170317C219.5</stp>
        <tr r="F882" s="1"/>
      </tp>
      <tp t="s">
        <v>N/A</v>
        <stp/>
        <stp>OPEN_INT</stp>
        <stp>.SPY150918C204.5</stp>
        <tr r="F432" s="1"/>
      </tp>
      <tp t="s">
        <v>N/A</v>
        <stp/>
        <stp>OPEN_INT</stp>
        <stp>.SPY160916C209.5</stp>
        <tr r="F736" s="1"/>
      </tp>
      <tp t="s">
        <v>N/A</v>
        <stp/>
        <stp>OPEN_INT</stp>
        <stp>.SPY150918C214.5</stp>
        <tr r="F452" s="1"/>
      </tp>
      <tp t="s">
        <v>N/A</v>
        <stp/>
        <stp>OPEN_INT</stp>
        <stp>.SPY160916C219.5</stp>
        <tr r="F756" s="1"/>
      </tp>
      <tp>
        <v>145</v>
        <stp/>
        <stp>OPEN_INT</stp>
        <stp>.SPY150508P215.5</stp>
        <tr r="Q160" s="1"/>
      </tp>
      <tp>
        <v>12904</v>
        <stp/>
        <stp>OPEN_INT</stp>
        <stp>.SPY150515P208.5</stp>
        <tr r="Q188" s="1"/>
      </tp>
      <tp>
        <v>9750</v>
        <stp/>
        <stp>OPEN_INT</stp>
        <stp>.SPY150508P205.5</stp>
        <tr r="Q140" s="1"/>
      </tp>
      <tp>
        <v>14</v>
        <stp/>
        <stp>OPEN_INT</stp>
        <stp>.SPY150515P218.5</stp>
        <tr r="Q208" s="1"/>
      </tp>
      <tp>
        <v>89</v>
        <stp/>
        <stp>OPEN_INT</stp>
        <stp>.SPY150529P214.5</stp>
        <tr r="Q284" s="1"/>
      </tp>
      <tp>
        <v>773</v>
        <stp/>
        <stp>OPEN_INT</stp>
        <stp>.SPY150529P204.5</stp>
        <tr r="Q264" s="1"/>
      </tp>
      <tp>
        <v>0</v>
        <stp/>
        <stp>OPEN_INT</stp>
        <stp>.SPY150424P219.5</stp>
        <tr r="Q84" s="1"/>
      </tp>
      <tp>
        <v>40122</v>
        <stp/>
        <stp>OPEN_INT</stp>
        <stp>.SPY150424P209.5</stp>
        <tr r="Q64" s="1"/>
      </tp>
      <tp t="s">
        <v>N/A</v>
        <stp/>
        <stp>OPEN_INT</stp>
        <stp>.SPY150619P204.5</stp>
        <tr r="Q306" s="1"/>
      </tp>
      <tp t="s">
        <v>N/A</v>
        <stp/>
        <stp>OPEN_INT</stp>
        <stp>.SPY160617P209.5</stp>
        <tr r="Q694" s="1"/>
      </tp>
      <tp t="s">
        <v>N/A</v>
        <stp/>
        <stp>OPEN_INT</stp>
        <stp>.SPY150619P214.5</stp>
        <tr r="Q326" s="1"/>
      </tp>
      <tp t="s">
        <v>N/A</v>
        <stp/>
        <stp>OPEN_INT</stp>
        <stp>.SPY160617P219.5</stp>
        <tr r="Q714" s="1"/>
      </tp>
      <tp t="s">
        <v>N/A</v>
        <stp/>
        <stp>OPEN_INT</stp>
        <stp>.SPY160318P206.5</stp>
        <tr r="Q646" s="1"/>
      </tp>
      <tp t="s">
        <v>N/A</v>
        <stp/>
        <stp>OPEN_INT</stp>
        <stp>.SPY170317P208.5</stp>
        <tr r="Q860" s="1"/>
      </tp>
      <tp t="s">
        <v>N/A</v>
        <stp/>
        <stp>OPEN_INT</stp>
        <stp>.SPY160318P216.5</stp>
        <tr r="Q666" s="1"/>
      </tp>
      <tp t="s">
        <v>N/A</v>
        <stp/>
        <stp>OPEN_INT</stp>
        <stp>.SPY170317P218.5</stp>
        <tr r="Q880" s="1"/>
      </tp>
      <tp t="s">
        <v>N/A</v>
        <stp/>
        <stp>OPEN_INT</stp>
        <stp>.SPY150918P205.5</stp>
        <tr r="Q434" s="1"/>
      </tp>
      <tp t="s">
        <v>N/A</v>
        <stp/>
        <stp>OPEN_INT</stp>
        <stp>.SPY160916P208.5</stp>
        <tr r="Q734" s="1"/>
      </tp>
      <tp t="s">
        <v>N/A</v>
        <stp/>
        <stp>OPEN_INT</stp>
        <stp>.SPY150918P215.5</stp>
        <tr r="Q454" s="1"/>
      </tp>
      <tp t="s">
        <v>N/A</v>
        <stp/>
        <stp>OPEN_INT</stp>
        <stp>.SPY160916P218.5</stp>
        <tr r="Q754" s="1"/>
      </tp>
      <tp t="s">
        <v>N/A</v>
        <stp/>
        <stp>OPEN_INT</stp>
        <stp>.SPY151219P204.5</stp>
        <tr r="Q516" s="1"/>
      </tp>
      <tp t="s">
        <v>N/A</v>
        <stp/>
        <stp>OPEN_INT</stp>
        <stp>.SPY161216P208.5</stp>
        <tr r="Q776" s="1"/>
      </tp>
      <tp t="s">
        <v>N/A</v>
        <stp/>
        <stp>OPEN_INT</stp>
        <stp>.SPY151219P214.5</stp>
        <tr r="Q536" s="1"/>
      </tp>
      <tp t="s">
        <v>N/A</v>
        <stp/>
        <stp>OPEN_INT</stp>
        <stp>.SPY161216P218.5</stp>
        <tr r="Q796" s="1"/>
      </tp>
      <tp t="s">
        <v>N/A</v>
        <stp/>
        <stp>OPEN_INT</stp>
        <stp>.SPY151219C204.5</stp>
        <tr r="F516" s="1"/>
      </tp>
      <tp t="s">
        <v>N/A</v>
        <stp/>
        <stp>OPEN_INT</stp>
        <stp>.SPY161216C208.5</stp>
        <tr r="F776" s="1"/>
      </tp>
      <tp t="s">
        <v>N/A</v>
        <stp/>
        <stp>OPEN_INT</stp>
        <stp>.SPY151219C214.5</stp>
        <tr r="F536" s="1"/>
      </tp>
      <tp t="s">
        <v>N/A</v>
        <stp/>
        <stp>OPEN_INT</stp>
        <stp>.SPY161216C218.5</stp>
        <tr r="F796" s="1"/>
      </tp>
      <tp>
        <v>40404</v>
        <stp/>
        <stp>OPEN_INT</stp>
        <stp>.SPY150508C215.5</stp>
        <tr r="F160" s="1"/>
      </tp>
      <tp>
        <v>5268</v>
        <stp/>
        <stp>OPEN_INT</stp>
        <stp>.SPY150515C208.5</stp>
        <tr r="F188" s="1"/>
      </tp>
      <tp>
        <v>64</v>
        <stp/>
        <stp>OPEN_INT</stp>
        <stp>.SPY150508C205.5</stp>
        <tr r="F140" s="1"/>
      </tp>
      <tp>
        <v>964</v>
        <stp/>
        <stp>OPEN_INT</stp>
        <stp>.SPY150515C218.5</stp>
        <tr r="F208" s="1"/>
      </tp>
      <tp>
        <v>655</v>
        <stp/>
        <stp>OPEN_INT</stp>
        <stp>.SPY150529C214.5</stp>
        <tr r="F284" s="1"/>
      </tp>
      <tp>
        <v>151</v>
        <stp/>
        <stp>OPEN_INT</stp>
        <stp>.SPY150529C204.5</stp>
        <tr r="F264" s="1"/>
      </tp>
      <tp>
        <v>699</v>
        <stp/>
        <stp>OPEN_INT</stp>
        <stp>.SPY150424C219.5</stp>
        <tr r="F84" s="1"/>
      </tp>
      <tp>
        <v>0</v>
        <stp/>
        <stp>OPEN_INT</stp>
        <stp>.SPY150424C209.5</stp>
        <tr r="F64" s="1"/>
      </tp>
      <tp t="s">
        <v>N/A</v>
        <stp/>
        <stp>OPEN_INT</stp>
        <stp>.SPY150619C204.5</stp>
        <tr r="F306" s="1"/>
      </tp>
      <tp t="s">
        <v>N/A</v>
        <stp/>
        <stp>OPEN_INT</stp>
        <stp>.SPY160617C209.5</stp>
        <tr r="F694" s="1"/>
      </tp>
      <tp t="s">
        <v>N/A</v>
        <stp/>
        <stp>OPEN_INT</stp>
        <stp>.SPY150619C214.5</stp>
        <tr r="F326" s="1"/>
      </tp>
      <tp t="s">
        <v>N/A</v>
        <stp/>
        <stp>OPEN_INT</stp>
        <stp>.SPY160617C219.5</stp>
        <tr r="F714" s="1"/>
      </tp>
      <tp t="s">
        <v>N/A</v>
        <stp/>
        <stp>OPEN_INT</stp>
        <stp>.SPY160318C206.5</stp>
        <tr r="F646" s="1"/>
      </tp>
      <tp t="s">
        <v>N/A</v>
        <stp/>
        <stp>OPEN_INT</stp>
        <stp>.SPY170317C208.5</stp>
        <tr r="F860" s="1"/>
      </tp>
      <tp t="s">
        <v>N/A</v>
        <stp/>
        <stp>OPEN_INT</stp>
        <stp>.SPY160318C216.5</stp>
        <tr r="F666" s="1"/>
      </tp>
      <tp t="s">
        <v>N/A</v>
        <stp/>
        <stp>OPEN_INT</stp>
        <stp>.SPY170317C218.5</stp>
        <tr r="F880" s="1"/>
      </tp>
      <tp t="s">
        <v>N/A</v>
        <stp/>
        <stp>OPEN_INT</stp>
        <stp>.SPY150918C205.5</stp>
        <tr r="F434" s="1"/>
      </tp>
      <tp t="s">
        <v>N/A</v>
        <stp/>
        <stp>OPEN_INT</stp>
        <stp>.SPY160916C208.5</stp>
        <tr r="F734" s="1"/>
      </tp>
      <tp t="s">
        <v>N/A</v>
        <stp/>
        <stp>OPEN_INT</stp>
        <stp>.SPY150918C215.5</stp>
        <tr r="F454" s="1"/>
      </tp>
      <tp t="s">
        <v>N/A</v>
        <stp/>
        <stp>OPEN_INT</stp>
        <stp>.SPY160916C218.5</stp>
        <tr r="F754" s="1"/>
      </tp>
      <tp>
        <v>21</v>
        <stp/>
        <stp>OPEN_INT</stp>
        <stp>.SPY150508P216.5</stp>
        <tr r="Q162" s="1"/>
      </tp>
      <tp>
        <v>9115</v>
        <stp/>
        <stp>OPEN_INT</stp>
        <stp>.SPY150508P206.5</stp>
        <tr r="Q142" s="1"/>
      </tp>
      <tp>
        <v>94</v>
        <stp/>
        <stp>OPEN_INT</stp>
        <stp>.SPY150529P217.5</stp>
        <tr r="Q290" s="1"/>
      </tp>
      <tp>
        <v>1074</v>
        <stp/>
        <stp>OPEN_INT</stp>
        <stp>.SPY150529P207.5</stp>
        <tr r="Q270" s="1"/>
      </tp>
      <tp>
        <v>0</v>
        <stp/>
        <stp>OPEN_INT</stp>
        <stp>.SPY150417P209.5</stp>
        <tr r="Q22" s="1"/>
      </tp>
      <tp>
        <v>0</v>
        <stp/>
        <stp>OPEN_INT</stp>
        <stp>.SPY150417P219.5</stp>
        <tr r="Q42" s="1"/>
      </tp>
      <tp t="s">
        <v>N/A</v>
        <stp/>
        <stp>OPEN_INT</stp>
        <stp>.SPY150717P209.5</stp>
        <tr r="Q400" s="1"/>
      </tp>
      <tp t="s">
        <v>N/A</v>
        <stp/>
        <stp>OPEN_INT</stp>
        <stp>.SPY150717P219.5</stp>
        <tr r="Q420" s="1"/>
      </tp>
      <tp t="s">
        <v>N/A</v>
        <stp/>
        <stp>OPEN_INT</stp>
        <stp>.SPY150619P207.5</stp>
        <tr r="Q312" s="1"/>
      </tp>
      <tp t="s">
        <v>N/A</v>
        <stp/>
        <stp>OPEN_INT</stp>
        <stp>.SPY150619P217.5</stp>
        <tr r="Q332" s="1"/>
      </tp>
      <tp t="s">
        <v>N/A</v>
        <stp/>
        <stp>OPEN_INT</stp>
        <stp>.SPY160115P208.5</stp>
        <tr r="Q608" s="1"/>
      </tp>
      <tp t="s">
        <v>N/A</v>
        <stp/>
        <stp>OPEN_INT</stp>
        <stp>.SPY160115P218.5</stp>
        <tr r="Q628" s="1"/>
      </tp>
      <tp t="s">
        <v>N/A</v>
        <stp/>
        <stp>OPEN_INT</stp>
        <stp>.SPY160318P205.5</stp>
        <tr r="Q644" s="1"/>
      </tp>
      <tp t="s">
        <v>N/A</v>
        <stp/>
        <stp>OPEN_INT</stp>
        <stp>.SPY160318P215.5</stp>
        <tr r="Q664" s="1"/>
      </tp>
      <tp t="s">
        <v>N/A</v>
        <stp/>
        <stp>OPEN_INT</stp>
        <stp>.SPY150918P206.5</stp>
        <tr r="Q436" s="1"/>
      </tp>
      <tp t="s">
        <v>N/A</v>
        <stp/>
        <stp>OPEN_INT</stp>
        <stp>.SPY150918P216.5</stp>
        <tr r="Q456" s="1"/>
      </tp>
      <tp t="s">
        <v>N/A</v>
        <stp/>
        <stp>OPEN_INT</stp>
        <stp>.SPY151219P207.5</stp>
        <tr r="Q522" s="1"/>
      </tp>
      <tp t="s">
        <v>N/A</v>
        <stp/>
        <stp>OPEN_INT</stp>
        <stp>.SPY171215P209.5</stp>
        <tr r="Q904" s="1"/>
      </tp>
      <tp t="s">
        <v>N/A</v>
        <stp/>
        <stp>OPEN_INT</stp>
        <stp>.SPY151219P217.5</stp>
        <tr r="Q542" s="1"/>
      </tp>
      <tp t="s">
        <v>N/A</v>
        <stp/>
        <stp>OPEN_INT</stp>
        <stp>.SPY171215P219.5</stp>
        <tr r="Q924" s="1"/>
      </tp>
      <tp t="s">
        <v>N/A</v>
        <stp/>
        <stp>OPEN_INT</stp>
        <stp>.SPY151219C207.5</stp>
        <tr r="F522" s="1"/>
      </tp>
      <tp t="s">
        <v>N/A</v>
        <stp/>
        <stp>OPEN_INT</stp>
        <stp>.SPY171215C209.5</stp>
        <tr r="F904" s="1"/>
      </tp>
      <tp t="s">
        <v>N/A</v>
        <stp/>
        <stp>OPEN_INT</stp>
        <stp>.SPY151219C217.5</stp>
        <tr r="F542" s="1"/>
      </tp>
      <tp t="s">
        <v>N/A</v>
        <stp/>
        <stp>OPEN_INT</stp>
        <stp>.SPY171215C219.5</stp>
        <tr r="F924" s="1"/>
      </tp>
      <tp>
        <v>4829</v>
        <stp/>
        <stp>OPEN_INT</stp>
        <stp>.SPY150508C216.5</stp>
        <tr r="F162" s="1"/>
      </tp>
      <tp>
        <v>487</v>
        <stp/>
        <stp>OPEN_INT</stp>
        <stp>.SPY150508C206.5</stp>
        <tr r="F142" s="1"/>
      </tp>
      <tp>
        <v>7398</v>
        <stp/>
        <stp>OPEN_INT</stp>
        <stp>.SPY150529C217.5</stp>
        <tr r="F290" s="1"/>
      </tp>
      <tp>
        <v>99</v>
        <stp/>
        <stp>OPEN_INT</stp>
        <stp>.SPY150529C207.5</stp>
        <tr r="F270" s="1"/>
      </tp>
      <tp>
        <v>39560</v>
        <stp/>
        <stp>OPEN_INT</stp>
        <stp>.SPY150417C209.5</stp>
        <tr r="F22" s="1"/>
      </tp>
      <tp>
        <v>29</v>
        <stp/>
        <stp>OPEN_INT</stp>
        <stp>.SPY150417C219.5</stp>
        <tr r="F42" s="1"/>
      </tp>
      <tp t="s">
        <v>N/A</v>
        <stp/>
        <stp>OPEN_INT</stp>
        <stp>.SPY150717C209.5</stp>
        <tr r="F400" s="1"/>
      </tp>
      <tp t="s">
        <v>N/A</v>
        <stp/>
        <stp>OPEN_INT</stp>
        <stp>.SPY150717C219.5</stp>
        <tr r="F420" s="1"/>
      </tp>
      <tp t="s">
        <v>N/A</v>
        <stp/>
        <stp>OPEN_INT</stp>
        <stp>.SPY150619C207.5</stp>
        <tr r="F312" s="1"/>
      </tp>
      <tp t="s">
        <v>N/A</v>
        <stp/>
        <stp>OPEN_INT</stp>
        <stp>.SPY150619C217.5</stp>
        <tr r="F332" s="1"/>
      </tp>
      <tp t="s">
        <v>N/A</v>
        <stp/>
        <stp>OPEN_INT</stp>
        <stp>.SPY160115C208.5</stp>
        <tr r="F608" s="1"/>
      </tp>
      <tp t="s">
        <v>N/A</v>
        <stp/>
        <stp>OPEN_INT</stp>
        <stp>.SPY160115C218.5</stp>
        <tr r="F628" s="1"/>
      </tp>
      <tp t="s">
        <v>N/A</v>
        <stp/>
        <stp>OPEN_INT</stp>
        <stp>.SPY160318C205.5</stp>
        <tr r="F644" s="1"/>
      </tp>
      <tp t="s">
        <v>N/A</v>
        <stp/>
        <stp>OPEN_INT</stp>
        <stp>.SPY160318C215.5</stp>
        <tr r="F664" s="1"/>
      </tp>
      <tp t="s">
        <v>N/A</v>
        <stp/>
        <stp>OPEN_INT</stp>
        <stp>.SPY150918C206.5</stp>
        <tr r="F436" s="1"/>
      </tp>
      <tp t="s">
        <v>N/A</v>
        <stp/>
        <stp>OPEN_INT</stp>
        <stp>.SPY150918C216.5</stp>
        <tr r="F456" s="1"/>
      </tp>
      <tp>
        <v>102</v>
        <stp/>
        <stp>OPEN_INT</stp>
        <stp>.SPY150508P217.5</stp>
        <tr r="Q164" s="1"/>
      </tp>
      <tp>
        <v>19475</v>
        <stp/>
        <stp>OPEN_INT</stp>
        <stp>.SPY150508P207.5</stp>
        <tr r="Q144" s="1"/>
      </tp>
      <tp>
        <v>37</v>
        <stp/>
        <stp>OPEN_INT</stp>
        <stp>.SPY150529P216.5</stp>
        <tr r="Q288" s="1"/>
      </tp>
      <tp>
        <v>1042</v>
        <stp/>
        <stp>OPEN_INT</stp>
        <stp>.SPY150529P206.5</stp>
        <tr r="Q268" s="1"/>
      </tp>
      <tp>
        <v>1</v>
        <stp/>
        <stp>OPEN_INT</stp>
        <stp>.SPY150417P208.5</stp>
        <tr r="Q20" s="1"/>
      </tp>
      <tp>
        <v>0</v>
        <stp/>
        <stp>OPEN_INT</stp>
        <stp>.SPY150417P218.5</stp>
        <tr r="Q40" s="1"/>
      </tp>
      <tp t="s">
        <v>N/A</v>
        <stp/>
        <stp>OPEN_INT</stp>
        <stp>.SPY150717P208.5</stp>
        <tr r="Q398" s="1"/>
      </tp>
      <tp t="s">
        <v>N/A</v>
        <stp/>
        <stp>OPEN_INT</stp>
        <stp>.SPY150717P218.5</stp>
        <tr r="Q418" s="1"/>
      </tp>
      <tp t="s">
        <v>N/A</v>
        <stp/>
        <stp>OPEN_INT</stp>
        <stp>.SPY150619P206.5</stp>
        <tr r="Q310" s="1"/>
      </tp>
      <tp t="s">
        <v>N/A</v>
        <stp/>
        <stp>OPEN_INT</stp>
        <stp>.SPY150619P216.5</stp>
        <tr r="Q330" s="1"/>
      </tp>
      <tp t="s">
        <v>N/A</v>
        <stp/>
        <stp>OPEN_INT</stp>
        <stp>.SPY160115P209.5</stp>
        <tr r="Q610" s="1"/>
      </tp>
      <tp t="s">
        <v>N/A</v>
        <stp/>
        <stp>OPEN_INT</stp>
        <stp>.SPY160115P219.5</stp>
        <tr r="Q630" s="1"/>
      </tp>
      <tp t="s">
        <v>N/A</v>
        <stp/>
        <stp>OPEN_INT</stp>
        <stp>.SPY160318P204.5</stp>
        <tr r="Q642" s="1"/>
      </tp>
      <tp t="s">
        <v>N/A</v>
        <stp/>
        <stp>OPEN_INT</stp>
        <stp>.SPY160318P214.5</stp>
        <tr r="Q662" s="1"/>
      </tp>
      <tp t="s">
        <v>N/A</v>
        <stp/>
        <stp>OPEN_INT</stp>
        <stp>.SPY150918P207.5</stp>
        <tr r="Q438" s="1"/>
      </tp>
      <tp t="s">
        <v>N/A</v>
        <stp/>
        <stp>OPEN_INT</stp>
        <stp>.SPY150918P217.5</stp>
        <tr r="Q458" s="1"/>
      </tp>
      <tp t="s">
        <v>N/A</v>
        <stp/>
        <stp>OPEN_INT</stp>
        <stp>.SPY151219P206.5</stp>
        <tr r="Q520" s="1"/>
      </tp>
      <tp t="s">
        <v>N/A</v>
        <stp/>
        <stp>OPEN_INT</stp>
        <stp>.SPY171215P208.5</stp>
        <tr r="Q902" s="1"/>
      </tp>
      <tp t="s">
        <v>N/A</v>
        <stp/>
        <stp>OPEN_INT</stp>
        <stp>.SPY151219P216.5</stp>
        <tr r="Q540" s="1"/>
      </tp>
      <tp t="s">
        <v>N/A</v>
        <stp/>
        <stp>OPEN_INT</stp>
        <stp>.SPY171215P218.5</stp>
        <tr r="Q922" s="1"/>
      </tp>
      <tp t="s">
        <v>N/A</v>
        <stp/>
        <stp>OPEN_INT</stp>
        <stp>.SPY151219C206.5</stp>
        <tr r="F520" s="1"/>
      </tp>
      <tp t="s">
        <v>N/A</v>
        <stp/>
        <stp>OPEN_INT</stp>
        <stp>.SPY171215C208.5</stp>
        <tr r="F902" s="1"/>
      </tp>
      <tp t="s">
        <v>N/A</v>
        <stp/>
        <stp>OPEN_INT</stp>
        <stp>.SPY151219C216.5</stp>
        <tr r="F540" s="1"/>
      </tp>
      <tp t="s">
        <v>N/A</v>
        <stp/>
        <stp>OPEN_INT</stp>
        <stp>.SPY171215C218.5</stp>
        <tr r="F922" s="1"/>
      </tp>
      <tp>
        <v>446</v>
        <stp/>
        <stp>OPEN_INT</stp>
        <stp>.SPY150508C217.5</stp>
        <tr r="F164" s="1"/>
      </tp>
      <tp>
        <v>2605</v>
        <stp/>
        <stp>OPEN_INT</stp>
        <stp>.SPY150508C207.5</stp>
        <tr r="F144" s="1"/>
      </tp>
      <tp>
        <v>613</v>
        <stp/>
        <stp>OPEN_INT</stp>
        <stp>.SPY150529C216.5</stp>
        <tr r="F288" s="1"/>
      </tp>
      <tp>
        <v>152</v>
        <stp/>
        <stp>OPEN_INT</stp>
        <stp>.SPY150529C206.5</stp>
        <tr r="F268" s="1"/>
      </tp>
      <tp>
        <v>28543</v>
        <stp/>
        <stp>OPEN_INT</stp>
        <stp>.SPY150417C208.5</stp>
        <tr r="F20" s="1"/>
      </tp>
      <tp>
        <v>5966</v>
        <stp/>
        <stp>OPEN_INT</stp>
        <stp>.SPY150417C218.5</stp>
        <tr r="F40" s="1"/>
      </tp>
      <tp t="s">
        <v>N/A</v>
        <stp/>
        <stp>OPEN_INT</stp>
        <stp>.SPY150717C208.5</stp>
        <tr r="F398" s="1"/>
      </tp>
      <tp t="s">
        <v>N/A</v>
        <stp/>
        <stp>OPEN_INT</stp>
        <stp>.SPY150717C218.5</stp>
        <tr r="F418" s="1"/>
      </tp>
      <tp t="s">
        <v>N/A</v>
        <stp/>
        <stp>OPEN_INT</stp>
        <stp>.SPY150619C206.5</stp>
        <tr r="F310" s="1"/>
      </tp>
      <tp t="s">
        <v>N/A</v>
        <stp/>
        <stp>OPEN_INT</stp>
        <stp>.SPY150619C216.5</stp>
        <tr r="F330" s="1"/>
      </tp>
      <tp t="s">
        <v>N/A</v>
        <stp/>
        <stp>OPEN_INT</stp>
        <stp>.SPY160115C209.5</stp>
        <tr r="F610" s="1"/>
      </tp>
      <tp t="s">
        <v>N/A</v>
        <stp/>
        <stp>OPEN_INT</stp>
        <stp>.SPY160115C219.5</stp>
        <tr r="F630" s="1"/>
      </tp>
      <tp t="s">
        <v>N/A</v>
        <stp/>
        <stp>OPEN_INT</stp>
        <stp>.SPY160318C204.5</stp>
        <tr r="F642" s="1"/>
      </tp>
      <tp t="s">
        <v>N/A</v>
        <stp/>
        <stp>OPEN_INT</stp>
        <stp>.SPY160318C214.5</stp>
        <tr r="F662" s="1"/>
      </tp>
      <tp t="s">
        <v>N/A</v>
        <stp/>
        <stp>OPEN_INT</stp>
        <stp>.SPY150918C207.5</stp>
        <tr r="F438" s="1"/>
      </tp>
      <tp t="s">
        <v>N/A</v>
        <stp/>
        <stp>OPEN_INT</stp>
        <stp>.SPY150918C217.5</stp>
        <tr r="F458" s="1"/>
      </tp>
      <tp>
        <v>0</v>
        <stp/>
        <stp>OPEN_INT</stp>
        <stp>.SPY150501P219.5</stp>
        <tr r="Q126" s="1"/>
      </tp>
      <tp>
        <v>9526</v>
        <stp/>
        <stp>OPEN_INT</stp>
        <stp>.SPY150508P210.5</stp>
        <tr r="Q150" s="1"/>
      </tp>
      <tp>
        <v>23882</v>
        <stp/>
        <stp>OPEN_INT</stp>
        <stp>.SPY150501P209.5</stp>
        <tr r="Q106" s="1"/>
      </tp>
      <tp>
        <v>2907</v>
        <stp/>
        <stp>OPEN_INT</stp>
        <stp>.SPY150508P200.5</stp>
        <tr r="Q130" s="1"/>
      </tp>
      <tp>
        <v>1062</v>
        <stp/>
        <stp>OPEN_INT</stp>
        <stp>.SPY150529P211.5</stp>
        <tr r="Q278" s="1"/>
      </tp>
      <tp>
        <v>1866</v>
        <stp/>
        <stp>OPEN_INT</stp>
        <stp>.SPY150529P201.5</stp>
        <tr r="Q258" s="1"/>
      </tp>
      <tp t="s">
        <v>N/A</v>
        <stp/>
        <stp>OPEN_INT</stp>
        <stp>.SPY150619P201.5</stp>
        <tr r="Q300" s="1"/>
      </tp>
      <tp t="s">
        <v>N/A</v>
        <stp/>
        <stp>OPEN_INT</stp>
        <stp>.SPY150619P211.5</stp>
        <tr r="Q320" s="1"/>
      </tp>
      <tp t="s">
        <v>N/A</v>
        <stp/>
        <stp>OPEN_INT</stp>
        <stp>.SPY150630P208.5</stp>
        <tr r="Q356" s="1"/>
      </tp>
      <tp t="s">
        <v>N/A</v>
        <stp/>
        <stp>OPEN_INT</stp>
        <stp>.SPY150630P218.5</stp>
        <tr r="Q376" s="1"/>
      </tp>
      <tp t="s">
        <v>N/A</v>
        <stp/>
        <stp>OPEN_INT</stp>
        <stp>.SPY160318P203.5</stp>
        <tr r="Q640" s="1"/>
      </tp>
      <tp t="s">
        <v>N/A</v>
        <stp/>
        <stp>OPEN_INT</stp>
        <stp>.SPY160318P213.5</stp>
        <tr r="Q660" s="1"/>
      </tp>
      <tp t="s">
        <v>N/A</v>
        <stp/>
        <stp>OPEN_INT</stp>
        <stp>.SPY150918P200.5</stp>
        <tr r="Q424" s="1"/>
      </tp>
      <tp t="s">
        <v>N/A</v>
        <stp/>
        <stp>OPEN_INT</stp>
        <stp>.SPY150918P210.5</stp>
        <tr r="Q444" s="1"/>
      </tp>
      <tp t="s">
        <v>N/A</v>
        <stp/>
        <stp>OPEN_INT</stp>
        <stp>.SPY150930P208.5</stp>
        <tr r="Q482" s="1"/>
      </tp>
      <tp t="s">
        <v>N/A</v>
        <stp/>
        <stp>OPEN_INT</stp>
        <stp>.SPY150930P218.5</stp>
        <tr r="Q502" s="1"/>
      </tp>
      <tp t="s">
        <v>N/A</v>
        <stp/>
        <stp>OPEN_INT</stp>
        <stp>.SPY151219P201.5</stp>
        <tr r="Q510" s="1"/>
      </tp>
      <tp t="s">
        <v>N/A</v>
        <stp/>
        <stp>OPEN_INT</stp>
        <stp>.SPY151219P211.5</stp>
        <tr r="Q530" s="1"/>
      </tp>
      <tp t="s">
        <v>N/A</v>
        <stp/>
        <stp>OPEN_INT</stp>
        <stp>.SPY151231P209.5</stp>
        <tr r="Q568" s="1"/>
      </tp>
      <tp t="s">
        <v>N/A</v>
        <stp/>
        <stp>OPEN_INT</stp>
        <stp>.SPY151231P219.5</stp>
        <tr r="Q588" s="1"/>
      </tp>
      <tp t="s">
        <v>N/A</v>
        <stp/>
        <stp>OPEN_INT</stp>
        <stp>.SPY151219C201.5</stp>
        <tr r="F510" s="1"/>
      </tp>
      <tp t="s">
        <v>N/A</v>
        <stp/>
        <stp>OPEN_INT</stp>
        <stp>.SPY151219C211.5</stp>
        <tr r="F530" s="1"/>
      </tp>
      <tp t="s">
        <v>N/A</v>
        <stp/>
        <stp>OPEN_INT</stp>
        <stp>.SPY151231C209.5</stp>
        <tr r="F568" s="1"/>
      </tp>
      <tp t="s">
        <v>N/A</v>
        <stp/>
        <stp>OPEN_INT</stp>
        <stp>.SPY151231C219.5</stp>
        <tr r="F588" s="1"/>
      </tp>
      <tp>
        <v>1997</v>
        <stp/>
        <stp>OPEN_INT</stp>
        <stp>.SPY150501C219.5</stp>
        <tr r="F126" s="1"/>
      </tp>
      <tp>
        <v>11885</v>
        <stp/>
        <stp>OPEN_INT</stp>
        <stp>.SPY150508C210.5</stp>
        <tr r="F150" s="1"/>
      </tp>
      <tp>
        <v>0</v>
        <stp/>
        <stp>OPEN_INT</stp>
        <stp>.SPY150501C209.5</stp>
        <tr r="F106" s="1"/>
      </tp>
      <tp>
        <v>14</v>
        <stp/>
        <stp>OPEN_INT</stp>
        <stp>.SPY150508C200.5</stp>
        <tr r="F130" s="1"/>
      </tp>
      <tp>
        <v>556</v>
        <stp/>
        <stp>OPEN_INT</stp>
        <stp>.SPY150529C211.5</stp>
        <tr r="F278" s="1"/>
      </tp>
      <tp>
        <v>43</v>
        <stp/>
        <stp>OPEN_INT</stp>
        <stp>.SPY150529C201.5</stp>
        <tr r="F258" s="1"/>
      </tp>
      <tp t="s">
        <v>N/A</v>
        <stp/>
        <stp>OPEN_INT</stp>
        <stp>.SPY150619C201.5</stp>
        <tr r="F300" s="1"/>
      </tp>
      <tp t="s">
        <v>N/A</v>
        <stp/>
        <stp>OPEN_INT</stp>
        <stp>.SPY150619C211.5</stp>
        <tr r="F320" s="1"/>
      </tp>
      <tp t="s">
        <v>N/A</v>
        <stp/>
        <stp>OPEN_INT</stp>
        <stp>.SPY150630C208.5</stp>
        <tr r="F356" s="1"/>
      </tp>
      <tp t="s">
        <v>N/A</v>
        <stp/>
        <stp>OPEN_INT</stp>
        <stp>.SPY150630C218.5</stp>
        <tr r="F376" s="1"/>
      </tp>
      <tp t="s">
        <v>N/A</v>
        <stp/>
        <stp>OPEN_INT</stp>
        <stp>.SPY160318C203.5</stp>
        <tr r="F640" s="1"/>
      </tp>
      <tp t="s">
        <v>N/A</v>
        <stp/>
        <stp>OPEN_INT</stp>
        <stp>.SPY160318C213.5</stp>
        <tr r="F660" s="1"/>
      </tp>
      <tp t="s">
        <v>N/A</v>
        <stp/>
        <stp>OPEN_INT</stp>
        <stp>.SPY150918C200.5</stp>
        <tr r="F424" s="1"/>
      </tp>
      <tp t="s">
        <v>N/A</v>
        <stp/>
        <stp>OPEN_INT</stp>
        <stp>.SPY150918C210.5</stp>
        <tr r="F444" s="1"/>
      </tp>
      <tp t="s">
        <v>N/A</v>
        <stp/>
        <stp>OPEN_INT</stp>
        <stp>.SPY150930C208.5</stp>
        <tr r="F482" s="1"/>
      </tp>
      <tp t="s">
        <v>N/A</v>
        <stp/>
        <stp>OPEN_INT</stp>
        <stp>.SPY150930C218.5</stp>
        <tr r="F502" s="1"/>
      </tp>
      <tp>
        <v>0</v>
        <stp/>
        <stp>OPEN_INT</stp>
        <stp>.SPY150501P218.5</stp>
        <tr r="Q124" s="1"/>
      </tp>
      <tp>
        <v>6912</v>
        <stp/>
        <stp>OPEN_INT</stp>
        <stp>.SPY150508P211.5</stp>
        <tr r="Q152" s="1"/>
      </tp>
      <tp>
        <v>45276</v>
        <stp/>
        <stp>OPEN_INT</stp>
        <stp>.SPY150501P208.5</stp>
        <tr r="Q104" s="1"/>
      </tp>
      <tp>
        <v>3372</v>
        <stp/>
        <stp>OPEN_INT</stp>
        <stp>.SPY150508P201.5</stp>
        <tr r="Q132" s="1"/>
      </tp>
      <tp>
        <v>4025</v>
        <stp/>
        <stp>OPEN_INT</stp>
        <stp>.SPY150529P210.5</stp>
        <tr r="Q276" s="1"/>
      </tp>
      <tp>
        <v>960</v>
        <stp/>
        <stp>OPEN_INT</stp>
        <stp>.SPY150529P200.5</stp>
        <tr r="Q256" s="1"/>
      </tp>
      <tp t="s">
        <v>N/A</v>
        <stp/>
        <stp>OPEN_INT</stp>
        <stp>.SPY150619P200.5</stp>
        <tr r="Q298" s="1"/>
      </tp>
      <tp t="s">
        <v>N/A</v>
        <stp/>
        <stp>OPEN_INT</stp>
        <stp>.SPY150619P210.5</stp>
        <tr r="Q318" s="1"/>
      </tp>
      <tp t="s">
        <v>N/A</v>
        <stp/>
        <stp>OPEN_INT</stp>
        <stp>.SPY150630P209.5</stp>
        <tr r="Q358" s="1"/>
      </tp>
      <tp t="s">
        <v>N/A</v>
        <stp/>
        <stp>OPEN_INT</stp>
        <stp>.SPY150630P219.5</stp>
        <tr r="Q378" s="1"/>
      </tp>
      <tp t="s">
        <v>N/A</v>
        <stp/>
        <stp>OPEN_INT</stp>
        <stp>.SPY160318P202.5</stp>
        <tr r="Q638" s="1"/>
      </tp>
      <tp t="s">
        <v>N/A</v>
        <stp/>
        <stp>OPEN_INT</stp>
        <stp>.SPY160318P212.5</stp>
        <tr r="Q658" s="1"/>
      </tp>
      <tp t="s">
        <v>N/A</v>
        <stp/>
        <stp>OPEN_INT</stp>
        <stp>.SPY150918P201.5</stp>
        <tr r="Q426" s="1"/>
      </tp>
      <tp t="s">
        <v>N/A</v>
        <stp/>
        <stp>OPEN_INT</stp>
        <stp>.SPY150918P211.5</stp>
        <tr r="Q446" s="1"/>
      </tp>
      <tp t="s">
        <v>N/A</v>
        <stp/>
        <stp>OPEN_INT</stp>
        <stp>.SPY150930P209.5</stp>
        <tr r="Q484" s="1"/>
      </tp>
      <tp t="s">
        <v>N/A</v>
        <stp/>
        <stp>OPEN_INT</stp>
        <stp>.SPY150930P219.5</stp>
        <tr r="Q504" s="1"/>
      </tp>
      <tp t="s">
        <v>N/A</v>
        <stp/>
        <stp>OPEN_INT</stp>
        <stp>.SPY151219P200.5</stp>
        <tr r="Q508" s="1"/>
      </tp>
      <tp t="s">
        <v>N/A</v>
        <stp/>
        <stp>OPEN_INT</stp>
        <stp>.SPY151219P210.5</stp>
        <tr r="Q528" s="1"/>
      </tp>
      <tp t="s">
        <v>N/A</v>
        <stp/>
        <stp>OPEN_INT</stp>
        <stp>.SPY151231P208.5</stp>
        <tr r="Q566" s="1"/>
      </tp>
      <tp t="s">
        <v>N/A</v>
        <stp/>
        <stp>OPEN_INT</stp>
        <stp>.SPY151231P218.5</stp>
        <tr r="Q586" s="1"/>
      </tp>
      <tp t="s">
        <v>N/A</v>
        <stp/>
        <stp>OPEN_INT</stp>
        <stp>.SPY151219C200.5</stp>
        <tr r="F508" s="1"/>
      </tp>
      <tp t="s">
        <v>N/A</v>
        <stp/>
        <stp>OPEN_INT</stp>
        <stp>.SPY151219C210.5</stp>
        <tr r="F528" s="1"/>
      </tp>
      <tp t="s">
        <v>N/A</v>
        <stp/>
        <stp>OPEN_INT</stp>
        <stp>.SPY151231C208.5</stp>
        <tr r="F566" s="1"/>
      </tp>
      <tp t="s">
        <v>N/A</v>
        <stp/>
        <stp>OPEN_INT</stp>
        <stp>.SPY151231C218.5</stp>
        <tr r="F586" s="1"/>
      </tp>
      <tp>
        <v>372</v>
        <stp/>
        <stp>OPEN_INT</stp>
        <stp>.SPY150501C218.5</stp>
        <tr r="F124" s="1"/>
      </tp>
      <tp>
        <v>11027</v>
        <stp/>
        <stp>OPEN_INT</stp>
        <stp>.SPY150508C211.5</stp>
        <tr r="F152" s="1"/>
      </tp>
      <tp>
        <v>0</v>
        <stp/>
        <stp>OPEN_INT</stp>
        <stp>.SPY150501C208.5</stp>
        <tr r="F104" s="1"/>
      </tp>
      <tp>
        <v>60</v>
        <stp/>
        <stp>OPEN_INT</stp>
        <stp>.SPY150508C201.5</stp>
        <tr r="F132" s="1"/>
      </tp>
      <tp>
        <v>1251</v>
        <stp/>
        <stp>OPEN_INT</stp>
        <stp>.SPY150529C210.5</stp>
        <tr r="F276" s="1"/>
      </tp>
      <tp>
        <v>113</v>
        <stp/>
        <stp>OPEN_INT</stp>
        <stp>.SPY150529C200.5</stp>
        <tr r="F256" s="1"/>
      </tp>
      <tp t="s">
        <v>N/A</v>
        <stp/>
        <stp>OPEN_INT</stp>
        <stp>.SPY150619C200.5</stp>
        <tr r="F298" s="1"/>
      </tp>
      <tp t="s">
        <v>N/A</v>
        <stp/>
        <stp>OPEN_INT</stp>
        <stp>.SPY150619C210.5</stp>
        <tr r="F318" s="1"/>
      </tp>
      <tp t="s">
        <v>N/A</v>
        <stp/>
        <stp>OPEN_INT</stp>
        <stp>.SPY150630C209.5</stp>
        <tr r="F358" s="1"/>
      </tp>
      <tp t="s">
        <v>N/A</v>
        <stp/>
        <stp>OPEN_INT</stp>
        <stp>.SPY150630C219.5</stp>
        <tr r="F378" s="1"/>
      </tp>
      <tp t="s">
        <v>N/A</v>
        <stp/>
        <stp>OPEN_INT</stp>
        <stp>.SPY160318C202.5</stp>
        <tr r="F638" s="1"/>
      </tp>
      <tp t="s">
        <v>N/A</v>
        <stp/>
        <stp>OPEN_INT</stp>
        <stp>.SPY160318C212.5</stp>
        <tr r="F658" s="1"/>
      </tp>
      <tp t="s">
        <v>N/A</v>
        <stp/>
        <stp>OPEN_INT</stp>
        <stp>.SPY150918C201.5</stp>
        <tr r="F426" s="1"/>
      </tp>
      <tp t="s">
        <v>N/A</v>
        <stp/>
        <stp>OPEN_INT</stp>
        <stp>.SPY150918C211.5</stp>
        <tr r="F446" s="1"/>
      </tp>
      <tp t="s">
        <v>N/A</v>
        <stp/>
        <stp>OPEN_INT</stp>
        <stp>.SPY150930C209.5</stp>
        <tr r="F484" s="1"/>
      </tp>
      <tp t="s">
        <v>N/A</v>
        <stp/>
        <stp>OPEN_INT</stp>
        <stp>.SPY150930C219.5</stp>
        <tr r="F504" s="1"/>
      </tp>
      <tp>
        <v>1636</v>
        <stp/>
        <stp>OPEN_INT</stp>
        <stp>.SPY150508P212.5</stp>
        <tr r="Q154" s="1"/>
      </tp>
      <tp>
        <v>3595</v>
        <stp/>
        <stp>OPEN_INT</stp>
        <stp>.SPY150508P202.5</stp>
        <tr r="Q134" s="1"/>
      </tp>
      <tp>
        <v>0</v>
        <stp/>
        <stp>OPEN_INT</stp>
        <stp>.SPY150522P218.5</stp>
        <tr r="Q250" s="1"/>
      </tp>
      <tp>
        <v>28</v>
        <stp/>
        <stp>OPEN_INT</stp>
        <stp>.SPY150529P213.5</stp>
        <tr r="Q282" s="1"/>
      </tp>
      <tp>
        <v>2005</v>
        <stp/>
        <stp>OPEN_INT</stp>
        <stp>.SPY150522P208.5</stp>
        <tr r="Q230" s="1"/>
      </tp>
      <tp>
        <v>395</v>
        <stp/>
        <stp>OPEN_INT</stp>
        <stp>.SPY150529P203.5</stp>
        <tr r="Q262" s="1"/>
      </tp>
      <tp t="s">
        <v>N/A</v>
        <stp/>
        <stp>OPEN_INT</stp>
        <stp>.SPY150619P203.5</stp>
        <tr r="Q304" s="1"/>
      </tp>
      <tp t="s">
        <v>N/A</v>
        <stp/>
        <stp>OPEN_INT</stp>
        <stp>.SPY150619P213.5</stp>
        <tr r="Q324" s="1"/>
      </tp>
      <tp t="s">
        <v>N/A</v>
        <stp/>
        <stp>OPEN_INT</stp>
        <stp>.SPY170120P218.5</stp>
        <tr r="Q838" s="1"/>
      </tp>
      <tp t="s">
        <v>N/A</v>
        <stp/>
        <stp>OPEN_INT</stp>
        <stp>.SPY170120P208.5</stp>
        <tr r="Q818" s="1"/>
      </tp>
      <tp t="s">
        <v>N/A</v>
        <stp/>
        <stp>OPEN_INT</stp>
        <stp>.SPY160318P201.5</stp>
        <tr r="Q636" s="1"/>
      </tp>
      <tp t="s">
        <v>N/A</v>
        <stp/>
        <stp>OPEN_INT</stp>
        <stp>.SPY160318P211.5</stp>
        <tr r="Q656" s="1"/>
      </tp>
      <tp t="s">
        <v>N/A</v>
        <stp/>
        <stp>OPEN_INT</stp>
        <stp>.SPY150918P202.5</stp>
        <tr r="Q428" s="1"/>
      </tp>
      <tp t="s">
        <v>N/A</v>
        <stp/>
        <stp>OPEN_INT</stp>
        <stp>.SPY150918P212.5</stp>
        <tr r="Q448" s="1"/>
      </tp>
      <tp t="s">
        <v>N/A</v>
        <stp/>
        <stp>OPEN_INT</stp>
        <stp>.SPY151219P203.5</stp>
        <tr r="Q514" s="1"/>
      </tp>
      <tp t="s">
        <v>N/A</v>
        <stp/>
        <stp>OPEN_INT</stp>
        <stp>.SPY151219P213.5</stp>
        <tr r="Q534" s="1"/>
      </tp>
      <tp t="s">
        <v>N/A</v>
        <stp/>
        <stp>OPEN_INT</stp>
        <stp>.SPY151219C203.5</stp>
        <tr r="F514" s="1"/>
      </tp>
      <tp t="s">
        <v>N/A</v>
        <stp/>
        <stp>OPEN_INT</stp>
        <stp>.SPY151219C213.5</stp>
        <tr r="F534" s="1"/>
      </tp>
      <tp>
        <v>13545</v>
        <stp/>
        <stp>OPEN_INT</stp>
        <stp>.SPY150508C212.5</stp>
        <tr r="F154" s="1"/>
      </tp>
      <tp>
        <v>342</v>
        <stp/>
        <stp>OPEN_INT</stp>
        <stp>.SPY150508C202.5</stp>
        <tr r="F134" s="1"/>
      </tp>
      <tp>
        <v>247</v>
        <stp/>
        <stp>OPEN_INT</stp>
        <stp>.SPY150522C218.5</stp>
        <tr r="F250" s="1"/>
      </tp>
      <tp>
        <v>1118</v>
        <stp/>
        <stp>OPEN_INT</stp>
        <stp>.SPY150529C213.5</stp>
        <tr r="F282" s="1"/>
      </tp>
      <tp>
        <v>554</v>
        <stp/>
        <stp>OPEN_INT</stp>
        <stp>.SPY150522C208.5</stp>
        <tr r="F230" s="1"/>
      </tp>
      <tp>
        <v>0</v>
        <stp/>
        <stp>OPEN_INT</stp>
        <stp>.SPY150529C203.5</stp>
        <tr r="F262" s="1"/>
      </tp>
      <tp t="s">
        <v>N/A</v>
        <stp/>
        <stp>OPEN_INT</stp>
        <stp>.SPY150619C203.5</stp>
        <tr r="F304" s="1"/>
      </tp>
      <tp t="s">
        <v>N/A</v>
        <stp/>
        <stp>OPEN_INT</stp>
        <stp>.SPY150619C213.5</stp>
        <tr r="F324" s="1"/>
      </tp>
      <tp t="s">
        <v>N/A</v>
        <stp/>
        <stp>OPEN_INT</stp>
        <stp>.SPY170120C218.5</stp>
        <tr r="F838" s="1"/>
      </tp>
      <tp t="s">
        <v>N/A</v>
        <stp/>
        <stp>OPEN_INT</stp>
        <stp>.SPY170120C208.5</stp>
        <tr r="F818" s="1"/>
      </tp>
      <tp t="s">
        <v>N/A</v>
        <stp/>
        <stp>OPEN_INT</stp>
        <stp>.SPY160318C201.5</stp>
        <tr r="F636" s="1"/>
      </tp>
      <tp t="s">
        <v>N/A</v>
        <stp/>
        <stp>OPEN_INT</stp>
        <stp>.SPY160318C211.5</stp>
        <tr r="F656" s="1"/>
      </tp>
      <tp t="s">
        <v>N/A</v>
        <stp/>
        <stp>OPEN_INT</stp>
        <stp>.SPY150918C202.5</stp>
        <tr r="F428" s="1"/>
      </tp>
      <tp t="s">
        <v>N/A</v>
        <stp/>
        <stp>OPEN_INT</stp>
        <stp>.SPY150918C212.5</stp>
        <tr r="F448" s="1"/>
      </tp>
      <tp>
        <v>515</v>
        <stp/>
        <stp>OPEN_INT</stp>
        <stp>.SPY150508P213.5</stp>
        <tr r="Q156" s="1"/>
      </tp>
      <tp>
        <v>7449</v>
        <stp/>
        <stp>OPEN_INT</stp>
        <stp>.SPY150508P203.5</stp>
        <tr r="Q136" s="1"/>
      </tp>
      <tp>
        <v>0</v>
        <stp/>
        <stp>OPEN_INT</stp>
        <stp>.SPY150522P219.5</stp>
        <tr r="Q252" s="1"/>
      </tp>
      <tp>
        <v>658</v>
        <stp/>
        <stp>OPEN_INT</stp>
        <stp>.SPY150529P212.5</stp>
        <tr r="Q280" s="1"/>
      </tp>
      <tp>
        <v>1915</v>
        <stp/>
        <stp>OPEN_INT</stp>
        <stp>.SPY150522P209.5</stp>
        <tr r="Q232" s="1"/>
      </tp>
      <tp>
        <v>1109</v>
        <stp/>
        <stp>OPEN_INT</stp>
        <stp>.SPY150529P202.5</stp>
        <tr r="Q260" s="1"/>
      </tp>
      <tp t="s">
        <v>N/A</v>
        <stp/>
        <stp>OPEN_INT</stp>
        <stp>.SPY150619P202.5</stp>
        <tr r="Q302" s="1"/>
      </tp>
      <tp t="s">
        <v>N/A</v>
        <stp/>
        <stp>OPEN_INT</stp>
        <stp>.SPY150619P212.5</stp>
        <tr r="Q322" s="1"/>
      </tp>
      <tp t="s">
        <v>N/A</v>
        <stp/>
        <stp>OPEN_INT</stp>
        <stp>.SPY170120P219.5</stp>
        <tr r="Q840" s="1"/>
      </tp>
      <tp t="s">
        <v>N/A</v>
        <stp/>
        <stp>OPEN_INT</stp>
        <stp>.SPY170120P209.5</stp>
        <tr r="Q820" s="1"/>
      </tp>
      <tp t="s">
        <v>N/A</v>
        <stp/>
        <stp>OPEN_INT</stp>
        <stp>.SPY160318P200.5</stp>
        <tr r="Q634" s="1"/>
      </tp>
      <tp t="s">
        <v>N/A</v>
        <stp/>
        <stp>OPEN_INT</stp>
        <stp>.SPY160318P210.5</stp>
        <tr r="Q654" s="1"/>
      </tp>
      <tp t="s">
        <v>N/A</v>
        <stp/>
        <stp>OPEN_INT</stp>
        <stp>.SPY150918P203.5</stp>
        <tr r="Q430" s="1"/>
      </tp>
      <tp t="s">
        <v>N/A</v>
        <stp/>
        <stp>OPEN_INT</stp>
        <stp>.SPY150918P213.5</stp>
        <tr r="Q450" s="1"/>
      </tp>
      <tp t="s">
        <v>N/A</v>
        <stp/>
        <stp>OPEN_INT</stp>
        <stp>.SPY151219P202.5</stp>
        <tr r="Q512" s="1"/>
      </tp>
      <tp t="s">
        <v>N/A</v>
        <stp/>
        <stp>OPEN_INT</stp>
        <stp>.SPY151219P212.5</stp>
        <tr r="Q532" s="1"/>
      </tp>
      <tp t="s">
        <v>N/A</v>
        <stp/>
        <stp>OPEN_INT</stp>
        <stp>.SPY151219C202.5</stp>
        <tr r="F512" s="1"/>
      </tp>
      <tp t="s">
        <v>N/A</v>
        <stp/>
        <stp>OPEN_INT</stp>
        <stp>.SPY151219C212.5</stp>
        <tr r="F532" s="1"/>
      </tp>
      <tp>
        <v>37356</v>
        <stp/>
        <stp>OPEN_INT</stp>
        <stp>.SPY150508C213.5</stp>
        <tr r="F156" s="1"/>
      </tp>
      <tp>
        <v>492</v>
        <stp/>
        <stp>OPEN_INT</stp>
        <stp>.SPY150508C203.5</stp>
        <tr r="F136" s="1"/>
      </tp>
      <tp>
        <v>29</v>
        <stp/>
        <stp>OPEN_INT</stp>
        <stp>.SPY150522C219.5</stp>
        <tr r="F252" s="1"/>
      </tp>
      <tp>
        <v>463</v>
        <stp/>
        <stp>OPEN_INT</stp>
        <stp>.SPY150529C212.5</stp>
        <tr r="F280" s="1"/>
      </tp>
      <tp>
        <v>1565</v>
        <stp/>
        <stp>OPEN_INT</stp>
        <stp>.SPY150522C209.5</stp>
        <tr r="F232" s="1"/>
      </tp>
      <tp>
        <v>8</v>
        <stp/>
        <stp>OPEN_INT</stp>
        <stp>.SPY150529C202.5</stp>
        <tr r="F260" s="1"/>
      </tp>
      <tp t="s">
        <v>N/A</v>
        <stp/>
        <stp>OPEN_INT</stp>
        <stp>.SPY150619C202.5</stp>
        <tr r="F302" s="1"/>
      </tp>
      <tp t="s">
        <v>N/A</v>
        <stp/>
        <stp>OPEN_INT</stp>
        <stp>.SPY150619C212.5</stp>
        <tr r="F322" s="1"/>
      </tp>
      <tp t="s">
        <v>N/A</v>
        <stp/>
        <stp>OPEN_INT</stp>
        <stp>.SPY170120C219.5</stp>
        <tr r="F840" s="1"/>
      </tp>
      <tp t="s">
        <v>N/A</v>
        <stp/>
        <stp>OPEN_INT</stp>
        <stp>.SPY170120C209.5</stp>
        <tr r="F820" s="1"/>
      </tp>
      <tp t="s">
        <v>N/A</v>
        <stp/>
        <stp>OPEN_INT</stp>
        <stp>.SPY160318C200.5</stp>
        <tr r="F634" s="1"/>
      </tp>
      <tp t="s">
        <v>N/A</v>
        <stp/>
        <stp>OPEN_INT</stp>
        <stp>.SPY160318C210.5</stp>
        <tr r="F654" s="1"/>
      </tp>
      <tp t="s">
        <v>N/A</v>
        <stp/>
        <stp>OPEN_INT</stp>
        <stp>.SPY150918C203.5</stp>
        <tr r="F430" s="1"/>
      </tp>
      <tp t="s">
        <v>N/A</v>
        <stp/>
        <stp>OPEN_INT</stp>
        <stp>.SPY150918C213.5</stp>
        <tr r="F450" s="1"/>
      </tp>
      <tp>
        <v>0</v>
        <stp/>
        <stp>BID_SIZE</stp>
        <stp>.SPY150417P216.5</stp>
        <tr r="O36" s="1"/>
      </tp>
      <tp>
        <v>0</v>
        <stp/>
        <stp>BID_SIZE</stp>
        <stp>.SPY150417P206.5</stp>
        <tr r="O16" s="1"/>
      </tp>
      <tp>
        <v>0</v>
        <stp/>
        <stp>BID_SIZE</stp>
        <stp>.SPY150424P205.5</stp>
        <tr r="O56" s="1"/>
      </tp>
      <tp>
        <v>0</v>
        <stp/>
        <stp>BID_SIZE</stp>
        <stp>.SPY150424P215.5</stp>
        <tr r="O76" s="1"/>
      </tp>
      <tp t="s">
        <v>N/A</v>
        <stp/>
        <stp>ASK_SIZE</stp>
        <stp>.SPY150717P219.5</stp>
        <tr r="M420" s="1"/>
      </tp>
      <tp t="s">
        <v>N/A</v>
        <stp/>
        <stp>ASK_SIZE</stp>
        <stp>.SPY150717P209.5</stp>
        <tr r="M400" s="1"/>
      </tp>
      <tp>
        <v>0</v>
        <stp/>
        <stp>BID_SIZE</stp>
        <stp>.SPY150501P200.5</stp>
        <tr r="O88" s="1"/>
      </tp>
      <tp>
        <v>183</v>
        <stp/>
        <stp>BID_SIZE</stp>
        <stp>.SPY150508P209.5</stp>
        <tr r="O148" s="1"/>
      </tp>
      <tp>
        <v>349</v>
        <stp/>
        <stp>BID_SIZE</stp>
        <stp>.SPY150515P214.5</stp>
        <tr r="O200" s="1"/>
      </tp>
      <tp>
        <v>0</v>
        <stp/>
        <stp>BID_SIZE</stp>
        <stp>.SPY150501P210.5</stp>
        <tr r="O108" s="1"/>
      </tp>
      <tp>
        <v>10</v>
        <stp/>
        <stp>BID_SIZE</stp>
        <stp>.SPY150508P219.5</stp>
        <tr r="O168" s="1"/>
      </tp>
      <tp>
        <v>111</v>
        <stp/>
        <stp>BID_SIZE</stp>
        <stp>.SPY150515P204.5</stp>
        <tr r="O180" s="1"/>
      </tp>
      <tp>
        <v>200</v>
        <stp/>
        <stp>BID_SIZE</stp>
        <stp>.SPY150522P203.5</stp>
        <tr r="O220" s="1"/>
      </tp>
      <tp>
        <v>201</v>
        <stp/>
        <stp>BID_SIZE</stp>
        <stp>.SPY150529P208.5</stp>
        <tr r="O272" s="1"/>
      </tp>
      <tp>
        <v>199</v>
        <stp/>
        <stp>BID_SIZE</stp>
        <stp>.SPY150522P213.5</stp>
        <tr r="O240" s="1"/>
      </tp>
      <tp>
        <v>150</v>
        <stp/>
        <stp>BID_SIZE</stp>
        <stp>.SPY150529P218.5</stp>
        <tr r="O292" s="1"/>
      </tp>
      <tp t="s">
        <v>N/A</v>
        <stp/>
        <stp>ASK_SIZE</stp>
        <stp>.SPY150619P217.5</stp>
        <tr r="M332" s="1"/>
      </tp>
      <tp t="s">
        <v>N/A</v>
        <stp/>
        <stp>ASK_SIZE</stp>
        <stp>.SPY150619P207.5</stp>
        <tr r="M312" s="1"/>
      </tp>
      <tp t="s">
        <v>N/A</v>
        <stp/>
        <stp>BID_SIZE</stp>
        <stp>.SPY150619P218.5</stp>
        <tr r="O334" s="1"/>
      </tp>
      <tp t="s">
        <v>N/A</v>
        <stp/>
        <stp>BID_SIZE</stp>
        <stp>.SPY160617P215.5</stp>
        <tr r="O706" s="1"/>
      </tp>
      <tp t="s">
        <v>N/A</v>
        <stp/>
        <stp>BID_SIZE</stp>
        <stp>.SPY150619P208.5</stp>
        <tr r="O314" s="1"/>
      </tp>
      <tp t="s">
        <v>N/A</v>
        <stp/>
        <stp>BID_SIZE</stp>
        <stp>.SPY160617P205.5</stp>
        <tr r="O686" s="1"/>
      </tp>
      <tp t="s">
        <v>N/A</v>
        <stp/>
        <stp>BID_SIZE</stp>
        <stp>.SPY150630P211.5</stp>
        <tr r="O362" s="1"/>
      </tp>
      <tp t="s">
        <v>N/A</v>
        <stp/>
        <stp>BID_SIZE</stp>
        <stp>.SPY150630P201.5</stp>
        <tr r="O342" s="1"/>
      </tp>
      <tp>
        <v>283</v>
        <stp/>
        <stp>ASK_SIZE</stp>
        <stp>.SPY150529P207.5</stp>
        <tr r="M270" s="1"/>
      </tp>
      <tp>
        <v>150</v>
        <stp/>
        <stp>ASK_SIZE</stp>
        <stp>.SPY150529P217.5</stp>
        <tr r="M290" s="1"/>
      </tp>
      <tp>
        <v>100</v>
        <stp/>
        <stp>ASK_SIZE</stp>
        <stp>.SPY150508P206.5</stp>
        <tr r="M142" s="1"/>
      </tp>
      <tp>
        <v>11</v>
        <stp/>
        <stp>ASK_SIZE</stp>
        <stp>.SPY150508P216.5</stp>
        <tr r="M162" s="1"/>
      </tp>
      <tp t="s">
        <v>N/A</v>
        <stp/>
        <stp>BID_SIZE</stp>
        <stp>.SPY150717P216.5</stp>
        <tr r="O414" s="1"/>
      </tp>
      <tp t="s">
        <v>N/A</v>
        <stp/>
        <stp>BID_SIZE</stp>
        <stp>.SPY150717P206.5</stp>
        <tr r="O394" s="1"/>
      </tp>
      <tp>
        <v>0</v>
        <stp/>
        <stp>ASK_SIZE</stp>
        <stp>.SPY150417P219.5</stp>
        <tr r="M42" s="1"/>
      </tp>
      <tp>
        <v>0</v>
        <stp/>
        <stp>ASK_SIZE</stp>
        <stp>.SPY150417P209.5</stp>
        <tr r="M22" s="1"/>
      </tp>
      <tp t="s">
        <v>N/A</v>
        <stp/>
        <stp>ASK_SIZE</stp>
        <stp>.SPY160318P215.5</stp>
        <tr r="M664" s="1"/>
      </tp>
      <tp t="s">
        <v>N/A</v>
        <stp/>
        <stp>ASK_SIZE</stp>
        <stp>.SPY160318P205.5</stp>
        <tr r="M644" s="1"/>
      </tp>
      <tp t="s">
        <v>N/A</v>
        <stp/>
        <stp>BID_SIZE</stp>
        <stp>.SPY160115P217.5</stp>
        <tr r="O626" s="1"/>
      </tp>
      <tp t="s">
        <v>N/A</v>
        <stp/>
        <stp>BID_SIZE</stp>
        <stp>.SPY160115P207.5</stp>
        <tr r="O606" s="1"/>
      </tp>
      <tp t="s">
        <v>N/A</v>
        <stp/>
        <stp>BID_SIZE</stp>
        <stp>.SPY170120P203.5</stp>
        <tr r="O808" s="1"/>
      </tp>
      <tp t="s">
        <v>N/A</v>
        <stp/>
        <stp>BID_SIZE</stp>
        <stp>.SPY170120P213.5</stp>
        <tr r="O828" s="1"/>
      </tp>
      <tp t="s">
        <v>N/A</v>
        <stp/>
        <stp>ASK_SIZE</stp>
        <stp>.SPY160115P218.5</stp>
        <tr r="M628" s="1"/>
      </tp>
      <tp t="s">
        <v>N/A</v>
        <stp/>
        <stp>ASK_SIZE</stp>
        <stp>.SPY160115P208.5</stp>
        <tr r="M608" s="1"/>
      </tp>
      <tp t="s">
        <v>N/A</v>
        <stp/>
        <stp>BID_SIZE</stp>
        <stp>.SPY170317P214.5</stp>
        <tr r="O872" s="1"/>
      </tp>
      <tp t="s">
        <v>N/A</v>
        <stp/>
        <stp>BID_SIZE</stp>
        <stp>.SPY170317P204.5</stp>
        <tr r="O852" s="1"/>
      </tp>
      <tp t="s">
        <v>N/A</v>
        <stp/>
        <stp>BID_SIZE</stp>
        <stp>.SPY150918P219.5</stp>
        <tr r="O462" s="1"/>
      </tp>
      <tp t="s">
        <v>N/A</v>
        <stp/>
        <stp>BID_SIZE</stp>
        <stp>.SPY160916P214.5</stp>
        <tr r="O746" s="1"/>
      </tp>
      <tp t="s">
        <v>N/A</v>
        <stp/>
        <stp>BID_SIZE</stp>
        <stp>.SPY150918P209.5</stp>
        <tr r="O442" s="1"/>
      </tp>
      <tp t="s">
        <v>N/A</v>
        <stp/>
        <stp>BID_SIZE</stp>
        <stp>.SPY160916P204.5</stp>
        <tr r="O726" s="1"/>
      </tp>
      <tp t="s">
        <v>N/A</v>
        <stp/>
        <stp>BID_SIZE</stp>
        <stp>.SPY150930P211.5</stp>
        <tr r="O488" s="1"/>
      </tp>
      <tp t="s">
        <v>N/A</v>
        <stp/>
        <stp>BID_SIZE</stp>
        <stp>.SPY150930P201.5</stp>
        <tr r="O468" s="1"/>
      </tp>
      <tp t="s">
        <v>N/A</v>
        <stp/>
        <stp>ASK_SIZE</stp>
        <stp>.SPY150918P216.5</stp>
        <tr r="M456" s="1"/>
      </tp>
      <tp t="s">
        <v>N/A</v>
        <stp/>
        <stp>ASK_SIZE</stp>
        <stp>.SPY150918P206.5</stp>
        <tr r="M436" s="1"/>
      </tp>
      <tp t="s">
        <v>N/A</v>
        <stp/>
        <stp>ASK_SIZE</stp>
        <stp>.SPY151219P217.5</stp>
        <tr r="M542" s="1"/>
      </tp>
      <tp t="s">
        <v>N/A</v>
        <stp/>
        <stp>ASK_SIZE</stp>
        <stp>.SPY171215P219.5</stp>
        <tr r="M924" s="1"/>
      </tp>
      <tp t="s">
        <v>N/A</v>
        <stp/>
        <stp>ASK_SIZE</stp>
        <stp>.SPY151219P207.5</stp>
        <tr r="M522" s="1"/>
      </tp>
      <tp t="s">
        <v>N/A</v>
        <stp/>
        <stp>ASK_SIZE</stp>
        <stp>.SPY171215P209.5</stp>
        <tr r="M904" s="1"/>
      </tp>
      <tp t="s">
        <v>N/A</v>
        <stp/>
        <stp>BID_SIZE</stp>
        <stp>.SPY151219P218.5</stp>
        <tr r="O544" s="1"/>
      </tp>
      <tp t="s">
        <v>N/A</v>
        <stp/>
        <stp>BID_SIZE</stp>
        <stp>.SPY161216P214.5</stp>
        <tr r="O788" s="1"/>
      </tp>
      <tp t="s">
        <v>N/A</v>
        <stp/>
        <stp>BID_SIZE</stp>
        <stp>.SPY171215P216.5</stp>
        <tr r="O918" s="1"/>
      </tp>
      <tp t="s">
        <v>N/A</v>
        <stp/>
        <stp>BID_SIZE</stp>
        <stp>.SPY151219P208.5</stp>
        <tr r="O524" s="1"/>
      </tp>
      <tp t="s">
        <v>N/A</v>
        <stp/>
        <stp>BID_SIZE</stp>
        <stp>.SPY161216P204.5</stp>
        <tr r="O768" s="1"/>
      </tp>
      <tp t="s">
        <v>N/A</v>
        <stp/>
        <stp>BID_SIZE</stp>
        <stp>.SPY171215P206.5</stp>
        <tr r="O898" s="1"/>
      </tp>
      <tp t="s">
        <v>N/A</v>
        <stp/>
        <stp>BID_SIZE</stp>
        <stp>.SPY151231P210.5</stp>
        <tr r="O570" s="1"/>
      </tp>
      <tp t="s">
        <v>N/A</v>
        <stp/>
        <stp>BID_SIZE</stp>
        <stp>.SPY151231P200.5</stp>
        <tr r="O550" s="1"/>
      </tp>
      <tp t="s">
        <v>N/A</v>
        <stp/>
        <stp>ASK_SIZE</stp>
        <stp>.SPY151219C217.5</stp>
        <tr r="B542" s="1"/>
      </tp>
      <tp t="s">
        <v>N/A</v>
        <stp/>
        <stp>ASK_SIZE</stp>
        <stp>.SPY171215C219.5</stp>
        <tr r="B924" s="1"/>
      </tp>
      <tp t="s">
        <v>N/A</v>
        <stp/>
        <stp>ASK_SIZE</stp>
        <stp>.SPY151219C207.5</stp>
        <tr r="B522" s="1"/>
      </tp>
      <tp t="s">
        <v>N/A</v>
        <stp/>
        <stp>ASK_SIZE</stp>
        <stp>.SPY171215C209.5</stp>
        <tr r="B904" s="1"/>
      </tp>
      <tp t="s">
        <v>N/A</v>
        <stp/>
        <stp>BID_SIZE</stp>
        <stp>.SPY151219C218.5</stp>
        <tr r="D544" s="1"/>
      </tp>
      <tp t="s">
        <v>N/A</v>
        <stp/>
        <stp>BID_SIZE</stp>
        <stp>.SPY161216C214.5</stp>
        <tr r="D788" s="1"/>
      </tp>
      <tp t="s">
        <v>N/A</v>
        <stp/>
        <stp>BID_SIZE</stp>
        <stp>.SPY171215C216.5</stp>
        <tr r="D918" s="1"/>
      </tp>
      <tp t="s">
        <v>N/A</v>
        <stp/>
        <stp>BID_SIZE</stp>
        <stp>.SPY151219C208.5</stp>
        <tr r="D524" s="1"/>
      </tp>
      <tp t="s">
        <v>N/A</v>
        <stp/>
        <stp>BID_SIZE</stp>
        <stp>.SPY161216C204.5</stp>
        <tr r="D768" s="1"/>
      </tp>
      <tp t="s">
        <v>N/A</v>
        <stp/>
        <stp>BID_SIZE</stp>
        <stp>.SPY171215C206.5</stp>
        <tr r="D898" s="1"/>
      </tp>
      <tp t="s">
        <v>N/A</v>
        <stp/>
        <stp>BID_SIZE</stp>
        <stp>.SPY151231C210.5</stp>
        <tr r="D570" s="1"/>
      </tp>
      <tp t="s">
        <v>N/A</v>
        <stp/>
        <stp>BID_SIZE</stp>
        <stp>.SPY151231C200.5</stp>
        <tr r="D550" s="1"/>
      </tp>
      <tp>
        <v>0</v>
        <stp/>
        <stp>BID_SIZE</stp>
        <stp>.SPY150417C216.5</stp>
        <tr r="D36" s="1"/>
      </tp>
      <tp>
        <v>0</v>
        <stp/>
        <stp>BID_SIZE</stp>
        <stp>.SPY150417C206.5</stp>
        <tr r="D16" s="1"/>
      </tp>
      <tp>
        <v>0</v>
        <stp/>
        <stp>BID_SIZE</stp>
        <stp>.SPY150424C205.5</stp>
        <tr r="D56" s="1"/>
      </tp>
      <tp>
        <v>0</v>
        <stp/>
        <stp>BID_SIZE</stp>
        <stp>.SPY150424C215.5</stp>
        <tr r="D76" s="1"/>
      </tp>
      <tp t="s">
        <v>N/A</v>
        <stp/>
        <stp>ASK_SIZE</stp>
        <stp>.SPY150717C219.5</stp>
        <tr r="B420" s="1"/>
      </tp>
      <tp t="s">
        <v>N/A</v>
        <stp/>
        <stp>ASK_SIZE</stp>
        <stp>.SPY150717C209.5</stp>
        <tr r="B400" s="1"/>
      </tp>
      <tp>
        <v>0</v>
        <stp/>
        <stp>BID_SIZE</stp>
        <stp>.SPY150501C200.5</stp>
        <tr r="D88" s="1"/>
      </tp>
      <tp>
        <v>211</v>
        <stp/>
        <stp>BID_SIZE</stp>
        <stp>.SPY150508C209.5</stp>
        <tr r="D148" s="1"/>
      </tp>
      <tp>
        <v>632</v>
        <stp/>
        <stp>BID_SIZE</stp>
        <stp>.SPY150515C214.5</stp>
        <tr r="D200" s="1"/>
      </tp>
      <tp>
        <v>0</v>
        <stp/>
        <stp>BID_SIZE</stp>
        <stp>.SPY150501C210.5</stp>
        <tr r="D108" s="1"/>
      </tp>
      <tp>
        <v>0</v>
        <stp/>
        <stp>BID_SIZE</stp>
        <stp>.SPY150508C219.5</stp>
        <tr r="D168" s="1"/>
      </tp>
      <tp>
        <v>349</v>
        <stp/>
        <stp>BID_SIZE</stp>
        <stp>.SPY150515C204.5</stp>
        <tr r="D180" s="1"/>
      </tp>
      <tp>
        <v>140</v>
        <stp/>
        <stp>BID_SIZE</stp>
        <stp>.SPY150522C203.5</stp>
        <tr r="D220" s="1"/>
      </tp>
      <tp>
        <v>249</v>
        <stp/>
        <stp>BID_SIZE</stp>
        <stp>.SPY150529C208.5</stp>
        <tr r="D272" s="1"/>
      </tp>
      <tp>
        <v>199</v>
        <stp/>
        <stp>BID_SIZE</stp>
        <stp>.SPY150522C213.5</stp>
        <tr r="D240" s="1"/>
      </tp>
      <tp>
        <v>545</v>
        <stp/>
        <stp>BID_SIZE</stp>
        <stp>.SPY150529C218.5</stp>
        <tr r="D292" s="1"/>
      </tp>
      <tp t="s">
        <v>N/A</v>
        <stp/>
        <stp>ASK_SIZE</stp>
        <stp>.SPY150619C217.5</stp>
        <tr r="B332" s="1"/>
      </tp>
      <tp t="s">
        <v>N/A</v>
        <stp/>
        <stp>ASK_SIZE</stp>
        <stp>.SPY150619C207.5</stp>
        <tr r="B312" s="1"/>
      </tp>
      <tp t="s">
        <v>N/A</v>
        <stp/>
        <stp>BID_SIZE</stp>
        <stp>.SPY150619C218.5</stp>
        <tr r="D334" s="1"/>
      </tp>
      <tp t="s">
        <v>N/A</v>
        <stp/>
        <stp>BID_SIZE</stp>
        <stp>.SPY160617C215.5</stp>
        <tr r="D706" s="1"/>
      </tp>
      <tp t="s">
        <v>N/A</v>
        <stp/>
        <stp>BID_SIZE</stp>
        <stp>.SPY150619C208.5</stp>
        <tr r="D314" s="1"/>
      </tp>
      <tp t="s">
        <v>N/A</v>
        <stp/>
        <stp>BID_SIZE</stp>
        <stp>.SPY160617C205.5</stp>
        <tr r="D686" s="1"/>
      </tp>
      <tp t="s">
        <v>N/A</v>
        <stp/>
        <stp>BID_SIZE</stp>
        <stp>.SPY150630C211.5</stp>
        <tr r="D362" s="1"/>
      </tp>
      <tp t="s">
        <v>N/A</v>
        <stp/>
        <stp>BID_SIZE</stp>
        <stp>.SPY150630C201.5</stp>
        <tr r="D342" s="1"/>
      </tp>
      <tp>
        <v>248</v>
        <stp/>
        <stp>ASK_SIZE</stp>
        <stp>.SPY150529C207.5</stp>
        <tr r="B270" s="1"/>
      </tp>
      <tp>
        <v>99</v>
        <stp/>
        <stp>ASK_SIZE</stp>
        <stp>.SPY150529C217.5</stp>
        <tr r="B290" s="1"/>
      </tp>
      <tp>
        <v>199</v>
        <stp/>
        <stp>ASK_SIZE</stp>
        <stp>.SPY150508C206.5</stp>
        <tr r="B142" s="1"/>
      </tp>
      <tp>
        <v>1200</v>
        <stp/>
        <stp>ASK_SIZE</stp>
        <stp>.SPY150508C216.5</stp>
        <tr r="B162" s="1"/>
      </tp>
      <tp t="s">
        <v>N/A</v>
        <stp/>
        <stp>BID_SIZE</stp>
        <stp>.SPY150717C216.5</stp>
        <tr r="D414" s="1"/>
      </tp>
      <tp t="s">
        <v>N/A</v>
        <stp/>
        <stp>BID_SIZE</stp>
        <stp>.SPY150717C206.5</stp>
        <tr r="D394" s="1"/>
      </tp>
      <tp>
        <v>0</v>
        <stp/>
        <stp>ASK_SIZE</stp>
        <stp>.SPY150417C219.5</stp>
        <tr r="B42" s="1"/>
      </tp>
      <tp>
        <v>0</v>
        <stp/>
        <stp>ASK_SIZE</stp>
        <stp>.SPY150417C209.5</stp>
        <tr r="B22" s="1"/>
      </tp>
      <tp t="s">
        <v>N/A</v>
        <stp/>
        <stp>ASK_SIZE</stp>
        <stp>.SPY160318C215.5</stp>
        <tr r="B664" s="1"/>
      </tp>
      <tp t="s">
        <v>N/A</v>
        <stp/>
        <stp>ASK_SIZE</stp>
        <stp>.SPY160318C205.5</stp>
        <tr r="B644" s="1"/>
      </tp>
      <tp t="s">
        <v>N/A</v>
        <stp/>
        <stp>BID_SIZE</stp>
        <stp>.SPY160115C217.5</stp>
        <tr r="D626" s="1"/>
      </tp>
      <tp t="s">
        <v>N/A</v>
        <stp/>
        <stp>BID_SIZE</stp>
        <stp>.SPY160115C207.5</stp>
        <tr r="D606" s="1"/>
      </tp>
      <tp t="s">
        <v>N/A</v>
        <stp/>
        <stp>BID_SIZE</stp>
        <stp>.SPY170120C203.5</stp>
        <tr r="D808" s="1"/>
      </tp>
      <tp t="s">
        <v>N/A</v>
        <stp/>
        <stp>BID_SIZE</stp>
        <stp>.SPY170120C213.5</stp>
        <tr r="D828" s="1"/>
      </tp>
      <tp t="s">
        <v>N/A</v>
        <stp/>
        <stp>ASK_SIZE</stp>
        <stp>.SPY160115C218.5</stp>
        <tr r="B628" s="1"/>
      </tp>
      <tp t="s">
        <v>N/A</v>
        <stp/>
        <stp>ASK_SIZE</stp>
        <stp>.SPY160115C208.5</stp>
        <tr r="B608" s="1"/>
      </tp>
      <tp t="s">
        <v>N/A</v>
        <stp/>
        <stp>BID_SIZE</stp>
        <stp>.SPY170317C214.5</stp>
        <tr r="D872" s="1"/>
      </tp>
      <tp t="s">
        <v>N/A</v>
        <stp/>
        <stp>BID_SIZE</stp>
        <stp>.SPY170317C204.5</stp>
        <tr r="D852" s="1"/>
      </tp>
      <tp t="s">
        <v>N/A</v>
        <stp/>
        <stp>BID_SIZE</stp>
        <stp>.SPY150918C219.5</stp>
        <tr r="D462" s="1"/>
      </tp>
      <tp t="s">
        <v>N/A</v>
        <stp/>
        <stp>BID_SIZE</stp>
        <stp>.SPY160916C214.5</stp>
        <tr r="D746" s="1"/>
      </tp>
      <tp t="s">
        <v>N/A</v>
        <stp/>
        <stp>BID_SIZE</stp>
        <stp>.SPY150918C209.5</stp>
        <tr r="D442" s="1"/>
      </tp>
      <tp t="s">
        <v>N/A</v>
        <stp/>
        <stp>BID_SIZE</stp>
        <stp>.SPY160916C204.5</stp>
        <tr r="D726" s="1"/>
      </tp>
      <tp t="s">
        <v>N/A</v>
        <stp/>
        <stp>BID_SIZE</stp>
        <stp>.SPY150930C211.5</stp>
        <tr r="D488" s="1"/>
      </tp>
      <tp t="s">
        <v>N/A</v>
        <stp/>
        <stp>BID_SIZE</stp>
        <stp>.SPY150930C201.5</stp>
        <tr r="D468" s="1"/>
      </tp>
      <tp t="s">
        <v>N/A</v>
        <stp/>
        <stp>ASK_SIZE</stp>
        <stp>.SPY150918C216.5</stp>
        <tr r="B456" s="1"/>
      </tp>
      <tp t="s">
        <v>N/A</v>
        <stp/>
        <stp>ASK_SIZE</stp>
        <stp>.SPY150918C206.5</stp>
        <tr r="B436" s="1"/>
      </tp>
      <tp>
        <v>0</v>
        <stp/>
        <stp>BID_SIZE</stp>
        <stp>.SPY150417P217.5</stp>
        <tr r="O38" s="1"/>
      </tp>
      <tp>
        <v>0</v>
        <stp/>
        <stp>BID_SIZE</stp>
        <stp>.SPY150417P207.5</stp>
        <tr r="O18" s="1"/>
      </tp>
      <tp>
        <v>0</v>
        <stp/>
        <stp>BID_SIZE</stp>
        <stp>.SPY150424P204.5</stp>
        <tr r="O54" s="1"/>
      </tp>
      <tp>
        <v>0</v>
        <stp/>
        <stp>BID_SIZE</stp>
        <stp>.SPY150424P214.5</stp>
        <tr r="O74" s="1"/>
      </tp>
      <tp t="s">
        <v>N/A</v>
        <stp/>
        <stp>ASK_SIZE</stp>
        <stp>.SPY150717P218.5</stp>
        <tr r="M418" s="1"/>
      </tp>
      <tp t="s">
        <v>N/A</v>
        <stp/>
        <stp>ASK_SIZE</stp>
        <stp>.SPY150717P208.5</stp>
        <tr r="M398" s="1"/>
      </tp>
      <tp>
        <v>0</v>
        <stp/>
        <stp>BID_SIZE</stp>
        <stp>.SPY150501P201.5</stp>
        <tr r="O90" s="1"/>
      </tp>
      <tp>
        <v>189</v>
        <stp/>
        <stp>BID_SIZE</stp>
        <stp>.SPY150508P208.5</stp>
        <tr r="O146" s="1"/>
      </tp>
      <tp>
        <v>349</v>
        <stp/>
        <stp>BID_SIZE</stp>
        <stp>.SPY150515P215.5</stp>
        <tr r="O202" s="1"/>
      </tp>
      <tp>
        <v>0</v>
        <stp/>
        <stp>BID_SIZE</stp>
        <stp>.SPY150501P211.5</stp>
        <tr r="O110" s="1"/>
      </tp>
      <tp>
        <v>100</v>
        <stp/>
        <stp>BID_SIZE</stp>
        <stp>.SPY150508P218.5</stp>
        <tr r="O166" s="1"/>
      </tp>
      <tp>
        <v>111</v>
        <stp/>
        <stp>BID_SIZE</stp>
        <stp>.SPY150515P205.5</stp>
        <tr r="O182" s="1"/>
      </tp>
      <tp>
        <v>160</v>
        <stp/>
        <stp>BID_SIZE</stp>
        <stp>.SPY150522P202.5</stp>
        <tr r="O218" s="1"/>
      </tp>
      <tp>
        <v>240</v>
        <stp/>
        <stp>BID_SIZE</stp>
        <stp>.SPY150529P209.5</stp>
        <tr r="O274" s="1"/>
      </tp>
      <tp>
        <v>200</v>
        <stp/>
        <stp>BID_SIZE</stp>
        <stp>.SPY150522P212.5</stp>
        <tr r="O238" s="1"/>
      </tp>
      <tp>
        <v>151</v>
        <stp/>
        <stp>BID_SIZE</stp>
        <stp>.SPY150529P219.5</stp>
        <tr r="O294" s="1"/>
      </tp>
      <tp t="s">
        <v>N/A</v>
        <stp/>
        <stp>ASK_SIZE</stp>
        <stp>.SPY150619P216.5</stp>
        <tr r="M330" s="1"/>
      </tp>
      <tp t="s">
        <v>N/A</v>
        <stp/>
        <stp>ASK_SIZE</stp>
        <stp>.SPY150619P206.5</stp>
        <tr r="M310" s="1"/>
      </tp>
      <tp t="s">
        <v>N/A</v>
        <stp/>
        <stp>BID_SIZE</stp>
        <stp>.SPY150619P219.5</stp>
        <tr r="O336" s="1"/>
      </tp>
      <tp t="s">
        <v>N/A</v>
        <stp/>
        <stp>BID_SIZE</stp>
        <stp>.SPY160617P214.5</stp>
        <tr r="O704" s="1"/>
      </tp>
      <tp t="s">
        <v>N/A</v>
        <stp/>
        <stp>BID_SIZE</stp>
        <stp>.SPY150619P209.5</stp>
        <tr r="O316" s="1"/>
      </tp>
      <tp t="s">
        <v>N/A</v>
        <stp/>
        <stp>BID_SIZE</stp>
        <stp>.SPY160617P204.5</stp>
        <tr r="O684" s="1"/>
      </tp>
      <tp t="s">
        <v>N/A</v>
        <stp/>
        <stp>BID_SIZE</stp>
        <stp>.SPY150630P210.5</stp>
        <tr r="O360" s="1"/>
      </tp>
      <tp t="s">
        <v>N/A</v>
        <stp/>
        <stp>BID_SIZE</stp>
        <stp>.SPY150630P200.5</stp>
        <tr r="O340" s="1"/>
      </tp>
      <tp>
        <v>255</v>
        <stp/>
        <stp>ASK_SIZE</stp>
        <stp>.SPY150529P206.5</stp>
        <tr r="M268" s="1"/>
      </tp>
      <tp>
        <v>240</v>
        <stp/>
        <stp>ASK_SIZE</stp>
        <stp>.SPY150529P216.5</stp>
        <tr r="M288" s="1"/>
      </tp>
      <tp>
        <v>610</v>
        <stp/>
        <stp>ASK_SIZE</stp>
        <stp>.SPY150508P207.5</stp>
        <tr r="M144" s="1"/>
      </tp>
      <tp>
        <v>100</v>
        <stp/>
        <stp>ASK_SIZE</stp>
        <stp>.SPY150508P217.5</stp>
        <tr r="M164" s="1"/>
      </tp>
      <tp t="s">
        <v>N/A</v>
        <stp/>
        <stp>BID_SIZE</stp>
        <stp>.SPY150717P217.5</stp>
        <tr r="O416" s="1"/>
      </tp>
      <tp t="s">
        <v>N/A</v>
        <stp/>
        <stp>BID_SIZE</stp>
        <stp>.SPY150717P207.5</stp>
        <tr r="O396" s="1"/>
      </tp>
      <tp>
        <v>0</v>
        <stp/>
        <stp>ASK_SIZE</stp>
        <stp>.SPY150417P218.5</stp>
        <tr r="M40" s="1"/>
      </tp>
      <tp>
        <v>0</v>
        <stp/>
        <stp>ASK_SIZE</stp>
        <stp>.SPY150417P208.5</stp>
        <tr r="M20" s="1"/>
      </tp>
      <tp t="s">
        <v>N/A</v>
        <stp/>
        <stp>ASK_SIZE</stp>
        <stp>.SPY160318P214.5</stp>
        <tr r="M662" s="1"/>
      </tp>
      <tp t="s">
        <v>N/A</v>
        <stp/>
        <stp>ASK_SIZE</stp>
        <stp>.SPY160318P204.5</stp>
        <tr r="M642" s="1"/>
      </tp>
      <tp t="s">
        <v>N/A</v>
        <stp/>
        <stp>BID_SIZE</stp>
        <stp>.SPY160115P216.5</stp>
        <tr r="O624" s="1"/>
      </tp>
      <tp t="s">
        <v>N/A</v>
        <stp/>
        <stp>BID_SIZE</stp>
        <stp>.SPY160115P206.5</stp>
        <tr r="O604" s="1"/>
      </tp>
      <tp t="s">
        <v>N/A</v>
        <stp/>
        <stp>BID_SIZE</stp>
        <stp>.SPY170120P202.5</stp>
        <tr r="O806" s="1"/>
      </tp>
      <tp t="s">
        <v>N/A</v>
        <stp/>
        <stp>BID_SIZE</stp>
        <stp>.SPY170120P212.5</stp>
        <tr r="O826" s="1"/>
      </tp>
      <tp t="s">
        <v>N/A</v>
        <stp/>
        <stp>ASK_SIZE</stp>
        <stp>.SPY160115P219.5</stp>
        <tr r="M630" s="1"/>
      </tp>
      <tp t="s">
        <v>N/A</v>
        <stp/>
        <stp>ASK_SIZE</stp>
        <stp>.SPY160115P209.5</stp>
        <tr r="M610" s="1"/>
      </tp>
      <tp t="s">
        <v>N/A</v>
        <stp/>
        <stp>BID_SIZE</stp>
        <stp>.SPY170317P215.5</stp>
        <tr r="O874" s="1"/>
      </tp>
      <tp t="s">
        <v>N/A</v>
        <stp/>
        <stp>BID_SIZE</stp>
        <stp>.SPY170317P205.5</stp>
        <tr r="O854" s="1"/>
      </tp>
      <tp t="s">
        <v>N/A</v>
        <stp/>
        <stp>BID_SIZE</stp>
        <stp>.SPY150918P218.5</stp>
        <tr r="O460" s="1"/>
      </tp>
      <tp t="s">
        <v>N/A</v>
        <stp/>
        <stp>BID_SIZE</stp>
        <stp>.SPY160916P215.5</stp>
        <tr r="O748" s="1"/>
      </tp>
      <tp t="s">
        <v>N/A</v>
        <stp/>
        <stp>BID_SIZE</stp>
        <stp>.SPY150918P208.5</stp>
        <tr r="O440" s="1"/>
      </tp>
      <tp t="s">
        <v>N/A</v>
        <stp/>
        <stp>BID_SIZE</stp>
        <stp>.SPY160916P205.5</stp>
        <tr r="O728" s="1"/>
      </tp>
      <tp t="s">
        <v>N/A</v>
        <stp/>
        <stp>BID_SIZE</stp>
        <stp>.SPY150930P210.5</stp>
        <tr r="O486" s="1"/>
      </tp>
      <tp t="s">
        <v>N/A</v>
        <stp/>
        <stp>BID_SIZE</stp>
        <stp>.SPY150930P200.5</stp>
        <tr r="O466" s="1"/>
      </tp>
      <tp t="s">
        <v>N/A</v>
        <stp/>
        <stp>ASK_SIZE</stp>
        <stp>.SPY150918P217.5</stp>
        <tr r="M458" s="1"/>
      </tp>
      <tp t="s">
        <v>N/A</v>
        <stp/>
        <stp>ASK_SIZE</stp>
        <stp>.SPY150918P207.5</stp>
        <tr r="M438" s="1"/>
      </tp>
      <tp t="s">
        <v>N/A</v>
        <stp/>
        <stp>ASK_SIZE</stp>
        <stp>.SPY151219P216.5</stp>
        <tr r="M540" s="1"/>
      </tp>
      <tp t="s">
        <v>N/A</v>
        <stp/>
        <stp>ASK_SIZE</stp>
        <stp>.SPY171215P218.5</stp>
        <tr r="M922" s="1"/>
      </tp>
      <tp t="s">
        <v>N/A</v>
        <stp/>
        <stp>ASK_SIZE</stp>
        <stp>.SPY151219P206.5</stp>
        <tr r="M520" s="1"/>
      </tp>
      <tp t="s">
        <v>N/A</v>
        <stp/>
        <stp>ASK_SIZE</stp>
        <stp>.SPY171215P208.5</stp>
        <tr r="M902" s="1"/>
      </tp>
      <tp t="s">
        <v>N/A</v>
        <stp/>
        <stp>BID_SIZE</stp>
        <stp>.SPY151219P219.5</stp>
        <tr r="O546" s="1"/>
      </tp>
      <tp t="s">
        <v>N/A</v>
        <stp/>
        <stp>BID_SIZE</stp>
        <stp>.SPY161216P215.5</stp>
        <tr r="O790" s="1"/>
      </tp>
      <tp t="s">
        <v>N/A</v>
        <stp/>
        <stp>BID_SIZE</stp>
        <stp>.SPY171215P217.5</stp>
        <tr r="O920" s="1"/>
      </tp>
      <tp t="s">
        <v>N/A</v>
        <stp/>
        <stp>BID_SIZE</stp>
        <stp>.SPY151219P209.5</stp>
        <tr r="O526" s="1"/>
      </tp>
      <tp t="s">
        <v>N/A</v>
        <stp/>
        <stp>BID_SIZE</stp>
        <stp>.SPY161216P205.5</stp>
        <tr r="O770" s="1"/>
      </tp>
      <tp t="s">
        <v>N/A</v>
        <stp/>
        <stp>BID_SIZE</stp>
        <stp>.SPY171215P207.5</stp>
        <tr r="O900" s="1"/>
      </tp>
      <tp t="s">
        <v>N/A</v>
        <stp/>
        <stp>BID_SIZE</stp>
        <stp>.SPY151231P211.5</stp>
        <tr r="O572" s="1"/>
      </tp>
      <tp t="s">
        <v>N/A</v>
        <stp/>
        <stp>BID_SIZE</stp>
        <stp>.SPY151231P201.5</stp>
        <tr r="O552" s="1"/>
      </tp>
      <tp t="s">
        <v>N/A</v>
        <stp/>
        <stp>ASK_SIZE</stp>
        <stp>.SPY151219C216.5</stp>
        <tr r="B540" s="1"/>
      </tp>
      <tp t="s">
        <v>N/A</v>
        <stp/>
        <stp>ASK_SIZE</stp>
        <stp>.SPY171215C218.5</stp>
        <tr r="B922" s="1"/>
      </tp>
      <tp t="s">
        <v>N/A</v>
        <stp/>
        <stp>ASK_SIZE</stp>
        <stp>.SPY151219C206.5</stp>
        <tr r="B520" s="1"/>
      </tp>
      <tp t="s">
        <v>N/A</v>
        <stp/>
        <stp>ASK_SIZE</stp>
        <stp>.SPY171215C208.5</stp>
        <tr r="B902" s="1"/>
      </tp>
      <tp t="s">
        <v>N/A</v>
        <stp/>
        <stp>BID_SIZE</stp>
        <stp>.SPY151219C219.5</stp>
        <tr r="D546" s="1"/>
      </tp>
      <tp t="s">
        <v>N/A</v>
        <stp/>
        <stp>BID_SIZE</stp>
        <stp>.SPY161216C215.5</stp>
        <tr r="D790" s="1"/>
      </tp>
      <tp t="s">
        <v>N/A</v>
        <stp/>
        <stp>BID_SIZE</stp>
        <stp>.SPY171215C217.5</stp>
        <tr r="D920" s="1"/>
      </tp>
      <tp t="s">
        <v>N/A</v>
        <stp/>
        <stp>BID_SIZE</stp>
        <stp>.SPY151219C209.5</stp>
        <tr r="D526" s="1"/>
      </tp>
      <tp t="s">
        <v>N/A</v>
        <stp/>
        <stp>BID_SIZE</stp>
        <stp>.SPY161216C205.5</stp>
        <tr r="D770" s="1"/>
      </tp>
      <tp t="s">
        <v>N/A</v>
        <stp/>
        <stp>BID_SIZE</stp>
        <stp>.SPY171215C207.5</stp>
        <tr r="D900" s="1"/>
      </tp>
      <tp t="s">
        <v>N/A</v>
        <stp/>
        <stp>BID_SIZE</stp>
        <stp>.SPY151231C211.5</stp>
        <tr r="D572" s="1"/>
      </tp>
      <tp t="s">
        <v>N/A</v>
        <stp/>
        <stp>BID_SIZE</stp>
        <stp>.SPY151231C201.5</stp>
        <tr r="D552" s="1"/>
      </tp>
      <tp>
        <v>0</v>
        <stp/>
        <stp>BID_SIZE</stp>
        <stp>.SPY150417C217.5</stp>
        <tr r="D38" s="1"/>
      </tp>
      <tp>
        <v>0</v>
        <stp/>
        <stp>BID_SIZE</stp>
        <stp>.SPY150417C207.5</stp>
        <tr r="D18" s="1"/>
      </tp>
      <tp>
        <v>0</v>
        <stp/>
        <stp>BID_SIZE</stp>
        <stp>.SPY150424C204.5</stp>
        <tr r="D54" s="1"/>
      </tp>
      <tp>
        <v>0</v>
        <stp/>
        <stp>BID_SIZE</stp>
        <stp>.SPY150424C214.5</stp>
        <tr r="D74" s="1"/>
      </tp>
      <tp t="s">
        <v>N/A</v>
        <stp/>
        <stp>ASK_SIZE</stp>
        <stp>.SPY150717C218.5</stp>
        <tr r="B418" s="1"/>
      </tp>
      <tp t="s">
        <v>N/A</v>
        <stp/>
        <stp>ASK_SIZE</stp>
        <stp>.SPY150717C208.5</stp>
        <tr r="B398" s="1"/>
      </tp>
      <tp>
        <v>0</v>
        <stp/>
        <stp>BID_SIZE</stp>
        <stp>.SPY150501C201.5</stp>
        <tr r="D90" s="1"/>
      </tp>
      <tp>
        <v>199</v>
        <stp/>
        <stp>BID_SIZE</stp>
        <stp>.SPY150508C208.5</stp>
        <tr r="D146" s="1"/>
      </tp>
      <tp>
        <v>349</v>
        <stp/>
        <stp>BID_SIZE</stp>
        <stp>.SPY150515C215.5</stp>
        <tr r="D202" s="1"/>
      </tp>
      <tp>
        <v>0</v>
        <stp/>
        <stp>BID_SIZE</stp>
        <stp>.SPY150501C211.5</stp>
        <tr r="D110" s="1"/>
      </tp>
      <tp>
        <v>0</v>
        <stp/>
        <stp>BID_SIZE</stp>
        <stp>.SPY150508C218.5</stp>
        <tr r="D166" s="1"/>
      </tp>
      <tp>
        <v>349</v>
        <stp/>
        <stp>BID_SIZE</stp>
        <stp>.SPY150515C205.5</stp>
        <tr r="D182" s="1"/>
      </tp>
      <tp>
        <v>199</v>
        <stp/>
        <stp>BID_SIZE</stp>
        <stp>.SPY150522C202.5</stp>
        <tr r="D218" s="1"/>
      </tp>
      <tp>
        <v>249</v>
        <stp/>
        <stp>BID_SIZE</stp>
        <stp>.SPY150529C209.5</stp>
        <tr r="D274" s="1"/>
      </tp>
      <tp>
        <v>100</v>
        <stp/>
        <stp>BID_SIZE</stp>
        <stp>.SPY150522C212.5</stp>
        <tr r="D238" s="1"/>
      </tp>
      <tp>
        <v>250</v>
        <stp/>
        <stp>BID_SIZE</stp>
        <stp>.SPY150529C219.5</stp>
        <tr r="D294" s="1"/>
      </tp>
      <tp t="s">
        <v>N/A</v>
        <stp/>
        <stp>ASK_SIZE</stp>
        <stp>.SPY150619C216.5</stp>
        <tr r="B330" s="1"/>
      </tp>
      <tp t="s">
        <v>N/A</v>
        <stp/>
        <stp>ASK_SIZE</stp>
        <stp>.SPY150619C206.5</stp>
        <tr r="B310" s="1"/>
      </tp>
      <tp t="s">
        <v>N/A</v>
        <stp/>
        <stp>BID_SIZE</stp>
        <stp>.SPY150619C219.5</stp>
        <tr r="D336" s="1"/>
      </tp>
      <tp t="s">
        <v>N/A</v>
        <stp/>
        <stp>BID_SIZE</stp>
        <stp>.SPY160617C214.5</stp>
        <tr r="D704" s="1"/>
      </tp>
      <tp t="s">
        <v>N/A</v>
        <stp/>
        <stp>BID_SIZE</stp>
        <stp>.SPY150619C209.5</stp>
        <tr r="D316" s="1"/>
      </tp>
      <tp t="s">
        <v>N/A</v>
        <stp/>
        <stp>BID_SIZE</stp>
        <stp>.SPY160617C204.5</stp>
        <tr r="D684" s="1"/>
      </tp>
      <tp t="s">
        <v>N/A</v>
        <stp/>
        <stp>BID_SIZE</stp>
        <stp>.SPY150630C210.5</stp>
        <tr r="D360" s="1"/>
      </tp>
      <tp t="s">
        <v>N/A</v>
        <stp/>
        <stp>BID_SIZE</stp>
        <stp>.SPY150630C200.5</stp>
        <tr r="D340" s="1"/>
      </tp>
      <tp>
        <v>250</v>
        <stp/>
        <stp>ASK_SIZE</stp>
        <stp>.SPY150529C206.5</stp>
        <tr r="B268" s="1"/>
      </tp>
      <tp>
        <v>151</v>
        <stp/>
        <stp>ASK_SIZE</stp>
        <stp>.SPY150529C216.5</stp>
        <tr r="B288" s="1"/>
      </tp>
      <tp>
        <v>311</v>
        <stp/>
        <stp>ASK_SIZE</stp>
        <stp>.SPY150508C207.5</stp>
        <tr r="B144" s="1"/>
      </tp>
      <tp>
        <v>1200</v>
        <stp/>
        <stp>ASK_SIZE</stp>
        <stp>.SPY150508C217.5</stp>
        <tr r="B164" s="1"/>
      </tp>
      <tp t="s">
        <v>N/A</v>
        <stp/>
        <stp>BID_SIZE</stp>
        <stp>.SPY150717C217.5</stp>
        <tr r="D416" s="1"/>
      </tp>
      <tp t="s">
        <v>N/A</v>
        <stp/>
        <stp>BID_SIZE</stp>
        <stp>.SPY150717C207.5</stp>
        <tr r="D396" s="1"/>
      </tp>
      <tp>
        <v>0</v>
        <stp/>
        <stp>ASK_SIZE</stp>
        <stp>.SPY150417C218.5</stp>
        <tr r="B40" s="1"/>
      </tp>
      <tp>
        <v>0</v>
        <stp/>
        <stp>ASK_SIZE</stp>
        <stp>.SPY150417C208.5</stp>
        <tr r="B20" s="1"/>
      </tp>
      <tp t="s">
        <v>N/A</v>
        <stp/>
        <stp>ASK_SIZE</stp>
        <stp>.SPY160318C214.5</stp>
        <tr r="B662" s="1"/>
      </tp>
      <tp t="s">
        <v>N/A</v>
        <stp/>
        <stp>ASK_SIZE</stp>
        <stp>.SPY160318C204.5</stp>
        <tr r="B642" s="1"/>
      </tp>
      <tp t="s">
        <v>N/A</v>
        <stp/>
        <stp>BID_SIZE</stp>
        <stp>.SPY160115C216.5</stp>
        <tr r="D624" s="1"/>
      </tp>
      <tp t="s">
        <v>N/A</v>
        <stp/>
        <stp>BID_SIZE</stp>
        <stp>.SPY160115C206.5</stp>
        <tr r="D604" s="1"/>
      </tp>
      <tp t="s">
        <v>N/A</v>
        <stp/>
        <stp>BID_SIZE</stp>
        <stp>.SPY170120C202.5</stp>
        <tr r="D806" s="1"/>
      </tp>
      <tp t="s">
        <v>N/A</v>
        <stp/>
        <stp>BID_SIZE</stp>
        <stp>.SPY170120C212.5</stp>
        <tr r="D826" s="1"/>
      </tp>
      <tp t="s">
        <v>N/A</v>
        <stp/>
        <stp>ASK_SIZE</stp>
        <stp>.SPY160115C219.5</stp>
        <tr r="B630" s="1"/>
      </tp>
      <tp t="s">
        <v>N/A</v>
        <stp/>
        <stp>ASK_SIZE</stp>
        <stp>.SPY160115C209.5</stp>
        <tr r="B610" s="1"/>
      </tp>
      <tp t="s">
        <v>N/A</v>
        <stp/>
        <stp>BID_SIZE</stp>
        <stp>.SPY170317C215.5</stp>
        <tr r="D874" s="1"/>
      </tp>
      <tp t="s">
        <v>N/A</v>
        <stp/>
        <stp>BID_SIZE</stp>
        <stp>.SPY170317C205.5</stp>
        <tr r="D854" s="1"/>
      </tp>
      <tp t="s">
        <v>N/A</v>
        <stp/>
        <stp>BID_SIZE</stp>
        <stp>.SPY150918C218.5</stp>
        <tr r="D460" s="1"/>
      </tp>
      <tp t="s">
        <v>N/A</v>
        <stp/>
        <stp>BID_SIZE</stp>
        <stp>.SPY160916C215.5</stp>
        <tr r="D748" s="1"/>
      </tp>
      <tp t="s">
        <v>N/A</v>
        <stp/>
        <stp>BID_SIZE</stp>
        <stp>.SPY150918C208.5</stp>
        <tr r="D440" s="1"/>
      </tp>
      <tp t="s">
        <v>N/A</v>
        <stp/>
        <stp>BID_SIZE</stp>
        <stp>.SPY160916C205.5</stp>
        <tr r="D728" s="1"/>
      </tp>
      <tp t="s">
        <v>N/A</v>
        <stp/>
        <stp>BID_SIZE</stp>
        <stp>.SPY150930C210.5</stp>
        <tr r="D486" s="1"/>
      </tp>
      <tp t="s">
        <v>N/A</v>
        <stp/>
        <stp>BID_SIZE</stp>
        <stp>.SPY150930C200.5</stp>
        <tr r="D466" s="1"/>
      </tp>
      <tp t="s">
        <v>N/A</v>
        <stp/>
        <stp>ASK_SIZE</stp>
        <stp>.SPY150918C217.5</stp>
        <tr r="B458" s="1"/>
      </tp>
      <tp t="s">
        <v>N/A</v>
        <stp/>
        <stp>ASK_SIZE</stp>
        <stp>.SPY150918C207.5</stp>
        <tr r="B438" s="1"/>
      </tp>
      <tp>
        <v>14.49</v>
        <stp/>
        <stp>ASK</stp>
        <stp>.SPY160115C204</stp>
        <tr r="A599" s="1"/>
      </tp>
      <tp>
        <v>9</v>
        <stp/>
        <stp>ASK</stp>
        <stp>.SPY160115P204</stp>
        <tr r="L599" s="1"/>
      </tp>
      <tp>
        <v>13.79</v>
        <stp/>
        <stp>ASK</stp>
        <stp>.SPY160115C205</stp>
        <tr r="A601" s="1"/>
      </tp>
      <tp>
        <v>9.33</v>
        <stp/>
        <stp>ASK</stp>
        <stp>.SPY160115P205</stp>
        <tr r="L601" s="1"/>
      </tp>
      <tp>
        <v>13.06</v>
        <stp/>
        <stp>ASK</stp>
        <stp>.SPY160115C206</stp>
        <tr r="A603" s="1"/>
      </tp>
      <tp>
        <v>9.66</v>
        <stp/>
        <stp>ASK</stp>
        <stp>.SPY160115P206</stp>
        <tr r="L603" s="1"/>
      </tp>
      <tp>
        <v>12.35</v>
        <stp/>
        <stp>ASK</stp>
        <stp>.SPY160115C207</stp>
        <tr r="A605" s="1"/>
      </tp>
      <tp>
        <v>10.029999999999999</v>
        <stp/>
        <stp>ASK</stp>
        <stp>.SPY160115P207</stp>
        <tr r="L605" s="1"/>
      </tp>
      <tp>
        <v>17.36</v>
        <stp/>
        <stp>ASK</stp>
        <stp>.SPY160115C200</stp>
        <tr r="A591" s="1"/>
      </tp>
      <tp>
        <v>7.75</v>
        <stp/>
        <stp>ASK</stp>
        <stp>.SPY160115P200</stp>
        <tr r="L591" s="1"/>
      </tp>
      <tp>
        <v>16.62</v>
        <stp/>
        <stp>ASK</stp>
        <stp>.SPY160115C201</stp>
        <tr r="A593" s="1"/>
      </tp>
      <tp>
        <v>8.06</v>
        <stp/>
        <stp>ASK</stp>
        <stp>.SPY160115P201</stp>
        <tr r="L593" s="1"/>
      </tp>
      <tp>
        <v>15.88</v>
        <stp/>
        <stp>ASK</stp>
        <stp>.SPY160115C202</stp>
        <tr r="A595" s="1"/>
      </tp>
      <tp>
        <v>8.34</v>
        <stp/>
        <stp>ASK</stp>
        <stp>.SPY160115P202</stp>
        <tr r="L595" s="1"/>
      </tp>
      <tp>
        <v>15.19</v>
        <stp/>
        <stp>ASK</stp>
        <stp>.SPY160115C203</stp>
        <tr r="A597" s="1"/>
      </tp>
      <tp>
        <v>8.68</v>
        <stp/>
        <stp>ASK</stp>
        <stp>.SPY160115P203</stp>
        <tr r="L597" s="1"/>
      </tp>
      <tp>
        <v>11.71</v>
        <stp/>
        <stp>ASK</stp>
        <stp>.SPY160115C208</stp>
        <tr r="A607" s="1"/>
      </tp>
      <tp>
        <v>10.39</v>
        <stp/>
        <stp>ASK</stp>
        <stp>.SPY160115P208</stp>
        <tr r="L607" s="1"/>
      </tp>
      <tp>
        <v>11.06</v>
        <stp/>
        <stp>ASK</stp>
        <stp>.SPY160115C209</stp>
        <tr r="A609" s="1"/>
      </tp>
      <tp>
        <v>10.75</v>
        <stp/>
        <stp>ASK</stp>
        <stp>.SPY160115P209</stp>
        <tr r="L609" s="1"/>
      </tp>
      <tp t="s">
        <v>N/A</v>
        <stp/>
        <stp>BID</stp>
        <stp>.SPY170120C208</stp>
        <tr r="C817" s="1"/>
      </tp>
      <tp t="s">
        <v>N/A</v>
        <stp/>
        <stp>BID</stp>
        <stp>.SPY170120P208</stp>
        <tr r="N817" s="1"/>
      </tp>
      <tp t="s">
        <v>N/A</v>
        <stp/>
        <stp>BID</stp>
        <stp>.SPY170120C209</stp>
        <tr r="C819" s="1"/>
      </tp>
      <tp t="s">
        <v>N/A</v>
        <stp/>
        <stp>BID</stp>
        <stp>.SPY170120P209</stp>
        <tr r="N819" s="1"/>
      </tp>
      <tp t="s">
        <v>N/A</v>
        <stp/>
        <stp>BID</stp>
        <stp>.SPY170120C202</stp>
        <tr r="C805" s="1"/>
      </tp>
      <tp t="s">
        <v>N/A</v>
        <stp/>
        <stp>BID</stp>
        <stp>.SPY170120P202</stp>
        <tr r="N805" s="1"/>
      </tp>
      <tp t="s">
        <v>N/A</v>
        <stp/>
        <stp>BID</stp>
        <stp>.SPY170120C203</stp>
        <tr r="C807" s="1"/>
      </tp>
      <tp t="s">
        <v>N/A</v>
        <stp/>
        <stp>BID</stp>
        <stp>.SPY170120P203</stp>
        <tr r="N807" s="1"/>
      </tp>
      <tp>
        <v>23.84</v>
        <stp/>
        <stp>BID</stp>
        <stp>.SPY170120C200</stp>
        <tr r="C801" s="1"/>
      </tp>
      <tp>
        <v>16.600000000000001</v>
        <stp/>
        <stp>BID</stp>
        <stp>.SPY170120P200</stp>
        <tr r="N801" s="1"/>
      </tp>
      <tp t="s">
        <v>N/A</v>
        <stp/>
        <stp>BID</stp>
        <stp>.SPY170120C201</stp>
        <tr r="C803" s="1"/>
      </tp>
      <tp t="s">
        <v>N/A</v>
        <stp/>
        <stp>BID</stp>
        <stp>.SPY170120P201</stp>
        <tr r="N803" s="1"/>
      </tp>
      <tp t="s">
        <v>N/A</v>
        <stp/>
        <stp>BID</stp>
        <stp>.SPY170120C206</stp>
        <tr r="C813" s="1"/>
      </tp>
      <tp t="s">
        <v>N/A</v>
        <stp/>
        <stp>BID</stp>
        <stp>.SPY170120P206</stp>
        <tr r="N813" s="1"/>
      </tp>
      <tp t="s">
        <v>N/A</v>
        <stp/>
        <stp>BID</stp>
        <stp>.SPY170120C207</stp>
        <tr r="C815" s="1"/>
      </tp>
      <tp t="s">
        <v>N/A</v>
        <stp/>
        <stp>BID</stp>
        <stp>.SPY170120P207</stp>
        <tr r="N815" s="1"/>
      </tp>
      <tp t="s">
        <v>N/A</v>
        <stp/>
        <stp>BID</stp>
        <stp>.SPY170120C204</stp>
        <tr r="C809" s="1"/>
      </tp>
      <tp t="s">
        <v>N/A</v>
        <stp/>
        <stp>BID</stp>
        <stp>.SPY170120P204</stp>
        <tr r="N809" s="1"/>
      </tp>
      <tp>
        <v>20.69</v>
        <stp/>
        <stp>BID</stp>
        <stp>.SPY170120C205</stp>
        <tr r="C811" s="1"/>
      </tp>
      <tp>
        <v>17.95</v>
        <stp/>
        <stp>BID</stp>
        <stp>.SPY170120P205</stp>
        <tr r="N811" s="1"/>
      </tp>
      <tp>
        <v>8.16</v>
        <stp/>
        <stp>ASK</stp>
        <stp>.SPY160115C214</stp>
        <tr r="A619" s="1"/>
      </tp>
      <tp>
        <v>12.99</v>
        <stp/>
        <stp>ASK</stp>
        <stp>.SPY160115P214</stp>
        <tr r="L619" s="1"/>
      </tp>
      <tp>
        <v>7.55</v>
        <stp/>
        <stp>ASK</stp>
        <stp>.SPY160115C215</stp>
        <tr r="A621" s="1"/>
      </tp>
      <tp>
        <v>13.48</v>
        <stp/>
        <stp>ASK</stp>
        <stp>.SPY160115P215</stp>
        <tr r="L621" s="1"/>
      </tp>
      <tp>
        <v>7.12</v>
        <stp/>
        <stp>ASK</stp>
        <stp>.SPY160115C216</stp>
        <tr r="A623" s="1"/>
      </tp>
      <tp>
        <v>13.93</v>
        <stp/>
        <stp>ASK</stp>
        <stp>.SPY160115P216</stp>
        <tr r="L623" s="1"/>
      </tp>
      <tp>
        <v>6.54</v>
        <stp/>
        <stp>ASK</stp>
        <stp>.SPY160115C217</stp>
        <tr r="A625" s="1"/>
      </tp>
      <tp>
        <v>14.46</v>
        <stp/>
        <stp>ASK</stp>
        <stp>.SPY160115P217</stp>
        <tr r="L625" s="1"/>
      </tp>
      <tp>
        <v>10.5</v>
        <stp/>
        <stp>ASK</stp>
        <stp>.SPY160115C210</stp>
        <tr r="A611" s="1"/>
      </tp>
      <tp>
        <v>11.14</v>
        <stp/>
        <stp>ASK</stp>
        <stp>.SPY160115P210</stp>
        <tr r="L611" s="1"/>
      </tp>
      <tp>
        <v>9.83</v>
        <stp/>
        <stp>ASK</stp>
        <stp>.SPY160115C211</stp>
        <tr r="A613" s="1"/>
      </tp>
      <tp>
        <v>11.56</v>
        <stp/>
        <stp>ASK</stp>
        <stp>.SPY160115P211</stp>
        <tr r="L613" s="1"/>
      </tp>
      <tp>
        <v>9.23</v>
        <stp/>
        <stp>ASK</stp>
        <stp>.SPY160115C212</stp>
        <tr r="A615" s="1"/>
      </tp>
      <tp>
        <v>11.99</v>
        <stp/>
        <stp>ASK</stp>
        <stp>.SPY160115P212</stp>
        <tr r="L615" s="1"/>
      </tp>
      <tp>
        <v>8.7200000000000006</v>
        <stp/>
        <stp>ASK</stp>
        <stp>.SPY160115C213</stp>
        <tr r="A617" s="1"/>
      </tp>
      <tp>
        <v>12.43</v>
        <stp/>
        <stp>ASK</stp>
        <stp>.SPY160115P213</stp>
        <tr r="L617" s="1"/>
      </tp>
      <tp>
        <v>6.05</v>
        <stp/>
        <stp>ASK</stp>
        <stp>.SPY160115C218</stp>
        <tr r="A627" s="1"/>
      </tp>
      <tp>
        <v>15.01</v>
        <stp/>
        <stp>ASK</stp>
        <stp>.SPY160115P218</stp>
        <tr r="L627" s="1"/>
      </tp>
      <tp t="s">
        <v>N/A</v>
        <stp/>
        <stp>ASK</stp>
        <stp>.SPY160115C219</stp>
        <tr r="A629" s="1"/>
      </tp>
      <tp t="s">
        <v>N/A</v>
        <stp/>
        <stp>ASK</stp>
        <stp>.SPY160115P219</stp>
        <tr r="L629" s="1"/>
      </tp>
      <tp t="s">
        <v>N/A</v>
        <stp/>
        <stp>BID</stp>
        <stp>.SPY170120C218</stp>
        <tr r="C837" s="1"/>
      </tp>
      <tp t="s">
        <v>N/A</v>
        <stp/>
        <stp>BID</stp>
        <stp>.SPY170120P218</stp>
        <tr r="N837" s="1"/>
      </tp>
      <tp t="s">
        <v>N/A</v>
        <stp/>
        <stp>BID</stp>
        <stp>.SPY170120C219</stp>
        <tr r="C839" s="1"/>
      </tp>
      <tp t="s">
        <v>N/A</v>
        <stp/>
        <stp>BID</stp>
        <stp>.SPY170120P219</stp>
        <tr r="N839" s="1"/>
      </tp>
      <tp t="s">
        <v>N/A</v>
        <stp/>
        <stp>BID</stp>
        <stp>.SPY170120C212</stp>
        <tr r="C825" s="1"/>
      </tp>
      <tp t="s">
        <v>N/A</v>
        <stp/>
        <stp>BID</stp>
        <stp>.SPY170120P212</stp>
        <tr r="N825" s="1"/>
      </tp>
      <tp t="s">
        <v>N/A</v>
        <stp/>
        <stp>BID</stp>
        <stp>.SPY170120C213</stp>
        <tr r="C827" s="1"/>
      </tp>
      <tp t="s">
        <v>N/A</v>
        <stp/>
        <stp>BID</stp>
        <stp>.SPY170120P213</stp>
        <tr r="N827" s="1"/>
      </tp>
      <tp>
        <v>17.739999999999998</v>
        <stp/>
        <stp>BID</stp>
        <stp>.SPY170120C210</stp>
        <tr r="C821" s="1"/>
      </tp>
      <tp>
        <v>20.02</v>
        <stp/>
        <stp>BID</stp>
        <stp>.SPY170120P210</stp>
        <tr r="N821" s="1"/>
      </tp>
      <tp t="s">
        <v>N/A</v>
        <stp/>
        <stp>BID</stp>
        <stp>.SPY170120C211</stp>
        <tr r="C823" s="1"/>
      </tp>
      <tp t="s">
        <v>N/A</v>
        <stp/>
        <stp>BID</stp>
        <stp>.SPY170120P211</stp>
        <tr r="N823" s="1"/>
      </tp>
      <tp t="s">
        <v>N/A</v>
        <stp/>
        <stp>BID</stp>
        <stp>.SPY170120C216</stp>
        <tr r="C833" s="1"/>
      </tp>
      <tp t="s">
        <v>N/A</v>
        <stp/>
        <stp>BID</stp>
        <stp>.SPY170120P216</stp>
        <tr r="N833" s="1"/>
      </tp>
      <tp t="s">
        <v>N/A</v>
        <stp/>
        <stp>BID</stp>
        <stp>.SPY170120C217</stp>
        <tr r="C835" s="1"/>
      </tp>
      <tp t="s">
        <v>N/A</v>
        <stp/>
        <stp>BID</stp>
        <stp>.SPY170120P217</stp>
        <tr r="N835" s="1"/>
      </tp>
      <tp t="s">
        <v>N/A</v>
        <stp/>
        <stp>BID</stp>
        <stp>.SPY170120C214</stp>
        <tr r="C829" s="1"/>
      </tp>
      <tp t="s">
        <v>N/A</v>
        <stp/>
        <stp>BID</stp>
        <stp>.SPY170120P214</stp>
        <tr r="N829" s="1"/>
      </tp>
      <tp>
        <v>15</v>
        <stp/>
        <stp>BID</stp>
        <stp>.SPY170120C215</stp>
        <tr r="C831" s="1"/>
      </tp>
      <tp>
        <v>22.31</v>
        <stp/>
        <stp>BID</stp>
        <stp>.SPY170120P215</stp>
        <tr r="N831" s="1"/>
      </tp>
      <tp>
        <v>18.13</v>
        <stp/>
        <stp>ASK</stp>
        <stp>.SPY170120C210</stp>
        <tr r="A821" s="1"/>
      </tp>
      <tp>
        <v>20.6</v>
        <stp/>
        <stp>ASK</stp>
        <stp>.SPY170120P210</stp>
        <tr r="L821" s="1"/>
      </tp>
      <tp t="s">
        <v>N/A</v>
        <stp/>
        <stp>ASK</stp>
        <stp>.SPY170120C211</stp>
        <tr r="A823" s="1"/>
      </tp>
      <tp t="s">
        <v>N/A</v>
        <stp/>
        <stp>ASK</stp>
        <stp>.SPY170120P211</stp>
        <tr r="L823" s="1"/>
      </tp>
      <tp t="s">
        <v>N/A</v>
        <stp/>
        <stp>ASK</stp>
        <stp>.SPY170120C212</stp>
        <tr r="A825" s="1"/>
      </tp>
      <tp t="s">
        <v>N/A</v>
        <stp/>
        <stp>ASK</stp>
        <stp>.SPY170120P212</stp>
        <tr r="L825" s="1"/>
      </tp>
      <tp t="s">
        <v>N/A</v>
        <stp/>
        <stp>ASK</stp>
        <stp>.SPY170120C213</stp>
        <tr r="A827" s="1"/>
      </tp>
      <tp t="s">
        <v>N/A</v>
        <stp/>
        <stp>ASK</stp>
        <stp>.SPY170120P213</stp>
        <tr r="L827" s="1"/>
      </tp>
      <tp t="s">
        <v>N/A</v>
        <stp/>
        <stp>ASK</stp>
        <stp>.SPY170120C214</stp>
        <tr r="A829" s="1"/>
      </tp>
      <tp t="s">
        <v>N/A</v>
        <stp/>
        <stp>ASK</stp>
        <stp>.SPY170120P214</stp>
        <tr r="L829" s="1"/>
      </tp>
      <tp>
        <v>15.41</v>
        <stp/>
        <stp>ASK</stp>
        <stp>.SPY170120C215</stp>
        <tr r="A831" s="1"/>
      </tp>
      <tp>
        <v>22.87</v>
        <stp/>
        <stp>ASK</stp>
        <stp>.SPY170120P215</stp>
        <tr r="L831" s="1"/>
      </tp>
      <tp t="s">
        <v>N/A</v>
        <stp/>
        <stp>ASK</stp>
        <stp>.SPY170120C216</stp>
        <tr r="A833" s="1"/>
      </tp>
      <tp t="s">
        <v>N/A</v>
        <stp/>
        <stp>ASK</stp>
        <stp>.SPY170120P216</stp>
        <tr r="L833" s="1"/>
      </tp>
      <tp t="s">
        <v>N/A</v>
        <stp/>
        <stp>ASK</stp>
        <stp>.SPY170120C217</stp>
        <tr r="A835" s="1"/>
      </tp>
      <tp t="s">
        <v>N/A</v>
        <stp/>
        <stp>ASK</stp>
        <stp>.SPY170120P217</stp>
        <tr r="L835" s="1"/>
      </tp>
      <tp t="s">
        <v>N/A</v>
        <stp/>
        <stp>ASK</stp>
        <stp>.SPY170120C218</stp>
        <tr r="A837" s="1"/>
      </tp>
      <tp t="s">
        <v>N/A</v>
        <stp/>
        <stp>ASK</stp>
        <stp>.SPY170120P218</stp>
        <tr r="L837" s="1"/>
      </tp>
      <tp t="s">
        <v>N/A</v>
        <stp/>
        <stp>ASK</stp>
        <stp>.SPY170120C219</stp>
        <tr r="A839" s="1"/>
      </tp>
      <tp t="s">
        <v>N/A</v>
        <stp/>
        <stp>ASK</stp>
        <stp>.SPY170120P219</stp>
        <tr r="L839" s="1"/>
      </tp>
      <tp>
        <v>5.86</v>
        <stp/>
        <stp>BID</stp>
        <stp>.SPY160115C218</stp>
        <tr r="C627" s="1"/>
      </tp>
      <tp>
        <v>14.67</v>
        <stp/>
        <stp>BID</stp>
        <stp>.SPY160115P218</stp>
        <tr r="N627" s="1"/>
      </tp>
      <tp t="s">
        <v>N/A</v>
        <stp/>
        <stp>BID</stp>
        <stp>.SPY160115C219</stp>
        <tr r="C629" s="1"/>
      </tp>
      <tp t="s">
        <v>N/A</v>
        <stp/>
        <stp>BID</stp>
        <stp>.SPY160115P219</stp>
        <tr r="N629" s="1"/>
      </tp>
      <tp>
        <v>6.86</v>
        <stp/>
        <stp>BID</stp>
        <stp>.SPY160115C216</stp>
        <tr r="C623" s="1"/>
      </tp>
      <tp>
        <v>13.52</v>
        <stp/>
        <stp>BID</stp>
        <stp>.SPY160115P216</stp>
        <tr r="N623" s="1"/>
      </tp>
      <tp>
        <v>6.33</v>
        <stp/>
        <stp>BID</stp>
        <stp>.SPY160115C217</stp>
        <tr r="C625" s="1"/>
      </tp>
      <tp>
        <v>14.14</v>
        <stp/>
        <stp>BID</stp>
        <stp>.SPY160115P217</stp>
        <tr r="N625" s="1"/>
      </tp>
      <tp>
        <v>7.88</v>
        <stp/>
        <stp>BID</stp>
        <stp>.SPY160115C214</stp>
        <tr r="C619" s="1"/>
      </tp>
      <tp>
        <v>12.56</v>
        <stp/>
        <stp>BID</stp>
        <stp>.SPY160115P214</stp>
        <tr r="N619" s="1"/>
      </tp>
      <tp>
        <v>7.37</v>
        <stp/>
        <stp>BID</stp>
        <stp>.SPY160115C215</stp>
        <tr r="C621" s="1"/>
      </tp>
      <tp>
        <v>13.18</v>
        <stp/>
        <stp>BID</stp>
        <stp>.SPY160115P215</stp>
        <tr r="N621" s="1"/>
      </tp>
      <tp>
        <v>9.0399999999999991</v>
        <stp/>
        <stp>BID</stp>
        <stp>.SPY160115C212</stp>
        <tr r="C615" s="1"/>
      </tp>
      <tp>
        <v>11.75</v>
        <stp/>
        <stp>BID</stp>
        <stp>.SPY160115P212</stp>
        <tr r="N615" s="1"/>
      </tp>
      <tp>
        <v>8.4700000000000006</v>
        <stp/>
        <stp>BID</stp>
        <stp>.SPY160115C213</stp>
        <tr r="C617" s="1"/>
      </tp>
      <tp>
        <v>12.23</v>
        <stp/>
        <stp>BID</stp>
        <stp>.SPY160115P213</stp>
        <tr r="N617" s="1"/>
      </tp>
      <tp>
        <v>10.23</v>
        <stp/>
        <stp>BID</stp>
        <stp>.SPY160115C210</stp>
        <tr r="C611" s="1"/>
      </tp>
      <tp>
        <v>10.99</v>
        <stp/>
        <stp>BID</stp>
        <stp>.SPY160115P210</stp>
        <tr r="N611" s="1"/>
      </tp>
      <tp>
        <v>9.6199999999999992</v>
        <stp/>
        <stp>BID</stp>
        <stp>.SPY160115C211</stp>
        <tr r="C613" s="1"/>
      </tp>
      <tp>
        <v>11.38</v>
        <stp/>
        <stp>BID</stp>
        <stp>.SPY160115P211</stp>
        <tr r="N613" s="1"/>
      </tp>
      <tp>
        <v>24.59</v>
        <stp/>
        <stp>ASK</stp>
        <stp>.SPY170120C200</stp>
        <tr r="A801" s="1"/>
      </tp>
      <tp>
        <v>16.72</v>
        <stp/>
        <stp>ASK</stp>
        <stp>.SPY170120P200</stp>
        <tr r="L801" s="1"/>
      </tp>
      <tp t="s">
        <v>N/A</v>
        <stp/>
        <stp>ASK</stp>
        <stp>.SPY170120C201</stp>
        <tr r="A803" s="1"/>
      </tp>
      <tp t="s">
        <v>N/A</v>
        <stp/>
        <stp>ASK</stp>
        <stp>.SPY170120P201</stp>
        <tr r="L803" s="1"/>
      </tp>
      <tp t="s">
        <v>N/A</v>
        <stp/>
        <stp>ASK</stp>
        <stp>.SPY170120C202</stp>
        <tr r="A805" s="1"/>
      </tp>
      <tp t="s">
        <v>N/A</v>
        <stp/>
        <stp>ASK</stp>
        <stp>.SPY170120P202</stp>
        <tr r="L805" s="1"/>
      </tp>
      <tp t="s">
        <v>N/A</v>
        <stp/>
        <stp>ASK</stp>
        <stp>.SPY170120C203</stp>
        <tr r="A807" s="1"/>
      </tp>
      <tp t="s">
        <v>N/A</v>
        <stp/>
        <stp>ASK</stp>
        <stp>.SPY170120P203</stp>
        <tr r="L807" s="1"/>
      </tp>
      <tp t="s">
        <v>N/A</v>
        <stp/>
        <stp>ASK</stp>
        <stp>.SPY170120C204</stp>
        <tr r="A809" s="1"/>
      </tp>
      <tp t="s">
        <v>N/A</v>
        <stp/>
        <stp>ASK</stp>
        <stp>.SPY170120P204</stp>
        <tr r="L809" s="1"/>
      </tp>
      <tp>
        <v>21.1</v>
        <stp/>
        <stp>ASK</stp>
        <stp>.SPY170120C205</stp>
        <tr r="A811" s="1"/>
      </tp>
      <tp>
        <v>18.809999999999999</v>
        <stp/>
        <stp>ASK</stp>
        <stp>.SPY170120P205</stp>
        <tr r="L811" s="1"/>
      </tp>
      <tp t="s">
        <v>N/A</v>
        <stp/>
        <stp>ASK</stp>
        <stp>.SPY170120C206</stp>
        <tr r="A813" s="1"/>
      </tp>
      <tp t="s">
        <v>N/A</v>
        <stp/>
        <stp>ASK</stp>
        <stp>.SPY170120P206</stp>
        <tr r="L813" s="1"/>
      </tp>
      <tp t="s">
        <v>N/A</v>
        <stp/>
        <stp>ASK</stp>
        <stp>.SPY170120C207</stp>
        <tr r="A815" s="1"/>
      </tp>
      <tp t="s">
        <v>N/A</v>
        <stp/>
        <stp>ASK</stp>
        <stp>.SPY170120P207</stp>
        <tr r="L815" s="1"/>
      </tp>
      <tp t="s">
        <v>N/A</v>
        <stp/>
        <stp>ASK</stp>
        <stp>.SPY170120C208</stp>
        <tr r="A817" s="1"/>
      </tp>
      <tp t="s">
        <v>N/A</v>
        <stp/>
        <stp>ASK</stp>
        <stp>.SPY170120P208</stp>
        <tr r="L817" s="1"/>
      </tp>
      <tp t="s">
        <v>N/A</v>
        <stp/>
        <stp>ASK</stp>
        <stp>.SPY170120C209</stp>
        <tr r="A819" s="1"/>
      </tp>
      <tp t="s">
        <v>N/A</v>
        <stp/>
        <stp>ASK</stp>
        <stp>.SPY170120P209</stp>
        <tr r="L819" s="1"/>
      </tp>
      <tp>
        <v>11.49</v>
        <stp/>
        <stp>BID</stp>
        <stp>.SPY160115C208</stp>
        <tr r="C607" s="1"/>
      </tp>
      <tp>
        <v>10.14</v>
        <stp/>
        <stp>BID</stp>
        <stp>.SPY160115P208</stp>
        <tr r="N607" s="1"/>
      </tp>
      <tp>
        <v>10.86</v>
        <stp/>
        <stp>BID</stp>
        <stp>.SPY160115C209</stp>
        <tr r="C609" s="1"/>
      </tp>
      <tp>
        <v>10.58</v>
        <stp/>
        <stp>BID</stp>
        <stp>.SPY160115P209</stp>
        <tr r="N609" s="1"/>
      </tp>
      <tp>
        <v>12.8</v>
        <stp/>
        <stp>BID</stp>
        <stp>.SPY160115C206</stp>
        <tr r="C603" s="1"/>
      </tp>
      <tp>
        <v>9.42</v>
        <stp/>
        <stp>BID</stp>
        <stp>.SPY160115P206</stp>
        <tr r="N603" s="1"/>
      </tp>
      <tp>
        <v>12.14</v>
        <stp/>
        <stp>BID</stp>
        <stp>.SPY160115C207</stp>
        <tr r="C605" s="1"/>
      </tp>
      <tp>
        <v>9.77</v>
        <stp/>
        <stp>BID</stp>
        <stp>.SPY160115P207</stp>
        <tr r="N605" s="1"/>
      </tp>
      <tp>
        <v>14.12</v>
        <stp/>
        <stp>BID</stp>
        <stp>.SPY160115C204</stp>
        <tr r="C599" s="1"/>
      </tp>
      <tp>
        <v>8.76</v>
        <stp/>
        <stp>BID</stp>
        <stp>.SPY160115P204</stp>
        <tr r="N599" s="1"/>
      </tp>
      <tp>
        <v>13.5</v>
        <stp/>
        <stp>BID</stp>
        <stp>.SPY160115C205</stp>
        <tr r="C601" s="1"/>
      </tp>
      <tp>
        <v>9.09</v>
        <stp/>
        <stp>BID</stp>
        <stp>.SPY160115P205</stp>
        <tr r="N601" s="1"/>
      </tp>
      <tp>
        <v>15.54</v>
        <stp/>
        <stp>BID</stp>
        <stp>.SPY160115C202</stp>
        <tr r="C595" s="1"/>
      </tp>
      <tp>
        <v>8.15</v>
        <stp/>
        <stp>BID</stp>
        <stp>.SPY160115P202</stp>
        <tr r="N595" s="1"/>
      </tp>
      <tp>
        <v>14.83</v>
        <stp/>
        <stp>BID</stp>
        <stp>.SPY160115C203</stp>
        <tr r="C597" s="1"/>
      </tp>
      <tp>
        <v>8.4499999999999993</v>
        <stp/>
        <stp>BID</stp>
        <stp>.SPY160115P203</stp>
        <tr r="N597" s="1"/>
      </tp>
      <tp>
        <v>17</v>
        <stp/>
        <stp>BID</stp>
        <stp>.SPY160115C200</stp>
        <tr r="C591" s="1"/>
      </tp>
      <tp>
        <v>7.62</v>
        <stp/>
        <stp>BID</stp>
        <stp>.SPY160115P200</stp>
        <tr r="N591" s="1"/>
      </tp>
      <tp>
        <v>16.27</v>
        <stp/>
        <stp>BID</stp>
        <stp>.SPY160115C201</stp>
        <tr r="C593" s="1"/>
      </tp>
      <tp>
        <v>7.87</v>
        <stp/>
        <stp>BID</stp>
        <stp>.SPY160115P201</stp>
        <tr r="N593" s="1"/>
      </tp>
      <tp t="s">
        <v>N/A</v>
        <stp/>
        <stp>RHO</stp>
        <stp>.SPY170120C209</stp>
        <tr r="K819" s="1"/>
      </tp>
      <tp t="s">
        <v>N/A</v>
        <stp/>
        <stp>RHO</stp>
        <stp>.SPY170120P209</stp>
        <tr r="V819" s="1"/>
      </tp>
      <tp t="s">
        <v>N/A</v>
        <stp/>
        <stp>RHO</stp>
        <stp>.SPY170120C208</stp>
        <tr r="K817" s="1"/>
      </tp>
      <tp t="s">
        <v>N/A</v>
        <stp/>
        <stp>RHO</stp>
        <stp>.SPY170120P208</stp>
        <tr r="V817" s="1"/>
      </tp>
      <tp t="s">
        <v>N/A</v>
        <stp/>
        <stp>RHO</stp>
        <stp>.SPY170120C203</stp>
        <tr r="K807" s="1"/>
      </tp>
      <tp t="s">
        <v>N/A</v>
        <stp/>
        <stp>RHO</stp>
        <stp>.SPY170120P203</stp>
        <tr r="V807" s="1"/>
      </tp>
      <tp t="s">
        <v>N/A</v>
        <stp/>
        <stp>RHO</stp>
        <stp>.SPY170120C202</stp>
        <tr r="K805" s="1"/>
      </tp>
      <tp t="s">
        <v>N/A</v>
        <stp/>
        <stp>RHO</stp>
        <stp>.SPY170120P202</stp>
        <tr r="V805" s="1"/>
      </tp>
      <tp t="s">
        <v>N/A</v>
        <stp/>
        <stp>RHO</stp>
        <stp>.SPY170120C201</stp>
        <tr r="K803" s="1"/>
      </tp>
      <tp t="s">
        <v>N/A</v>
        <stp/>
        <stp>RHO</stp>
        <stp>.SPY170120P201</stp>
        <tr r="V803" s="1"/>
      </tp>
      <tp>
        <v>1.37799</v>
        <stp/>
        <stp>RHO</stp>
        <stp>.SPY170120C200</stp>
        <tr r="K801" s="1"/>
      </tp>
      <tp>
        <v>-1.7040299999999999</v>
        <stp/>
        <stp>RHO</stp>
        <stp>.SPY170120P200</stp>
        <tr r="V801" s="1"/>
      </tp>
      <tp t="s">
        <v>N/A</v>
        <stp/>
        <stp>RHO</stp>
        <stp>.SPY170120C207</stp>
        <tr r="K815" s="1"/>
      </tp>
      <tp t="s">
        <v>N/A</v>
        <stp/>
        <stp>RHO</stp>
        <stp>.SPY170120P207</stp>
        <tr r="V815" s="1"/>
      </tp>
      <tp t="s">
        <v>N/A</v>
        <stp/>
        <stp>RHO</stp>
        <stp>.SPY170120C206</stp>
        <tr r="K813" s="1"/>
      </tp>
      <tp t="s">
        <v>N/A</v>
        <stp/>
        <stp>RHO</stp>
        <stp>.SPY170120P206</stp>
        <tr r="V813" s="1"/>
      </tp>
      <tp>
        <v>1.3452599999999999</v>
        <stp/>
        <stp>RHO</stp>
        <stp>.SPY170120C205</stp>
        <tr r="K811" s="1"/>
      </tp>
      <tp>
        <v>-1.8798299999999999</v>
        <stp/>
        <stp>RHO</stp>
        <stp>.SPY170120P205</stp>
        <tr r="V811" s="1"/>
      </tp>
      <tp t="s">
        <v>N/A</v>
        <stp/>
        <stp>RHO</stp>
        <stp>.SPY170120C204</stp>
        <tr r="K809" s="1"/>
      </tp>
      <tp t="s">
        <v>N/A</v>
        <stp/>
        <stp>RHO</stp>
        <stp>.SPY170120P204</stp>
        <tr r="V809" s="1"/>
      </tp>
      <tp t="s">
        <v>N/A</v>
        <stp/>
        <stp>RHO</stp>
        <stp>.SPY170120C219</stp>
        <tr r="K839" s="1"/>
      </tp>
      <tp t="s">
        <v>N/A</v>
        <stp/>
        <stp>RHO</stp>
        <stp>.SPY170120P219</stp>
        <tr r="V839" s="1"/>
      </tp>
      <tp t="s">
        <v>N/A</v>
        <stp/>
        <stp>RHO</stp>
        <stp>.SPY170120C218</stp>
        <tr r="K837" s="1"/>
      </tp>
      <tp t="s">
        <v>N/A</v>
        <stp/>
        <stp>RHO</stp>
        <stp>.SPY170120P218</stp>
        <tr r="V837" s="1"/>
      </tp>
      <tp t="s">
        <v>N/A</v>
        <stp/>
        <stp>RHO</stp>
        <stp>.SPY170120C213</stp>
        <tr r="K827" s="1"/>
      </tp>
      <tp t="s">
        <v>N/A</v>
        <stp/>
        <stp>RHO</stp>
        <stp>.SPY170120P213</stp>
        <tr r="V827" s="1"/>
      </tp>
      <tp t="s">
        <v>N/A</v>
        <stp/>
        <stp>RHO</stp>
        <stp>.SPY170120C212</stp>
        <tr r="K825" s="1"/>
      </tp>
      <tp t="s">
        <v>N/A</v>
        <stp/>
        <stp>RHO</stp>
        <stp>.SPY170120P212</stp>
        <tr r="V825" s="1"/>
      </tp>
      <tp t="s">
        <v>N/A</v>
        <stp/>
        <stp>RHO</stp>
        <stp>.SPY170120C211</stp>
        <tr r="K823" s="1"/>
      </tp>
      <tp t="s">
        <v>N/A</v>
        <stp/>
        <stp>RHO</stp>
        <stp>.SPY170120P211</stp>
        <tr r="V823" s="1"/>
      </tp>
      <tp>
        <v>1.2954399999999999</v>
        <stp/>
        <stp>RHO</stp>
        <stp>.SPY170120C210</stp>
        <tr r="K821" s="1"/>
      </tp>
      <tp>
        <v>-2.0709599999999999</v>
        <stp/>
        <stp>RHO</stp>
        <stp>.SPY170120P210</stp>
        <tr r="V821" s="1"/>
      </tp>
      <tp t="s">
        <v>N/A</v>
        <stp/>
        <stp>RHO</stp>
        <stp>.SPY170120C217</stp>
        <tr r="K835" s="1"/>
      </tp>
      <tp t="s">
        <v>N/A</v>
        <stp/>
        <stp>RHO</stp>
        <stp>.SPY170120P217</stp>
        <tr r="V835" s="1"/>
      </tp>
      <tp t="s">
        <v>N/A</v>
        <stp/>
        <stp>RHO</stp>
        <stp>.SPY170120C216</stp>
        <tr r="K833" s="1"/>
      </tp>
      <tp t="s">
        <v>N/A</v>
        <stp/>
        <stp>RHO</stp>
        <stp>.SPY170120P216</stp>
        <tr r="V833" s="1"/>
      </tp>
      <tp>
        <v>1.2296100000000001</v>
        <stp/>
        <stp>RHO</stp>
        <stp>.SPY170120C215</stp>
        <tr r="K831" s="1"/>
      </tp>
      <tp>
        <v>-2.2759900000000002</v>
        <stp/>
        <stp>RHO</stp>
        <stp>.SPY170120P215</stp>
        <tr r="V831" s="1"/>
      </tp>
      <tp t="s">
        <v>N/A</v>
        <stp/>
        <stp>RHO</stp>
        <stp>.SPY170120C214</stp>
        <tr r="K829" s="1"/>
      </tp>
      <tp t="s">
        <v>N/A</v>
        <stp/>
        <stp>RHO</stp>
        <stp>.SPY170120P214</stp>
        <tr r="V829" s="1"/>
      </tp>
      <tp t="s">
        <v>N/A</v>
        <stp/>
        <stp>RHO</stp>
        <stp>.SPY160115C219</stp>
        <tr r="K629" s="1"/>
      </tp>
      <tp t="s">
        <v>N/A</v>
        <stp/>
        <stp>RHO</stp>
        <stp>.SPY160115P219</stp>
        <tr r="V629" s="1"/>
      </tp>
      <tp>
        <v>0.48186000000000001</v>
        <stp/>
        <stp>RHO</stp>
        <stp>.SPY160115C218</stp>
        <tr r="K627" s="1"/>
      </tp>
      <tp>
        <v>-1.0087200000000001</v>
        <stp/>
        <stp>RHO</stp>
        <stp>.SPY160115P218</stp>
        <tr r="V627" s="1"/>
      </tp>
      <tp>
        <v>0.50019999999999998</v>
        <stp/>
        <stp>RHO</stp>
        <stp>.SPY160115C217</stp>
        <tr r="K625" s="1"/>
      </tp>
      <tp>
        <v>-0.98002999999999996</v>
        <stp/>
        <stp>RHO</stp>
        <stp>.SPY160115P217</stp>
        <tr r="V625" s="1"/>
      </tp>
      <tp>
        <v>0.51856000000000002</v>
        <stp/>
        <stp>RHO</stp>
        <stp>.SPY160115C216</stp>
        <tr r="K623" s="1"/>
      </tp>
      <tp>
        <v>-0.95230999999999999</v>
        <stp/>
        <stp>RHO</stp>
        <stp>.SPY160115P216</stp>
        <tr r="V623" s="1"/>
      </tp>
      <tp>
        <v>0.53481999999999996</v>
        <stp/>
        <stp>RHO</stp>
        <stp>.SPY160115C215</stp>
        <tr r="K621" s="1"/>
      </tp>
      <tp>
        <v>-0.92308999999999997</v>
        <stp/>
        <stp>RHO</stp>
        <stp>.SPY160115P215</stp>
        <tr r="V621" s="1"/>
      </tp>
      <tp>
        <v>0.55120999999999998</v>
        <stp/>
        <stp>RHO</stp>
        <stp>.SPY160115C214</stp>
        <tr r="K619" s="1"/>
      </tp>
      <tp>
        <v>-0.89609000000000005</v>
        <stp/>
        <stp>RHO</stp>
        <stp>.SPY160115P214</stp>
        <tr r="V619" s="1"/>
      </tp>
      <tp>
        <v>0.56662999999999997</v>
        <stp/>
        <stp>RHO</stp>
        <stp>.SPY160115C213</stp>
        <tr r="K617" s="1"/>
      </tp>
      <tp>
        <v>-0.86875999999999998</v>
        <stp/>
        <stp>RHO</stp>
        <stp>.SPY160115P213</stp>
        <tr r="V617" s="1"/>
      </tp>
      <tp>
        <v>0.58079999999999998</v>
        <stp/>
        <stp>RHO</stp>
        <stp>.SPY160115C212</stp>
        <tr r="K615" s="1"/>
      </tp>
      <tp>
        <v>-0.84209999999999996</v>
        <stp/>
        <stp>RHO</stp>
        <stp>.SPY160115P212</stp>
        <tr r="V615" s="1"/>
      </tp>
      <tp>
        <v>0.59438000000000002</v>
        <stp/>
        <stp>RHO</stp>
        <stp>.SPY160115C211</stp>
        <tr r="K613" s="1"/>
      </tp>
      <tp>
        <v>-0.81589999999999996</v>
        <stp/>
        <stp>RHO</stp>
        <stp>.SPY160115P211</stp>
        <tr r="V613" s="1"/>
      </tp>
      <tp>
        <v>0.60721999999999998</v>
        <stp/>
        <stp>RHO</stp>
        <stp>.SPY160115C210</stp>
        <tr r="K611" s="1"/>
      </tp>
      <tp>
        <v>-0.79029000000000005</v>
        <stp/>
        <stp>RHO</stp>
        <stp>.SPY160115P210</stp>
        <tr r="V611" s="1"/>
      </tp>
      <tp>
        <v>0.61895999999999995</v>
        <stp/>
        <stp>RHO</stp>
        <stp>.SPY160115C209</stp>
        <tr r="K609" s="1"/>
      </tp>
      <tp>
        <v>-0.76524000000000003</v>
        <stp/>
        <stp>RHO</stp>
        <stp>.SPY160115P209</stp>
        <tr r="V609" s="1"/>
      </tp>
      <tp>
        <v>0.62988</v>
        <stp/>
        <stp>RHO</stp>
        <stp>.SPY160115C208</stp>
        <tr r="K607" s="1"/>
      </tp>
      <tp>
        <v>-0.74068000000000001</v>
        <stp/>
        <stp>RHO</stp>
        <stp>.SPY160115P208</stp>
        <tr r="V607" s="1"/>
      </tp>
      <tp>
        <v>0.63985000000000003</v>
        <stp/>
        <stp>RHO</stp>
        <stp>.SPY160115C207</stp>
        <tr r="K605" s="1"/>
      </tp>
      <tp>
        <v>-0.71684000000000003</v>
        <stp/>
        <stp>RHO</stp>
        <stp>.SPY160115P207</stp>
        <tr r="V605" s="1"/>
      </tp>
      <tp>
        <v>0.64890000000000003</v>
        <stp/>
        <stp>RHO</stp>
        <stp>.SPY160115C206</stp>
        <tr r="K603" s="1"/>
      </tp>
      <tp>
        <v>-0.69350999999999996</v>
        <stp/>
        <stp>RHO</stp>
        <stp>.SPY160115P206</stp>
        <tr r="V603" s="1"/>
      </tp>
      <tp>
        <v>0.65698999999999996</v>
        <stp/>
        <stp>RHO</stp>
        <stp>.SPY160115C205</stp>
        <tr r="K601" s="1"/>
      </tp>
      <tp>
        <v>-0.67098999999999998</v>
        <stp/>
        <stp>RHO</stp>
        <stp>.SPY160115P205</stp>
        <tr r="V601" s="1"/>
      </tp>
      <tp>
        <v>0.66425999999999996</v>
        <stp/>
        <stp>RHO</stp>
        <stp>.SPY160115C204</stp>
        <tr r="K599" s="1"/>
      </tp>
      <tp>
        <v>-0.64895999999999998</v>
        <stp/>
        <stp>RHO</stp>
        <stp>.SPY160115P204</stp>
        <tr r="V599" s="1"/>
      </tp>
      <tp>
        <v>0.67059999999999997</v>
        <stp/>
        <stp>RHO</stp>
        <stp>.SPY160115C203</stp>
        <tr r="K597" s="1"/>
      </tp>
      <tp>
        <v>-0.62756000000000001</v>
        <stp/>
        <stp>RHO</stp>
        <stp>.SPY160115P203</stp>
        <tr r="V597" s="1"/>
      </tp>
      <tp>
        <v>0.67608999999999997</v>
        <stp/>
        <stp>RHO</stp>
        <stp>.SPY160115C202</stp>
        <tr r="K595" s="1"/>
      </tp>
      <tp>
        <v>-0.60658000000000001</v>
        <stp/>
        <stp>RHO</stp>
        <stp>.SPY160115P202</stp>
        <tr r="V595" s="1"/>
      </tp>
      <tp>
        <v>0.68067999999999995</v>
        <stp/>
        <stp>RHO</stp>
        <stp>.SPY160115C201</stp>
        <tr r="K593" s="1"/>
      </tp>
      <tp>
        <v>-0.58657999999999999</v>
        <stp/>
        <stp>RHO</stp>
        <stp>.SPY160115P201</stp>
        <tr r="V593" s="1"/>
      </tp>
      <tp>
        <v>0.68442999999999998</v>
        <stp/>
        <stp>RHO</stp>
        <stp>.SPY160115C200</stp>
        <tr r="K591" s="1"/>
      </tp>
      <tp>
        <v>-0.56701000000000001</v>
        <stp/>
        <stp>RHO</stp>
        <stp>.SPY160115P200</stp>
        <tr r="V591" s="1"/>
      </tp>
      <tp>
        <v>0</v>
        <stp/>
        <stp>BID_SIZE</stp>
        <stp>.SPY150417P214.5</stp>
        <tr r="O32" s="1"/>
      </tp>
      <tp>
        <v>0</v>
        <stp/>
        <stp>BID_SIZE</stp>
        <stp>.SPY150417P204.5</stp>
        <tr r="O12" s="1"/>
      </tp>
      <tp>
        <v>0</v>
        <stp/>
        <stp>BID_SIZE</stp>
        <stp>.SPY150424P207.5</stp>
        <tr r="O60" s="1"/>
      </tp>
      <tp>
        <v>0</v>
        <stp/>
        <stp>BID_SIZE</stp>
        <stp>.SPY150424P217.5</stp>
        <tr r="O80" s="1"/>
      </tp>
      <tp>
        <v>0</v>
        <stp/>
        <stp>BID_SIZE</stp>
        <stp>.SPY150501P202.5</stp>
        <tr r="O92" s="1"/>
      </tp>
      <tp>
        <v>250</v>
        <stp/>
        <stp>BID_SIZE</stp>
        <stp>.SPY150515P216.5</stp>
        <tr r="O204" s="1"/>
      </tp>
      <tp>
        <v>0</v>
        <stp/>
        <stp>BID_SIZE</stp>
        <stp>.SPY150501P212.5</stp>
        <tr r="O112" s="1"/>
      </tp>
      <tp>
        <v>100</v>
        <stp/>
        <stp>BID_SIZE</stp>
        <stp>.SPY150515P206.5</stp>
        <tr r="O184" s="1"/>
      </tp>
      <tp>
        <v>2412</v>
        <stp/>
        <stp>BID_SIZE</stp>
        <stp>.SPY150522P201.5</stp>
        <tr r="O216" s="1"/>
      </tp>
      <tp>
        <v>458</v>
        <stp/>
        <stp>BID_SIZE</stp>
        <stp>.SPY150522P211.5</stp>
        <tr r="O236" s="1"/>
      </tp>
      <tp t="s">
        <v>N/A</v>
        <stp/>
        <stp>ASK_SIZE</stp>
        <stp>.SPY150619P215.5</stp>
        <tr r="M328" s="1"/>
      </tp>
      <tp t="s">
        <v>N/A</v>
        <stp/>
        <stp>ASK_SIZE</stp>
        <stp>.SPY160617P218.5</stp>
        <tr r="M712" s="1"/>
      </tp>
      <tp t="s">
        <v>N/A</v>
        <stp/>
        <stp>ASK_SIZE</stp>
        <stp>.SPY150619P205.5</stp>
        <tr r="M308" s="1"/>
      </tp>
      <tp t="s">
        <v>N/A</v>
        <stp/>
        <stp>ASK_SIZE</stp>
        <stp>.SPY160617P208.5</stp>
        <tr r="M692" s="1"/>
      </tp>
      <tp t="s">
        <v>N/A</v>
        <stp/>
        <stp>BID_SIZE</stp>
        <stp>.SPY160617P217.5</stp>
        <tr r="O710" s="1"/>
      </tp>
      <tp t="s">
        <v>N/A</v>
        <stp/>
        <stp>BID_SIZE</stp>
        <stp>.SPY160617P207.5</stp>
        <tr r="O690" s="1"/>
      </tp>
      <tp t="s">
        <v>N/A</v>
        <stp/>
        <stp>BID_SIZE</stp>
        <stp>.SPY150630P213.5</stp>
        <tr r="O366" s="1"/>
      </tp>
      <tp t="s">
        <v>N/A</v>
        <stp/>
        <stp>BID_SIZE</stp>
        <stp>.SPY150630P203.5</stp>
        <tr r="O346" s="1"/>
      </tp>
      <tp>
        <v>1185</v>
        <stp/>
        <stp>ASK_SIZE</stp>
        <stp>.SPY150529P205.5</stp>
        <tr r="M266" s="1"/>
      </tp>
      <tp>
        <v>249</v>
        <stp/>
        <stp>ASK_SIZE</stp>
        <stp>.SPY150529P215.5</stp>
        <tr r="M286" s="1"/>
      </tp>
      <tp>
        <v>1</v>
        <stp/>
        <stp>ASK_SIZE</stp>
        <stp>.SPY150508P204.5</stp>
        <tr r="M138" s="1"/>
      </tp>
      <tp>
        <v>250</v>
        <stp/>
        <stp>ASK_SIZE</stp>
        <stp>.SPY150515P219.5</stp>
        <tr r="M210" s="1"/>
      </tp>
      <tp>
        <v>111</v>
        <stp/>
        <stp>ASK_SIZE</stp>
        <stp>.SPY150508P214.5</stp>
        <tr r="M158" s="1"/>
      </tp>
      <tp>
        <v>446</v>
        <stp/>
        <stp>ASK_SIZE</stp>
        <stp>.SPY150515P209.5</stp>
        <tr r="M190" s="1"/>
      </tp>
      <tp t="s">
        <v>N/A</v>
        <stp/>
        <stp>BID_SIZE</stp>
        <stp>.SPY150717P214.5</stp>
        <tr r="O410" s="1"/>
      </tp>
      <tp t="s">
        <v>N/A</v>
        <stp/>
        <stp>BID_SIZE</stp>
        <stp>.SPY150717P204.5</stp>
        <tr r="O390" s="1"/>
      </tp>
      <tp>
        <v>0</v>
        <stp/>
        <stp>ASK_SIZE</stp>
        <stp>.SPY150424P208.5</stp>
        <tr r="M62" s="1"/>
      </tp>
      <tp>
        <v>0</v>
        <stp/>
        <stp>ASK_SIZE</stp>
        <stp>.SPY150424P218.5</stp>
        <tr r="M82" s="1"/>
      </tp>
      <tp t="s">
        <v>N/A</v>
        <stp/>
        <stp>ASK_SIZE</stp>
        <stp>.SPY160318P217.5</stp>
        <tr r="M668" s="1"/>
      </tp>
      <tp t="s">
        <v>N/A</v>
        <stp/>
        <stp>ASK_SIZE</stp>
        <stp>.SPY170317P219.5</stp>
        <tr r="M882" s="1"/>
      </tp>
      <tp t="s">
        <v>N/A</v>
        <stp/>
        <stp>ASK_SIZE</stp>
        <stp>.SPY160318P207.5</stp>
        <tr r="M648" s="1"/>
      </tp>
      <tp t="s">
        <v>N/A</v>
        <stp/>
        <stp>ASK_SIZE</stp>
        <stp>.SPY170317P209.5</stp>
        <tr r="M862" s="1"/>
      </tp>
      <tp t="s">
        <v>N/A</v>
        <stp/>
        <stp>BID_SIZE</stp>
        <stp>.SPY160115P215.5</stp>
        <tr r="O622" s="1"/>
      </tp>
      <tp t="s">
        <v>N/A</v>
        <stp/>
        <stp>BID_SIZE</stp>
        <stp>.SPY160115P205.5</stp>
        <tr r="O602" s="1"/>
      </tp>
      <tp t="s">
        <v>N/A</v>
        <stp/>
        <stp>BID_SIZE</stp>
        <stp>.SPY170120P201.5</stp>
        <tr r="O804" s="1"/>
      </tp>
      <tp t="s">
        <v>N/A</v>
        <stp/>
        <stp>BID_SIZE</stp>
        <stp>.SPY170120P211.5</stp>
        <tr r="O824" s="1"/>
      </tp>
      <tp t="s">
        <v>N/A</v>
        <stp/>
        <stp>BID_SIZE</stp>
        <stp>.SPY160318P218.5</stp>
        <tr r="O670" s="1"/>
      </tp>
      <tp t="s">
        <v>N/A</v>
        <stp/>
        <stp>BID_SIZE</stp>
        <stp>.SPY170317P216.5</stp>
        <tr r="O876" s="1"/>
      </tp>
      <tp t="s">
        <v>N/A</v>
        <stp/>
        <stp>BID_SIZE</stp>
        <stp>.SPY160318P208.5</stp>
        <tr r="O650" s="1"/>
      </tp>
      <tp t="s">
        <v>N/A</v>
        <stp/>
        <stp>BID_SIZE</stp>
        <stp>.SPY170317P206.5</stp>
        <tr r="O856" s="1"/>
      </tp>
      <tp t="s">
        <v>N/A</v>
        <stp/>
        <stp>BID_SIZE</stp>
        <stp>.SPY160916P216.5</stp>
        <tr r="O750" s="1"/>
      </tp>
      <tp t="s">
        <v>N/A</v>
        <stp/>
        <stp>BID_SIZE</stp>
        <stp>.SPY160916P206.5</stp>
        <tr r="O730" s="1"/>
      </tp>
      <tp t="s">
        <v>N/A</v>
        <stp/>
        <stp>BID_SIZE</stp>
        <stp>.SPY150930P213.5</stp>
        <tr r="O492" s="1"/>
      </tp>
      <tp t="s">
        <v>N/A</v>
        <stp/>
        <stp>BID_SIZE</stp>
        <stp>.SPY150930P203.5</stp>
        <tr r="O472" s="1"/>
      </tp>
      <tp t="s">
        <v>N/A</v>
        <stp/>
        <stp>ASK_SIZE</stp>
        <stp>.SPY150918P214.5</stp>
        <tr r="M452" s="1"/>
      </tp>
      <tp t="s">
        <v>N/A</v>
        <stp/>
        <stp>ASK_SIZE</stp>
        <stp>.SPY160916P219.5</stp>
        <tr r="M756" s="1"/>
      </tp>
      <tp t="s">
        <v>N/A</v>
        <stp/>
        <stp>ASK_SIZE</stp>
        <stp>.SPY150918P204.5</stp>
        <tr r="M432" s="1"/>
      </tp>
      <tp t="s">
        <v>N/A</v>
        <stp/>
        <stp>ASK_SIZE</stp>
        <stp>.SPY160916P209.5</stp>
        <tr r="M736" s="1"/>
      </tp>
      <tp t="s">
        <v>N/A</v>
        <stp/>
        <stp>ASK_SIZE</stp>
        <stp>.SPY151219P215.5</stp>
        <tr r="M538" s="1"/>
      </tp>
      <tp t="s">
        <v>N/A</v>
        <stp/>
        <stp>ASK_SIZE</stp>
        <stp>.SPY161216P219.5</stp>
        <tr r="M798" s="1"/>
      </tp>
      <tp t="s">
        <v>N/A</v>
        <stp/>
        <stp>ASK_SIZE</stp>
        <stp>.SPY151219P205.5</stp>
        <tr r="M518" s="1"/>
      </tp>
      <tp t="s">
        <v>N/A</v>
        <stp/>
        <stp>ASK_SIZE</stp>
        <stp>.SPY161216P209.5</stp>
        <tr r="M778" s="1"/>
      </tp>
      <tp t="s">
        <v>N/A</v>
        <stp/>
        <stp>BID_SIZE</stp>
        <stp>.SPY161216P216.5</stp>
        <tr r="O792" s="1"/>
      </tp>
      <tp t="s">
        <v>N/A</v>
        <stp/>
        <stp>BID_SIZE</stp>
        <stp>.SPY171215P214.5</stp>
        <tr r="O914" s="1"/>
      </tp>
      <tp t="s">
        <v>N/A</v>
        <stp/>
        <stp>BID_SIZE</stp>
        <stp>.SPY161216P206.5</stp>
        <tr r="O772" s="1"/>
      </tp>
      <tp t="s">
        <v>N/A</v>
        <stp/>
        <stp>BID_SIZE</stp>
        <stp>.SPY171215P204.5</stp>
        <tr r="O894" s="1"/>
      </tp>
      <tp t="s">
        <v>N/A</v>
        <stp/>
        <stp>BID_SIZE</stp>
        <stp>.SPY151231P212.5</stp>
        <tr r="O574" s="1"/>
      </tp>
      <tp t="s">
        <v>N/A</v>
        <stp/>
        <stp>BID_SIZE</stp>
        <stp>.SPY151231P202.5</stp>
        <tr r="O554" s="1"/>
      </tp>
      <tp t="s">
        <v>N/A</v>
        <stp/>
        <stp>ASK_SIZE</stp>
        <stp>.SPY151219C215.5</stp>
        <tr r="B538" s="1"/>
      </tp>
      <tp t="s">
        <v>N/A</v>
        <stp/>
        <stp>ASK_SIZE</stp>
        <stp>.SPY161216C219.5</stp>
        <tr r="B798" s="1"/>
      </tp>
      <tp t="s">
        <v>N/A</v>
        <stp/>
        <stp>ASK_SIZE</stp>
        <stp>.SPY151219C205.5</stp>
        <tr r="B518" s="1"/>
      </tp>
      <tp t="s">
        <v>N/A</v>
        <stp/>
        <stp>ASK_SIZE</stp>
        <stp>.SPY161216C209.5</stp>
        <tr r="B778" s="1"/>
      </tp>
      <tp t="s">
        <v>N/A</v>
        <stp/>
        <stp>BID_SIZE</stp>
        <stp>.SPY161216C216.5</stp>
        <tr r="D792" s="1"/>
      </tp>
      <tp t="s">
        <v>N/A</v>
        <stp/>
        <stp>BID_SIZE</stp>
        <stp>.SPY171215C214.5</stp>
        <tr r="D914" s="1"/>
      </tp>
      <tp t="s">
        <v>N/A</v>
        <stp/>
        <stp>BID_SIZE</stp>
        <stp>.SPY161216C206.5</stp>
        <tr r="D772" s="1"/>
      </tp>
      <tp t="s">
        <v>N/A</v>
        <stp/>
        <stp>BID_SIZE</stp>
        <stp>.SPY171215C204.5</stp>
        <tr r="D894" s="1"/>
      </tp>
      <tp t="s">
        <v>N/A</v>
        <stp/>
        <stp>BID_SIZE</stp>
        <stp>.SPY151231C212.5</stp>
        <tr r="D574" s="1"/>
      </tp>
      <tp t="s">
        <v>N/A</v>
        <stp/>
        <stp>BID_SIZE</stp>
        <stp>.SPY151231C202.5</stp>
        <tr r="D554" s="1"/>
      </tp>
      <tp>
        <v>0</v>
        <stp/>
        <stp>BID_SIZE</stp>
        <stp>.SPY150417C214.5</stp>
        <tr r="D32" s="1"/>
      </tp>
      <tp>
        <v>0</v>
        <stp/>
        <stp>BID_SIZE</stp>
        <stp>.SPY150417C204.5</stp>
        <tr r="D12" s="1"/>
      </tp>
      <tp>
        <v>0</v>
        <stp/>
        <stp>BID_SIZE</stp>
        <stp>.SPY150424C207.5</stp>
        <tr r="D60" s="1"/>
      </tp>
      <tp>
        <v>0</v>
        <stp/>
        <stp>BID_SIZE</stp>
        <stp>.SPY150424C217.5</stp>
        <tr r="D80" s="1"/>
      </tp>
      <tp>
        <v>0</v>
        <stp/>
        <stp>BID_SIZE</stp>
        <stp>.SPY150501C202.5</stp>
        <tr r="D92" s="1"/>
      </tp>
      <tp>
        <v>250</v>
        <stp/>
        <stp>BID_SIZE</stp>
        <stp>.SPY150515C216.5</stp>
        <tr r="D204" s="1"/>
      </tp>
      <tp>
        <v>0</v>
        <stp/>
        <stp>BID_SIZE</stp>
        <stp>.SPY150501C212.5</stp>
        <tr r="D112" s="1"/>
      </tp>
      <tp>
        <v>349</v>
        <stp/>
        <stp>BID_SIZE</stp>
        <stp>.SPY150515C206.5</stp>
        <tr r="D184" s="1"/>
      </tp>
      <tp>
        <v>111</v>
        <stp/>
        <stp>BID_SIZE</stp>
        <stp>.SPY150522C201.5</stp>
        <tr r="D216" s="1"/>
      </tp>
      <tp>
        <v>2490</v>
        <stp/>
        <stp>BID_SIZE</stp>
        <stp>.SPY150522C211.5</stp>
        <tr r="D236" s="1"/>
      </tp>
      <tp t="s">
        <v>N/A</v>
        <stp/>
        <stp>ASK_SIZE</stp>
        <stp>.SPY150619C215.5</stp>
        <tr r="B328" s="1"/>
      </tp>
      <tp t="s">
        <v>N/A</v>
        <stp/>
        <stp>ASK_SIZE</stp>
        <stp>.SPY160617C218.5</stp>
        <tr r="B712" s="1"/>
      </tp>
      <tp t="s">
        <v>N/A</v>
        <stp/>
        <stp>ASK_SIZE</stp>
        <stp>.SPY150619C205.5</stp>
        <tr r="B308" s="1"/>
      </tp>
      <tp t="s">
        <v>N/A</v>
        <stp/>
        <stp>ASK_SIZE</stp>
        <stp>.SPY160617C208.5</stp>
        <tr r="B692" s="1"/>
      </tp>
      <tp t="s">
        <v>N/A</v>
        <stp/>
        <stp>BID_SIZE</stp>
        <stp>.SPY160617C217.5</stp>
        <tr r="D710" s="1"/>
      </tp>
      <tp t="s">
        <v>N/A</v>
        <stp/>
        <stp>BID_SIZE</stp>
        <stp>.SPY160617C207.5</stp>
        <tr r="D690" s="1"/>
      </tp>
      <tp t="s">
        <v>N/A</v>
        <stp/>
        <stp>BID_SIZE</stp>
        <stp>.SPY150630C213.5</stp>
        <tr r="D366" s="1"/>
      </tp>
      <tp t="s">
        <v>N/A</v>
        <stp/>
        <stp>BID_SIZE</stp>
        <stp>.SPY150630C203.5</stp>
        <tr r="D346" s="1"/>
      </tp>
      <tp>
        <v>249</v>
        <stp/>
        <stp>ASK_SIZE</stp>
        <stp>.SPY150529C205.5</stp>
        <tr r="B266" s="1"/>
      </tp>
      <tp>
        <v>240</v>
        <stp/>
        <stp>ASK_SIZE</stp>
        <stp>.SPY150529C215.5</stp>
        <tr r="B286" s="1"/>
      </tp>
      <tp>
        <v>121</v>
        <stp/>
        <stp>ASK_SIZE</stp>
        <stp>.SPY150508C204.5</stp>
        <tr r="B138" s="1"/>
      </tp>
      <tp>
        <v>3000</v>
        <stp/>
        <stp>ASK_SIZE</stp>
        <stp>.SPY150515C219.5</stp>
        <tr r="B210" s="1"/>
      </tp>
      <tp>
        <v>1420</v>
        <stp/>
        <stp>ASK_SIZE</stp>
        <stp>.SPY150508C214.5</stp>
        <tr r="B158" s="1"/>
      </tp>
      <tp>
        <v>361</v>
        <stp/>
        <stp>ASK_SIZE</stp>
        <stp>.SPY150515C209.5</stp>
        <tr r="B190" s="1"/>
      </tp>
      <tp t="s">
        <v>N/A</v>
        <stp/>
        <stp>BID_SIZE</stp>
        <stp>.SPY150717C214.5</stp>
        <tr r="D410" s="1"/>
      </tp>
      <tp t="s">
        <v>N/A</v>
        <stp/>
        <stp>BID_SIZE</stp>
        <stp>.SPY150717C204.5</stp>
        <tr r="D390" s="1"/>
      </tp>
      <tp>
        <v>0</v>
        <stp/>
        <stp>ASK_SIZE</stp>
        <stp>.SPY150424C208.5</stp>
        <tr r="B62" s="1"/>
      </tp>
      <tp>
        <v>0</v>
        <stp/>
        <stp>ASK_SIZE</stp>
        <stp>.SPY150424C218.5</stp>
        <tr r="B82" s="1"/>
      </tp>
      <tp t="s">
        <v>N/A</v>
        <stp/>
        <stp>ASK_SIZE</stp>
        <stp>.SPY160318C217.5</stp>
        <tr r="B668" s="1"/>
      </tp>
      <tp t="s">
        <v>N/A</v>
        <stp/>
        <stp>ASK_SIZE</stp>
        <stp>.SPY170317C219.5</stp>
        <tr r="B882" s="1"/>
      </tp>
      <tp t="s">
        <v>N/A</v>
        <stp/>
        <stp>ASK_SIZE</stp>
        <stp>.SPY160318C207.5</stp>
        <tr r="B648" s="1"/>
      </tp>
      <tp t="s">
        <v>N/A</v>
        <stp/>
        <stp>ASK_SIZE</stp>
        <stp>.SPY170317C209.5</stp>
        <tr r="B862" s="1"/>
      </tp>
      <tp t="s">
        <v>N/A</v>
        <stp/>
        <stp>BID_SIZE</stp>
        <stp>.SPY160115C215.5</stp>
        <tr r="D622" s="1"/>
      </tp>
      <tp t="s">
        <v>N/A</v>
        <stp/>
        <stp>BID_SIZE</stp>
        <stp>.SPY160115C205.5</stp>
        <tr r="D602" s="1"/>
      </tp>
      <tp t="s">
        <v>N/A</v>
        <stp/>
        <stp>BID_SIZE</stp>
        <stp>.SPY170120C201.5</stp>
        <tr r="D804" s="1"/>
      </tp>
      <tp t="s">
        <v>N/A</v>
        <stp/>
        <stp>BID_SIZE</stp>
        <stp>.SPY170120C211.5</stp>
        <tr r="D824" s="1"/>
      </tp>
      <tp t="s">
        <v>N/A</v>
        <stp/>
        <stp>BID_SIZE</stp>
        <stp>.SPY160318C218.5</stp>
        <tr r="D670" s="1"/>
      </tp>
      <tp t="s">
        <v>N/A</v>
        <stp/>
        <stp>BID_SIZE</stp>
        <stp>.SPY170317C216.5</stp>
        <tr r="D876" s="1"/>
      </tp>
      <tp t="s">
        <v>N/A</v>
        <stp/>
        <stp>BID_SIZE</stp>
        <stp>.SPY160318C208.5</stp>
        <tr r="D650" s="1"/>
      </tp>
      <tp t="s">
        <v>N/A</v>
        <stp/>
        <stp>BID_SIZE</stp>
        <stp>.SPY170317C206.5</stp>
        <tr r="D856" s="1"/>
      </tp>
      <tp t="s">
        <v>N/A</v>
        <stp/>
        <stp>BID_SIZE</stp>
        <stp>.SPY160916C216.5</stp>
        <tr r="D750" s="1"/>
      </tp>
      <tp t="s">
        <v>N/A</v>
        <stp/>
        <stp>BID_SIZE</stp>
        <stp>.SPY160916C206.5</stp>
        <tr r="D730" s="1"/>
      </tp>
      <tp t="s">
        <v>N/A</v>
        <stp/>
        <stp>BID_SIZE</stp>
        <stp>.SPY150930C213.5</stp>
        <tr r="D492" s="1"/>
      </tp>
      <tp t="s">
        <v>N/A</v>
        <stp/>
        <stp>BID_SIZE</stp>
        <stp>.SPY150930C203.5</stp>
        <tr r="D472" s="1"/>
      </tp>
      <tp t="s">
        <v>N/A</v>
        <stp/>
        <stp>ASK_SIZE</stp>
        <stp>.SPY150918C214.5</stp>
        <tr r="B452" s="1"/>
      </tp>
      <tp t="s">
        <v>N/A</v>
        <stp/>
        <stp>ASK_SIZE</stp>
        <stp>.SPY160916C219.5</stp>
        <tr r="B756" s="1"/>
      </tp>
      <tp t="s">
        <v>N/A</v>
        <stp/>
        <stp>ASK_SIZE</stp>
        <stp>.SPY150918C204.5</stp>
        <tr r="B432" s="1"/>
      </tp>
      <tp t="s">
        <v>N/A</v>
        <stp/>
        <stp>ASK_SIZE</stp>
        <stp>.SPY160916C209.5</stp>
        <tr r="B736" s="1"/>
      </tp>
      <tp t="s">
        <v>N/A</v>
        <stp/>
        <stp>ASK</stp>
        <stp>.SPY161216C207</stp>
        <tr r="A773" s="1"/>
      </tp>
      <tp>
        <v>27.29</v>
        <stp/>
        <stp>ASK</stp>
        <stp>.SPY171215C205</stp>
        <tr r="A895" s="1"/>
      </tp>
      <tp t="s">
        <v>N/A</v>
        <stp/>
        <stp>ASK</stp>
        <stp>.SPY161216P207</stp>
        <tr r="L773" s="1"/>
      </tp>
      <tp>
        <v>25.07</v>
        <stp/>
        <stp>ASK</stp>
        <stp>.SPY171215P205</stp>
        <tr r="L895" s="1"/>
      </tp>
      <tp t="s">
        <v>N/A</v>
        <stp/>
        <stp>ASK</stp>
        <stp>.SPY161216C206</stp>
        <tr r="A771" s="1"/>
      </tp>
      <tp t="s">
        <v>N/A</v>
        <stp/>
        <stp>ASK</stp>
        <stp>.SPY171215C204</stp>
        <tr r="A893" s="1"/>
      </tp>
      <tp t="s">
        <v>N/A</v>
        <stp/>
        <stp>ASK</stp>
        <stp>.SPY161216P206</stp>
        <tr r="L771" s="1"/>
      </tp>
      <tp t="s">
        <v>N/A</v>
        <stp/>
        <stp>ASK</stp>
        <stp>.SPY171215P204</stp>
        <tr r="L893" s="1"/>
      </tp>
      <tp>
        <v>10.5</v>
        <stp/>
        <stp>ASK</stp>
        <stp>.SPY151219C209</stp>
        <tr r="A525" s="1"/>
      </tp>
      <tp>
        <v>20.56</v>
        <stp/>
        <stp>ASK</stp>
        <stp>.SPY161216C205</stp>
        <tr r="A769" s="1"/>
      </tp>
      <tp t="s">
        <v>N/A</v>
        <stp/>
        <stp>ASK</stp>
        <stp>.SPY171215C207</stp>
        <tr r="A899" s="1"/>
      </tp>
      <tp>
        <v>10.11</v>
        <stp/>
        <stp>ASK</stp>
        <stp>.SPY151219P209</stp>
        <tr r="L525" s="1"/>
      </tp>
      <tp>
        <v>17.95</v>
        <stp/>
        <stp>ASK</stp>
        <stp>.SPY161216P205</stp>
        <tr r="L769" s="1"/>
      </tp>
      <tp t="s">
        <v>N/A</v>
        <stp/>
        <stp>ASK</stp>
        <stp>.SPY171215P207</stp>
        <tr r="L899" s="1"/>
      </tp>
      <tp>
        <v>11.14</v>
        <stp/>
        <stp>ASK</stp>
        <stp>.SPY151219C208</stp>
        <tr r="A523" s="1"/>
      </tp>
      <tp t="s">
        <v>N/A</v>
        <stp/>
        <stp>ASK</stp>
        <stp>.SPY161216C204</stp>
        <tr r="A767" s="1"/>
      </tp>
      <tp t="s">
        <v>N/A</v>
        <stp/>
        <stp>ASK</stp>
        <stp>.SPY171215C206</stp>
        <tr r="A897" s="1"/>
      </tp>
      <tp>
        <v>9.73</v>
        <stp/>
        <stp>ASK</stp>
        <stp>.SPY151219P208</stp>
        <tr r="L523" s="1"/>
      </tp>
      <tp t="s">
        <v>N/A</v>
        <stp/>
        <stp>ASK</stp>
        <stp>.SPY161216P204</stp>
        <tr r="L767" s="1"/>
      </tp>
      <tp t="s">
        <v>N/A</v>
        <stp/>
        <stp>ASK</stp>
        <stp>.SPY171215P206</stp>
        <tr r="L897" s="1"/>
      </tp>
      <tp t="s">
        <v>N/A</v>
        <stp/>
        <stp>ASK</stp>
        <stp>.SPY161216C203</stp>
        <tr r="A765" s="1"/>
      </tp>
      <tp t="s">
        <v>N/A</v>
        <stp/>
        <stp>ASK</stp>
        <stp>.SPY171215C201</stp>
        <tr r="A887" s="1"/>
      </tp>
      <tp t="s">
        <v>N/A</v>
        <stp/>
        <stp>ASK</stp>
        <stp>.SPY161216P203</stp>
        <tr r="L765" s="1"/>
      </tp>
      <tp t="s">
        <v>N/A</v>
        <stp/>
        <stp>ASK</stp>
        <stp>.SPY171215P201</stp>
        <tr r="L887" s="1"/>
      </tp>
      <tp t="s">
        <v>N/A</v>
        <stp/>
        <stp>ASK</stp>
        <stp>.SPY161216C202</stp>
        <tr r="A763" s="1"/>
      </tp>
      <tp>
        <v>30.05</v>
        <stp/>
        <stp>ASK</stp>
        <stp>.SPY171215C200</stp>
        <tr r="A885" s="1"/>
      </tp>
      <tp t="s">
        <v>N/A</v>
        <stp/>
        <stp>ASK</stp>
        <stp>.SPY161216P202</stp>
        <tr r="L763" s="1"/>
      </tp>
      <tp>
        <v>23.06</v>
        <stp/>
        <stp>ASK</stp>
        <stp>.SPY171215P200</stp>
        <tr r="L885" s="1"/>
      </tp>
      <tp t="s">
        <v>N/A</v>
        <stp/>
        <stp>ASK</stp>
        <stp>.SPY161216C201</stp>
        <tr r="A761" s="1"/>
      </tp>
      <tp t="s">
        <v>N/A</v>
        <stp/>
        <stp>ASK</stp>
        <stp>.SPY171215C203</stp>
        <tr r="A891" s="1"/>
      </tp>
      <tp t="s">
        <v>N/A</v>
        <stp/>
        <stp>ASK</stp>
        <stp>.SPY161216P201</stp>
        <tr r="L761" s="1"/>
      </tp>
      <tp t="s">
        <v>N/A</v>
        <stp/>
        <stp>ASK</stp>
        <stp>.SPY171215P203</stp>
        <tr r="L891" s="1"/>
      </tp>
      <tp>
        <v>24.01</v>
        <stp/>
        <stp>ASK</stp>
        <stp>.SPY161216C200</stp>
        <tr r="A759" s="1"/>
      </tp>
      <tp t="s">
        <v>N/A</v>
        <stp/>
        <stp>ASK</stp>
        <stp>.SPY171215C202</stp>
        <tr r="A889" s="1"/>
      </tp>
      <tp>
        <v>16.260000000000002</v>
        <stp/>
        <stp>ASK</stp>
        <stp>.SPY161216P200</stp>
        <tr r="L759" s="1"/>
      </tp>
      <tp t="s">
        <v>N/A</v>
        <stp/>
        <stp>ASK</stp>
        <stp>.SPY171215P202</stp>
        <tr r="L889" s="1"/>
      </tp>
      <tp>
        <v>14.62</v>
        <stp/>
        <stp>ASK</stp>
        <stp>.SPY151219C203</stp>
        <tr r="A513" s="1"/>
      </tp>
      <tp>
        <v>8.0299999999999994</v>
        <stp/>
        <stp>ASK</stp>
        <stp>.SPY151219P203</stp>
        <tr r="L513" s="1"/>
      </tp>
      <tp>
        <v>15.35</v>
        <stp/>
        <stp>ASK</stp>
        <stp>.SPY151219C202</stp>
        <tr r="A511" s="1"/>
      </tp>
      <tp>
        <v>7.73</v>
        <stp/>
        <stp>ASK</stp>
        <stp>.SPY151219P202</stp>
        <tr r="L511" s="1"/>
      </tp>
      <tp>
        <v>16.079999999999998</v>
        <stp/>
        <stp>ASK</stp>
        <stp>.SPY151219C201</stp>
        <tr r="A509" s="1"/>
      </tp>
      <tp>
        <v>7.44</v>
        <stp/>
        <stp>ASK</stp>
        <stp>.SPY151219P201</stp>
        <tr r="L509" s="1"/>
      </tp>
      <tp>
        <v>16.82</v>
        <stp/>
        <stp>ASK</stp>
        <stp>.SPY151219C200</stp>
        <tr r="A507" s="1"/>
      </tp>
      <tp>
        <v>7.18</v>
        <stp/>
        <stp>ASK</stp>
        <stp>.SPY151219P200</stp>
        <tr r="L507" s="1"/>
      </tp>
      <tp>
        <v>11.8</v>
        <stp/>
        <stp>ASK</stp>
        <stp>.SPY151219C207</stp>
        <tr r="A521" s="1"/>
      </tp>
      <tp t="s">
        <v>N/A</v>
        <stp/>
        <stp>ASK</stp>
        <stp>.SPY171215C209</stp>
        <tr r="A903" s="1"/>
      </tp>
      <tp>
        <v>9.36</v>
        <stp/>
        <stp>ASK</stp>
        <stp>.SPY151219P207</stp>
        <tr r="L521" s="1"/>
      </tp>
      <tp t="s">
        <v>N/A</v>
        <stp/>
        <stp>ASK</stp>
        <stp>.SPY171215P209</stp>
        <tr r="L903" s="1"/>
      </tp>
      <tp>
        <v>12.47</v>
        <stp/>
        <stp>ASK</stp>
        <stp>.SPY151219C206</stp>
        <tr r="A519" s="1"/>
      </tp>
      <tp t="s">
        <v>N/A</v>
        <stp/>
        <stp>ASK</stp>
        <stp>.SPY171215C208</stp>
        <tr r="A901" s="1"/>
      </tp>
      <tp>
        <v>9.01</v>
        <stp/>
        <stp>ASK</stp>
        <stp>.SPY151219P206</stp>
        <tr r="L519" s="1"/>
      </tp>
      <tp t="s">
        <v>N/A</v>
        <stp/>
        <stp>ASK</stp>
        <stp>.SPY171215P208</stp>
        <tr r="L901" s="1"/>
      </tp>
      <tp>
        <v>13.22</v>
        <stp/>
        <stp>ASK</stp>
        <stp>.SPY151219C205</stp>
        <tr r="A517" s="1"/>
      </tp>
      <tp t="s">
        <v>N/A</v>
        <stp/>
        <stp>ASK</stp>
        <stp>.SPY161216C209</stp>
        <tr r="A777" s="1"/>
      </tp>
      <tp>
        <v>8.67</v>
        <stp/>
        <stp>ASK</stp>
        <stp>.SPY151219P205</stp>
        <tr r="L517" s="1"/>
      </tp>
      <tp t="s">
        <v>N/A</v>
        <stp/>
        <stp>ASK</stp>
        <stp>.SPY161216P209</stp>
        <tr r="L777" s="1"/>
      </tp>
      <tp>
        <v>13.91</v>
        <stp/>
        <stp>ASK</stp>
        <stp>.SPY151219C204</stp>
        <tr r="A515" s="1"/>
      </tp>
      <tp t="s">
        <v>N/A</v>
        <stp/>
        <stp>ASK</stp>
        <stp>.SPY161216C208</stp>
        <tr r="A775" s="1"/>
      </tp>
      <tp>
        <v>8.36</v>
        <stp/>
        <stp>ASK</stp>
        <stp>.SPY151219P204</stp>
        <tr r="L515" s="1"/>
      </tp>
      <tp t="s">
        <v>N/A</v>
        <stp/>
        <stp>ASK</stp>
        <stp>.SPY161216P208</stp>
        <tr r="L775" s="1"/>
      </tp>
      <tp>
        <v>5.09</v>
        <stp/>
        <stp>BID</stp>
        <stp>.SPY151231C219</stp>
        <tr r="C587" s="1"/>
      </tp>
      <tp>
        <v>14.9</v>
        <stp/>
        <stp>BID</stp>
        <stp>.SPY151231P219</stp>
        <tr r="N587" s="1"/>
      </tp>
      <tp>
        <v>5.57</v>
        <stp/>
        <stp>BID</stp>
        <stp>.SPY151231C218</stp>
        <tr r="C585" s="1"/>
      </tp>
      <tp>
        <v>14.35</v>
        <stp/>
        <stp>BID</stp>
        <stp>.SPY151231P218</stp>
        <tr r="N585" s="1"/>
      </tp>
      <tp>
        <v>9.33</v>
        <stp/>
        <stp>BID</stp>
        <stp>.SPY151231C211</stp>
        <tr r="C571" s="1"/>
      </tp>
      <tp>
        <v>10.95</v>
        <stp/>
        <stp>BID</stp>
        <stp>.SPY151231P211</stp>
        <tr r="N571" s="1"/>
      </tp>
      <tp>
        <v>9.94</v>
        <stp/>
        <stp>BID</stp>
        <stp>.SPY151231C210</stp>
        <tr r="C569" s="1"/>
      </tp>
      <tp>
        <v>10.64</v>
        <stp/>
        <stp>BID</stp>
        <stp>.SPY151231P210</stp>
        <tr r="N569" s="1"/>
      </tp>
      <tp>
        <v>8.16</v>
        <stp/>
        <stp>BID</stp>
        <stp>.SPY151231C213</stp>
        <tr r="C575" s="1"/>
      </tp>
      <tp>
        <v>11.92</v>
        <stp/>
        <stp>BID</stp>
        <stp>.SPY151231P213</stp>
        <tr r="N575" s="1"/>
      </tp>
      <tp>
        <v>8.74</v>
        <stp/>
        <stp>BID</stp>
        <stp>.SPY151231C212</stp>
        <tr r="C573" s="1"/>
      </tp>
      <tp>
        <v>11.37</v>
        <stp/>
        <stp>BID</stp>
        <stp>.SPY151231P212</stp>
        <tr r="N573" s="1"/>
      </tp>
      <tp>
        <v>7.07</v>
        <stp/>
        <stp>BID</stp>
        <stp>.SPY151231C215</stp>
        <tr r="C579" s="1"/>
      </tp>
      <tp>
        <v>12.7</v>
        <stp/>
        <stp>BID</stp>
        <stp>.SPY151231P215</stp>
        <tr r="N579" s="1"/>
      </tp>
      <tp>
        <v>7.6</v>
        <stp/>
        <stp>BID</stp>
        <stp>.SPY151231C214</stp>
        <tr r="C577" s="1"/>
      </tp>
      <tp>
        <v>12.22</v>
        <stp/>
        <stp>BID</stp>
        <stp>.SPY151231P214</stp>
        <tr r="N577" s="1"/>
      </tp>
      <tp>
        <v>6.02</v>
        <stp/>
        <stp>BID</stp>
        <stp>.SPY151231C217</stp>
        <tr r="C583" s="1"/>
      </tp>
      <tp>
        <v>13.7</v>
        <stp/>
        <stp>BID</stp>
        <stp>.SPY151231P217</stp>
        <tr r="N583" s="1"/>
      </tp>
      <tp>
        <v>6.53</v>
        <stp/>
        <stp>BID</stp>
        <stp>.SPY151231C216</stp>
        <tr r="C581" s="1"/>
      </tp>
      <tp>
        <v>13.19</v>
        <stp/>
        <stp>BID</stp>
        <stp>.SPY151231P216</stp>
        <tr r="N581" s="1"/>
      </tp>
      <tp t="s">
        <v>N/A</v>
        <stp/>
        <stp>ASK</stp>
        <stp>.SPY161216C217</stp>
        <tr r="A793" s="1"/>
      </tp>
      <tp>
        <v>21.98</v>
        <stp/>
        <stp>ASK</stp>
        <stp>.SPY171215C215</stp>
        <tr r="A915" s="1"/>
      </tp>
      <tp t="s">
        <v>N/A</v>
        <stp/>
        <stp>ASK</stp>
        <stp>.SPY161216P217</stp>
        <tr r="L793" s="1"/>
      </tp>
      <tp>
        <v>29.51</v>
        <stp/>
        <stp>ASK</stp>
        <stp>.SPY171215P215</stp>
        <tr r="L915" s="1"/>
      </tp>
      <tp t="s">
        <v>N/A</v>
        <stp/>
        <stp>ASK</stp>
        <stp>.SPY161216C216</stp>
        <tr r="A791" s="1"/>
      </tp>
      <tp t="s">
        <v>N/A</v>
        <stp/>
        <stp>ASK</stp>
        <stp>.SPY171215C214</stp>
        <tr r="A913" s="1"/>
      </tp>
      <tp t="s">
        <v>N/A</v>
        <stp/>
        <stp>ASK</stp>
        <stp>.SPY161216P216</stp>
        <tr r="L791" s="1"/>
      </tp>
      <tp t="s">
        <v>N/A</v>
        <stp/>
        <stp>ASK</stp>
        <stp>.SPY171215P214</stp>
        <tr r="L913" s="1"/>
      </tp>
      <tp>
        <v>5.12</v>
        <stp/>
        <stp>ASK</stp>
        <stp>.SPY151219C219</stp>
        <tr r="A545" s="1"/>
      </tp>
      <tp>
        <v>14.85</v>
        <stp/>
        <stp>ASK</stp>
        <stp>.SPY161216C215</stp>
        <tr r="A789" s="1"/>
      </tp>
      <tp t="s">
        <v>N/A</v>
        <stp/>
        <stp>ASK</stp>
        <stp>.SPY171215C217</stp>
        <tr r="A919" s="1"/>
      </tp>
      <tp>
        <v>14.94</v>
        <stp/>
        <stp>ASK</stp>
        <stp>.SPY151219P219</stp>
        <tr r="L545" s="1"/>
      </tp>
      <tp>
        <v>22.28</v>
        <stp/>
        <stp>ASK</stp>
        <stp>.SPY161216P215</stp>
        <tr r="L789" s="1"/>
      </tp>
      <tp t="s">
        <v>N/A</v>
        <stp/>
        <stp>ASK</stp>
        <stp>.SPY171215P217</stp>
        <tr r="L919" s="1"/>
      </tp>
      <tp>
        <v>5.49</v>
        <stp/>
        <stp>ASK</stp>
        <stp>.SPY151219C218</stp>
        <tr r="A543" s="1"/>
      </tp>
      <tp t="s">
        <v>N/A</v>
        <stp/>
        <stp>ASK</stp>
        <stp>.SPY161216C214</stp>
        <tr r="A787" s="1"/>
      </tp>
      <tp t="s">
        <v>N/A</v>
        <stp/>
        <stp>ASK</stp>
        <stp>.SPY171215C216</stp>
        <tr r="A917" s="1"/>
      </tp>
      <tp>
        <v>14.36</v>
        <stp/>
        <stp>ASK</stp>
        <stp>.SPY151219P218</stp>
        <tr r="L543" s="1"/>
      </tp>
      <tp t="s">
        <v>N/A</v>
        <stp/>
        <stp>ASK</stp>
        <stp>.SPY161216P214</stp>
        <tr r="L787" s="1"/>
      </tp>
      <tp t="s">
        <v>N/A</v>
        <stp/>
        <stp>ASK</stp>
        <stp>.SPY171215P216</stp>
        <tr r="L917" s="1"/>
      </tp>
      <tp t="s">
        <v>N/A</v>
        <stp/>
        <stp>ASK</stp>
        <stp>.SPY161216C213</stp>
        <tr r="A785" s="1"/>
      </tp>
      <tp t="s">
        <v>N/A</v>
        <stp/>
        <stp>ASK</stp>
        <stp>.SPY171215C211</stp>
        <tr r="A907" s="1"/>
      </tp>
      <tp t="s">
        <v>N/A</v>
        <stp/>
        <stp>ASK</stp>
        <stp>.SPY161216P213</stp>
        <tr r="L785" s="1"/>
      </tp>
      <tp t="s">
        <v>N/A</v>
        <stp/>
        <stp>ASK</stp>
        <stp>.SPY171215P211</stp>
        <tr r="L907" s="1"/>
      </tp>
      <tp t="s">
        <v>N/A</v>
        <stp/>
        <stp>ASK</stp>
        <stp>.SPY161216C212</stp>
        <tr r="A783" s="1"/>
      </tp>
      <tp>
        <v>24.45</v>
        <stp/>
        <stp>ASK</stp>
        <stp>.SPY171215C210</stp>
        <tr r="A905" s="1"/>
      </tp>
      <tp t="s">
        <v>N/A</v>
        <stp/>
        <stp>ASK</stp>
        <stp>.SPY161216P212</stp>
        <tr r="L783" s="1"/>
      </tp>
      <tp>
        <v>27.1</v>
        <stp/>
        <stp>ASK</stp>
        <stp>.SPY171215P210</stp>
        <tr r="L905" s="1"/>
      </tp>
      <tp t="s">
        <v>N/A</v>
        <stp/>
        <stp>ASK</stp>
        <stp>.SPY161216C211</stp>
        <tr r="A781" s="1"/>
      </tp>
      <tp t="s">
        <v>N/A</v>
        <stp/>
        <stp>ASK</stp>
        <stp>.SPY171215C213</stp>
        <tr r="A911" s="1"/>
      </tp>
      <tp t="s">
        <v>N/A</v>
        <stp/>
        <stp>ASK</stp>
        <stp>.SPY161216P211</stp>
        <tr r="L781" s="1"/>
      </tp>
      <tp t="s">
        <v>N/A</v>
        <stp/>
        <stp>ASK</stp>
        <stp>.SPY171215P213</stp>
        <tr r="L911" s="1"/>
      </tp>
      <tp>
        <v>17.600000000000001</v>
        <stp/>
        <stp>ASK</stp>
        <stp>.SPY161216C210</stp>
        <tr r="A779" s="1"/>
      </tp>
      <tp t="s">
        <v>N/A</v>
        <stp/>
        <stp>ASK</stp>
        <stp>.SPY171215C212</stp>
        <tr r="A909" s="1"/>
      </tp>
      <tp>
        <v>20.010000000000002</v>
        <stp/>
        <stp>ASK</stp>
        <stp>.SPY161216P210</stp>
        <tr r="L779" s="1"/>
      </tp>
      <tp t="s">
        <v>N/A</v>
        <stp/>
        <stp>ASK</stp>
        <stp>.SPY171215P212</stp>
        <tr r="L909" s="1"/>
      </tp>
      <tp>
        <v>8.16</v>
        <stp/>
        <stp>ASK</stp>
        <stp>.SPY151219C213</stp>
        <tr r="A533" s="1"/>
      </tp>
      <tp>
        <v>11.78</v>
        <stp/>
        <stp>ASK</stp>
        <stp>.SPY151219P213</stp>
        <tr r="L533" s="1"/>
      </tp>
      <tp>
        <v>8.66</v>
        <stp/>
        <stp>ASK</stp>
        <stp>.SPY151219C212</stp>
        <tr r="A531" s="1"/>
      </tp>
      <tp>
        <v>11.33</v>
        <stp/>
        <stp>ASK</stp>
        <stp>.SPY151219P212</stp>
        <tr r="L531" s="1"/>
      </tp>
      <tp>
        <v>9.26</v>
        <stp/>
        <stp>ASK</stp>
        <stp>.SPY151219C211</stp>
        <tr r="A529" s="1"/>
      </tp>
      <tp>
        <v>10.92</v>
        <stp/>
        <stp>ASK</stp>
        <stp>.SPY151219P211</stp>
        <tr r="L529" s="1"/>
      </tp>
      <tp>
        <v>9.8699999999999992</v>
        <stp/>
        <stp>ASK</stp>
        <stp>.SPY151219C210</stp>
        <tr r="A527" s="1"/>
      </tp>
      <tp>
        <v>10.5</v>
        <stp/>
        <stp>ASK</stp>
        <stp>.SPY151219P210</stp>
        <tr r="L527" s="1"/>
      </tp>
      <tp>
        <v>5.97</v>
        <stp/>
        <stp>ASK</stp>
        <stp>.SPY151219C217</stp>
        <tr r="A541" s="1"/>
      </tp>
      <tp t="s">
        <v>N/A</v>
        <stp/>
        <stp>ASK</stp>
        <stp>.SPY171215C219</stp>
        <tr r="A923" s="1"/>
      </tp>
      <tp>
        <v>13.83</v>
        <stp/>
        <stp>ASK</stp>
        <stp>.SPY151219P217</stp>
        <tr r="L541" s="1"/>
      </tp>
      <tp t="s">
        <v>N/A</v>
        <stp/>
        <stp>ASK</stp>
        <stp>.SPY171215P219</stp>
        <tr r="L923" s="1"/>
      </tp>
      <tp>
        <v>6.46</v>
        <stp/>
        <stp>ASK</stp>
        <stp>.SPY151219C216</stp>
        <tr r="A539" s="1"/>
      </tp>
      <tp t="s">
        <v>N/A</v>
        <stp/>
        <stp>ASK</stp>
        <stp>.SPY171215C218</stp>
        <tr r="A921" s="1"/>
      </tp>
      <tp>
        <v>13.31</v>
        <stp/>
        <stp>ASK</stp>
        <stp>.SPY151219P216</stp>
        <tr r="L539" s="1"/>
      </tp>
      <tp t="s">
        <v>N/A</v>
        <stp/>
        <stp>ASK</stp>
        <stp>.SPY171215P218</stp>
        <tr r="L921" s="1"/>
      </tp>
      <tp>
        <v>7.1</v>
        <stp/>
        <stp>ASK</stp>
        <stp>.SPY151219C215</stp>
        <tr r="A537" s="1"/>
      </tp>
      <tp t="s">
        <v>N/A</v>
        <stp/>
        <stp>ASK</stp>
        <stp>.SPY161216C219</stp>
        <tr r="A797" s="1"/>
      </tp>
      <tp>
        <v>12.82</v>
        <stp/>
        <stp>ASK</stp>
        <stp>.SPY151219P215</stp>
        <tr r="L537" s="1"/>
      </tp>
      <tp t="s">
        <v>N/A</v>
        <stp/>
        <stp>ASK</stp>
        <stp>.SPY161216P219</stp>
        <tr r="L797" s="1"/>
      </tp>
      <tp>
        <v>7.54</v>
        <stp/>
        <stp>ASK</stp>
        <stp>.SPY151219C214</stp>
        <tr r="A535" s="1"/>
      </tp>
      <tp t="s">
        <v>N/A</v>
        <stp/>
        <stp>ASK</stp>
        <stp>.SPY161216C218</stp>
        <tr r="A795" s="1"/>
      </tp>
      <tp>
        <v>12.32</v>
        <stp/>
        <stp>ASK</stp>
        <stp>.SPY151219P214</stp>
        <tr r="L535" s="1"/>
      </tp>
      <tp t="s">
        <v>N/A</v>
        <stp/>
        <stp>ASK</stp>
        <stp>.SPY161216P218</stp>
        <tr r="L795" s="1"/>
      </tp>
      <tp>
        <v>10.57</v>
        <stp/>
        <stp>BID</stp>
        <stp>.SPY151231C209</stp>
        <tr r="C567" s="1"/>
      </tp>
      <tp>
        <v>10.18</v>
        <stp/>
        <stp>BID</stp>
        <stp>.SPY151231P209</stp>
        <tr r="N567" s="1"/>
      </tp>
      <tp>
        <v>11.2</v>
        <stp/>
        <stp>BID</stp>
        <stp>.SPY151231C208</stp>
        <tr r="C565" s="1"/>
      </tp>
      <tp>
        <v>9.8000000000000007</v>
        <stp/>
        <stp>BID</stp>
        <stp>.SPY151231P208</stp>
        <tr r="N565" s="1"/>
      </tp>
      <tp>
        <v>16</v>
        <stp/>
        <stp>BID</stp>
        <stp>.SPY151231C201</stp>
        <tr r="C551" s="1"/>
      </tp>
      <tp>
        <v>7.59</v>
        <stp/>
        <stp>BID</stp>
        <stp>.SPY151231P201</stp>
        <tr r="N551" s="1"/>
      </tp>
      <tp>
        <v>16.71</v>
        <stp/>
        <stp>BID</stp>
        <stp>.SPY151231C200</stp>
        <tr r="C549" s="1"/>
      </tp>
      <tp>
        <v>7.3</v>
        <stp/>
        <stp>BID</stp>
        <stp>.SPY151231P200</stp>
        <tr r="N549" s="1"/>
      </tp>
      <tp>
        <v>14.55</v>
        <stp/>
        <stp>BID</stp>
        <stp>.SPY151231C203</stp>
        <tr r="C555" s="1"/>
      </tp>
      <tp>
        <v>8.0500000000000007</v>
        <stp/>
        <stp>BID</stp>
        <stp>.SPY151231P203</stp>
        <tr r="N555" s="1"/>
      </tp>
      <tp>
        <v>15.26</v>
        <stp/>
        <stp>BID</stp>
        <stp>.SPY151231C202</stp>
        <tr r="C553" s="1"/>
      </tp>
      <tp>
        <v>7.79</v>
        <stp/>
        <stp>BID</stp>
        <stp>.SPY151231P202</stp>
        <tr r="N553" s="1"/>
      </tp>
      <tp>
        <v>13.17</v>
        <stp/>
        <stp>BID</stp>
        <stp>.SPY151231C205</stp>
        <tr r="C559" s="1"/>
      </tp>
      <tp>
        <v>8.75</v>
        <stp/>
        <stp>BID</stp>
        <stp>.SPY151231P205</stp>
        <tr r="N559" s="1"/>
      </tp>
      <tp>
        <v>13.84</v>
        <stp/>
        <stp>BID</stp>
        <stp>.SPY151231C204</stp>
        <tr r="C557" s="1"/>
      </tp>
      <tp>
        <v>8.43</v>
        <stp/>
        <stp>BID</stp>
        <stp>.SPY151231P204</stp>
        <tr r="N557" s="1"/>
      </tp>
      <tp>
        <v>11.86</v>
        <stp/>
        <stp>BID</stp>
        <stp>.SPY151231C207</stp>
        <tr r="C563" s="1"/>
      </tp>
      <tp>
        <v>9.51</v>
        <stp/>
        <stp>BID</stp>
        <stp>.SPY151231P207</stp>
        <tr r="N563" s="1"/>
      </tp>
      <tp>
        <v>12.53</v>
        <stp/>
        <stp>BID</stp>
        <stp>.SPY151231C206</stp>
        <tr r="C561" s="1"/>
      </tp>
      <tp>
        <v>9.09</v>
        <stp/>
        <stp>BID</stp>
        <stp>.SPY151231P206</stp>
        <tr r="N561" s="1"/>
      </tp>
      <tp>
        <v>14.87</v>
        <stp/>
        <stp>ASK</stp>
        <stp>.SPY151231C203</stp>
        <tr r="A555" s="1"/>
      </tp>
      <tp>
        <v>8.32</v>
        <stp/>
        <stp>ASK</stp>
        <stp>.SPY151231P203</stp>
        <tr r="L555" s="1"/>
      </tp>
      <tp>
        <v>15.58</v>
        <stp/>
        <stp>ASK</stp>
        <stp>.SPY151231C202</stp>
        <tr r="A553" s="1"/>
      </tp>
      <tp>
        <v>8.0299999999999994</v>
        <stp/>
        <stp>ASK</stp>
        <stp>.SPY151231P202</stp>
        <tr r="L553" s="1"/>
      </tp>
      <tp>
        <v>16.309999999999999</v>
        <stp/>
        <stp>ASK</stp>
        <stp>.SPY151231C201</stp>
        <tr r="A551" s="1"/>
      </tp>
      <tp>
        <v>7.73</v>
        <stp/>
        <stp>ASK</stp>
        <stp>.SPY151231P201</stp>
        <tr r="L551" s="1"/>
      </tp>
      <tp>
        <v>17.05</v>
        <stp/>
        <stp>ASK</stp>
        <stp>.SPY151231C200</stp>
        <tr r="A549" s="1"/>
      </tp>
      <tp>
        <v>7.46</v>
        <stp/>
        <stp>ASK</stp>
        <stp>.SPY151231P200</stp>
        <tr r="L549" s="1"/>
      </tp>
      <tp>
        <v>12.08</v>
        <stp/>
        <stp>ASK</stp>
        <stp>.SPY151231C207</stp>
        <tr r="A563" s="1"/>
      </tp>
      <tp>
        <v>9.66</v>
        <stp/>
        <stp>ASK</stp>
        <stp>.SPY151231P207</stp>
        <tr r="L563" s="1"/>
      </tp>
      <tp>
        <v>12.7</v>
        <stp/>
        <stp>ASK</stp>
        <stp>.SPY151231C206</stp>
        <tr r="A561" s="1"/>
      </tp>
      <tp>
        <v>9.31</v>
        <stp/>
        <stp>ASK</stp>
        <stp>.SPY151231P206</stp>
        <tr r="L561" s="1"/>
      </tp>
      <tp>
        <v>13.47</v>
        <stp/>
        <stp>ASK</stp>
        <stp>.SPY151231C205</stp>
        <tr r="A559" s="1"/>
      </tp>
      <tp>
        <v>8.9700000000000006</v>
        <stp/>
        <stp>ASK</stp>
        <stp>.SPY151231P205</stp>
        <tr r="L559" s="1"/>
      </tp>
      <tp>
        <v>14.16</v>
        <stp/>
        <stp>ASK</stp>
        <stp>.SPY151231C204</stp>
        <tr r="A557" s="1"/>
      </tp>
      <tp>
        <v>8.65</v>
        <stp/>
        <stp>ASK</stp>
        <stp>.SPY151231P204</stp>
        <tr r="L557" s="1"/>
      </tp>
      <tp>
        <v>10.73</v>
        <stp/>
        <stp>ASK</stp>
        <stp>.SPY151231C209</stp>
        <tr r="A567" s="1"/>
      </tp>
      <tp>
        <v>10.41</v>
        <stp/>
        <stp>ASK</stp>
        <stp>.SPY151231P209</stp>
        <tr r="L567" s="1"/>
      </tp>
      <tp>
        <v>11.38</v>
        <stp/>
        <stp>ASK</stp>
        <stp>.SPY151231C208</stp>
        <tr r="A565" s="1"/>
      </tp>
      <tp>
        <v>10.029999999999999</v>
        <stp/>
        <stp>ASK</stp>
        <stp>.SPY151231P208</stp>
        <tr r="L565" s="1"/>
      </tp>
      <tp>
        <v>9.07</v>
        <stp/>
        <stp>BID</stp>
        <stp>.SPY151219C211</stp>
        <tr r="C529" s="1"/>
      </tp>
      <tp>
        <v>10.68</v>
        <stp/>
        <stp>BID</stp>
        <stp>.SPY151219P211</stp>
        <tr r="N529" s="1"/>
      </tp>
      <tp>
        <v>9.7200000000000006</v>
        <stp/>
        <stp>BID</stp>
        <stp>.SPY151219C210</stp>
        <tr r="C527" s="1"/>
      </tp>
      <tp>
        <v>10.25</v>
        <stp/>
        <stp>BID</stp>
        <stp>.SPY151219P210</stp>
        <tr r="N527" s="1"/>
      </tp>
      <tp>
        <v>7.88</v>
        <stp/>
        <stp>BID</stp>
        <stp>.SPY151219C213</stp>
        <tr r="C533" s="1"/>
      </tp>
      <tp>
        <v>11.53</v>
        <stp/>
        <stp>BID</stp>
        <stp>.SPY151219P213</stp>
        <tr r="N533" s="1"/>
      </tp>
      <tp>
        <v>8.4700000000000006</v>
        <stp/>
        <stp>BID</stp>
        <stp>.SPY151219C212</stp>
        <tr r="C531" s="1"/>
      </tp>
      <tp>
        <v>11.11</v>
        <stp/>
        <stp>BID</stp>
        <stp>.SPY151219P212</stp>
        <tr r="N531" s="1"/>
      </tp>
      <tp>
        <v>6.81</v>
        <stp/>
        <stp>BID</stp>
        <stp>.SPY151219C215</stp>
        <tr r="C537" s="1"/>
      </tp>
      <tp t="s">
        <v>N/A</v>
        <stp/>
        <stp>BID</stp>
        <stp>.SPY161216C219</stp>
        <tr r="C797" s="1"/>
      </tp>
      <tp>
        <v>12.55</v>
        <stp/>
        <stp>BID</stp>
        <stp>.SPY151219P215</stp>
        <tr r="N537" s="1"/>
      </tp>
      <tp t="s">
        <v>N/A</v>
        <stp/>
        <stp>BID</stp>
        <stp>.SPY161216P219</stp>
        <tr r="N797" s="1"/>
      </tp>
      <tp>
        <v>7.33</v>
        <stp/>
        <stp>BID</stp>
        <stp>.SPY151219C214</stp>
        <tr r="C535" s="1"/>
      </tp>
      <tp t="s">
        <v>N/A</v>
        <stp/>
        <stp>BID</stp>
        <stp>.SPY161216C218</stp>
        <tr r="C795" s="1"/>
      </tp>
      <tp>
        <v>11.93</v>
        <stp/>
        <stp>BID</stp>
        <stp>.SPY151219P214</stp>
        <tr r="N535" s="1"/>
      </tp>
      <tp t="s">
        <v>N/A</v>
        <stp/>
        <stp>BID</stp>
        <stp>.SPY161216P218</stp>
        <tr r="N795" s="1"/>
      </tp>
      <tp>
        <v>5.82</v>
        <stp/>
        <stp>BID</stp>
        <stp>.SPY151219C217</stp>
        <tr r="C541" s="1"/>
      </tp>
      <tp t="s">
        <v>N/A</v>
        <stp/>
        <stp>BID</stp>
        <stp>.SPY171215C219</stp>
        <tr r="C923" s="1"/>
      </tp>
      <tp>
        <v>13.42</v>
        <stp/>
        <stp>BID</stp>
        <stp>.SPY151219P217</stp>
        <tr r="N541" s="1"/>
      </tp>
      <tp t="s">
        <v>N/A</v>
        <stp/>
        <stp>BID</stp>
        <stp>.SPY171215P219</stp>
        <tr r="N923" s="1"/>
      </tp>
      <tp>
        <v>6.3</v>
        <stp/>
        <stp>BID</stp>
        <stp>.SPY151219C216</stp>
        <tr r="C539" s="1"/>
      </tp>
      <tp t="s">
        <v>N/A</v>
        <stp/>
        <stp>BID</stp>
        <stp>.SPY171215C218</stp>
        <tr r="C921" s="1"/>
      </tp>
      <tp>
        <v>12.91</v>
        <stp/>
        <stp>BID</stp>
        <stp>.SPY151219P216</stp>
        <tr r="N539" s="1"/>
      </tp>
      <tp t="s">
        <v>N/A</v>
        <stp/>
        <stp>BID</stp>
        <stp>.SPY171215P218</stp>
        <tr r="N921" s="1"/>
      </tp>
      <tp>
        <v>4.91</v>
        <stp/>
        <stp>BID</stp>
        <stp>.SPY151219C219</stp>
        <tr r="C545" s="1"/>
      </tp>
      <tp>
        <v>14.49</v>
        <stp/>
        <stp>BID</stp>
        <stp>.SPY161216C215</stp>
        <tr r="C789" s="1"/>
      </tp>
      <tp t="s">
        <v>N/A</v>
        <stp/>
        <stp>BID</stp>
        <stp>.SPY171215C217</stp>
        <tr r="C919" s="1"/>
      </tp>
      <tp>
        <v>14.64</v>
        <stp/>
        <stp>BID</stp>
        <stp>.SPY151219P219</stp>
        <tr r="N545" s="1"/>
      </tp>
      <tp>
        <v>21.76</v>
        <stp/>
        <stp>BID</stp>
        <stp>.SPY161216P215</stp>
        <tr r="N789" s="1"/>
      </tp>
      <tp t="s">
        <v>N/A</v>
        <stp/>
        <stp>BID</stp>
        <stp>.SPY171215P217</stp>
        <tr r="N919" s="1"/>
      </tp>
      <tp>
        <v>5.37</v>
        <stp/>
        <stp>BID</stp>
        <stp>.SPY151219C218</stp>
        <tr r="C543" s="1"/>
      </tp>
      <tp t="s">
        <v>N/A</v>
        <stp/>
        <stp>BID</stp>
        <stp>.SPY161216C214</stp>
        <tr r="C787" s="1"/>
      </tp>
      <tp t="s">
        <v>N/A</v>
        <stp/>
        <stp>BID</stp>
        <stp>.SPY171215C216</stp>
        <tr r="C917" s="1"/>
      </tp>
      <tp>
        <v>14.08</v>
        <stp/>
        <stp>BID</stp>
        <stp>.SPY151219P218</stp>
        <tr r="N543" s="1"/>
      </tp>
      <tp t="s">
        <v>N/A</v>
        <stp/>
        <stp>BID</stp>
        <stp>.SPY161216P214</stp>
        <tr r="N787" s="1"/>
      </tp>
      <tp t="s">
        <v>N/A</v>
        <stp/>
        <stp>BID</stp>
        <stp>.SPY171215P216</stp>
        <tr r="N917" s="1"/>
      </tp>
      <tp t="s">
        <v>N/A</v>
        <stp/>
        <stp>BID</stp>
        <stp>.SPY161216C217</stp>
        <tr r="C793" s="1"/>
      </tp>
      <tp>
        <v>20.39</v>
        <stp/>
        <stp>BID</stp>
        <stp>.SPY171215C215</stp>
        <tr r="C915" s="1"/>
      </tp>
      <tp t="s">
        <v>N/A</v>
        <stp/>
        <stp>BID</stp>
        <stp>.SPY161216P217</stp>
        <tr r="N793" s="1"/>
      </tp>
      <tp>
        <v>27.95</v>
        <stp/>
        <stp>BID</stp>
        <stp>.SPY171215P215</stp>
        <tr r="N915" s="1"/>
      </tp>
      <tp t="s">
        <v>N/A</v>
        <stp/>
        <stp>BID</stp>
        <stp>.SPY161216C216</stp>
        <tr r="C791" s="1"/>
      </tp>
      <tp t="s">
        <v>N/A</v>
        <stp/>
        <stp>BID</stp>
        <stp>.SPY171215C214</stp>
        <tr r="C913" s="1"/>
      </tp>
      <tp t="s">
        <v>N/A</v>
        <stp/>
        <stp>BID</stp>
        <stp>.SPY161216P216</stp>
        <tr r="N791" s="1"/>
      </tp>
      <tp t="s">
        <v>N/A</v>
        <stp/>
        <stp>BID</stp>
        <stp>.SPY171215P214</stp>
        <tr r="N913" s="1"/>
      </tp>
      <tp t="s">
        <v>N/A</v>
        <stp/>
        <stp>BID</stp>
        <stp>.SPY161216C211</stp>
        <tr r="C781" s="1"/>
      </tp>
      <tp t="s">
        <v>N/A</v>
        <stp/>
        <stp>BID</stp>
        <stp>.SPY171215C213</stp>
        <tr r="C911" s="1"/>
      </tp>
      <tp t="s">
        <v>N/A</v>
        <stp/>
        <stp>BID</stp>
        <stp>.SPY161216P211</stp>
        <tr r="N781" s="1"/>
      </tp>
      <tp t="s">
        <v>N/A</v>
        <stp/>
        <stp>BID</stp>
        <stp>.SPY171215P213</stp>
        <tr r="N911" s="1"/>
      </tp>
      <tp>
        <v>17.239999999999998</v>
        <stp/>
        <stp>BID</stp>
        <stp>.SPY161216C210</stp>
        <tr r="C779" s="1"/>
      </tp>
      <tp t="s">
        <v>N/A</v>
        <stp/>
        <stp>BID</stp>
        <stp>.SPY171215C212</stp>
        <tr r="C909" s="1"/>
      </tp>
      <tp>
        <v>19.48</v>
        <stp/>
        <stp>BID</stp>
        <stp>.SPY161216P210</stp>
        <tr r="N779" s="1"/>
      </tp>
      <tp t="s">
        <v>N/A</v>
        <stp/>
        <stp>BID</stp>
        <stp>.SPY171215P212</stp>
        <tr r="N909" s="1"/>
      </tp>
      <tp t="s">
        <v>N/A</v>
        <stp/>
        <stp>BID</stp>
        <stp>.SPY161216C213</stp>
        <tr r="C785" s="1"/>
      </tp>
      <tp t="s">
        <v>N/A</v>
        <stp/>
        <stp>BID</stp>
        <stp>.SPY171215C211</stp>
        <tr r="C907" s="1"/>
      </tp>
      <tp t="s">
        <v>N/A</v>
        <stp/>
        <stp>BID</stp>
        <stp>.SPY161216P213</stp>
        <tr r="N785" s="1"/>
      </tp>
      <tp t="s">
        <v>N/A</v>
        <stp/>
        <stp>BID</stp>
        <stp>.SPY171215P211</stp>
        <tr r="N907" s="1"/>
      </tp>
      <tp t="s">
        <v>N/A</v>
        <stp/>
        <stp>BID</stp>
        <stp>.SPY161216C212</stp>
        <tr r="C783" s="1"/>
      </tp>
      <tp>
        <v>23.1</v>
        <stp/>
        <stp>BID</stp>
        <stp>.SPY171215C210</stp>
        <tr r="C905" s="1"/>
      </tp>
      <tp t="s">
        <v>N/A</v>
        <stp/>
        <stp>BID</stp>
        <stp>.SPY161216P212</stp>
        <tr r="N783" s="1"/>
      </tp>
      <tp>
        <v>25.91</v>
        <stp/>
        <stp>BID</stp>
        <stp>.SPY171215P210</stp>
        <tr r="N905" s="1"/>
      </tp>
      <tp>
        <v>8.43</v>
        <stp/>
        <stp>ASK</stp>
        <stp>.SPY151231C213</stp>
        <tr r="A575" s="1"/>
      </tp>
      <tp>
        <v>12.09</v>
        <stp/>
        <stp>ASK</stp>
        <stp>.SPY151231P213</stp>
        <tr r="L575" s="1"/>
      </tp>
      <tp>
        <v>8.94</v>
        <stp/>
        <stp>ASK</stp>
        <stp>.SPY151231C212</stp>
        <tr r="A573" s="1"/>
      </tp>
      <tp>
        <v>11.66</v>
        <stp/>
        <stp>ASK</stp>
        <stp>.SPY151231P212</stp>
        <tr r="L573" s="1"/>
      </tp>
      <tp>
        <v>9.5500000000000007</v>
        <stp/>
        <stp>ASK</stp>
        <stp>.SPY151231C211</stp>
        <tr r="A571" s="1"/>
      </tp>
      <tp>
        <v>11.21</v>
        <stp/>
        <stp>ASK</stp>
        <stp>.SPY151231P211</stp>
        <tr r="L571" s="1"/>
      </tp>
      <tp>
        <v>10.11</v>
        <stp/>
        <stp>ASK</stp>
        <stp>.SPY151231C210</stp>
        <tr r="A569" s="1"/>
      </tp>
      <tp>
        <v>10.81</v>
        <stp/>
        <stp>ASK</stp>
        <stp>.SPY151231P210</stp>
        <tr r="L569" s="1"/>
      </tp>
      <tp>
        <v>6.24</v>
        <stp/>
        <stp>ASK</stp>
        <stp>.SPY151231C217</stp>
        <tr r="A583" s="1"/>
      </tp>
      <tp>
        <v>14.13</v>
        <stp/>
        <stp>ASK</stp>
        <stp>.SPY151231P217</stp>
        <tr r="L583" s="1"/>
      </tp>
      <tp>
        <v>6.74</v>
        <stp/>
        <stp>ASK</stp>
        <stp>.SPY151231C216</stp>
        <tr r="A581" s="1"/>
      </tp>
      <tp>
        <v>13.57</v>
        <stp/>
        <stp>ASK</stp>
        <stp>.SPY151231P216</stp>
        <tr r="L581" s="1"/>
      </tp>
      <tp>
        <v>7.25</v>
        <stp/>
        <stp>ASK</stp>
        <stp>.SPY151231C215</stp>
        <tr r="A579" s="1"/>
      </tp>
      <tp>
        <v>13.13</v>
        <stp/>
        <stp>ASK</stp>
        <stp>.SPY151231P215</stp>
        <tr r="L579" s="1"/>
      </tp>
      <tp>
        <v>7.8</v>
        <stp/>
        <stp>ASK</stp>
        <stp>.SPY151231C214</stp>
        <tr r="A577" s="1"/>
      </tp>
      <tp>
        <v>12.64</v>
        <stp/>
        <stp>ASK</stp>
        <stp>.SPY151231P214</stp>
        <tr r="L577" s="1"/>
      </tp>
      <tp>
        <v>5.38</v>
        <stp/>
        <stp>ASK</stp>
        <stp>.SPY151231C219</stp>
        <tr r="A587" s="1"/>
      </tp>
      <tp>
        <v>15.23</v>
        <stp/>
        <stp>ASK</stp>
        <stp>.SPY151231P219</stp>
        <tr r="L587" s="1"/>
      </tp>
      <tp>
        <v>5.8</v>
        <stp/>
        <stp>ASK</stp>
        <stp>.SPY151231C218</stp>
        <tr r="A585" s="1"/>
      </tp>
      <tp>
        <v>14.66</v>
        <stp/>
        <stp>ASK</stp>
        <stp>.SPY151231P218</stp>
        <tr r="L585" s="1"/>
      </tp>
      <tp>
        <v>15.78</v>
        <stp/>
        <stp>BID</stp>
        <stp>.SPY151219C201</stp>
        <tr r="C509" s="1"/>
      </tp>
      <tp>
        <v>7.3</v>
        <stp/>
        <stp>BID</stp>
        <stp>.SPY151219P201</stp>
        <tr r="N509" s="1"/>
      </tp>
      <tp>
        <v>16.52</v>
        <stp/>
        <stp>BID</stp>
        <stp>.SPY151219C200</stp>
        <tr r="C507" s="1"/>
      </tp>
      <tp>
        <v>7.04</v>
        <stp/>
        <stp>BID</stp>
        <stp>.SPY151219P200</stp>
        <tr r="N507" s="1"/>
      </tp>
      <tp>
        <v>14.36</v>
        <stp/>
        <stp>BID</stp>
        <stp>.SPY151219C203</stp>
        <tr r="C513" s="1"/>
      </tp>
      <tp>
        <v>7.89</v>
        <stp/>
        <stp>BID</stp>
        <stp>.SPY151219P203</stp>
        <tr r="N513" s="1"/>
      </tp>
      <tp>
        <v>15.05</v>
        <stp/>
        <stp>BID</stp>
        <stp>.SPY151219C202</stp>
        <tr r="C511" s="1"/>
      </tp>
      <tp>
        <v>7.54</v>
        <stp/>
        <stp>BID</stp>
        <stp>.SPY151219P202</stp>
        <tr r="N511" s="1"/>
      </tp>
      <tp>
        <v>12.92</v>
        <stp/>
        <stp>BID</stp>
        <stp>.SPY151219C205</stp>
        <tr r="C517" s="1"/>
      </tp>
      <tp t="s">
        <v>N/A</v>
        <stp/>
        <stp>BID</stp>
        <stp>.SPY161216C209</stp>
        <tr r="C777" s="1"/>
      </tp>
      <tp>
        <v>8.5299999999999994</v>
        <stp/>
        <stp>BID</stp>
        <stp>.SPY151219P205</stp>
        <tr r="N517" s="1"/>
      </tp>
      <tp t="s">
        <v>N/A</v>
        <stp/>
        <stp>BID</stp>
        <stp>.SPY161216P209</stp>
        <tr r="N777" s="1"/>
      </tp>
      <tp>
        <v>13.62</v>
        <stp/>
        <stp>BID</stp>
        <stp>.SPY151219C204</stp>
        <tr r="C515" s="1"/>
      </tp>
      <tp t="s">
        <v>N/A</v>
        <stp/>
        <stp>BID</stp>
        <stp>.SPY161216C208</stp>
        <tr r="C775" s="1"/>
      </tp>
      <tp>
        <v>8.15</v>
        <stp/>
        <stp>BID</stp>
        <stp>.SPY151219P204</stp>
        <tr r="N515" s="1"/>
      </tp>
      <tp t="s">
        <v>N/A</v>
        <stp/>
        <stp>BID</stp>
        <stp>.SPY161216P208</stp>
        <tr r="N775" s="1"/>
      </tp>
      <tp>
        <v>11.58</v>
        <stp/>
        <stp>BID</stp>
        <stp>.SPY151219C207</stp>
        <tr r="C521" s="1"/>
      </tp>
      <tp t="s">
        <v>N/A</v>
        <stp/>
        <stp>BID</stp>
        <stp>.SPY171215C209</stp>
        <tr r="C903" s="1"/>
      </tp>
      <tp>
        <v>9.2200000000000006</v>
        <stp/>
        <stp>BID</stp>
        <stp>.SPY151219P207</stp>
        <tr r="N521" s="1"/>
      </tp>
      <tp t="s">
        <v>N/A</v>
        <stp/>
        <stp>BID</stp>
        <stp>.SPY171215P209</stp>
        <tr r="N903" s="1"/>
      </tp>
      <tp>
        <v>12.27</v>
        <stp/>
        <stp>BID</stp>
        <stp>.SPY151219C206</stp>
        <tr r="C519" s="1"/>
      </tp>
      <tp t="s">
        <v>N/A</v>
        <stp/>
        <stp>BID</stp>
        <stp>.SPY171215C208</stp>
        <tr r="C901" s="1"/>
      </tp>
      <tp>
        <v>8.8000000000000007</v>
        <stp/>
        <stp>BID</stp>
        <stp>.SPY151219P206</stp>
        <tr r="N519" s="1"/>
      </tp>
      <tp t="s">
        <v>N/A</v>
        <stp/>
        <stp>BID</stp>
        <stp>.SPY171215P208</stp>
        <tr r="N901" s="1"/>
      </tp>
      <tp>
        <v>10.29</v>
        <stp/>
        <stp>BID</stp>
        <stp>.SPY151219C209</stp>
        <tr r="C525" s="1"/>
      </tp>
      <tp>
        <v>20.22</v>
        <stp/>
        <stp>BID</stp>
        <stp>.SPY161216C205</stp>
        <tr r="C769" s="1"/>
      </tp>
      <tp t="s">
        <v>N/A</v>
        <stp/>
        <stp>BID</stp>
        <stp>.SPY171215C207</stp>
        <tr r="C899" s="1"/>
      </tp>
      <tp>
        <v>9.94</v>
        <stp/>
        <stp>BID</stp>
        <stp>.SPY151219P209</stp>
        <tr r="N525" s="1"/>
      </tp>
      <tp>
        <v>17.41</v>
        <stp/>
        <stp>BID</stp>
        <stp>.SPY161216P205</stp>
        <tr r="N769" s="1"/>
      </tp>
      <tp t="s">
        <v>N/A</v>
        <stp/>
        <stp>BID</stp>
        <stp>.SPY171215P207</stp>
        <tr r="N899" s="1"/>
      </tp>
      <tp>
        <v>10.92</v>
        <stp/>
        <stp>BID</stp>
        <stp>.SPY151219C208</stp>
        <tr r="C523" s="1"/>
      </tp>
      <tp t="s">
        <v>N/A</v>
        <stp/>
        <stp>BID</stp>
        <stp>.SPY161216C204</stp>
        <tr r="C767" s="1"/>
      </tp>
      <tp t="s">
        <v>N/A</v>
        <stp/>
        <stp>BID</stp>
        <stp>.SPY171215C206</stp>
        <tr r="C897" s="1"/>
      </tp>
      <tp>
        <v>9.49</v>
        <stp/>
        <stp>BID</stp>
        <stp>.SPY151219P208</stp>
        <tr r="N523" s="1"/>
      </tp>
      <tp t="s">
        <v>N/A</v>
        <stp/>
        <stp>BID</stp>
        <stp>.SPY161216P204</stp>
        <tr r="N767" s="1"/>
      </tp>
      <tp t="s">
        <v>N/A</v>
        <stp/>
        <stp>BID</stp>
        <stp>.SPY171215P206</stp>
        <tr r="N897" s="1"/>
      </tp>
      <tp t="s">
        <v>N/A</v>
        <stp/>
        <stp>BID</stp>
        <stp>.SPY161216C207</stp>
        <tr r="C773" s="1"/>
      </tp>
      <tp>
        <v>25.52</v>
        <stp/>
        <stp>BID</stp>
        <stp>.SPY171215C205</stp>
        <tr r="C895" s="1"/>
      </tp>
      <tp t="s">
        <v>N/A</v>
        <stp/>
        <stp>BID</stp>
        <stp>.SPY161216P207</stp>
        <tr r="N773" s="1"/>
      </tp>
      <tp>
        <v>23.88</v>
        <stp/>
        <stp>BID</stp>
        <stp>.SPY171215P205</stp>
        <tr r="N895" s="1"/>
      </tp>
      <tp t="s">
        <v>N/A</v>
        <stp/>
        <stp>BID</stp>
        <stp>.SPY161216C206</stp>
        <tr r="C771" s="1"/>
      </tp>
      <tp t="s">
        <v>N/A</v>
        <stp/>
        <stp>BID</stp>
        <stp>.SPY171215C204</stp>
        <tr r="C893" s="1"/>
      </tp>
      <tp t="s">
        <v>N/A</v>
        <stp/>
        <stp>BID</stp>
        <stp>.SPY161216P206</stp>
        <tr r="N771" s="1"/>
      </tp>
      <tp t="s">
        <v>N/A</v>
        <stp/>
        <stp>BID</stp>
        <stp>.SPY171215P204</stp>
        <tr r="N893" s="1"/>
      </tp>
      <tp t="s">
        <v>N/A</v>
        <stp/>
        <stp>BID</stp>
        <stp>.SPY161216C201</stp>
        <tr r="C761" s="1"/>
      </tp>
      <tp t="s">
        <v>N/A</v>
        <stp/>
        <stp>BID</stp>
        <stp>.SPY171215C203</stp>
        <tr r="C891" s="1"/>
      </tp>
      <tp t="s">
        <v>N/A</v>
        <stp/>
        <stp>BID</stp>
        <stp>.SPY161216P201</stp>
        <tr r="N761" s="1"/>
      </tp>
      <tp t="s">
        <v>N/A</v>
        <stp/>
        <stp>BID</stp>
        <stp>.SPY171215P203</stp>
        <tr r="N891" s="1"/>
      </tp>
      <tp>
        <v>23.29</v>
        <stp/>
        <stp>BID</stp>
        <stp>.SPY161216C200</stp>
        <tr r="C759" s="1"/>
      </tp>
      <tp t="s">
        <v>N/A</v>
        <stp/>
        <stp>BID</stp>
        <stp>.SPY171215C202</stp>
        <tr r="C889" s="1"/>
      </tp>
      <tp>
        <v>15.75</v>
        <stp/>
        <stp>BID</stp>
        <stp>.SPY161216P200</stp>
        <tr r="N759" s="1"/>
      </tp>
      <tp t="s">
        <v>N/A</v>
        <stp/>
        <stp>BID</stp>
        <stp>.SPY171215P202</stp>
        <tr r="N889" s="1"/>
      </tp>
      <tp t="s">
        <v>N/A</v>
        <stp/>
        <stp>BID</stp>
        <stp>.SPY161216C203</stp>
        <tr r="C765" s="1"/>
      </tp>
      <tp t="s">
        <v>N/A</v>
        <stp/>
        <stp>BID</stp>
        <stp>.SPY171215C201</stp>
        <tr r="C887" s="1"/>
      </tp>
      <tp t="s">
        <v>N/A</v>
        <stp/>
        <stp>BID</stp>
        <stp>.SPY161216P203</stp>
        <tr r="N765" s="1"/>
      </tp>
      <tp t="s">
        <v>N/A</v>
        <stp/>
        <stp>BID</stp>
        <stp>.SPY171215P201</stp>
        <tr r="N887" s="1"/>
      </tp>
      <tp t="s">
        <v>N/A</v>
        <stp/>
        <stp>BID</stp>
        <stp>.SPY161216C202</stp>
        <tr r="C763" s="1"/>
      </tp>
      <tp>
        <v>28.64</v>
        <stp/>
        <stp>BID</stp>
        <stp>.SPY171215C200</stp>
        <tr r="C885" s="1"/>
      </tp>
      <tp t="s">
        <v>N/A</v>
        <stp/>
        <stp>BID</stp>
        <stp>.SPY161216P202</stp>
        <tr r="N763" s="1"/>
      </tp>
      <tp>
        <v>21.75</v>
        <stp/>
        <stp>BID</stp>
        <stp>.SPY171215P200</stp>
        <tr r="N885" s="1"/>
      </tp>
      <tp>
        <v>0.45256000000000002</v>
        <stp/>
        <stp>RHO</stp>
        <stp>.SPY151231C218</stp>
        <tr r="K585" s="1"/>
      </tp>
      <tp>
        <v>-0.95160999999999996</v>
        <stp/>
        <stp>RHO</stp>
        <stp>.SPY151231P218</stp>
        <tr r="V585" s="1"/>
      </tp>
      <tp>
        <v>0.43395</v>
        <stp/>
        <stp>RHO</stp>
        <stp>.SPY151231C219</stp>
        <tr r="K587" s="1"/>
      </tp>
      <tp>
        <v>-0.97955000000000003</v>
        <stp/>
        <stp>RHO</stp>
        <stp>.SPY151231P219</stp>
        <tr r="V587" s="1"/>
      </tp>
      <tp>
        <v>0.57625999999999999</v>
        <stp/>
        <stp>RHO</stp>
        <stp>.SPY151231C210</stp>
        <tr r="K569" s="1"/>
      </tp>
      <tp>
        <v>-0.74106000000000005</v>
        <stp/>
        <stp>RHO</stp>
        <stp>.SPY151231P210</stp>
        <tr r="V569" s="1"/>
      </tp>
      <tp>
        <v>0.56376000000000004</v>
        <stp/>
        <stp>RHO</stp>
        <stp>.SPY151231C211</stp>
        <tr r="K571" s="1"/>
      </tp>
      <tp>
        <v>-0.76571999999999996</v>
        <stp/>
        <stp>RHO</stp>
        <stp>.SPY151231P211</stp>
        <tr r="V571" s="1"/>
      </tp>
      <tp>
        <v>0.55028999999999995</v>
        <stp/>
        <stp>RHO</stp>
        <stp>.SPY151231C212</stp>
        <tr r="K573" s="1"/>
      </tp>
      <tp>
        <v>-0.79098000000000002</v>
        <stp/>
        <stp>RHO</stp>
        <stp>.SPY151231P212</stp>
        <tr r="V573" s="1"/>
      </tp>
      <tp>
        <v>0.53622000000000003</v>
        <stp/>
        <stp>RHO</stp>
        <stp>.SPY151231C213</stp>
        <tr r="K575" s="1"/>
      </tp>
      <tp>
        <v>-0.81657999999999997</v>
        <stp/>
        <stp>RHO</stp>
        <stp>.SPY151231P213</stp>
        <tr r="V575" s="1"/>
      </tp>
      <tp>
        <v>0.52076</v>
        <stp/>
        <stp>RHO</stp>
        <stp>.SPY151231C214</stp>
        <tr r="K577" s="1"/>
      </tp>
      <tp>
        <v>-0.84302999999999995</v>
        <stp/>
        <stp>RHO</stp>
        <stp>.SPY151231P214</stp>
        <tr r="V577" s="1"/>
      </tp>
      <tp>
        <v>0.50468999999999997</v>
        <stp/>
        <stp>RHO</stp>
        <stp>.SPY151231C215</stp>
        <tr r="K579" s="1"/>
      </tp>
      <tp>
        <v>-0.86973</v>
        <stp/>
        <stp>RHO</stp>
        <stp>.SPY151231P215</stp>
        <tr r="V579" s="1"/>
      </tp>
      <tp>
        <v>0.48779</v>
        <stp/>
        <stp>RHO</stp>
        <stp>.SPY151231C216</stp>
        <tr r="K581" s="1"/>
      </tp>
      <tp>
        <v>-0.89729000000000003</v>
        <stp/>
        <stp>RHO</stp>
        <stp>.SPY151231P216</stp>
        <tr r="V581" s="1"/>
      </tp>
      <tp>
        <v>0.47019</v>
        <stp/>
        <stp>RHO</stp>
        <stp>.SPY151231C217</stp>
        <tr r="K583" s="1"/>
      </tp>
      <tp>
        <v>-0.92466000000000004</v>
        <stp/>
        <stp>RHO</stp>
        <stp>.SPY151231P217</stp>
        <tr r="V583" s="1"/>
      </tp>
      <tp>
        <v>0.59872999999999998</v>
        <stp/>
        <stp>RHO</stp>
        <stp>.SPY151231C208</stp>
        <tr r="K565" s="1"/>
      </tp>
      <tp>
        <v>-0.69325000000000003</v>
        <stp/>
        <stp>RHO</stp>
        <stp>.SPY151231P208</stp>
        <tr r="V565" s="1"/>
      </tp>
      <tp>
        <v>0.58796000000000004</v>
        <stp/>
        <stp>RHO</stp>
        <stp>.SPY151231C209</stp>
        <tr r="K567" s="1"/>
      </tp>
      <tp>
        <v>-0.71682999999999997</v>
        <stp/>
        <stp>RHO</stp>
        <stp>.SPY151231P209</stp>
        <tr r="V567" s="1"/>
      </tp>
      <tp>
        <v>0.65192000000000005</v>
        <stp/>
        <stp>RHO</stp>
        <stp>.SPY151231C200</stp>
        <tr r="K549" s="1"/>
      </tp>
      <tp>
        <v>-0.52705999999999997</v>
        <stp/>
        <stp>RHO</stp>
        <stp>.SPY151231P200</stp>
        <tr r="V549" s="1"/>
      </tp>
      <tp>
        <v>0.64834000000000003</v>
        <stp/>
        <stp>RHO</stp>
        <stp>.SPY151231C201</stp>
        <tr r="K551" s="1"/>
      </tp>
      <tp>
        <v>-0.54581000000000002</v>
        <stp/>
        <stp>RHO</stp>
        <stp>.SPY151231P201</stp>
        <tr r="V551" s="1"/>
      </tp>
      <tp>
        <v>0.64393</v>
        <stp/>
        <stp>RHO</stp>
        <stp>.SPY151231C202</stp>
        <tr r="K553" s="1"/>
      </tp>
      <tp>
        <v>-0.56447999999999998</v>
        <stp/>
        <stp>RHO</stp>
        <stp>.SPY151231P202</stp>
        <tr r="V553" s="1"/>
      </tp>
      <tp>
        <v>0.63863000000000003</v>
        <stp/>
        <stp>RHO</stp>
        <stp>.SPY151231C203</stp>
        <tr r="K555" s="1"/>
      </tp>
      <tp>
        <v>-0.58406000000000002</v>
        <stp/>
        <stp>RHO</stp>
        <stp>.SPY151231P203</stp>
        <tr r="V555" s="1"/>
      </tp>
      <tp>
        <v>0.63246000000000002</v>
        <stp/>
        <stp>RHO</stp>
        <stp>.SPY151231C204</stp>
        <tr r="K557" s="1"/>
      </tp>
      <tp>
        <v>-0.60512999999999995</v>
        <stp/>
        <stp>RHO</stp>
        <stp>.SPY151231P204</stp>
        <tr r="V557" s="1"/>
      </tp>
      <tp>
        <v>0.62538000000000005</v>
        <stp/>
        <stp>RHO</stp>
        <stp>.SPY151231C205</stp>
        <tr r="K559" s="1"/>
      </tp>
      <tp>
        <v>-0.62619999999999998</v>
        <stp/>
        <stp>RHO</stp>
        <stp>.SPY151231P205</stp>
        <tr r="V559" s="1"/>
      </tp>
      <tp>
        <v>0.61743000000000003</v>
        <stp/>
        <stp>RHO</stp>
        <stp>.SPY151231C206</stp>
        <tr r="K561" s="1"/>
      </tp>
      <tp>
        <v>-0.64795999999999998</v>
        <stp/>
        <stp>RHO</stp>
        <stp>.SPY151231P206</stp>
        <tr r="V561" s="1"/>
      </tp>
      <tp>
        <v>0.60855000000000004</v>
        <stp/>
        <stp>RHO</stp>
        <stp>.SPY151231C207</stp>
        <tr r="K563" s="1"/>
      </tp>
      <tp>
        <v>-0.67059000000000002</v>
        <stp/>
        <stp>RHO</stp>
        <stp>.SPY151231P207</stp>
        <tr r="V563" s="1"/>
      </tp>
      <tp>
        <v>0.55139000000000005</v>
        <stp/>
        <stp>RHO</stp>
        <stp>.SPY151219C210</stp>
        <tr r="K527" s="1"/>
      </tp>
      <tp>
        <v>-0.70169999999999999</v>
        <stp/>
        <stp>RHO</stp>
        <stp>.SPY151219P210</stp>
        <tr r="V527" s="1"/>
      </tp>
      <tp>
        <v>0.53885000000000005</v>
        <stp/>
        <stp>RHO</stp>
        <stp>.SPY151219C211</stp>
        <tr r="K529" s="1"/>
      </tp>
      <tp>
        <v>-0.72572999999999999</v>
        <stp/>
        <stp>RHO</stp>
        <stp>.SPY151219P211</stp>
        <tr r="V529" s="1"/>
      </tp>
      <tp>
        <v>0.52546999999999999</v>
        <stp/>
        <stp>RHO</stp>
        <stp>.SPY151219C212</stp>
        <tr r="K531" s="1"/>
      </tp>
      <tp>
        <v>-0.75024999999999997</v>
        <stp/>
        <stp>RHO</stp>
        <stp>.SPY151219P212</stp>
        <tr r="V531" s="1"/>
      </tp>
      <tp>
        <v>0.51146999999999998</v>
        <stp/>
        <stp>RHO</stp>
        <stp>.SPY151219C213</stp>
        <tr r="K533" s="1"/>
      </tp>
      <tp>
        <v>-0.77532999999999996</v>
        <stp/>
        <stp>RHO</stp>
        <stp>.SPY151219P213</stp>
        <tr r="V533" s="1"/>
      </tp>
      <tp>
        <v>0.49617</v>
        <stp/>
        <stp>RHO</stp>
        <stp>.SPY151219C214</stp>
        <tr r="K535" s="1"/>
      </tp>
      <tp t="s">
        <v>N/A</v>
        <stp/>
        <stp>RHO</stp>
        <stp>.SPY161216C218</stp>
        <tr r="K795" s="1"/>
      </tp>
      <tp>
        <v>-0.80084</v>
        <stp/>
        <stp>RHO</stp>
        <stp>.SPY151219P214</stp>
        <tr r="V535" s="1"/>
      </tp>
      <tp t="s">
        <v>N/A</v>
        <stp/>
        <stp>RHO</stp>
        <stp>.SPY161216P218</stp>
        <tr r="V795" s="1"/>
      </tp>
      <tp>
        <v>0.48083999999999999</v>
        <stp/>
        <stp>RHO</stp>
        <stp>.SPY151219C215</stp>
        <tr r="K537" s="1"/>
      </tp>
      <tp t="s">
        <v>N/A</v>
        <stp/>
        <stp>RHO</stp>
        <stp>.SPY161216C219</stp>
        <tr r="K797" s="1"/>
      </tp>
      <tp>
        <v>-0.82609999999999995</v>
        <stp/>
        <stp>RHO</stp>
        <stp>.SPY151219P215</stp>
        <tr r="V537" s="1"/>
      </tp>
      <tp t="s">
        <v>N/A</v>
        <stp/>
        <stp>RHO</stp>
        <stp>.SPY161216P219</stp>
        <tr r="V797" s="1"/>
      </tp>
      <tp>
        <v>0.46346999999999999</v>
        <stp/>
        <stp>RHO</stp>
        <stp>.SPY151219C216</stp>
        <tr r="K539" s="1"/>
      </tp>
      <tp t="s">
        <v>N/A</v>
        <stp/>
        <stp>RHO</stp>
        <stp>.SPY171215C218</stp>
        <tr r="K921" s="1"/>
      </tp>
      <tp>
        <v>-0.85321000000000002</v>
        <stp/>
        <stp>RHO</stp>
        <stp>.SPY151219P216</stp>
        <tr r="V539" s="1"/>
      </tp>
      <tp t="s">
        <v>N/A</v>
        <stp/>
        <stp>RHO</stp>
        <stp>.SPY171215P218</stp>
        <tr r="V921" s="1"/>
      </tp>
      <tp>
        <v>0.44624999999999998</v>
        <stp/>
        <stp>RHO</stp>
        <stp>.SPY151219C217</stp>
        <tr r="K541" s="1"/>
      </tp>
      <tp t="s">
        <v>N/A</v>
        <stp/>
        <stp>RHO</stp>
        <stp>.SPY171215C219</stp>
        <tr r="K923" s="1"/>
      </tp>
      <tp>
        <v>-0.88005</v>
        <stp/>
        <stp>RHO</stp>
        <stp>.SPY151219P217</stp>
        <tr r="V541" s="1"/>
      </tp>
      <tp t="s">
        <v>N/A</v>
        <stp/>
        <stp>RHO</stp>
        <stp>.SPY171215P219</stp>
        <tr r="V923" s="1"/>
      </tp>
      <tp>
        <v>0.42835000000000001</v>
        <stp/>
        <stp>RHO</stp>
        <stp>.SPY151219C218</stp>
        <tr r="K543" s="1"/>
      </tp>
      <tp t="s">
        <v>N/A</v>
        <stp/>
        <stp>RHO</stp>
        <stp>.SPY161216C214</stp>
        <tr r="K787" s="1"/>
      </tp>
      <tp t="s">
        <v>N/A</v>
        <stp/>
        <stp>RHO</stp>
        <stp>.SPY171215C216</stp>
        <tr r="K917" s="1"/>
      </tp>
      <tp>
        <v>-0.90615999999999997</v>
        <stp/>
        <stp>RHO</stp>
        <stp>.SPY151219P218</stp>
        <tr r="V543" s="1"/>
      </tp>
      <tp t="s">
        <v>N/A</v>
        <stp/>
        <stp>RHO</stp>
        <stp>.SPY161216P214</stp>
        <tr r="V787" s="1"/>
      </tp>
      <tp t="s">
        <v>N/A</v>
        <stp/>
        <stp>RHO</stp>
        <stp>.SPY171215P216</stp>
        <tr r="V917" s="1"/>
      </tp>
      <tp>
        <v>0.41052</v>
        <stp/>
        <stp>RHO</stp>
        <stp>.SPY151219C219</stp>
        <tr r="K545" s="1"/>
      </tp>
      <tp>
        <v>1.1700900000000001</v>
        <stp/>
        <stp>RHO</stp>
        <stp>.SPY161216C215</stp>
        <tr r="K789" s="1"/>
      </tp>
      <tp t="s">
        <v>N/A</v>
        <stp/>
        <stp>RHO</stp>
        <stp>.SPY171215C217</stp>
        <tr r="K919" s="1"/>
      </tp>
      <tp>
        <v>-0.93311999999999995</v>
        <stp/>
        <stp>RHO</stp>
        <stp>.SPY151219P219</stp>
        <tr r="V545" s="1"/>
      </tp>
      <tp>
        <v>-2.1438199999999998</v>
        <stp/>
        <stp>RHO</stp>
        <stp>.SPY161216P215</stp>
        <tr r="V789" s="1"/>
      </tp>
      <tp t="s">
        <v>N/A</v>
        <stp/>
        <stp>RHO</stp>
        <stp>.SPY171215P217</stp>
        <tr r="V919" s="1"/>
      </tp>
      <tp t="s">
        <v>N/A</v>
        <stp/>
        <stp>RHO</stp>
        <stp>.SPY161216C216</stp>
        <tr r="K791" s="1"/>
      </tp>
      <tp t="s">
        <v>N/A</v>
        <stp/>
        <stp>RHO</stp>
        <stp>.SPY171215C214</stp>
        <tr r="K913" s="1"/>
      </tp>
      <tp t="s">
        <v>N/A</v>
        <stp/>
        <stp>RHO</stp>
        <stp>.SPY161216P216</stp>
        <tr r="V791" s="1"/>
      </tp>
      <tp t="s">
        <v>N/A</v>
        <stp/>
        <stp>RHO</stp>
        <stp>.SPY171215P214</stp>
        <tr r="V913" s="1"/>
      </tp>
      <tp t="s">
        <v>N/A</v>
        <stp/>
        <stp>RHO</stp>
        <stp>.SPY161216C217</stp>
        <tr r="K793" s="1"/>
      </tp>
      <tp>
        <v>1.76075</v>
        <stp/>
        <stp>RHO</stp>
        <stp>.SPY171215C215</stp>
        <tr r="K915" s="1"/>
      </tp>
      <tp t="s">
        <v>N/A</v>
        <stp/>
        <stp>RHO</stp>
        <stp>.SPY161216P217</stp>
        <tr r="V793" s="1"/>
      </tp>
      <tp>
        <v>-3.5343100000000001</v>
        <stp/>
        <stp>RHO</stp>
        <stp>.SPY171215P215</stp>
        <tr r="V915" s="1"/>
      </tp>
      <tp>
        <v>1.2363</v>
        <stp/>
        <stp>RHO</stp>
        <stp>.SPY161216C210</stp>
        <tr r="K779" s="1"/>
      </tp>
      <tp t="s">
        <v>N/A</v>
        <stp/>
        <stp>RHO</stp>
        <stp>.SPY171215C212</stp>
        <tr r="K909" s="1"/>
      </tp>
      <tp>
        <v>-1.9466600000000001</v>
        <stp/>
        <stp>RHO</stp>
        <stp>.SPY161216P210</stp>
        <tr r="V779" s="1"/>
      </tp>
      <tp t="s">
        <v>N/A</v>
        <stp/>
        <stp>RHO</stp>
        <stp>.SPY171215P212</stp>
        <tr r="V909" s="1"/>
      </tp>
      <tp t="s">
        <v>N/A</v>
        <stp/>
        <stp>RHO</stp>
        <stp>.SPY161216C211</stp>
        <tr r="K781" s="1"/>
      </tp>
      <tp t="s">
        <v>N/A</v>
        <stp/>
        <stp>RHO</stp>
        <stp>.SPY171215C213</stp>
        <tr r="K911" s="1"/>
      </tp>
      <tp t="s">
        <v>N/A</v>
        <stp/>
        <stp>RHO</stp>
        <stp>.SPY161216P211</stp>
        <tr r="V781" s="1"/>
      </tp>
      <tp t="s">
        <v>N/A</v>
        <stp/>
        <stp>RHO</stp>
        <stp>.SPY171215P213</stp>
        <tr r="V911" s="1"/>
      </tp>
      <tp t="s">
        <v>N/A</v>
        <stp/>
        <stp>RHO</stp>
        <stp>.SPY161216C212</stp>
        <tr r="K783" s="1"/>
      </tp>
      <tp>
        <v>1.81534</v>
        <stp/>
        <stp>RHO</stp>
        <stp>.SPY171215C210</stp>
        <tr r="K905" s="1"/>
      </tp>
      <tp t="s">
        <v>N/A</v>
        <stp/>
        <stp>RHO</stp>
        <stp>.SPY161216P212</stp>
        <tr r="V783" s="1"/>
      </tp>
      <tp>
        <v>-3.2732999999999999</v>
        <stp/>
        <stp>RHO</stp>
        <stp>.SPY171215P210</stp>
        <tr r="V905" s="1"/>
      </tp>
      <tp t="s">
        <v>N/A</v>
        <stp/>
        <stp>RHO</stp>
        <stp>.SPY161216C213</stp>
        <tr r="K785" s="1"/>
      </tp>
      <tp t="s">
        <v>N/A</v>
        <stp/>
        <stp>RHO</stp>
        <stp>.SPY171215C211</stp>
        <tr r="K907" s="1"/>
      </tp>
      <tp t="s">
        <v>N/A</v>
        <stp/>
        <stp>RHO</stp>
        <stp>.SPY161216P213</stp>
        <tr r="V785" s="1"/>
      </tp>
      <tp t="s">
        <v>N/A</v>
        <stp/>
        <stp>RHO</stp>
        <stp>.SPY171215P211</stp>
        <tr r="V907" s="1"/>
      </tp>
      <tp>
        <v>0.62548999999999999</v>
        <stp/>
        <stp>RHO</stp>
        <stp>.SPY151219C200</stp>
        <tr r="K507" s="1"/>
      </tp>
      <tp>
        <v>-0.49503000000000003</v>
        <stp/>
        <stp>RHO</stp>
        <stp>.SPY151219P200</stp>
        <tr r="V507" s="1"/>
      </tp>
      <tp>
        <v>0.62209000000000003</v>
        <stp/>
        <stp>RHO</stp>
        <stp>.SPY151219C201</stp>
        <tr r="K509" s="1"/>
      </tp>
      <tp>
        <v>-0.51278999999999997</v>
        <stp/>
        <stp>RHO</stp>
        <stp>.SPY151219P201</stp>
        <tr r="V509" s="1"/>
      </tp>
      <tp>
        <v>0.61782999999999999</v>
        <stp/>
        <stp>RHO</stp>
        <stp>.SPY151219C202</stp>
        <tr r="K511" s="1"/>
      </tp>
      <tp>
        <v>-0.53107000000000004</v>
        <stp/>
        <stp>RHO</stp>
        <stp>.SPY151219P202</stp>
        <tr r="V511" s="1"/>
      </tp>
      <tp>
        <v>0.61267000000000005</v>
        <stp/>
        <stp>RHO</stp>
        <stp>.SPY151219C203</stp>
        <tr r="K513" s="1"/>
      </tp>
      <tp>
        <v>-0.55071000000000003</v>
        <stp/>
        <stp>RHO</stp>
        <stp>.SPY151219P203</stp>
        <tr r="V513" s="1"/>
      </tp>
      <tp>
        <v>0.60668</v>
        <stp/>
        <stp>RHO</stp>
        <stp>.SPY151219C204</stp>
        <tr r="K515" s="1"/>
      </tp>
      <tp t="s">
        <v>N/A</v>
        <stp/>
        <stp>RHO</stp>
        <stp>.SPY161216C208</stp>
        <tr r="K775" s="1"/>
      </tp>
      <tp>
        <v>-0.57025000000000003</v>
        <stp/>
        <stp>RHO</stp>
        <stp>.SPY151219P204</stp>
        <tr r="V515" s="1"/>
      </tp>
      <tp t="s">
        <v>N/A</v>
        <stp/>
        <stp>RHO</stp>
        <stp>.SPY161216P208</stp>
        <tr r="V775" s="1"/>
      </tp>
      <tp>
        <v>0.59975999999999996</v>
        <stp/>
        <stp>RHO</stp>
        <stp>.SPY151219C205</stp>
        <tr r="K517" s="1"/>
      </tp>
      <tp t="s">
        <v>N/A</v>
        <stp/>
        <stp>RHO</stp>
        <stp>.SPY161216C209</stp>
        <tr r="K777" s="1"/>
      </tp>
      <tp>
        <v>-0.59091000000000005</v>
        <stp/>
        <stp>RHO</stp>
        <stp>.SPY151219P205</stp>
        <tr r="V517" s="1"/>
      </tp>
      <tp t="s">
        <v>N/A</v>
        <stp/>
        <stp>RHO</stp>
        <stp>.SPY161216P209</stp>
        <tr r="V777" s="1"/>
      </tp>
      <tp>
        <v>0.59194999999999998</v>
        <stp/>
        <stp>RHO</stp>
        <stp>.SPY151219C206</stp>
        <tr r="K519" s="1"/>
      </tp>
      <tp t="s">
        <v>N/A</v>
        <stp/>
        <stp>RHO</stp>
        <stp>.SPY171215C208</stp>
        <tr r="K901" s="1"/>
      </tp>
      <tp>
        <v>-0.61158999999999997</v>
        <stp/>
        <stp>RHO</stp>
        <stp>.SPY151219P206</stp>
        <tr r="V519" s="1"/>
      </tp>
      <tp t="s">
        <v>N/A</v>
        <stp/>
        <stp>RHO</stp>
        <stp>.SPY171215P208</stp>
        <tr r="V901" s="1"/>
      </tp>
      <tp>
        <v>0.58321000000000001</v>
        <stp/>
        <stp>RHO</stp>
        <stp>.SPY151219C207</stp>
        <tr r="K521" s="1"/>
      </tp>
      <tp t="s">
        <v>N/A</v>
        <stp/>
        <stp>RHO</stp>
        <stp>.SPY171215C209</stp>
        <tr r="K903" s="1"/>
      </tp>
      <tp>
        <v>-0.63353000000000004</v>
        <stp/>
        <stp>RHO</stp>
        <stp>.SPY151219P207</stp>
        <tr r="V521" s="1"/>
      </tp>
      <tp t="s">
        <v>N/A</v>
        <stp/>
        <stp>RHO</stp>
        <stp>.SPY171215P209</stp>
        <tr r="V903" s="1"/>
      </tp>
      <tp>
        <v>0.57352999999999998</v>
        <stp/>
        <stp>RHO</stp>
        <stp>.SPY151219C208</stp>
        <tr r="K523" s="1"/>
      </tp>
      <tp t="s">
        <v>N/A</v>
        <stp/>
        <stp>RHO</stp>
        <stp>.SPY161216C204</stp>
        <tr r="K767" s="1"/>
      </tp>
      <tp t="s">
        <v>N/A</v>
        <stp/>
        <stp>RHO</stp>
        <stp>.SPY171215C206</stp>
        <tr r="K897" s="1"/>
      </tp>
      <tp>
        <v>-0.65541000000000005</v>
        <stp/>
        <stp>RHO</stp>
        <stp>.SPY151219P208</stp>
        <tr r="V523" s="1"/>
      </tp>
      <tp t="s">
        <v>N/A</v>
        <stp/>
        <stp>RHO</stp>
        <stp>.SPY161216P204</stp>
        <tr r="V767" s="1"/>
      </tp>
      <tp t="s">
        <v>N/A</v>
        <stp/>
        <stp>RHO</stp>
        <stp>.SPY171215P206</stp>
        <tr r="V897" s="1"/>
      </tp>
      <tp>
        <v>0.56289</v>
        <stp/>
        <stp>RHO</stp>
        <stp>.SPY151219C209</stp>
        <tr r="K525" s="1"/>
      </tp>
      <tp>
        <v>1.2862800000000001</v>
        <stp/>
        <stp>RHO</stp>
        <stp>.SPY161216C205</stp>
        <tr r="K769" s="1"/>
      </tp>
      <tp t="s">
        <v>N/A</v>
        <stp/>
        <stp>RHO</stp>
        <stp>.SPY171215C207</stp>
        <tr r="K899" s="1"/>
      </tp>
      <tp>
        <v>-0.67842000000000002</v>
        <stp/>
        <stp>RHO</stp>
        <stp>.SPY151219P209</stp>
        <tr r="V525" s="1"/>
      </tp>
      <tp>
        <v>-1.7616700000000001</v>
        <stp/>
        <stp>RHO</stp>
        <stp>.SPY161216P205</stp>
        <tr r="V769" s="1"/>
      </tp>
      <tp t="s">
        <v>N/A</v>
        <stp/>
        <stp>RHO</stp>
        <stp>.SPY171215P207</stp>
        <tr r="V899" s="1"/>
      </tp>
      <tp t="s">
        <v>N/A</v>
        <stp/>
        <stp>RHO</stp>
        <stp>.SPY161216C206</stp>
        <tr r="K771" s="1"/>
      </tp>
      <tp t="s">
        <v>N/A</v>
        <stp/>
        <stp>RHO</stp>
        <stp>.SPY171215C204</stp>
        <tr r="K893" s="1"/>
      </tp>
      <tp t="s">
        <v>N/A</v>
        <stp/>
        <stp>RHO</stp>
        <stp>.SPY161216P206</stp>
        <tr r="V771" s="1"/>
      </tp>
      <tp t="s">
        <v>N/A</v>
        <stp/>
        <stp>RHO</stp>
        <stp>.SPY171215P204</stp>
        <tr r="V893" s="1"/>
      </tp>
      <tp t="s">
        <v>N/A</v>
        <stp/>
        <stp>RHO</stp>
        <stp>.SPY161216C207</stp>
        <tr r="K773" s="1"/>
      </tp>
      <tp>
        <v>1.85697</v>
        <stp/>
        <stp>RHO</stp>
        <stp>.SPY171215C205</stp>
        <tr r="K895" s="1"/>
      </tp>
      <tp t="s">
        <v>N/A</v>
        <stp/>
        <stp>RHO</stp>
        <stp>.SPY161216P207</stp>
        <tr r="V773" s="1"/>
      </tp>
      <tp>
        <v>-3.0268999999999999</v>
        <stp/>
        <stp>RHO</stp>
        <stp>.SPY171215P205</stp>
        <tr r="V895" s="1"/>
      </tp>
      <tp>
        <v>1.3191600000000001</v>
        <stp/>
        <stp>RHO</stp>
        <stp>.SPY161216C200</stp>
        <tr r="K759" s="1"/>
      </tp>
      <tp t="s">
        <v>N/A</v>
        <stp/>
        <stp>RHO</stp>
        <stp>.SPY171215C202</stp>
        <tr r="K889" s="1"/>
      </tp>
      <tp>
        <v>-1.5928500000000001</v>
        <stp/>
        <stp>RHO</stp>
        <stp>.SPY161216P200</stp>
        <tr r="V759" s="1"/>
      </tp>
      <tp t="s">
        <v>N/A</v>
        <stp/>
        <stp>RHO</stp>
        <stp>.SPY171215P202</stp>
        <tr r="V889" s="1"/>
      </tp>
      <tp t="s">
        <v>N/A</v>
        <stp/>
        <stp>RHO</stp>
        <stp>.SPY161216C201</stp>
        <tr r="K761" s="1"/>
      </tp>
      <tp t="s">
        <v>N/A</v>
        <stp/>
        <stp>RHO</stp>
        <stp>.SPY171215C203</stp>
        <tr r="K891" s="1"/>
      </tp>
      <tp t="s">
        <v>N/A</v>
        <stp/>
        <stp>RHO</stp>
        <stp>.SPY161216P201</stp>
        <tr r="V761" s="1"/>
      </tp>
      <tp t="s">
        <v>N/A</v>
        <stp/>
        <stp>RHO</stp>
        <stp>.SPY171215P203</stp>
        <tr r="V891" s="1"/>
      </tp>
      <tp t="s">
        <v>N/A</v>
        <stp/>
        <stp>RHO</stp>
        <stp>.SPY161216C202</stp>
        <tr r="K763" s="1"/>
      </tp>
      <tp>
        <v>1.88489</v>
        <stp/>
        <stp>RHO</stp>
        <stp>.SPY171215C200</stp>
        <tr r="K885" s="1"/>
      </tp>
      <tp t="s">
        <v>N/A</v>
        <stp/>
        <stp>RHO</stp>
        <stp>.SPY161216P202</stp>
        <tr r="V763" s="1"/>
      </tp>
      <tp>
        <v>-2.7919200000000002</v>
        <stp/>
        <stp>RHO</stp>
        <stp>.SPY171215P200</stp>
        <tr r="V885" s="1"/>
      </tp>
      <tp t="s">
        <v>N/A</v>
        <stp/>
        <stp>RHO</stp>
        <stp>.SPY161216C203</stp>
        <tr r="K765" s="1"/>
      </tp>
      <tp t="s">
        <v>N/A</v>
        <stp/>
        <stp>RHO</stp>
        <stp>.SPY171215C201</stp>
        <tr r="K887" s="1"/>
      </tp>
      <tp t="s">
        <v>N/A</v>
        <stp/>
        <stp>RHO</stp>
        <stp>.SPY161216P203</stp>
        <tr r="V765" s="1"/>
      </tp>
      <tp t="s">
        <v>N/A</v>
        <stp/>
        <stp>RHO</stp>
        <stp>.SPY171215P201</stp>
        <tr r="V887" s="1"/>
      </tp>
      <tp>
        <v>0</v>
        <stp/>
        <stp>BID_SIZE</stp>
        <stp>.SPY150417P215.5</stp>
        <tr r="O34" s="1"/>
      </tp>
      <tp>
        <v>0</v>
        <stp/>
        <stp>BID_SIZE</stp>
        <stp>.SPY150417P205.5</stp>
        <tr r="O14" s="1"/>
      </tp>
      <tp>
        <v>0</v>
        <stp/>
        <stp>BID_SIZE</stp>
        <stp>.SPY150424P206.5</stp>
        <tr r="O58" s="1"/>
      </tp>
      <tp>
        <v>0</v>
        <stp/>
        <stp>BID_SIZE</stp>
        <stp>.SPY150424P216.5</stp>
        <tr r="O78" s="1"/>
      </tp>
      <tp>
        <v>0</v>
        <stp/>
        <stp>BID_SIZE</stp>
        <stp>.SPY150501P203.5</stp>
        <tr r="O94" s="1"/>
      </tp>
      <tp>
        <v>250</v>
        <stp/>
        <stp>BID_SIZE</stp>
        <stp>.SPY150515P217.5</stp>
        <tr r="O206" s="1"/>
      </tp>
      <tp>
        <v>0</v>
        <stp/>
        <stp>BID_SIZE</stp>
        <stp>.SPY150501P213.5</stp>
        <tr r="O114" s="1"/>
      </tp>
      <tp>
        <v>250</v>
        <stp/>
        <stp>BID_SIZE</stp>
        <stp>.SPY150515P207.5</stp>
        <tr r="O186" s="1"/>
      </tp>
      <tp>
        <v>199</v>
        <stp/>
        <stp>BID_SIZE</stp>
        <stp>.SPY150522P200.5</stp>
        <tr r="O214" s="1"/>
      </tp>
      <tp>
        <v>160</v>
        <stp/>
        <stp>BID_SIZE</stp>
        <stp>.SPY150522P210.5</stp>
        <tr r="O234" s="1"/>
      </tp>
      <tp t="s">
        <v>N/A</v>
        <stp/>
        <stp>ASK_SIZE</stp>
        <stp>.SPY150619P214.5</stp>
        <tr r="M326" s="1"/>
      </tp>
      <tp t="s">
        <v>N/A</v>
        <stp/>
        <stp>ASK_SIZE</stp>
        <stp>.SPY160617P219.5</stp>
        <tr r="M714" s="1"/>
      </tp>
      <tp t="s">
        <v>N/A</v>
        <stp/>
        <stp>ASK_SIZE</stp>
        <stp>.SPY150619P204.5</stp>
        <tr r="M306" s="1"/>
      </tp>
      <tp t="s">
        <v>N/A</v>
        <stp/>
        <stp>ASK_SIZE</stp>
        <stp>.SPY160617P209.5</stp>
        <tr r="M694" s="1"/>
      </tp>
      <tp t="s">
        <v>N/A</v>
        <stp/>
        <stp>BID_SIZE</stp>
        <stp>.SPY160617P216.5</stp>
        <tr r="O708" s="1"/>
      </tp>
      <tp t="s">
        <v>N/A</v>
        <stp/>
        <stp>BID_SIZE</stp>
        <stp>.SPY160617P206.5</stp>
        <tr r="O688" s="1"/>
      </tp>
      <tp t="s">
        <v>N/A</v>
        <stp/>
        <stp>BID_SIZE</stp>
        <stp>.SPY150630P212.5</stp>
        <tr r="O364" s="1"/>
      </tp>
      <tp t="s">
        <v>N/A</v>
        <stp/>
        <stp>BID_SIZE</stp>
        <stp>.SPY150630P202.5</stp>
        <tr r="O344" s="1"/>
      </tp>
      <tp>
        <v>240</v>
        <stp/>
        <stp>ASK_SIZE</stp>
        <stp>.SPY150529P204.5</stp>
        <tr r="M264" s="1"/>
      </tp>
      <tp>
        <v>240</v>
        <stp/>
        <stp>ASK_SIZE</stp>
        <stp>.SPY150529P214.5</stp>
        <tr r="M284" s="1"/>
      </tp>
      <tp>
        <v>1766</v>
        <stp/>
        <stp>ASK_SIZE</stp>
        <stp>.SPY150508P205.5</stp>
        <tr r="M140" s="1"/>
      </tp>
      <tp>
        <v>250</v>
        <stp/>
        <stp>ASK_SIZE</stp>
        <stp>.SPY150515P218.5</stp>
        <tr r="M208" s="1"/>
      </tp>
      <tp>
        <v>100</v>
        <stp/>
        <stp>ASK_SIZE</stp>
        <stp>.SPY150508P215.5</stp>
        <tr r="M160" s="1"/>
      </tp>
      <tp>
        <v>262</v>
        <stp/>
        <stp>ASK_SIZE</stp>
        <stp>.SPY150515P208.5</stp>
        <tr r="M188" s="1"/>
      </tp>
      <tp t="s">
        <v>N/A</v>
        <stp/>
        <stp>BID_SIZE</stp>
        <stp>.SPY150717P215.5</stp>
        <tr r="O412" s="1"/>
      </tp>
      <tp t="s">
        <v>N/A</v>
        <stp/>
        <stp>BID_SIZE</stp>
        <stp>.SPY150717P205.5</stp>
        <tr r="O392" s="1"/>
      </tp>
      <tp>
        <v>0</v>
        <stp/>
        <stp>ASK_SIZE</stp>
        <stp>.SPY150424P209.5</stp>
        <tr r="M64" s="1"/>
      </tp>
      <tp>
        <v>0</v>
        <stp/>
        <stp>ASK_SIZE</stp>
        <stp>.SPY150424P219.5</stp>
        <tr r="M84" s="1"/>
      </tp>
      <tp t="s">
        <v>N/A</v>
        <stp/>
        <stp>ASK_SIZE</stp>
        <stp>.SPY160318P216.5</stp>
        <tr r="M666" s="1"/>
      </tp>
      <tp t="s">
        <v>N/A</v>
        <stp/>
        <stp>ASK_SIZE</stp>
        <stp>.SPY170317P218.5</stp>
        <tr r="M880" s="1"/>
      </tp>
      <tp t="s">
        <v>N/A</v>
        <stp/>
        <stp>ASK_SIZE</stp>
        <stp>.SPY160318P206.5</stp>
        <tr r="M646" s="1"/>
      </tp>
      <tp t="s">
        <v>N/A</v>
        <stp/>
        <stp>ASK_SIZE</stp>
        <stp>.SPY170317P208.5</stp>
        <tr r="M860" s="1"/>
      </tp>
      <tp t="s">
        <v>N/A</v>
        <stp/>
        <stp>BID_SIZE</stp>
        <stp>.SPY160115P214.5</stp>
        <tr r="O620" s="1"/>
      </tp>
      <tp t="s">
        <v>N/A</v>
        <stp/>
        <stp>BID_SIZE</stp>
        <stp>.SPY160115P204.5</stp>
        <tr r="O600" s="1"/>
      </tp>
      <tp t="s">
        <v>N/A</v>
        <stp/>
        <stp>BID_SIZE</stp>
        <stp>.SPY170120P200.5</stp>
        <tr r="O802" s="1"/>
      </tp>
      <tp t="s">
        <v>N/A</v>
        <stp/>
        <stp>BID_SIZE</stp>
        <stp>.SPY170120P210.5</stp>
        <tr r="O822" s="1"/>
      </tp>
      <tp t="s">
        <v>N/A</v>
        <stp/>
        <stp>BID_SIZE</stp>
        <stp>.SPY160318P219.5</stp>
        <tr r="O672" s="1"/>
      </tp>
      <tp t="s">
        <v>N/A</v>
        <stp/>
        <stp>BID_SIZE</stp>
        <stp>.SPY170317P217.5</stp>
        <tr r="O878" s="1"/>
      </tp>
      <tp t="s">
        <v>N/A</v>
        <stp/>
        <stp>BID_SIZE</stp>
        <stp>.SPY160318P209.5</stp>
        <tr r="O652" s="1"/>
      </tp>
      <tp t="s">
        <v>N/A</v>
        <stp/>
        <stp>BID_SIZE</stp>
        <stp>.SPY170317P207.5</stp>
        <tr r="O858" s="1"/>
      </tp>
      <tp t="s">
        <v>N/A</v>
        <stp/>
        <stp>BID_SIZE</stp>
        <stp>.SPY160916P217.5</stp>
        <tr r="O752" s="1"/>
      </tp>
      <tp t="s">
        <v>N/A</v>
        <stp/>
        <stp>BID_SIZE</stp>
        <stp>.SPY160916P207.5</stp>
        <tr r="O732" s="1"/>
      </tp>
      <tp t="s">
        <v>N/A</v>
        <stp/>
        <stp>BID_SIZE</stp>
        <stp>.SPY150930P212.5</stp>
        <tr r="O490" s="1"/>
      </tp>
      <tp t="s">
        <v>N/A</v>
        <stp/>
        <stp>BID_SIZE</stp>
        <stp>.SPY150930P202.5</stp>
        <tr r="O470" s="1"/>
      </tp>
      <tp t="s">
        <v>N/A</v>
        <stp/>
        <stp>ASK_SIZE</stp>
        <stp>.SPY150918P215.5</stp>
        <tr r="M454" s="1"/>
      </tp>
      <tp t="s">
        <v>N/A</v>
        <stp/>
        <stp>ASK_SIZE</stp>
        <stp>.SPY160916P218.5</stp>
        <tr r="M754" s="1"/>
      </tp>
      <tp t="s">
        <v>N/A</v>
        <stp/>
        <stp>ASK_SIZE</stp>
        <stp>.SPY150918P205.5</stp>
        <tr r="M434" s="1"/>
      </tp>
      <tp t="s">
        <v>N/A</v>
        <stp/>
        <stp>ASK_SIZE</stp>
        <stp>.SPY160916P208.5</stp>
        <tr r="M734" s="1"/>
      </tp>
      <tp t="s">
        <v>N/A</v>
        <stp/>
        <stp>ASK_SIZE</stp>
        <stp>.SPY151219P214.5</stp>
        <tr r="M536" s="1"/>
      </tp>
      <tp t="s">
        <v>N/A</v>
        <stp/>
        <stp>ASK_SIZE</stp>
        <stp>.SPY161216P218.5</stp>
        <tr r="M796" s="1"/>
      </tp>
      <tp t="s">
        <v>N/A</v>
        <stp/>
        <stp>ASK_SIZE</stp>
        <stp>.SPY151219P204.5</stp>
        <tr r="M516" s="1"/>
      </tp>
      <tp t="s">
        <v>N/A</v>
        <stp/>
        <stp>ASK_SIZE</stp>
        <stp>.SPY161216P208.5</stp>
        <tr r="M776" s="1"/>
      </tp>
      <tp t="s">
        <v>N/A</v>
        <stp/>
        <stp>BID_SIZE</stp>
        <stp>.SPY161216P217.5</stp>
        <tr r="O794" s="1"/>
      </tp>
      <tp t="s">
        <v>N/A</v>
        <stp/>
        <stp>BID_SIZE</stp>
        <stp>.SPY171215P215.5</stp>
        <tr r="O916" s="1"/>
      </tp>
      <tp t="s">
        <v>N/A</v>
        <stp/>
        <stp>BID_SIZE</stp>
        <stp>.SPY161216P207.5</stp>
        <tr r="O774" s="1"/>
      </tp>
      <tp t="s">
        <v>N/A</v>
        <stp/>
        <stp>BID_SIZE</stp>
        <stp>.SPY171215P205.5</stp>
        <tr r="O896" s="1"/>
      </tp>
      <tp t="s">
        <v>N/A</v>
        <stp/>
        <stp>BID_SIZE</stp>
        <stp>.SPY151231P213.5</stp>
        <tr r="O576" s="1"/>
      </tp>
      <tp t="s">
        <v>N/A</v>
        <stp/>
        <stp>BID_SIZE</stp>
        <stp>.SPY151231P203.5</stp>
        <tr r="O556" s="1"/>
      </tp>
      <tp t="s">
        <v>N/A</v>
        <stp/>
        <stp>ASK_SIZE</stp>
        <stp>.SPY151219C214.5</stp>
        <tr r="B536" s="1"/>
      </tp>
      <tp t="s">
        <v>N/A</v>
        <stp/>
        <stp>ASK_SIZE</stp>
        <stp>.SPY161216C218.5</stp>
        <tr r="B796" s="1"/>
      </tp>
      <tp t="s">
        <v>N/A</v>
        <stp/>
        <stp>ASK_SIZE</stp>
        <stp>.SPY151219C204.5</stp>
        <tr r="B516" s="1"/>
      </tp>
      <tp t="s">
        <v>N/A</v>
        <stp/>
        <stp>ASK_SIZE</stp>
        <stp>.SPY161216C208.5</stp>
        <tr r="B776" s="1"/>
      </tp>
      <tp t="s">
        <v>N/A</v>
        <stp/>
        <stp>BID_SIZE</stp>
        <stp>.SPY161216C217.5</stp>
        <tr r="D794" s="1"/>
      </tp>
      <tp t="s">
        <v>N/A</v>
        <stp/>
        <stp>BID_SIZE</stp>
        <stp>.SPY171215C215.5</stp>
        <tr r="D916" s="1"/>
      </tp>
      <tp t="s">
        <v>N/A</v>
        <stp/>
        <stp>BID_SIZE</stp>
        <stp>.SPY161216C207.5</stp>
        <tr r="D774" s="1"/>
      </tp>
      <tp t="s">
        <v>N/A</v>
        <stp/>
        <stp>BID_SIZE</stp>
        <stp>.SPY171215C205.5</stp>
        <tr r="D896" s="1"/>
      </tp>
      <tp t="s">
        <v>N/A</v>
        <stp/>
        <stp>BID_SIZE</stp>
        <stp>.SPY151231C213.5</stp>
        <tr r="D576" s="1"/>
      </tp>
      <tp t="s">
        <v>N/A</v>
        <stp/>
        <stp>BID_SIZE</stp>
        <stp>.SPY151231C203.5</stp>
        <tr r="D556" s="1"/>
      </tp>
      <tp>
        <v>0</v>
        <stp/>
        <stp>BID_SIZE</stp>
        <stp>.SPY150417C215.5</stp>
        <tr r="D34" s="1"/>
      </tp>
      <tp>
        <v>0</v>
        <stp/>
        <stp>BID_SIZE</stp>
        <stp>.SPY150417C205.5</stp>
        <tr r="D14" s="1"/>
      </tp>
      <tp>
        <v>0</v>
        <stp/>
        <stp>BID_SIZE</stp>
        <stp>.SPY150424C206.5</stp>
        <tr r="D58" s="1"/>
      </tp>
      <tp>
        <v>0</v>
        <stp/>
        <stp>BID_SIZE</stp>
        <stp>.SPY150424C216.5</stp>
        <tr r="D78" s="1"/>
      </tp>
      <tp>
        <v>0</v>
        <stp/>
        <stp>BID_SIZE</stp>
        <stp>.SPY150501C203.5</stp>
        <tr r="D94" s="1"/>
      </tp>
      <tp>
        <v>3000</v>
        <stp/>
        <stp>BID_SIZE</stp>
        <stp>.SPY150515C217.5</stp>
        <tr r="D206" s="1"/>
      </tp>
      <tp>
        <v>0</v>
        <stp/>
        <stp>BID_SIZE</stp>
        <stp>.SPY150501C213.5</stp>
        <tr r="D114" s="1"/>
      </tp>
      <tp>
        <v>349</v>
        <stp/>
        <stp>BID_SIZE</stp>
        <stp>.SPY150515C207.5</stp>
        <tr r="D186" s="1"/>
      </tp>
      <tp>
        <v>111</v>
        <stp/>
        <stp>BID_SIZE</stp>
        <stp>.SPY150522C200.5</stp>
        <tr r="D214" s="1"/>
      </tp>
      <tp>
        <v>111</v>
        <stp/>
        <stp>BID_SIZE</stp>
        <stp>.SPY150522C210.5</stp>
        <tr r="D234" s="1"/>
      </tp>
      <tp t="s">
        <v>N/A</v>
        <stp/>
        <stp>ASK_SIZE</stp>
        <stp>.SPY150619C214.5</stp>
        <tr r="B326" s="1"/>
      </tp>
      <tp t="s">
        <v>N/A</v>
        <stp/>
        <stp>ASK_SIZE</stp>
        <stp>.SPY160617C219.5</stp>
        <tr r="B714" s="1"/>
      </tp>
      <tp t="s">
        <v>N/A</v>
        <stp/>
        <stp>ASK_SIZE</stp>
        <stp>.SPY150619C204.5</stp>
        <tr r="B306" s="1"/>
      </tp>
      <tp t="s">
        <v>N/A</v>
        <stp/>
        <stp>ASK_SIZE</stp>
        <stp>.SPY160617C209.5</stp>
        <tr r="B694" s="1"/>
      </tp>
      <tp t="s">
        <v>N/A</v>
        <stp/>
        <stp>BID_SIZE</stp>
        <stp>.SPY160617C216.5</stp>
        <tr r="D708" s="1"/>
      </tp>
      <tp t="s">
        <v>N/A</v>
        <stp/>
        <stp>BID_SIZE</stp>
        <stp>.SPY160617C206.5</stp>
        <tr r="D688" s="1"/>
      </tp>
      <tp t="s">
        <v>N/A</v>
        <stp/>
        <stp>BID_SIZE</stp>
        <stp>.SPY150630C212.5</stp>
        <tr r="D364" s="1"/>
      </tp>
      <tp t="s">
        <v>N/A</v>
        <stp/>
        <stp>BID_SIZE</stp>
        <stp>.SPY150630C202.5</stp>
        <tr r="D344" s="1"/>
      </tp>
      <tp>
        <v>249</v>
        <stp/>
        <stp>ASK_SIZE</stp>
        <stp>.SPY150529C204.5</stp>
        <tr r="B264" s="1"/>
      </tp>
      <tp>
        <v>268</v>
        <stp/>
        <stp>ASK_SIZE</stp>
        <stp>.SPY150529C214.5</stp>
        <tr r="B284" s="1"/>
      </tp>
      <tp>
        <v>199</v>
        <stp/>
        <stp>ASK_SIZE</stp>
        <stp>.SPY150508C205.5</stp>
        <tr r="B140" s="1"/>
      </tp>
      <tp>
        <v>3000</v>
        <stp/>
        <stp>ASK_SIZE</stp>
        <stp>.SPY150515C218.5</stp>
        <tr r="B208" s="1"/>
      </tp>
      <tp>
        <v>1200</v>
        <stp/>
        <stp>ASK_SIZE</stp>
        <stp>.SPY150508C215.5</stp>
        <tr r="B160" s="1"/>
      </tp>
      <tp>
        <v>349</v>
        <stp/>
        <stp>ASK_SIZE</stp>
        <stp>.SPY150515C208.5</stp>
        <tr r="B188" s="1"/>
      </tp>
      <tp t="s">
        <v>N/A</v>
        <stp/>
        <stp>BID_SIZE</stp>
        <stp>.SPY150717C215.5</stp>
        <tr r="D412" s="1"/>
      </tp>
      <tp t="s">
        <v>N/A</v>
        <stp/>
        <stp>BID_SIZE</stp>
        <stp>.SPY150717C205.5</stp>
        <tr r="D392" s="1"/>
      </tp>
      <tp>
        <v>0</v>
        <stp/>
        <stp>ASK_SIZE</stp>
        <stp>.SPY150424C209.5</stp>
        <tr r="B64" s="1"/>
      </tp>
      <tp>
        <v>0</v>
        <stp/>
        <stp>ASK_SIZE</stp>
        <stp>.SPY150424C219.5</stp>
        <tr r="B84" s="1"/>
      </tp>
      <tp t="s">
        <v>N/A</v>
        <stp/>
        <stp>ASK_SIZE</stp>
        <stp>.SPY160318C216.5</stp>
        <tr r="B666" s="1"/>
      </tp>
      <tp t="s">
        <v>N/A</v>
        <stp/>
        <stp>ASK_SIZE</stp>
        <stp>.SPY170317C218.5</stp>
        <tr r="B880" s="1"/>
      </tp>
      <tp t="s">
        <v>N/A</v>
        <stp/>
        <stp>ASK_SIZE</stp>
        <stp>.SPY160318C206.5</stp>
        <tr r="B646" s="1"/>
      </tp>
      <tp t="s">
        <v>N/A</v>
        <stp/>
        <stp>ASK_SIZE</stp>
        <stp>.SPY170317C208.5</stp>
        <tr r="B860" s="1"/>
      </tp>
      <tp t="s">
        <v>N/A</v>
        <stp/>
        <stp>BID_SIZE</stp>
        <stp>.SPY160115C214.5</stp>
        <tr r="D620" s="1"/>
      </tp>
      <tp t="s">
        <v>N/A</v>
        <stp/>
        <stp>BID_SIZE</stp>
        <stp>.SPY160115C204.5</stp>
        <tr r="D600" s="1"/>
      </tp>
      <tp t="s">
        <v>N/A</v>
        <stp/>
        <stp>BID_SIZE</stp>
        <stp>.SPY170120C200.5</stp>
        <tr r="D802" s="1"/>
      </tp>
      <tp t="s">
        <v>N/A</v>
        <stp/>
        <stp>BID_SIZE</stp>
        <stp>.SPY170120C210.5</stp>
        <tr r="D822" s="1"/>
      </tp>
      <tp t="s">
        <v>N/A</v>
        <stp/>
        <stp>BID_SIZE</stp>
        <stp>.SPY160318C219.5</stp>
        <tr r="D672" s="1"/>
      </tp>
      <tp t="s">
        <v>N/A</v>
        <stp/>
        <stp>BID_SIZE</stp>
        <stp>.SPY170317C217.5</stp>
        <tr r="D878" s="1"/>
      </tp>
      <tp t="s">
        <v>N/A</v>
        <stp/>
        <stp>BID_SIZE</stp>
        <stp>.SPY160318C209.5</stp>
        <tr r="D652" s="1"/>
      </tp>
      <tp t="s">
        <v>N/A</v>
        <stp/>
        <stp>BID_SIZE</stp>
        <stp>.SPY170317C207.5</stp>
        <tr r="D858" s="1"/>
      </tp>
      <tp t="s">
        <v>N/A</v>
        <stp/>
        <stp>BID_SIZE</stp>
        <stp>.SPY160916C217.5</stp>
        <tr r="D752" s="1"/>
      </tp>
      <tp t="s">
        <v>N/A</v>
        <stp/>
        <stp>BID_SIZE</stp>
        <stp>.SPY160916C207.5</stp>
        <tr r="D732" s="1"/>
      </tp>
      <tp t="s">
        <v>N/A</v>
        <stp/>
        <stp>BID_SIZE</stp>
        <stp>.SPY150930C212.5</stp>
        <tr r="D490" s="1"/>
      </tp>
      <tp t="s">
        <v>N/A</v>
        <stp/>
        <stp>BID_SIZE</stp>
        <stp>.SPY150930C202.5</stp>
        <tr r="D470" s="1"/>
      </tp>
      <tp t="s">
        <v>N/A</v>
        <stp/>
        <stp>ASK_SIZE</stp>
        <stp>.SPY150918C215.5</stp>
        <tr r="B454" s="1"/>
      </tp>
      <tp t="s">
        <v>N/A</v>
        <stp/>
        <stp>ASK_SIZE</stp>
        <stp>.SPY160916C218.5</stp>
        <tr r="B754" s="1"/>
      </tp>
      <tp t="s">
        <v>N/A</v>
        <stp/>
        <stp>ASK_SIZE</stp>
        <stp>.SPY150918C205.5</stp>
        <tr r="B434" s="1"/>
      </tp>
      <tp t="s">
        <v>N/A</v>
        <stp/>
        <stp>ASK_SIZE</stp>
        <stp>.SPY160916C208.5</stp>
        <tr r="B734" s="1"/>
      </tp>
      <tp t="s">
        <v>N/A</v>
        <stp/>
        <stp>ASK</stp>
        <stp>.SPY160318C209</stp>
        <tr r="A651" s="1"/>
      </tp>
      <tp t="s">
        <v>N/A</v>
        <stp/>
        <stp>ASK</stp>
        <stp>.SPY170317C207</stp>
        <tr r="A857" s="1"/>
      </tp>
      <tp t="s">
        <v>N/A</v>
        <stp/>
        <stp>ASK</stp>
        <stp>.SPY160318P209</stp>
        <tr r="L651" s="1"/>
      </tp>
      <tp t="s">
        <v>N/A</v>
        <stp/>
        <stp>ASK</stp>
        <stp>.SPY170317P207</stp>
        <tr r="L857" s="1"/>
      </tp>
      <tp t="s">
        <v>N/A</v>
        <stp/>
        <stp>ASK</stp>
        <stp>.SPY160318C208</stp>
        <tr r="A649" s="1"/>
      </tp>
      <tp t="s">
        <v>N/A</v>
        <stp/>
        <stp>ASK</stp>
        <stp>.SPY170317C206</stp>
        <tr r="A855" s="1"/>
      </tp>
      <tp t="s">
        <v>N/A</v>
        <stp/>
        <stp>ASK</stp>
        <stp>.SPY160318P208</stp>
        <tr r="L649" s="1"/>
      </tp>
      <tp t="s">
        <v>N/A</v>
        <stp/>
        <stp>ASK</stp>
        <stp>.SPY170317P206</stp>
        <tr r="L855" s="1"/>
      </tp>
      <tp>
        <v>22.54</v>
        <stp/>
        <stp>ASK</stp>
        <stp>.SPY170317C205</stp>
        <tr r="A853" s="1"/>
      </tp>
      <tp>
        <v>20</v>
        <stp/>
        <stp>ASK</stp>
        <stp>.SPY170317P205</stp>
        <tr r="L853" s="1"/>
      </tp>
      <tp t="s">
        <v>N/A</v>
        <stp/>
        <stp>ASK</stp>
        <stp>.SPY170317C204</stp>
        <tr r="A851" s="1"/>
      </tp>
      <tp t="s">
        <v>N/A</v>
        <stp/>
        <stp>ASK</stp>
        <stp>.SPY170317P204</stp>
        <tr r="L851" s="1"/>
      </tp>
      <tp t="s">
        <v>N/A</v>
        <stp/>
        <stp>ASK</stp>
        <stp>.SPY170317C203</stp>
        <tr r="A849" s="1"/>
      </tp>
      <tp t="s">
        <v>N/A</v>
        <stp/>
        <stp>ASK</stp>
        <stp>.SPY170317P203</stp>
        <tr r="L849" s="1"/>
      </tp>
      <tp t="s">
        <v>N/A</v>
        <stp/>
        <stp>ASK</stp>
        <stp>.SPY170317C202</stp>
        <tr r="A847" s="1"/>
      </tp>
      <tp t="s">
        <v>N/A</v>
        <stp/>
        <stp>ASK</stp>
        <stp>.SPY170317P202</stp>
        <tr r="L847" s="1"/>
      </tp>
      <tp t="s">
        <v>N/A</v>
        <stp/>
        <stp>ASK</stp>
        <stp>.SPY170317C201</stp>
        <tr r="A845" s="1"/>
      </tp>
      <tp t="s">
        <v>N/A</v>
        <stp/>
        <stp>ASK</stp>
        <stp>.SPY170317P201</stp>
        <tr r="L845" s="1"/>
      </tp>
      <tp>
        <v>25.63</v>
        <stp/>
        <stp>ASK</stp>
        <stp>.SPY170317C200</stp>
        <tr r="A843" s="1"/>
      </tp>
      <tp>
        <v>18.11</v>
        <stp/>
        <stp>ASK</stp>
        <stp>.SPY170317P200</stp>
        <tr r="L843" s="1"/>
      </tp>
      <tp t="s">
        <v>N/A</v>
        <stp/>
        <stp>ASK</stp>
        <stp>.SPY160318C201</stp>
        <tr r="A635" s="1"/>
      </tp>
      <tp t="s">
        <v>N/A</v>
        <stp/>
        <stp>ASK</stp>
        <stp>.SPY160318P201</stp>
        <tr r="L635" s="1"/>
      </tp>
      <tp>
        <v>18.829999999999998</v>
        <stp/>
        <stp>ASK</stp>
        <stp>.SPY160318C200</stp>
        <tr r="A633" s="1"/>
      </tp>
      <tp>
        <v>9.7100000000000009</v>
        <stp/>
        <stp>ASK</stp>
        <stp>.SPY160318P200</stp>
        <tr r="L633" s="1"/>
      </tp>
      <tp t="s">
        <v>N/A</v>
        <stp/>
        <stp>ASK</stp>
        <stp>.SPY160318C203</stp>
        <tr r="A639" s="1"/>
      </tp>
      <tp t="s">
        <v>N/A</v>
        <stp/>
        <stp>ASK</stp>
        <stp>.SPY160318P203</stp>
        <tr r="L639" s="1"/>
      </tp>
      <tp t="s">
        <v>N/A</v>
        <stp/>
        <stp>ASK</stp>
        <stp>.SPY160318C202</stp>
        <tr r="A637" s="1"/>
      </tp>
      <tp t="s">
        <v>N/A</v>
        <stp/>
        <stp>ASK</stp>
        <stp>.SPY160318P202</stp>
        <tr r="L637" s="1"/>
      </tp>
      <tp>
        <v>15.37</v>
        <stp/>
        <stp>ASK</stp>
        <stp>.SPY160318C205</stp>
        <tr r="A643" s="1"/>
      </tp>
      <tp>
        <v>11.34</v>
        <stp/>
        <stp>ASK</stp>
        <stp>.SPY160318P205</stp>
        <tr r="L643" s="1"/>
      </tp>
      <tp t="s">
        <v>N/A</v>
        <stp/>
        <stp>ASK</stp>
        <stp>.SPY160318C204</stp>
        <tr r="A641" s="1"/>
      </tp>
      <tp t="s">
        <v>N/A</v>
        <stp/>
        <stp>ASK</stp>
        <stp>.SPY160318P204</stp>
        <tr r="L641" s="1"/>
      </tp>
      <tp t="s">
        <v>N/A</v>
        <stp/>
        <stp>ASK</stp>
        <stp>.SPY160318C207</stp>
        <tr r="A647" s="1"/>
      </tp>
      <tp t="s">
        <v>N/A</v>
        <stp/>
        <stp>ASK</stp>
        <stp>.SPY170317C209</stp>
        <tr r="A861" s="1"/>
      </tp>
      <tp t="s">
        <v>N/A</v>
        <stp/>
        <stp>ASK</stp>
        <stp>.SPY160318P207</stp>
        <tr r="L647" s="1"/>
      </tp>
      <tp t="s">
        <v>N/A</v>
        <stp/>
        <stp>ASK</stp>
        <stp>.SPY170317P209</stp>
        <tr r="L861" s="1"/>
      </tp>
      <tp t="s">
        <v>N/A</v>
        <stp/>
        <stp>ASK</stp>
        <stp>.SPY160318C206</stp>
        <tr r="A645" s="1"/>
      </tp>
      <tp t="s">
        <v>N/A</v>
        <stp/>
        <stp>ASK</stp>
        <stp>.SPY170317C208</stp>
        <tr r="A859" s="1"/>
      </tp>
      <tp t="s">
        <v>N/A</v>
        <stp/>
        <stp>ASK</stp>
        <stp>.SPY160318P206</stp>
        <tr r="L645" s="1"/>
      </tp>
      <tp t="s">
        <v>N/A</v>
        <stp/>
        <stp>ASK</stp>
        <stp>.SPY170317P208</stp>
        <tr r="L859" s="1"/>
      </tp>
      <tp t="s">
        <v>N/A</v>
        <stp/>
        <stp>ASK</stp>
        <stp>.SPY160318C219</stp>
        <tr r="A671" s="1"/>
      </tp>
      <tp t="s">
        <v>N/A</v>
        <stp/>
        <stp>ASK</stp>
        <stp>.SPY170317C217</stp>
        <tr r="A877" s="1"/>
      </tp>
      <tp t="s">
        <v>N/A</v>
        <stp/>
        <stp>ASK</stp>
        <stp>.SPY160318P219</stp>
        <tr r="L671" s="1"/>
      </tp>
      <tp t="s">
        <v>N/A</v>
        <stp/>
        <stp>ASK</stp>
        <stp>.SPY170317P217</stp>
        <tr r="L877" s="1"/>
      </tp>
      <tp t="s">
        <v>N/A</v>
        <stp/>
        <stp>ASK</stp>
        <stp>.SPY160318C218</stp>
        <tr r="A669" s="1"/>
      </tp>
      <tp t="s">
        <v>N/A</v>
        <stp/>
        <stp>ASK</stp>
        <stp>.SPY170317C216</stp>
        <tr r="A875" s="1"/>
      </tp>
      <tp t="s">
        <v>N/A</v>
        <stp/>
        <stp>ASK</stp>
        <stp>.SPY160318P218</stp>
        <tr r="L669" s="1"/>
      </tp>
      <tp t="s">
        <v>N/A</v>
        <stp/>
        <stp>ASK</stp>
        <stp>.SPY170317P216</stp>
        <tr r="L875" s="1"/>
      </tp>
      <tp>
        <v>16.95</v>
        <stp/>
        <stp>ASK</stp>
        <stp>.SPY170317C215</stp>
        <tr r="A873" s="1"/>
      </tp>
      <tp>
        <v>24.33</v>
        <stp/>
        <stp>ASK</stp>
        <stp>.SPY170317P215</stp>
        <tr r="L873" s="1"/>
      </tp>
      <tp t="s">
        <v>N/A</v>
        <stp/>
        <stp>ASK</stp>
        <stp>.SPY170317C214</stp>
        <tr r="A871" s="1"/>
      </tp>
      <tp t="s">
        <v>N/A</v>
        <stp/>
        <stp>ASK</stp>
        <stp>.SPY170317P214</stp>
        <tr r="L871" s="1"/>
      </tp>
      <tp t="s">
        <v>N/A</v>
        <stp/>
        <stp>ASK</stp>
        <stp>.SPY170317C213</stp>
        <tr r="A869" s="1"/>
      </tp>
      <tp t="s">
        <v>N/A</v>
        <stp/>
        <stp>ASK</stp>
        <stp>.SPY170317P213</stp>
        <tr r="L869" s="1"/>
      </tp>
      <tp t="s">
        <v>N/A</v>
        <stp/>
        <stp>ASK</stp>
        <stp>.SPY170317C212</stp>
        <tr r="A867" s="1"/>
      </tp>
      <tp t="s">
        <v>N/A</v>
        <stp/>
        <stp>ASK</stp>
        <stp>.SPY170317P212</stp>
        <tr r="L867" s="1"/>
      </tp>
      <tp t="s">
        <v>N/A</v>
        <stp/>
        <stp>ASK</stp>
        <stp>.SPY170317C211</stp>
        <tr r="A865" s="1"/>
      </tp>
      <tp t="s">
        <v>N/A</v>
        <stp/>
        <stp>ASK</stp>
        <stp>.SPY170317P211</stp>
        <tr r="L865" s="1"/>
      </tp>
      <tp>
        <v>19.600000000000001</v>
        <stp/>
        <stp>ASK</stp>
        <stp>.SPY170317C210</stp>
        <tr r="A863" s="1"/>
      </tp>
      <tp>
        <v>21.96</v>
        <stp/>
        <stp>ASK</stp>
        <stp>.SPY170317P210</stp>
        <tr r="L863" s="1"/>
      </tp>
      <tp t="s">
        <v>N/A</v>
        <stp/>
        <stp>ASK</stp>
        <stp>.SPY160318C211</stp>
        <tr r="A655" s="1"/>
      </tp>
      <tp t="s">
        <v>N/A</v>
        <stp/>
        <stp>ASK</stp>
        <stp>.SPY160318P211</stp>
        <tr r="L655" s="1"/>
      </tp>
      <tp>
        <v>12.16</v>
        <stp/>
        <stp>ASK</stp>
        <stp>.SPY160318C210</stp>
        <tr r="A653" s="1"/>
      </tp>
      <tp>
        <v>13.32</v>
        <stp/>
        <stp>ASK</stp>
        <stp>.SPY160318P210</stp>
        <tr r="L653" s="1"/>
      </tp>
      <tp t="s">
        <v>N/A</v>
        <stp/>
        <stp>ASK</stp>
        <stp>.SPY160318C213</stp>
        <tr r="A659" s="1"/>
      </tp>
      <tp t="s">
        <v>N/A</v>
        <stp/>
        <stp>ASK</stp>
        <stp>.SPY160318P213</stp>
        <tr r="L659" s="1"/>
      </tp>
      <tp t="s">
        <v>N/A</v>
        <stp/>
        <stp>ASK</stp>
        <stp>.SPY160318C212</stp>
        <tr r="A657" s="1"/>
      </tp>
      <tp t="s">
        <v>N/A</v>
        <stp/>
        <stp>ASK</stp>
        <stp>.SPY160318P212</stp>
        <tr r="L657" s="1"/>
      </tp>
      <tp>
        <v>9.3000000000000007</v>
        <stp/>
        <stp>ASK</stp>
        <stp>.SPY160318C215</stp>
        <tr r="A663" s="1"/>
      </tp>
      <tp>
        <v>15.51</v>
        <stp/>
        <stp>ASK</stp>
        <stp>.SPY160318P215</stp>
        <tr r="L663" s="1"/>
      </tp>
      <tp t="s">
        <v>N/A</v>
        <stp/>
        <stp>ASK</stp>
        <stp>.SPY160318C214</stp>
        <tr r="A661" s="1"/>
      </tp>
      <tp t="s">
        <v>N/A</v>
        <stp/>
        <stp>ASK</stp>
        <stp>.SPY160318P214</stp>
        <tr r="L661" s="1"/>
      </tp>
      <tp t="s">
        <v>N/A</v>
        <stp/>
        <stp>ASK</stp>
        <stp>.SPY160318C217</stp>
        <tr r="A667" s="1"/>
      </tp>
      <tp t="s">
        <v>N/A</v>
        <stp/>
        <stp>ASK</stp>
        <stp>.SPY170317C219</stp>
        <tr r="A881" s="1"/>
      </tp>
      <tp t="s">
        <v>N/A</v>
        <stp/>
        <stp>ASK</stp>
        <stp>.SPY160318P217</stp>
        <tr r="L667" s="1"/>
      </tp>
      <tp t="s">
        <v>N/A</v>
        <stp/>
        <stp>ASK</stp>
        <stp>.SPY170317P219</stp>
        <tr r="L881" s="1"/>
      </tp>
      <tp t="s">
        <v>N/A</v>
        <stp/>
        <stp>ASK</stp>
        <stp>.SPY160318C216</stp>
        <tr r="A665" s="1"/>
      </tp>
      <tp t="s">
        <v>N/A</v>
        <stp/>
        <stp>ASK</stp>
        <stp>.SPY170317C218</stp>
        <tr r="A879" s="1"/>
      </tp>
      <tp t="s">
        <v>N/A</v>
        <stp/>
        <stp>ASK</stp>
        <stp>.SPY160318P216</stp>
        <tr r="L665" s="1"/>
      </tp>
      <tp t="s">
        <v>N/A</v>
        <stp/>
        <stp>ASK</stp>
        <stp>.SPY170317P218</stp>
        <tr r="L879" s="1"/>
      </tp>
      <tp t="s">
        <v>N/A</v>
        <stp/>
        <stp>BID</stp>
        <stp>.SPY160318C213</stp>
        <tr r="C659" s="1"/>
      </tp>
      <tp t="s">
        <v>N/A</v>
        <stp/>
        <stp>BID</stp>
        <stp>.SPY160318P213</stp>
        <tr r="N659" s="1"/>
      </tp>
      <tp t="s">
        <v>N/A</v>
        <stp/>
        <stp>BID</stp>
        <stp>.SPY160318C212</stp>
        <tr r="C657" s="1"/>
      </tp>
      <tp t="s">
        <v>N/A</v>
        <stp/>
        <stp>BID</stp>
        <stp>.SPY160318P212</stp>
        <tr r="N657" s="1"/>
      </tp>
      <tp t="s">
        <v>N/A</v>
        <stp/>
        <stp>BID</stp>
        <stp>.SPY160318C211</stp>
        <tr r="C655" s="1"/>
      </tp>
      <tp t="s">
        <v>N/A</v>
        <stp/>
        <stp>BID</stp>
        <stp>.SPY160318P211</stp>
        <tr r="N655" s="1"/>
      </tp>
      <tp>
        <v>11.82</v>
        <stp/>
        <stp>BID</stp>
        <stp>.SPY160318C210</stp>
        <tr r="C653" s="1"/>
      </tp>
      <tp>
        <v>12.88</v>
        <stp/>
        <stp>BID</stp>
        <stp>.SPY160318P210</stp>
        <tr r="N653" s="1"/>
      </tp>
      <tp t="s">
        <v>N/A</v>
        <stp/>
        <stp>BID</stp>
        <stp>.SPY160318C217</stp>
        <tr r="C667" s="1"/>
      </tp>
      <tp t="s">
        <v>N/A</v>
        <stp/>
        <stp>BID</stp>
        <stp>.SPY170317C219</stp>
        <tr r="C881" s="1"/>
      </tp>
      <tp t="s">
        <v>N/A</v>
        <stp/>
        <stp>BID</stp>
        <stp>.SPY160318P217</stp>
        <tr r="N667" s="1"/>
      </tp>
      <tp t="s">
        <v>N/A</v>
        <stp/>
        <stp>BID</stp>
        <stp>.SPY170317P219</stp>
        <tr r="N881" s="1"/>
      </tp>
      <tp t="s">
        <v>N/A</v>
        <stp/>
        <stp>BID</stp>
        <stp>.SPY160318C216</stp>
        <tr r="C665" s="1"/>
      </tp>
      <tp t="s">
        <v>N/A</v>
        <stp/>
        <stp>BID</stp>
        <stp>.SPY170317C218</stp>
        <tr r="C879" s="1"/>
      </tp>
      <tp t="s">
        <v>N/A</v>
        <stp/>
        <stp>BID</stp>
        <stp>.SPY160318P216</stp>
        <tr r="N665" s="1"/>
      </tp>
      <tp t="s">
        <v>N/A</v>
        <stp/>
        <stp>BID</stp>
        <stp>.SPY170317P218</stp>
        <tr r="N879" s="1"/>
      </tp>
      <tp>
        <v>9</v>
        <stp/>
        <stp>BID</stp>
        <stp>.SPY160318C215</stp>
        <tr r="C663" s="1"/>
      </tp>
      <tp>
        <v>15.15</v>
        <stp/>
        <stp>BID</stp>
        <stp>.SPY160318P215</stp>
        <tr r="N663" s="1"/>
      </tp>
      <tp t="s">
        <v>N/A</v>
        <stp/>
        <stp>BID</stp>
        <stp>.SPY160318C214</stp>
        <tr r="C661" s="1"/>
      </tp>
      <tp t="s">
        <v>N/A</v>
        <stp/>
        <stp>BID</stp>
        <stp>.SPY160318P214</stp>
        <tr r="N661" s="1"/>
      </tp>
      <tp>
        <v>15.95</v>
        <stp/>
        <stp>BID</stp>
        <stp>.SPY170317C215</stp>
        <tr r="C873" s="1"/>
      </tp>
      <tp>
        <v>23.36</v>
        <stp/>
        <stp>BID</stp>
        <stp>.SPY170317P215</stp>
        <tr r="N873" s="1"/>
      </tp>
      <tp t="s">
        <v>N/A</v>
        <stp/>
        <stp>BID</stp>
        <stp>.SPY170317C214</stp>
        <tr r="C871" s="1"/>
      </tp>
      <tp t="s">
        <v>N/A</v>
        <stp/>
        <stp>BID</stp>
        <stp>.SPY170317P214</stp>
        <tr r="N871" s="1"/>
      </tp>
      <tp t="s">
        <v>N/A</v>
        <stp/>
        <stp>BID</stp>
        <stp>.SPY160318C219</stp>
        <tr r="C671" s="1"/>
      </tp>
      <tp t="s">
        <v>N/A</v>
        <stp/>
        <stp>BID</stp>
        <stp>.SPY170317C217</stp>
        <tr r="C877" s="1"/>
      </tp>
      <tp t="s">
        <v>N/A</v>
        <stp/>
        <stp>BID</stp>
        <stp>.SPY160318P219</stp>
        <tr r="N671" s="1"/>
      </tp>
      <tp t="s">
        <v>N/A</v>
        <stp/>
        <stp>BID</stp>
        <stp>.SPY170317P217</stp>
        <tr r="N877" s="1"/>
      </tp>
      <tp t="s">
        <v>N/A</v>
        <stp/>
        <stp>BID</stp>
        <stp>.SPY160318C218</stp>
        <tr r="C669" s="1"/>
      </tp>
      <tp t="s">
        <v>N/A</v>
        <stp/>
        <stp>BID</stp>
        <stp>.SPY170317C216</stp>
        <tr r="C875" s="1"/>
      </tp>
      <tp t="s">
        <v>N/A</v>
        <stp/>
        <stp>BID</stp>
        <stp>.SPY160318P218</stp>
        <tr r="N669" s="1"/>
      </tp>
      <tp t="s">
        <v>N/A</v>
        <stp/>
        <stp>BID</stp>
        <stp>.SPY170317P216</stp>
        <tr r="N875" s="1"/>
      </tp>
      <tp t="s">
        <v>N/A</v>
        <stp/>
        <stp>BID</stp>
        <stp>.SPY170317C211</stp>
        <tr r="C865" s="1"/>
      </tp>
      <tp t="s">
        <v>N/A</v>
        <stp/>
        <stp>BID</stp>
        <stp>.SPY170317P211</stp>
        <tr r="N865" s="1"/>
      </tp>
      <tp>
        <v>18.66</v>
        <stp/>
        <stp>BID</stp>
        <stp>.SPY170317C210</stp>
        <tr r="C863" s="1"/>
      </tp>
      <tp>
        <v>21.09</v>
        <stp/>
        <stp>BID</stp>
        <stp>.SPY170317P210</stp>
        <tr r="N863" s="1"/>
      </tp>
      <tp t="s">
        <v>N/A</v>
        <stp/>
        <stp>BID</stp>
        <stp>.SPY170317C213</stp>
        <tr r="C869" s="1"/>
      </tp>
      <tp t="s">
        <v>N/A</v>
        <stp/>
        <stp>BID</stp>
        <stp>.SPY170317P213</stp>
        <tr r="N869" s="1"/>
      </tp>
      <tp t="s">
        <v>N/A</v>
        <stp/>
        <stp>BID</stp>
        <stp>.SPY170317C212</stp>
        <tr r="C867" s="1"/>
      </tp>
      <tp t="s">
        <v>N/A</v>
        <stp/>
        <stp>BID</stp>
        <stp>.SPY170317P212</stp>
        <tr r="N867" s="1"/>
      </tp>
      <tp t="s">
        <v>N/A</v>
        <stp/>
        <stp>BID</stp>
        <stp>.SPY160318C203</stp>
        <tr r="C639" s="1"/>
      </tp>
      <tp t="s">
        <v>N/A</v>
        <stp/>
        <stp>BID</stp>
        <stp>.SPY160318P203</stp>
        <tr r="N639" s="1"/>
      </tp>
      <tp t="s">
        <v>N/A</v>
        <stp/>
        <stp>BID</stp>
        <stp>.SPY160318C202</stp>
        <tr r="C637" s="1"/>
      </tp>
      <tp t="s">
        <v>N/A</v>
        <stp/>
        <stp>BID</stp>
        <stp>.SPY160318P202</stp>
        <tr r="N637" s="1"/>
      </tp>
      <tp t="s">
        <v>N/A</v>
        <stp/>
        <stp>BID</stp>
        <stp>.SPY160318C201</stp>
        <tr r="C635" s="1"/>
      </tp>
      <tp t="s">
        <v>N/A</v>
        <stp/>
        <stp>BID</stp>
        <stp>.SPY160318P201</stp>
        <tr r="N635" s="1"/>
      </tp>
      <tp>
        <v>18.38</v>
        <stp/>
        <stp>BID</stp>
        <stp>.SPY160318C200</stp>
        <tr r="C633" s="1"/>
      </tp>
      <tp>
        <v>9.41</v>
        <stp/>
        <stp>BID</stp>
        <stp>.SPY160318P200</stp>
        <tr r="N633" s="1"/>
      </tp>
      <tp t="s">
        <v>N/A</v>
        <stp/>
        <stp>BID</stp>
        <stp>.SPY160318C207</stp>
        <tr r="C647" s="1"/>
      </tp>
      <tp t="s">
        <v>N/A</v>
        <stp/>
        <stp>BID</stp>
        <stp>.SPY170317C209</stp>
        <tr r="C861" s="1"/>
      </tp>
      <tp t="s">
        <v>N/A</v>
        <stp/>
        <stp>BID</stp>
        <stp>.SPY160318P207</stp>
        <tr r="N647" s="1"/>
      </tp>
      <tp t="s">
        <v>N/A</v>
        <stp/>
        <stp>BID</stp>
        <stp>.SPY170317P209</stp>
        <tr r="N861" s="1"/>
      </tp>
      <tp t="s">
        <v>N/A</v>
        <stp/>
        <stp>BID</stp>
        <stp>.SPY160318C206</stp>
        <tr r="C645" s="1"/>
      </tp>
      <tp t="s">
        <v>N/A</v>
        <stp/>
        <stp>BID</stp>
        <stp>.SPY170317C208</stp>
        <tr r="C859" s="1"/>
      </tp>
      <tp t="s">
        <v>N/A</v>
        <stp/>
        <stp>BID</stp>
        <stp>.SPY160318P206</stp>
        <tr r="N645" s="1"/>
      </tp>
      <tp t="s">
        <v>N/A</v>
        <stp/>
        <stp>BID</stp>
        <stp>.SPY170317P208</stp>
        <tr r="N859" s="1"/>
      </tp>
      <tp>
        <v>14.94</v>
        <stp/>
        <stp>BID</stp>
        <stp>.SPY160318C205</stp>
        <tr r="C643" s="1"/>
      </tp>
      <tp>
        <v>11</v>
        <stp/>
        <stp>BID</stp>
        <stp>.SPY160318P205</stp>
        <tr r="N643" s="1"/>
      </tp>
      <tp t="s">
        <v>N/A</v>
        <stp/>
        <stp>BID</stp>
        <stp>.SPY160318C204</stp>
        <tr r="C641" s="1"/>
      </tp>
      <tp t="s">
        <v>N/A</v>
        <stp/>
        <stp>BID</stp>
        <stp>.SPY160318P204</stp>
        <tr r="N641" s="1"/>
      </tp>
      <tp>
        <v>21.58</v>
        <stp/>
        <stp>BID</stp>
        <stp>.SPY170317C205</stp>
        <tr r="C853" s="1"/>
      </tp>
      <tp>
        <v>19.03</v>
        <stp/>
        <stp>BID</stp>
        <stp>.SPY170317P205</stp>
        <tr r="N853" s="1"/>
      </tp>
      <tp t="s">
        <v>N/A</v>
        <stp/>
        <stp>BID</stp>
        <stp>.SPY170317C204</stp>
        <tr r="C851" s="1"/>
      </tp>
      <tp t="s">
        <v>N/A</v>
        <stp/>
        <stp>BID</stp>
        <stp>.SPY170317P204</stp>
        <tr r="N851" s="1"/>
      </tp>
      <tp t="s">
        <v>N/A</v>
        <stp/>
        <stp>BID</stp>
        <stp>.SPY160318C209</stp>
        <tr r="C651" s="1"/>
      </tp>
      <tp t="s">
        <v>N/A</v>
        <stp/>
        <stp>BID</stp>
        <stp>.SPY170317C207</stp>
        <tr r="C857" s="1"/>
      </tp>
      <tp t="s">
        <v>N/A</v>
        <stp/>
        <stp>BID</stp>
        <stp>.SPY160318P209</stp>
        <tr r="N651" s="1"/>
      </tp>
      <tp t="s">
        <v>N/A</v>
        <stp/>
        <stp>BID</stp>
        <stp>.SPY170317P207</stp>
        <tr r="N857" s="1"/>
      </tp>
      <tp t="s">
        <v>N/A</v>
        <stp/>
        <stp>BID</stp>
        <stp>.SPY160318C208</stp>
        <tr r="C649" s="1"/>
      </tp>
      <tp t="s">
        <v>N/A</v>
        <stp/>
        <stp>BID</stp>
        <stp>.SPY170317C206</stp>
        <tr r="C855" s="1"/>
      </tp>
      <tp t="s">
        <v>N/A</v>
        <stp/>
        <stp>BID</stp>
        <stp>.SPY160318P208</stp>
        <tr r="N649" s="1"/>
      </tp>
      <tp t="s">
        <v>N/A</v>
        <stp/>
        <stp>BID</stp>
        <stp>.SPY170317P206</stp>
        <tr r="N855" s="1"/>
      </tp>
      <tp t="s">
        <v>N/A</v>
        <stp/>
        <stp>BID</stp>
        <stp>.SPY170317C201</stp>
        <tr r="C845" s="1"/>
      </tp>
      <tp t="s">
        <v>N/A</v>
        <stp/>
        <stp>BID</stp>
        <stp>.SPY170317P201</stp>
        <tr r="N845" s="1"/>
      </tp>
      <tp>
        <v>24.62</v>
        <stp/>
        <stp>BID</stp>
        <stp>.SPY170317C200</stp>
        <tr r="C843" s="1"/>
      </tp>
      <tp>
        <v>17.07</v>
        <stp/>
        <stp>BID</stp>
        <stp>.SPY170317P200</stp>
        <tr r="N843" s="1"/>
      </tp>
      <tp t="s">
        <v>N/A</v>
        <stp/>
        <stp>BID</stp>
        <stp>.SPY170317C203</stp>
        <tr r="C849" s="1"/>
      </tp>
      <tp t="s">
        <v>N/A</v>
        <stp/>
        <stp>BID</stp>
        <stp>.SPY170317P203</stp>
        <tr r="N849" s="1"/>
      </tp>
      <tp t="s">
        <v>N/A</v>
        <stp/>
        <stp>BID</stp>
        <stp>.SPY170317C202</stp>
        <tr r="C847" s="1"/>
      </tp>
      <tp t="s">
        <v>N/A</v>
        <stp/>
        <stp>BID</stp>
        <stp>.SPY170317P202</stp>
        <tr r="N847" s="1"/>
      </tp>
      <tp t="s">
        <v>N/A</v>
        <stp/>
        <stp>RHO</stp>
        <stp>.SPY160318C212</stp>
        <tr r="K657" s="1"/>
      </tp>
      <tp t="s">
        <v>N/A</v>
        <stp/>
        <stp>RHO</stp>
        <stp>.SPY160318P212</stp>
        <tr r="V657" s="1"/>
      </tp>
      <tp t="s">
        <v>N/A</v>
        <stp/>
        <stp>RHO</stp>
        <stp>.SPY160318C213</stp>
        <tr r="K659" s="1"/>
      </tp>
      <tp t="s">
        <v>N/A</v>
        <stp/>
        <stp>RHO</stp>
        <stp>.SPY160318P213</stp>
        <tr r="V659" s="1"/>
      </tp>
      <tp>
        <v>0.73482000000000003</v>
        <stp/>
        <stp>RHO</stp>
        <stp>.SPY160318C210</stp>
        <tr r="K653" s="1"/>
      </tp>
      <tp>
        <v>-1.00085</v>
        <stp/>
        <stp>RHO</stp>
        <stp>.SPY160318P210</stp>
        <tr r="V653" s="1"/>
      </tp>
      <tp t="s">
        <v>N/A</v>
        <stp/>
        <stp>RHO</stp>
        <stp>.SPY160318C211</stp>
        <tr r="K655" s="1"/>
      </tp>
      <tp t="s">
        <v>N/A</v>
        <stp/>
        <stp>RHO</stp>
        <stp>.SPY160318P211</stp>
        <tr r="V655" s="1"/>
      </tp>
      <tp t="s">
        <v>N/A</v>
        <stp/>
        <stp>RHO</stp>
        <stp>.SPY160318C216</stp>
        <tr r="K665" s="1"/>
      </tp>
      <tp t="s">
        <v>N/A</v>
        <stp/>
        <stp>RHO</stp>
        <stp>.SPY170317C218</stp>
        <tr r="K879" s="1"/>
      </tp>
      <tp t="s">
        <v>N/A</v>
        <stp/>
        <stp>RHO</stp>
        <stp>.SPY160318P216</stp>
        <tr r="V665" s="1"/>
      </tp>
      <tp t="s">
        <v>N/A</v>
        <stp/>
        <stp>RHO</stp>
        <stp>.SPY170317P218</stp>
        <tr r="V879" s="1"/>
      </tp>
      <tp t="s">
        <v>N/A</v>
        <stp/>
        <stp>RHO</stp>
        <stp>.SPY160318C217</stp>
        <tr r="K667" s="1"/>
      </tp>
      <tp t="s">
        <v>N/A</v>
        <stp/>
        <stp>RHO</stp>
        <stp>.SPY170317C219</stp>
        <tr r="K881" s="1"/>
      </tp>
      <tp t="s">
        <v>N/A</v>
        <stp/>
        <stp>RHO</stp>
        <stp>.SPY160318P217</stp>
        <tr r="V667" s="1"/>
      </tp>
      <tp t="s">
        <v>N/A</v>
        <stp/>
        <stp>RHO</stp>
        <stp>.SPY170317P219</stp>
        <tr r="V881" s="1"/>
      </tp>
      <tp t="s">
        <v>N/A</v>
        <stp/>
        <stp>RHO</stp>
        <stp>.SPY160318C214</stp>
        <tr r="K661" s="1"/>
      </tp>
      <tp t="s">
        <v>N/A</v>
        <stp/>
        <stp>RHO</stp>
        <stp>.SPY160318P214</stp>
        <tr r="V661" s="1"/>
      </tp>
      <tp>
        <v>0.66420000000000001</v>
        <stp/>
        <stp>RHO</stp>
        <stp>.SPY160318C215</stp>
        <tr r="K663" s="1"/>
      </tp>
      <tp>
        <v>-1.1456</v>
        <stp/>
        <stp>RHO</stp>
        <stp>.SPY160318P215</stp>
        <tr r="V663" s="1"/>
      </tp>
      <tp t="s">
        <v>N/A</v>
        <stp/>
        <stp>RHO</stp>
        <stp>.SPY170317C214</stp>
        <tr r="K871" s="1"/>
      </tp>
      <tp t="s">
        <v>N/A</v>
        <stp/>
        <stp>RHO</stp>
        <stp>.SPY170317P214</stp>
        <tr r="V871" s="1"/>
      </tp>
      <tp>
        <v>1.3265100000000001</v>
        <stp/>
        <stp>RHO</stp>
        <stp>.SPY170317C215</stp>
        <tr r="K873" s="1"/>
      </tp>
      <tp>
        <v>-2.48603</v>
        <stp/>
        <stp>RHO</stp>
        <stp>.SPY170317P215</stp>
        <tr r="V873" s="1"/>
      </tp>
      <tp t="s">
        <v>N/A</v>
        <stp/>
        <stp>RHO</stp>
        <stp>.SPY160318C218</stp>
        <tr r="K669" s="1"/>
      </tp>
      <tp t="s">
        <v>N/A</v>
        <stp/>
        <stp>RHO</stp>
        <stp>.SPY170317C216</stp>
        <tr r="K875" s="1"/>
      </tp>
      <tp t="s">
        <v>N/A</v>
        <stp/>
        <stp>RHO</stp>
        <stp>.SPY160318P218</stp>
        <tr r="V669" s="1"/>
      </tp>
      <tp t="s">
        <v>N/A</v>
        <stp/>
        <stp>RHO</stp>
        <stp>.SPY170317P216</stp>
        <tr r="V875" s="1"/>
      </tp>
      <tp t="s">
        <v>N/A</v>
        <stp/>
        <stp>RHO</stp>
        <stp>.SPY160318C219</stp>
        <tr r="K671" s="1"/>
      </tp>
      <tp t="s">
        <v>N/A</v>
        <stp/>
        <stp>RHO</stp>
        <stp>.SPY170317C217</stp>
        <tr r="K877" s="1"/>
      </tp>
      <tp t="s">
        <v>N/A</v>
        <stp/>
        <stp>RHO</stp>
        <stp>.SPY160318P219</stp>
        <tr r="V671" s="1"/>
      </tp>
      <tp t="s">
        <v>N/A</v>
        <stp/>
        <stp>RHO</stp>
        <stp>.SPY170317P217</stp>
        <tr r="V877" s="1"/>
      </tp>
      <tp>
        <v>1.3895999999999999</v>
        <stp/>
        <stp>RHO</stp>
        <stp>.SPY170317C210</stp>
        <tr r="K863" s="1"/>
      </tp>
      <tp>
        <v>-2.2720099999999999</v>
        <stp/>
        <stp>RHO</stp>
        <stp>.SPY170317P210</stp>
        <tr r="V863" s="1"/>
      </tp>
      <tp t="s">
        <v>N/A</v>
        <stp/>
        <stp>RHO</stp>
        <stp>.SPY170317C211</stp>
        <tr r="K865" s="1"/>
      </tp>
      <tp t="s">
        <v>N/A</v>
        <stp/>
        <stp>RHO</stp>
        <stp>.SPY170317P211</stp>
        <tr r="V865" s="1"/>
      </tp>
      <tp t="s">
        <v>N/A</v>
        <stp/>
        <stp>RHO</stp>
        <stp>.SPY170317C212</stp>
        <tr r="K867" s="1"/>
      </tp>
      <tp t="s">
        <v>N/A</v>
        <stp/>
        <stp>RHO</stp>
        <stp>.SPY170317P212</stp>
        <tr r="V867" s="1"/>
      </tp>
      <tp t="s">
        <v>N/A</v>
        <stp/>
        <stp>RHO</stp>
        <stp>.SPY170317C213</stp>
        <tr r="K869" s="1"/>
      </tp>
      <tp t="s">
        <v>N/A</v>
        <stp/>
        <stp>RHO</stp>
        <stp>.SPY170317P213</stp>
        <tr r="V869" s="1"/>
      </tp>
      <tp t="s">
        <v>N/A</v>
        <stp/>
        <stp>RHO</stp>
        <stp>.SPY160318C202</stp>
        <tr r="K637" s="1"/>
      </tp>
      <tp t="s">
        <v>N/A</v>
        <stp/>
        <stp>RHO</stp>
        <stp>.SPY160318P202</stp>
        <tr r="V637" s="1"/>
      </tp>
      <tp t="s">
        <v>N/A</v>
        <stp/>
        <stp>RHO</stp>
        <stp>.SPY160318C203</stp>
        <tr r="K639" s="1"/>
      </tp>
      <tp t="s">
        <v>N/A</v>
        <stp/>
        <stp>RHO</stp>
        <stp>.SPY160318P203</stp>
        <tr r="V639" s="1"/>
      </tp>
      <tp>
        <v>0.81564999999999999</v>
        <stp/>
        <stp>RHO</stp>
        <stp>.SPY160318C200</stp>
        <tr r="K633" s="1"/>
      </tp>
      <tp>
        <v>-0.75146000000000002</v>
        <stp/>
        <stp>RHO</stp>
        <stp>.SPY160318P200</stp>
        <tr r="V633" s="1"/>
      </tp>
      <tp t="s">
        <v>N/A</v>
        <stp/>
        <stp>RHO</stp>
        <stp>.SPY160318C201</stp>
        <tr r="K635" s="1"/>
      </tp>
      <tp t="s">
        <v>N/A</v>
        <stp/>
        <stp>RHO</stp>
        <stp>.SPY160318P201</stp>
        <tr r="V635" s="1"/>
      </tp>
      <tp t="s">
        <v>N/A</v>
        <stp/>
        <stp>RHO</stp>
        <stp>.SPY160318C206</stp>
        <tr r="K645" s="1"/>
      </tp>
      <tp t="s">
        <v>N/A</v>
        <stp/>
        <stp>RHO</stp>
        <stp>.SPY170317C208</stp>
        <tr r="K859" s="1"/>
      </tp>
      <tp t="s">
        <v>N/A</v>
        <stp/>
        <stp>RHO</stp>
        <stp>.SPY160318P206</stp>
        <tr r="V645" s="1"/>
      </tp>
      <tp t="s">
        <v>N/A</v>
        <stp/>
        <stp>RHO</stp>
        <stp>.SPY170317P208</stp>
        <tr r="V859" s="1"/>
      </tp>
      <tp t="s">
        <v>N/A</v>
        <stp/>
        <stp>RHO</stp>
        <stp>.SPY160318C207</stp>
        <tr r="K647" s="1"/>
      </tp>
      <tp t="s">
        <v>N/A</v>
        <stp/>
        <stp>RHO</stp>
        <stp>.SPY170317C209</stp>
        <tr r="K861" s="1"/>
      </tp>
      <tp t="s">
        <v>N/A</v>
        <stp/>
        <stp>RHO</stp>
        <stp>.SPY160318P207</stp>
        <tr r="V647" s="1"/>
      </tp>
      <tp t="s">
        <v>N/A</v>
        <stp/>
        <stp>RHO</stp>
        <stp>.SPY170317P209</stp>
        <tr r="V861" s="1"/>
      </tp>
      <tp t="s">
        <v>N/A</v>
        <stp/>
        <stp>RHO</stp>
        <stp>.SPY160318C204</stp>
        <tr r="K641" s="1"/>
      </tp>
      <tp t="s">
        <v>N/A</v>
        <stp/>
        <stp>RHO</stp>
        <stp>.SPY160318P204</stp>
        <tr r="V641" s="1"/>
      </tp>
      <tp>
        <v>0.78552999999999995</v>
        <stp/>
        <stp>RHO</stp>
        <stp>.SPY160318C205</stp>
        <tr r="K643" s="1"/>
      </tp>
      <tp>
        <v>-0.86892000000000003</v>
        <stp/>
        <stp>RHO</stp>
        <stp>.SPY160318P205</stp>
        <tr r="V643" s="1"/>
      </tp>
      <tp t="s">
        <v>N/A</v>
        <stp/>
        <stp>RHO</stp>
        <stp>.SPY170317C204</stp>
        <tr r="K851" s="1"/>
      </tp>
      <tp t="s">
        <v>N/A</v>
        <stp/>
        <stp>RHO</stp>
        <stp>.SPY170317P204</stp>
        <tr r="V851" s="1"/>
      </tp>
      <tp>
        <v>1.43771</v>
        <stp/>
        <stp>RHO</stp>
        <stp>.SPY170317C205</stp>
        <tr r="K853" s="1"/>
      </tp>
      <tp>
        <v>-2.0710000000000002</v>
        <stp/>
        <stp>RHO</stp>
        <stp>.SPY170317P205</stp>
        <tr r="V853" s="1"/>
      </tp>
      <tp t="s">
        <v>N/A</v>
        <stp/>
        <stp>RHO</stp>
        <stp>.SPY160318C208</stp>
        <tr r="K649" s="1"/>
      </tp>
      <tp t="s">
        <v>N/A</v>
        <stp/>
        <stp>RHO</stp>
        <stp>.SPY170317C206</stp>
        <tr r="K855" s="1"/>
      </tp>
      <tp t="s">
        <v>N/A</v>
        <stp/>
        <stp>RHO</stp>
        <stp>.SPY160318P208</stp>
        <tr r="V649" s="1"/>
      </tp>
      <tp t="s">
        <v>N/A</v>
        <stp/>
        <stp>RHO</stp>
        <stp>.SPY170317P206</stp>
        <tr r="V855" s="1"/>
      </tp>
      <tp t="s">
        <v>N/A</v>
        <stp/>
        <stp>RHO</stp>
        <stp>.SPY160318C209</stp>
        <tr r="K651" s="1"/>
      </tp>
      <tp t="s">
        <v>N/A</v>
        <stp/>
        <stp>RHO</stp>
        <stp>.SPY170317C207</stp>
        <tr r="K857" s="1"/>
      </tp>
      <tp t="s">
        <v>N/A</v>
        <stp/>
        <stp>RHO</stp>
        <stp>.SPY160318P209</stp>
        <tr r="V651" s="1"/>
      </tp>
      <tp t="s">
        <v>N/A</v>
        <stp/>
        <stp>RHO</stp>
        <stp>.SPY170317P207</stp>
        <tr r="V857" s="1"/>
      </tp>
      <tp>
        <v>1.4699</v>
        <stp/>
        <stp>RHO</stp>
        <stp>.SPY170317C200</stp>
        <tr r="K843" s="1"/>
      </tp>
      <tp>
        <v>-1.88228</v>
        <stp/>
        <stp>RHO</stp>
        <stp>.SPY170317P200</stp>
        <tr r="V843" s="1"/>
      </tp>
      <tp t="s">
        <v>N/A</v>
        <stp/>
        <stp>RHO</stp>
        <stp>.SPY170317C201</stp>
        <tr r="K845" s="1"/>
      </tp>
      <tp t="s">
        <v>N/A</v>
        <stp/>
        <stp>RHO</stp>
        <stp>.SPY170317P201</stp>
        <tr r="V845" s="1"/>
      </tp>
      <tp t="s">
        <v>N/A</v>
        <stp/>
        <stp>RHO</stp>
        <stp>.SPY170317C202</stp>
        <tr r="K847" s="1"/>
      </tp>
      <tp t="s">
        <v>N/A</v>
        <stp/>
        <stp>RHO</stp>
        <stp>.SPY170317P202</stp>
        <tr r="V847" s="1"/>
      </tp>
      <tp t="s">
        <v>N/A</v>
        <stp/>
        <stp>RHO</stp>
        <stp>.SPY170317C203</stp>
        <tr r="K849" s="1"/>
      </tp>
      <tp t="s">
        <v>N/A</v>
        <stp/>
        <stp>RHO</stp>
        <stp>.SPY170317P203</stp>
        <tr r="V849" s="1"/>
      </tp>
      <tp>
        <v>0</v>
        <stp/>
        <stp>BID_SIZE</stp>
        <stp>.SPY150417P212.5</stp>
        <tr r="O28" s="1"/>
      </tp>
      <tp>
        <v>0</v>
        <stp/>
        <stp>BID_SIZE</stp>
        <stp>.SPY150417P202.5</stp>
        <tr r="O8" s="1"/>
      </tp>
      <tp>
        <v>0</v>
        <stp/>
        <stp>BID_SIZE</stp>
        <stp>.SPY150424P201.5</stp>
        <tr r="O48" s="1"/>
      </tp>
      <tp>
        <v>0</v>
        <stp/>
        <stp>BID_SIZE</stp>
        <stp>.SPY150424P211.5</stp>
        <tr r="O68" s="1"/>
      </tp>
      <tp>
        <v>0</v>
        <stp/>
        <stp>BID_SIZE</stp>
        <stp>.SPY150501P204.5</stp>
        <tr r="O96" s="1"/>
      </tp>
      <tp>
        <v>371</v>
        <stp/>
        <stp>BID_SIZE</stp>
        <stp>.SPY150515P210.5</stp>
        <tr r="O192" s="1"/>
      </tp>
      <tp>
        <v>0</v>
        <stp/>
        <stp>BID_SIZE</stp>
        <stp>.SPY150501P214.5</stp>
        <tr r="O116" s="1"/>
      </tp>
      <tp>
        <v>3000</v>
        <stp/>
        <stp>BID_SIZE</stp>
        <stp>.SPY150515P200.5</stp>
        <tr r="O172" s="1"/>
      </tp>
      <tp>
        <v>100</v>
        <stp/>
        <stp>BID_SIZE</stp>
        <stp>.SPY150522P207.5</stp>
        <tr r="O228" s="1"/>
      </tp>
      <tp>
        <v>100</v>
        <stp/>
        <stp>BID_SIZE</stp>
        <stp>.SPY150522P217.5</stp>
        <tr r="O248" s="1"/>
      </tp>
      <tp t="s">
        <v>N/A</v>
        <stp/>
        <stp>ASK_SIZE</stp>
        <stp>.SPY150619P213.5</stp>
        <tr r="M324" s="1"/>
      </tp>
      <tp t="s">
        <v>N/A</v>
        <stp/>
        <stp>ASK_SIZE</stp>
        <stp>.SPY150619P203.5</stp>
        <tr r="M304" s="1"/>
      </tp>
      <tp t="s">
        <v>N/A</v>
        <stp/>
        <stp>BID_SIZE</stp>
        <stp>.SPY160617P211.5</stp>
        <tr r="O698" s="1"/>
      </tp>
      <tp t="s">
        <v>N/A</v>
        <stp/>
        <stp>BID_SIZE</stp>
        <stp>.SPY160617P201.5</stp>
        <tr r="O678" s="1"/>
      </tp>
      <tp t="s">
        <v>N/A</v>
        <stp/>
        <stp>BID_SIZE</stp>
        <stp>.SPY150630P215.5</stp>
        <tr r="O370" s="1"/>
      </tp>
      <tp t="s">
        <v>N/A</v>
        <stp/>
        <stp>BID_SIZE</stp>
        <stp>.SPY150630P205.5</stp>
        <tr r="O350" s="1"/>
      </tp>
      <tp>
        <v>765</v>
        <stp/>
        <stp>ASK_SIZE</stp>
        <stp>.SPY150522P208.5</stp>
        <tr r="M230" s="1"/>
      </tp>
      <tp>
        <v>240</v>
        <stp/>
        <stp>ASK_SIZE</stp>
        <stp>.SPY150529P203.5</stp>
        <tr r="M262" s="1"/>
      </tp>
      <tp>
        <v>100</v>
        <stp/>
        <stp>ASK_SIZE</stp>
        <stp>.SPY150522P218.5</stp>
        <tr r="M250" s="1"/>
      </tp>
      <tp>
        <v>240</v>
        <stp/>
        <stp>ASK_SIZE</stp>
        <stp>.SPY150529P213.5</stp>
        <tr r="M282" s="1"/>
      </tp>
      <tp>
        <v>1200</v>
        <stp/>
        <stp>ASK_SIZE</stp>
        <stp>.SPY150508P202.5</stp>
        <tr r="M134" s="1"/>
      </tp>
      <tp>
        <v>228</v>
        <stp/>
        <stp>ASK_SIZE</stp>
        <stp>.SPY150508P212.5</stp>
        <tr r="M154" s="1"/>
      </tp>
      <tp t="s">
        <v>N/A</v>
        <stp/>
        <stp>BID_SIZE</stp>
        <stp>.SPY150717P212.5</stp>
        <tr r="O406" s="1"/>
      </tp>
      <tp t="s">
        <v>N/A</v>
        <stp/>
        <stp>BID_SIZE</stp>
        <stp>.SPY150717P202.5</stp>
        <tr r="O386" s="1"/>
      </tp>
      <tp t="s">
        <v>N/A</v>
        <stp/>
        <stp>ASK_SIZE</stp>
        <stp>.SPY160318P211.5</stp>
        <tr r="M656" s="1"/>
      </tp>
      <tp t="s">
        <v>N/A</v>
        <stp/>
        <stp>ASK_SIZE</stp>
        <stp>.SPY160318P201.5</stp>
        <tr r="M636" s="1"/>
      </tp>
      <tp t="s">
        <v>N/A</v>
        <stp/>
        <stp>BID_SIZE</stp>
        <stp>.SPY160115P213.5</stp>
        <tr r="O618" s="1"/>
      </tp>
      <tp t="s">
        <v>N/A</v>
        <stp/>
        <stp>BID_SIZE</stp>
        <stp>.SPY160115P203.5</stp>
        <tr r="O598" s="1"/>
      </tp>
      <tp t="s">
        <v>N/A</v>
        <stp/>
        <stp>BID_SIZE</stp>
        <stp>.SPY170120P207.5</stp>
        <tr r="O816" s="1"/>
      </tp>
      <tp t="s">
        <v>N/A</v>
        <stp/>
        <stp>BID_SIZE</stp>
        <stp>.SPY170120P217.5</stp>
        <tr r="O836" s="1"/>
      </tp>
      <tp t="s">
        <v>N/A</v>
        <stp/>
        <stp>ASK_SIZE</stp>
        <stp>.SPY170120P208.5</stp>
        <tr r="M818" s="1"/>
      </tp>
      <tp t="s">
        <v>N/A</v>
        <stp/>
        <stp>ASK_SIZE</stp>
        <stp>.SPY170120P218.5</stp>
        <tr r="M838" s="1"/>
      </tp>
      <tp t="s">
        <v>N/A</v>
        <stp/>
        <stp>BID_SIZE</stp>
        <stp>.SPY170317P210.5</stp>
        <tr r="O864" s="1"/>
      </tp>
      <tp t="s">
        <v>N/A</v>
        <stp/>
        <stp>BID_SIZE</stp>
        <stp>.SPY170317P200.5</stp>
        <tr r="O844" s="1"/>
      </tp>
      <tp t="s">
        <v>N/A</v>
        <stp/>
        <stp>BID_SIZE</stp>
        <stp>.SPY160916P210.5</stp>
        <tr r="O738" s="1"/>
      </tp>
      <tp t="s">
        <v>N/A</v>
        <stp/>
        <stp>BID_SIZE</stp>
        <stp>.SPY160916P200.5</stp>
        <tr r="O718" s="1"/>
      </tp>
      <tp t="s">
        <v>N/A</v>
        <stp/>
        <stp>BID_SIZE</stp>
        <stp>.SPY150930P215.5</stp>
        <tr r="O496" s="1"/>
      </tp>
      <tp t="s">
        <v>N/A</v>
        <stp/>
        <stp>BID_SIZE</stp>
        <stp>.SPY150930P205.5</stp>
        <tr r="O476" s="1"/>
      </tp>
      <tp t="s">
        <v>N/A</v>
        <stp/>
        <stp>ASK_SIZE</stp>
        <stp>.SPY150918P212.5</stp>
        <tr r="M448" s="1"/>
      </tp>
      <tp t="s">
        <v>N/A</v>
        <stp/>
        <stp>ASK_SIZE</stp>
        <stp>.SPY150918P202.5</stp>
        <tr r="M428" s="1"/>
      </tp>
      <tp t="s">
        <v>N/A</v>
        <stp/>
        <stp>ASK_SIZE</stp>
        <stp>.SPY151219P213.5</stp>
        <tr r="M534" s="1"/>
      </tp>
      <tp t="s">
        <v>N/A</v>
        <stp/>
        <stp>ASK_SIZE</stp>
        <stp>.SPY151219P203.5</stp>
        <tr r="M514" s="1"/>
      </tp>
      <tp t="s">
        <v>N/A</v>
        <stp/>
        <stp>BID_SIZE</stp>
        <stp>.SPY161216P210.5</stp>
        <tr r="O780" s="1"/>
      </tp>
      <tp t="s">
        <v>N/A</v>
        <stp/>
        <stp>BID_SIZE</stp>
        <stp>.SPY171215P212.5</stp>
        <tr r="O910" s="1"/>
      </tp>
      <tp t="s">
        <v>N/A</v>
        <stp/>
        <stp>BID_SIZE</stp>
        <stp>.SPY161216P200.5</stp>
        <tr r="O760" s="1"/>
      </tp>
      <tp t="s">
        <v>N/A</v>
        <stp/>
        <stp>BID_SIZE</stp>
        <stp>.SPY171215P202.5</stp>
        <tr r="O890" s="1"/>
      </tp>
      <tp t="s">
        <v>N/A</v>
        <stp/>
        <stp>BID_SIZE</stp>
        <stp>.SPY151231P214.5</stp>
        <tr r="O578" s="1"/>
      </tp>
      <tp t="s">
        <v>N/A</v>
        <stp/>
        <stp>BID_SIZE</stp>
        <stp>.SPY151231P204.5</stp>
        <tr r="O558" s="1"/>
      </tp>
      <tp t="s">
        <v>N/A</v>
        <stp/>
        <stp>ASK_SIZE</stp>
        <stp>.SPY151219C213.5</stp>
        <tr r="B534" s="1"/>
      </tp>
      <tp t="s">
        <v>N/A</v>
        <stp/>
        <stp>ASK_SIZE</stp>
        <stp>.SPY151219C203.5</stp>
        <tr r="B514" s="1"/>
      </tp>
      <tp t="s">
        <v>N/A</v>
        <stp/>
        <stp>BID_SIZE</stp>
        <stp>.SPY161216C210.5</stp>
        <tr r="D780" s="1"/>
      </tp>
      <tp t="s">
        <v>N/A</v>
        <stp/>
        <stp>BID_SIZE</stp>
        <stp>.SPY171215C212.5</stp>
        <tr r="D910" s="1"/>
      </tp>
      <tp t="s">
        <v>N/A</v>
        <stp/>
        <stp>BID_SIZE</stp>
        <stp>.SPY161216C200.5</stp>
        <tr r="D760" s="1"/>
      </tp>
      <tp t="s">
        <v>N/A</v>
        <stp/>
        <stp>BID_SIZE</stp>
        <stp>.SPY171215C202.5</stp>
        <tr r="D890" s="1"/>
      </tp>
      <tp t="s">
        <v>N/A</v>
        <stp/>
        <stp>BID_SIZE</stp>
        <stp>.SPY151231C214.5</stp>
        <tr r="D578" s="1"/>
      </tp>
      <tp t="s">
        <v>N/A</v>
        <stp/>
        <stp>BID_SIZE</stp>
        <stp>.SPY151231C204.5</stp>
        <tr r="D558" s="1"/>
      </tp>
      <tp>
        <v>0</v>
        <stp/>
        <stp>BID_SIZE</stp>
        <stp>.SPY150417C212.5</stp>
        <tr r="D28" s="1"/>
      </tp>
      <tp>
        <v>0</v>
        <stp/>
        <stp>BID_SIZE</stp>
        <stp>.SPY150417C202.5</stp>
        <tr r="D8" s="1"/>
      </tp>
      <tp>
        <v>0</v>
        <stp/>
        <stp>BID_SIZE</stp>
        <stp>.SPY150424C201.5</stp>
        <tr r="D48" s="1"/>
      </tp>
      <tp>
        <v>0</v>
        <stp/>
        <stp>BID_SIZE</stp>
        <stp>.SPY150424C211.5</stp>
        <tr r="D68" s="1"/>
      </tp>
      <tp>
        <v>0</v>
        <stp/>
        <stp>BID_SIZE</stp>
        <stp>.SPY150501C204.5</stp>
        <tr r="D96" s="1"/>
      </tp>
      <tp>
        <v>349</v>
        <stp/>
        <stp>BID_SIZE</stp>
        <stp>.SPY150515C210.5</stp>
        <tr r="D192" s="1"/>
      </tp>
      <tp>
        <v>0</v>
        <stp/>
        <stp>BID_SIZE</stp>
        <stp>.SPY150501C214.5</stp>
        <tr r="D116" s="1"/>
      </tp>
      <tp>
        <v>111</v>
        <stp/>
        <stp>BID_SIZE</stp>
        <stp>.SPY150515C200.5</stp>
        <tr r="D172" s="1"/>
      </tp>
      <tp>
        <v>199</v>
        <stp/>
        <stp>BID_SIZE</stp>
        <stp>.SPY150522C207.5</stp>
        <tr r="D228" s="1"/>
      </tp>
      <tp>
        <v>160</v>
        <stp/>
        <stp>BID_SIZE</stp>
        <stp>.SPY150522C217.5</stp>
        <tr r="D248" s="1"/>
      </tp>
      <tp t="s">
        <v>N/A</v>
        <stp/>
        <stp>ASK_SIZE</stp>
        <stp>.SPY150619C213.5</stp>
        <tr r="B324" s="1"/>
      </tp>
      <tp t="s">
        <v>N/A</v>
        <stp/>
        <stp>ASK_SIZE</stp>
        <stp>.SPY150619C203.5</stp>
        <tr r="B304" s="1"/>
      </tp>
      <tp t="s">
        <v>N/A</v>
        <stp/>
        <stp>BID_SIZE</stp>
        <stp>.SPY160617C211.5</stp>
        <tr r="D698" s="1"/>
      </tp>
      <tp t="s">
        <v>N/A</v>
        <stp/>
        <stp>BID_SIZE</stp>
        <stp>.SPY160617C201.5</stp>
        <tr r="D678" s="1"/>
      </tp>
      <tp t="s">
        <v>N/A</v>
        <stp/>
        <stp>BID_SIZE</stp>
        <stp>.SPY150630C215.5</stp>
        <tr r="D370" s="1"/>
      </tp>
      <tp t="s">
        <v>N/A</v>
        <stp/>
        <stp>BID_SIZE</stp>
        <stp>.SPY150630C205.5</stp>
        <tr r="D350" s="1"/>
      </tp>
      <tp>
        <v>199</v>
        <stp/>
        <stp>ASK_SIZE</stp>
        <stp>.SPY150522C208.5</stp>
        <tr r="B230" s="1"/>
      </tp>
      <tp>
        <v>249</v>
        <stp/>
        <stp>ASK_SIZE</stp>
        <stp>.SPY150529C203.5</stp>
        <tr r="B262" s="1"/>
      </tp>
      <tp>
        <v>600</v>
        <stp/>
        <stp>ASK_SIZE</stp>
        <stp>.SPY150522C218.5</stp>
        <tr r="B250" s="1"/>
      </tp>
      <tp>
        <v>249</v>
        <stp/>
        <stp>ASK_SIZE</stp>
        <stp>.SPY150529C213.5</stp>
        <tr r="B282" s="1"/>
      </tp>
      <tp>
        <v>105</v>
        <stp/>
        <stp>ASK_SIZE</stp>
        <stp>.SPY150508C202.5</stp>
        <tr r="B134" s="1"/>
      </tp>
      <tp>
        <v>184</v>
        <stp/>
        <stp>ASK_SIZE</stp>
        <stp>.SPY150508C212.5</stp>
        <tr r="B154" s="1"/>
      </tp>
      <tp t="s">
        <v>N/A</v>
        <stp/>
        <stp>BID_SIZE</stp>
        <stp>.SPY150717C212.5</stp>
        <tr r="D406" s="1"/>
      </tp>
      <tp t="s">
        <v>N/A</v>
        <stp/>
        <stp>BID_SIZE</stp>
        <stp>.SPY150717C202.5</stp>
        <tr r="D386" s="1"/>
      </tp>
      <tp t="s">
        <v>N/A</v>
        <stp/>
        <stp>ASK_SIZE</stp>
        <stp>.SPY160318C211.5</stp>
        <tr r="B656" s="1"/>
      </tp>
      <tp t="s">
        <v>N/A</v>
        <stp/>
        <stp>ASK_SIZE</stp>
        <stp>.SPY160318C201.5</stp>
        <tr r="B636" s="1"/>
      </tp>
      <tp t="s">
        <v>N/A</v>
        <stp/>
        <stp>BID_SIZE</stp>
        <stp>.SPY160115C213.5</stp>
        <tr r="D618" s="1"/>
      </tp>
      <tp t="s">
        <v>N/A</v>
        <stp/>
        <stp>BID_SIZE</stp>
        <stp>.SPY160115C203.5</stp>
        <tr r="D598" s="1"/>
      </tp>
      <tp t="s">
        <v>N/A</v>
        <stp/>
        <stp>BID_SIZE</stp>
        <stp>.SPY170120C207.5</stp>
        <tr r="D816" s="1"/>
      </tp>
      <tp t="s">
        <v>N/A</v>
        <stp/>
        <stp>BID_SIZE</stp>
        <stp>.SPY170120C217.5</stp>
        <tr r="D836" s="1"/>
      </tp>
      <tp t="s">
        <v>N/A</v>
        <stp/>
        <stp>ASK_SIZE</stp>
        <stp>.SPY170120C208.5</stp>
        <tr r="B818" s="1"/>
      </tp>
      <tp t="s">
        <v>N/A</v>
        <stp/>
        <stp>ASK_SIZE</stp>
        <stp>.SPY170120C218.5</stp>
        <tr r="B838" s="1"/>
      </tp>
      <tp t="s">
        <v>N/A</v>
        <stp/>
        <stp>BID_SIZE</stp>
        <stp>.SPY170317C210.5</stp>
        <tr r="D864" s="1"/>
      </tp>
      <tp t="s">
        <v>N/A</v>
        <stp/>
        <stp>BID_SIZE</stp>
        <stp>.SPY170317C200.5</stp>
        <tr r="D844" s="1"/>
      </tp>
      <tp t="s">
        <v>N/A</v>
        <stp/>
        <stp>BID_SIZE</stp>
        <stp>.SPY160916C210.5</stp>
        <tr r="D738" s="1"/>
      </tp>
      <tp t="s">
        <v>N/A</v>
        <stp/>
        <stp>BID_SIZE</stp>
        <stp>.SPY160916C200.5</stp>
        <tr r="D718" s="1"/>
      </tp>
      <tp t="s">
        <v>N/A</v>
        <stp/>
        <stp>BID_SIZE</stp>
        <stp>.SPY150930C215.5</stp>
        <tr r="D496" s="1"/>
      </tp>
      <tp t="s">
        <v>N/A</v>
        <stp/>
        <stp>BID_SIZE</stp>
        <stp>.SPY150930C205.5</stp>
        <tr r="D476" s="1"/>
      </tp>
      <tp t="s">
        <v>N/A</v>
        <stp/>
        <stp>ASK_SIZE</stp>
        <stp>.SPY150918C212.5</stp>
        <tr r="B448" s="1"/>
      </tp>
      <tp t="s">
        <v>N/A</v>
        <stp/>
        <stp>ASK_SIZE</stp>
        <stp>.SPY150918C202.5</stp>
        <tr r="B428" s="1"/>
      </tp>
      <tp>
        <v>3.24</v>
        <stp/>
        <stp>ASK</stp>
        <stp>.SPY150417C205</stp>
        <tr r="A13" s="1"/>
      </tp>
      <tp>
        <v>0.01</v>
        <stp/>
        <stp>ASK</stp>
        <stp>.SPY150417P205</stp>
        <tr r="L13" s="1"/>
      </tp>
      <tp>
        <v>4.26</v>
        <stp/>
        <stp>ASK</stp>
        <stp>.SPY150417C204</stp>
        <tr r="A11" s="1"/>
      </tp>
      <tp>
        <v>0.01</v>
        <stp/>
        <stp>ASK</stp>
        <stp>.SPY150417P204</stp>
        <tr r="L11" s="1"/>
      </tp>
      <tp>
        <v>1.1499999999999999</v>
        <stp/>
        <stp>ASK</stp>
        <stp>.SPY150417C207</stp>
        <tr r="A17" s="1"/>
      </tp>
      <tp>
        <v>0.01</v>
        <stp/>
        <stp>ASK</stp>
        <stp>.SPY150417P207</stp>
        <tr r="L17" s="1"/>
      </tp>
      <tp>
        <v>2.15</v>
        <stp/>
        <stp>ASK</stp>
        <stp>.SPY150417C206</stp>
        <tr r="A15" s="1"/>
      </tp>
      <tp>
        <v>0.01</v>
        <stp/>
        <stp>ASK</stp>
        <stp>.SPY150417P206</stp>
        <tr r="L15" s="1"/>
      </tp>
      <tp>
        <v>7.28</v>
        <stp/>
        <stp>ASK</stp>
        <stp>.SPY150417C201</stp>
        <tr r="A5" s="1"/>
      </tp>
      <tp>
        <v>0.01</v>
        <stp/>
        <stp>ASK</stp>
        <stp>.SPY150417P201</stp>
        <tr r="L5" s="1"/>
      </tp>
      <tp>
        <v>8.2799999999999994</v>
        <stp/>
        <stp>ASK</stp>
        <stp>.SPY150417C200</stp>
        <tr r="A3" s="1"/>
      </tp>
      <tp>
        <v>0.01</v>
        <stp/>
        <stp>ASK</stp>
        <stp>.SPY150417P200</stp>
        <tr r="L3" s="1"/>
      </tp>
      <tp>
        <v>5.26</v>
        <stp/>
        <stp>ASK</stp>
        <stp>.SPY150417C203</stp>
        <tr r="A9" s="1"/>
      </tp>
      <tp>
        <v>0.01</v>
        <stp/>
        <stp>ASK</stp>
        <stp>.SPY150417P203</stp>
        <tr r="L9" s="1"/>
      </tp>
      <tp>
        <v>6.28</v>
        <stp/>
        <stp>ASK</stp>
        <stp>.SPY150417C202</stp>
        <tr r="A7" s="1"/>
      </tp>
      <tp>
        <v>0.01</v>
        <stp/>
        <stp>ASK</stp>
        <stp>.SPY150417P202</stp>
        <tr r="L7" s="1"/>
      </tp>
      <tp>
        <v>0.01</v>
        <stp/>
        <stp>ASK</stp>
        <stp>.SPY150417C209</stp>
        <tr r="A21" s="1"/>
      </tp>
      <tp>
        <v>0.97</v>
        <stp/>
        <stp>ASK</stp>
        <stp>.SPY150417P209</stp>
        <tr r="L21" s="1"/>
      </tp>
      <tp>
        <v>0.13</v>
        <stp/>
        <stp>ASK</stp>
        <stp>.SPY150417C208</stp>
        <tr r="A19" s="1"/>
      </tp>
      <tp>
        <v>0.02</v>
        <stp/>
        <stp>ASK</stp>
        <stp>.SPY150417P208</stp>
        <tr r="L19" s="1"/>
      </tp>
      <tp>
        <v>3.65</v>
        <stp/>
        <stp>BID</stp>
        <stp>.SPY150424C208</stp>
        <tr r="C61" s="1"/>
      </tp>
      <tp>
        <v>0</v>
        <stp/>
        <stp>BID</stp>
        <stp>.SPY150424P208</stp>
        <tr r="N61" s="1"/>
      </tp>
      <tp>
        <v>2.57</v>
        <stp/>
        <stp>BID</stp>
        <stp>.SPY150424C209</stp>
        <tr r="C63" s="1"/>
      </tp>
      <tp>
        <v>0</v>
        <stp/>
        <stp>BID</stp>
        <stp>.SPY150424P209</stp>
        <tr r="N63" s="1"/>
      </tp>
      <tp>
        <v>7.55</v>
        <stp/>
        <stp>BID</stp>
        <stp>.SPY150424C204</stp>
        <tr r="C53" s="1"/>
      </tp>
      <tp>
        <v>0</v>
        <stp/>
        <stp>BID</stp>
        <stp>.SPY150424P204</stp>
        <tr r="N53" s="1"/>
      </tp>
      <tp>
        <v>6.49</v>
        <stp/>
        <stp>BID</stp>
        <stp>.SPY150424C205</stp>
        <tr r="C55" s="1"/>
      </tp>
      <tp>
        <v>0</v>
        <stp/>
        <stp>BID</stp>
        <stp>.SPY150424P205</stp>
        <tr r="N55" s="1"/>
      </tp>
      <tp>
        <v>5.55</v>
        <stp/>
        <stp>BID</stp>
        <stp>.SPY150424C206</stp>
        <tr r="C57" s="1"/>
      </tp>
      <tp>
        <v>0</v>
        <stp/>
        <stp>BID</stp>
        <stp>.SPY150424P206</stp>
        <tr r="N57" s="1"/>
      </tp>
      <tp>
        <v>4.59</v>
        <stp/>
        <stp>BID</stp>
        <stp>.SPY150424C207</stp>
        <tr r="C59" s="1"/>
      </tp>
      <tp>
        <v>0</v>
        <stp/>
        <stp>BID</stp>
        <stp>.SPY150424P207</stp>
        <tr r="N59" s="1"/>
      </tp>
      <tp>
        <v>11.55</v>
        <stp/>
        <stp>BID</stp>
        <stp>.SPY150424C200</stp>
        <tr r="C45" s="1"/>
      </tp>
      <tp>
        <v>0</v>
        <stp/>
        <stp>BID</stp>
        <stp>.SPY150424P200</stp>
        <tr r="N45" s="1"/>
      </tp>
      <tp>
        <v>10.55</v>
        <stp/>
        <stp>BID</stp>
        <stp>.SPY150424C201</stp>
        <tr r="C47" s="1"/>
      </tp>
      <tp>
        <v>0</v>
        <stp/>
        <stp>BID</stp>
        <stp>.SPY150424P201</stp>
        <tr r="N47" s="1"/>
      </tp>
      <tp>
        <v>9.5500000000000007</v>
        <stp/>
        <stp>BID</stp>
        <stp>.SPY150424C202</stp>
        <tr r="C49" s="1"/>
      </tp>
      <tp>
        <v>0</v>
        <stp/>
        <stp>BID</stp>
        <stp>.SPY150424P202</stp>
        <tr r="N49" s="1"/>
      </tp>
      <tp>
        <v>8.5500000000000007</v>
        <stp/>
        <stp>BID</stp>
        <stp>.SPY150424C203</stp>
        <tr r="C51" s="1"/>
      </tp>
      <tp>
        <v>0</v>
        <stp/>
        <stp>BID</stp>
        <stp>.SPY150424P203</stp>
        <tr r="N51" s="1"/>
      </tp>
      <tp>
        <v>0.01</v>
        <stp/>
        <stp>ASK</stp>
        <stp>.SPY150417C215</stp>
        <tr r="A33" s="1"/>
      </tp>
      <tp>
        <v>7.02</v>
        <stp/>
        <stp>ASK</stp>
        <stp>.SPY150417P215</stp>
        <tr r="L33" s="1"/>
      </tp>
      <tp>
        <v>0.01</v>
        <stp/>
        <stp>ASK</stp>
        <stp>.SPY150417C214</stp>
        <tr r="A31" s="1"/>
      </tp>
      <tp>
        <v>6.02</v>
        <stp/>
        <stp>ASK</stp>
        <stp>.SPY150417P214</stp>
        <tr r="L31" s="1"/>
      </tp>
      <tp>
        <v>0.01</v>
        <stp/>
        <stp>ASK</stp>
        <stp>.SPY150417C217</stp>
        <tr r="A37" s="1"/>
      </tp>
      <tp>
        <v>9.02</v>
        <stp/>
        <stp>ASK</stp>
        <stp>.SPY150417P217</stp>
        <tr r="L37" s="1"/>
      </tp>
      <tp>
        <v>0.01</v>
        <stp/>
        <stp>ASK</stp>
        <stp>.SPY150417C216</stp>
        <tr r="A35" s="1"/>
      </tp>
      <tp>
        <v>8.02</v>
        <stp/>
        <stp>ASK</stp>
        <stp>.SPY150417P216</stp>
        <tr r="L35" s="1"/>
      </tp>
      <tp>
        <v>0.01</v>
        <stp/>
        <stp>ASK</stp>
        <stp>.SPY150417C211</stp>
        <tr r="A25" s="1"/>
      </tp>
      <tp>
        <v>2.97</v>
        <stp/>
        <stp>ASK</stp>
        <stp>.SPY150417P211</stp>
        <tr r="L25" s="1"/>
      </tp>
      <tp>
        <v>0.01</v>
        <stp/>
        <stp>ASK</stp>
        <stp>.SPY150417C210</stp>
        <tr r="A23" s="1"/>
      </tp>
      <tp>
        <v>1.97</v>
        <stp/>
        <stp>ASK</stp>
        <stp>.SPY150417P210</stp>
        <tr r="L23" s="1"/>
      </tp>
      <tp>
        <v>0.01</v>
        <stp/>
        <stp>ASK</stp>
        <stp>.SPY150417C213</stp>
        <tr r="A29" s="1"/>
      </tp>
      <tp>
        <v>4.99</v>
        <stp/>
        <stp>ASK</stp>
        <stp>.SPY150417P213</stp>
        <tr r="L29" s="1"/>
      </tp>
      <tp>
        <v>0.01</v>
        <stp/>
        <stp>ASK</stp>
        <stp>.SPY150417C212</stp>
        <tr r="A27" s="1"/>
      </tp>
      <tp>
        <v>3.99</v>
        <stp/>
        <stp>ASK</stp>
        <stp>.SPY150417P212</stp>
        <tr r="L27" s="1"/>
      </tp>
      <tp>
        <v>0.01</v>
        <stp/>
        <stp>ASK</stp>
        <stp>.SPY150417C219</stp>
        <tr r="A41" s="1"/>
      </tp>
      <tp>
        <v>11.02</v>
        <stp/>
        <stp>ASK</stp>
        <stp>.SPY150417P219</stp>
        <tr r="L41" s="1"/>
      </tp>
      <tp>
        <v>0.01</v>
        <stp/>
        <stp>ASK</stp>
        <stp>.SPY150417C218</stp>
        <tr r="A39" s="1"/>
      </tp>
      <tp>
        <v>10.02</v>
        <stp/>
        <stp>ASK</stp>
        <stp>.SPY150417P218</stp>
        <tr r="L39" s="1"/>
      </tp>
      <tp>
        <v>0</v>
        <stp/>
        <stp>BID</stp>
        <stp>.SPY150424C218</stp>
        <tr r="C81" s="1"/>
      </tp>
      <tp>
        <v>6.21</v>
        <stp/>
        <stp>BID</stp>
        <stp>.SPY150424P218</stp>
        <tr r="N81" s="1"/>
      </tp>
      <tp>
        <v>0</v>
        <stp/>
        <stp>BID</stp>
        <stp>.SPY150424C219</stp>
        <tr r="C83" s="1"/>
      </tp>
      <tp>
        <v>7.21</v>
        <stp/>
        <stp>BID</stp>
        <stp>.SPY150424P219</stp>
        <tr r="N83" s="1"/>
      </tp>
      <tp>
        <v>0</v>
        <stp/>
        <stp>BID</stp>
        <stp>.SPY150424C214</stp>
        <tr r="C73" s="1"/>
      </tp>
      <tp>
        <v>2.21</v>
        <stp/>
        <stp>BID</stp>
        <stp>.SPY150424P214</stp>
        <tr r="N73" s="1"/>
      </tp>
      <tp>
        <v>0</v>
        <stp/>
        <stp>BID</stp>
        <stp>.SPY150424C215</stp>
        <tr r="C75" s="1"/>
      </tp>
      <tp>
        <v>3.21</v>
        <stp/>
        <stp>BID</stp>
        <stp>.SPY150424P215</stp>
        <tr r="N75" s="1"/>
      </tp>
      <tp>
        <v>0</v>
        <stp/>
        <stp>BID</stp>
        <stp>.SPY150424C216</stp>
        <tr r="C77" s="1"/>
      </tp>
      <tp>
        <v>4.17</v>
        <stp/>
        <stp>BID</stp>
        <stp>.SPY150424P216</stp>
        <tr r="N77" s="1"/>
      </tp>
      <tp>
        <v>0</v>
        <stp/>
        <stp>BID</stp>
        <stp>.SPY150424C217</stp>
        <tr r="C79" s="1"/>
      </tp>
      <tp>
        <v>5.19</v>
        <stp/>
        <stp>BID</stp>
        <stp>.SPY150424P217</stp>
        <tr r="N79" s="1"/>
      </tp>
      <tp>
        <v>1.58</v>
        <stp/>
        <stp>BID</stp>
        <stp>.SPY150424C210</stp>
        <tr r="C65" s="1"/>
      </tp>
      <tp>
        <v>0</v>
        <stp/>
        <stp>BID</stp>
        <stp>.SPY150424P210</stp>
        <tr r="N65" s="1"/>
      </tp>
      <tp>
        <v>0.65</v>
        <stp/>
        <stp>BID</stp>
        <stp>.SPY150424C211</stp>
        <tr r="C67" s="1"/>
      </tp>
      <tp>
        <v>0</v>
        <stp/>
        <stp>BID</stp>
        <stp>.SPY150424P211</stp>
        <tr r="N67" s="1"/>
      </tp>
      <tp>
        <v>0</v>
        <stp/>
        <stp>BID</stp>
        <stp>.SPY150424C212</stp>
        <tr r="C69" s="1"/>
      </tp>
      <tp>
        <v>0.28999999999999998</v>
        <stp/>
        <stp>BID</stp>
        <stp>.SPY150424P212</stp>
        <tr r="N69" s="1"/>
      </tp>
      <tp>
        <v>0</v>
        <stp/>
        <stp>BID</stp>
        <stp>.SPY150424C213</stp>
        <tr r="C71" s="1"/>
      </tp>
      <tp>
        <v>1.21</v>
        <stp/>
        <stp>BID</stp>
        <stp>.SPY150424P213</stp>
        <tr r="N71" s="1"/>
      </tp>
      <tp>
        <v>0.01</v>
        <stp/>
        <stp>ASK</stp>
        <stp>.SPY150424C216</stp>
        <tr r="A77" s="1"/>
      </tp>
      <tp>
        <v>4.4400000000000004</v>
        <stp/>
        <stp>ASK</stp>
        <stp>.SPY150424P216</stp>
        <tr r="L77" s="1"/>
      </tp>
      <tp>
        <v>0.01</v>
        <stp/>
        <stp>ASK</stp>
        <stp>.SPY150424C217</stp>
        <tr r="A79" s="1"/>
      </tp>
      <tp>
        <v>5.45</v>
        <stp/>
        <stp>ASK</stp>
        <stp>.SPY150424P217</stp>
        <tr r="L79" s="1"/>
      </tp>
      <tp>
        <v>0.01</v>
        <stp/>
        <stp>ASK</stp>
        <stp>.SPY150424C214</stp>
        <tr r="A73" s="1"/>
      </tp>
      <tp>
        <v>2.4300000000000002</v>
        <stp/>
        <stp>ASK</stp>
        <stp>.SPY150424P214</stp>
        <tr r="L73" s="1"/>
      </tp>
      <tp>
        <v>0.01</v>
        <stp/>
        <stp>ASK</stp>
        <stp>.SPY150424C215</stp>
        <tr r="A75" s="1"/>
      </tp>
      <tp>
        <v>3.45</v>
        <stp/>
        <stp>ASK</stp>
        <stp>.SPY150424P215</stp>
        <tr r="L75" s="1"/>
      </tp>
      <tp>
        <v>0.01</v>
        <stp/>
        <stp>ASK</stp>
        <stp>.SPY150424C212</stp>
        <tr r="A69" s="1"/>
      </tp>
      <tp>
        <v>0.33</v>
        <stp/>
        <stp>ASK</stp>
        <stp>.SPY150424P212</stp>
        <tr r="L69" s="1"/>
      </tp>
      <tp>
        <v>0.01</v>
        <stp/>
        <stp>ASK</stp>
        <stp>.SPY150424C213</stp>
        <tr r="A71" s="1"/>
      </tp>
      <tp>
        <v>1.43</v>
        <stp/>
        <stp>ASK</stp>
        <stp>.SPY150424P213</stp>
        <tr r="L71" s="1"/>
      </tp>
      <tp>
        <v>1.79</v>
        <stp/>
        <stp>ASK</stp>
        <stp>.SPY150424C210</stp>
        <tr r="A65" s="1"/>
      </tp>
      <tp>
        <v>0.01</v>
        <stp/>
        <stp>ASK</stp>
        <stp>.SPY150424P210</stp>
        <tr r="L65" s="1"/>
      </tp>
      <tp>
        <v>0.71</v>
        <stp/>
        <stp>ASK</stp>
        <stp>.SPY150424C211</stp>
        <tr r="A67" s="1"/>
      </tp>
      <tp>
        <v>0.01</v>
        <stp/>
        <stp>ASK</stp>
        <stp>.SPY150424P211</stp>
        <tr r="L67" s="1"/>
      </tp>
      <tp>
        <v>0.01</v>
        <stp/>
        <stp>ASK</stp>
        <stp>.SPY150424C218</stp>
        <tr r="A81" s="1"/>
      </tp>
      <tp>
        <v>6.44</v>
        <stp/>
        <stp>ASK</stp>
        <stp>.SPY150424P218</stp>
        <tr r="L81" s="1"/>
      </tp>
      <tp>
        <v>0.03</v>
        <stp/>
        <stp>ASK</stp>
        <stp>.SPY150424C219</stp>
        <tr r="A83" s="1"/>
      </tp>
      <tp>
        <v>7.44</v>
        <stp/>
        <stp>ASK</stp>
        <stp>.SPY150424P219</stp>
        <tr r="L83" s="1"/>
      </tp>
      <tp>
        <v>0</v>
        <stp/>
        <stp>BID</stp>
        <stp>.SPY150417C219</stp>
        <tr r="C41" s="1"/>
      </tp>
      <tp>
        <v>10.75</v>
        <stp/>
        <stp>BID</stp>
        <stp>.SPY150417P219</stp>
        <tr r="N41" s="1"/>
      </tp>
      <tp>
        <v>0</v>
        <stp/>
        <stp>BID</stp>
        <stp>.SPY150417C218</stp>
        <tr r="C39" s="1"/>
      </tp>
      <tp>
        <v>9.75</v>
        <stp/>
        <stp>BID</stp>
        <stp>.SPY150417P218</stp>
        <tr r="N39" s="1"/>
      </tp>
      <tp>
        <v>0</v>
        <stp/>
        <stp>BID</stp>
        <stp>.SPY150417C217</stp>
        <tr r="C37" s="1"/>
      </tp>
      <tp>
        <v>8.75</v>
        <stp/>
        <stp>BID</stp>
        <stp>.SPY150417P217</stp>
        <tr r="N37" s="1"/>
      </tp>
      <tp>
        <v>0</v>
        <stp/>
        <stp>BID</stp>
        <stp>.SPY150417C216</stp>
        <tr r="C35" s="1"/>
      </tp>
      <tp>
        <v>7.75</v>
        <stp/>
        <stp>BID</stp>
        <stp>.SPY150417P216</stp>
        <tr r="N35" s="1"/>
      </tp>
      <tp>
        <v>0</v>
        <stp/>
        <stp>BID</stp>
        <stp>.SPY150417C215</stp>
        <tr r="C33" s="1"/>
      </tp>
      <tp>
        <v>6.75</v>
        <stp/>
        <stp>BID</stp>
        <stp>.SPY150417P215</stp>
        <tr r="N33" s="1"/>
      </tp>
      <tp>
        <v>0</v>
        <stp/>
        <stp>BID</stp>
        <stp>.SPY150417C214</stp>
        <tr r="C31" s="1"/>
      </tp>
      <tp>
        <v>5.75</v>
        <stp/>
        <stp>BID</stp>
        <stp>.SPY150417P214</stp>
        <tr r="N31" s="1"/>
      </tp>
      <tp>
        <v>0</v>
        <stp/>
        <stp>BID</stp>
        <stp>.SPY150417C213</stp>
        <tr r="C29" s="1"/>
      </tp>
      <tp>
        <v>4.76</v>
        <stp/>
        <stp>BID</stp>
        <stp>.SPY150417P213</stp>
        <tr r="N29" s="1"/>
      </tp>
      <tp>
        <v>0</v>
        <stp/>
        <stp>BID</stp>
        <stp>.SPY150417C212</stp>
        <tr r="C27" s="1"/>
      </tp>
      <tp>
        <v>3.76</v>
        <stp/>
        <stp>BID</stp>
        <stp>.SPY150417P212</stp>
        <tr r="N27" s="1"/>
      </tp>
      <tp>
        <v>0</v>
        <stp/>
        <stp>BID</stp>
        <stp>.SPY150417C211</stp>
        <tr r="C25" s="1"/>
      </tp>
      <tp>
        <v>2.76</v>
        <stp/>
        <stp>BID</stp>
        <stp>.SPY150417P211</stp>
        <tr r="N25" s="1"/>
      </tp>
      <tp>
        <v>0</v>
        <stp/>
        <stp>BID</stp>
        <stp>.SPY150417C210</stp>
        <tr r="C23" s="1"/>
      </tp>
      <tp>
        <v>1.78</v>
        <stp/>
        <stp>BID</stp>
        <stp>.SPY150417P210</stp>
        <tr r="N23" s="1"/>
      </tp>
      <tp>
        <v>5.81</v>
        <stp/>
        <stp>ASK</stp>
        <stp>.SPY150424C206</stp>
        <tr r="A57" s="1"/>
      </tp>
      <tp>
        <v>0.01</v>
        <stp/>
        <stp>ASK</stp>
        <stp>.SPY150424P206</stp>
        <tr r="L57" s="1"/>
      </tp>
      <tp>
        <v>4.79</v>
        <stp/>
        <stp>ASK</stp>
        <stp>.SPY150424C207</stp>
        <tr r="A59" s="1"/>
      </tp>
      <tp>
        <v>0.01</v>
        <stp/>
        <stp>ASK</stp>
        <stp>.SPY150424P207</stp>
        <tr r="L59" s="1"/>
      </tp>
      <tp>
        <v>7.81</v>
        <stp/>
        <stp>ASK</stp>
        <stp>.SPY150424C204</stp>
        <tr r="A53" s="1"/>
      </tp>
      <tp>
        <v>0.01</v>
        <stp/>
        <stp>ASK</stp>
        <stp>.SPY150424P204</stp>
        <tr r="L53" s="1"/>
      </tp>
      <tp>
        <v>6.81</v>
        <stp/>
        <stp>ASK</stp>
        <stp>.SPY150424C205</stp>
        <tr r="A55" s="1"/>
      </tp>
      <tp>
        <v>0.01</v>
        <stp/>
        <stp>ASK</stp>
        <stp>.SPY150424P205</stp>
        <tr r="L55" s="1"/>
      </tp>
      <tp>
        <v>9.81</v>
        <stp/>
        <stp>ASK</stp>
        <stp>.SPY150424C202</stp>
        <tr r="A49" s="1"/>
      </tp>
      <tp>
        <v>0.01</v>
        <stp/>
        <stp>ASK</stp>
        <stp>.SPY150424P202</stp>
        <tr r="L49" s="1"/>
      </tp>
      <tp>
        <v>8.81</v>
        <stp/>
        <stp>ASK</stp>
        <stp>.SPY150424C203</stp>
        <tr r="A51" s="1"/>
      </tp>
      <tp>
        <v>0.01</v>
        <stp/>
        <stp>ASK</stp>
        <stp>.SPY150424P203</stp>
        <tr r="L51" s="1"/>
      </tp>
      <tp>
        <v>11.82</v>
        <stp/>
        <stp>ASK</stp>
        <stp>.SPY150424C200</stp>
        <tr r="A45" s="1"/>
      </tp>
      <tp>
        <v>0.01</v>
        <stp/>
        <stp>ASK</stp>
        <stp>.SPY150424P200</stp>
        <tr r="L45" s="1"/>
      </tp>
      <tp>
        <v>10.81</v>
        <stp/>
        <stp>ASK</stp>
        <stp>.SPY150424C201</stp>
        <tr r="A47" s="1"/>
      </tp>
      <tp>
        <v>0.01</v>
        <stp/>
        <stp>ASK</stp>
        <stp>.SPY150424P201</stp>
        <tr r="L47" s="1"/>
      </tp>
      <tp>
        <v>3.79</v>
        <stp/>
        <stp>ASK</stp>
        <stp>.SPY150424C208</stp>
        <tr r="A61" s="1"/>
      </tp>
      <tp>
        <v>0.01</v>
        <stp/>
        <stp>ASK</stp>
        <stp>.SPY150424P208</stp>
        <tr r="L61" s="1"/>
      </tp>
      <tp>
        <v>2.79</v>
        <stp/>
        <stp>ASK</stp>
        <stp>.SPY150424C209</stp>
        <tr r="A63" s="1"/>
      </tp>
      <tp>
        <v>0.01</v>
        <stp/>
        <stp>ASK</stp>
        <stp>.SPY150424P209</stp>
        <tr r="L63" s="1"/>
      </tp>
      <tp>
        <v>0</v>
        <stp/>
        <stp>BID</stp>
        <stp>.SPY150417C209</stp>
        <tr r="C21" s="1"/>
      </tp>
      <tp>
        <v>0.83</v>
        <stp/>
        <stp>BID</stp>
        <stp>.SPY150417P209</stp>
        <tr r="N21" s="1"/>
      </tp>
      <tp>
        <v>0.12</v>
        <stp/>
        <stp>BID</stp>
        <stp>.SPY150417C208</stp>
        <tr r="C19" s="1"/>
      </tp>
      <tp>
        <v>0.01</v>
        <stp/>
        <stp>BID</stp>
        <stp>.SPY150417P208</stp>
        <tr r="N19" s="1"/>
      </tp>
      <tp>
        <v>1.08</v>
        <stp/>
        <stp>BID</stp>
        <stp>.SPY150417C207</stp>
        <tr r="C17" s="1"/>
      </tp>
      <tp>
        <v>0</v>
        <stp/>
        <stp>BID</stp>
        <stp>.SPY150417P207</stp>
        <tr r="N17" s="1"/>
      </tp>
      <tp>
        <v>2.08</v>
        <stp/>
        <stp>BID</stp>
        <stp>.SPY150417C206</stp>
        <tr r="C15" s="1"/>
      </tp>
      <tp>
        <v>0</v>
        <stp/>
        <stp>BID</stp>
        <stp>.SPY150417P206</stp>
        <tr r="N15" s="1"/>
      </tp>
      <tp>
        <v>3.03</v>
        <stp/>
        <stp>BID</stp>
        <stp>.SPY150417C205</stp>
        <tr r="C13" s="1"/>
      </tp>
      <tp>
        <v>0</v>
        <stp/>
        <stp>BID</stp>
        <stp>.SPY150417P205</stp>
        <tr r="N13" s="1"/>
      </tp>
      <tp>
        <v>4</v>
        <stp/>
        <stp>BID</stp>
        <stp>.SPY150417C204</stp>
        <tr r="C11" s="1"/>
      </tp>
      <tp>
        <v>0</v>
        <stp/>
        <stp>BID</stp>
        <stp>.SPY150417P204</stp>
        <tr r="N11" s="1"/>
      </tp>
      <tp>
        <v>5.01</v>
        <stp/>
        <stp>BID</stp>
        <stp>.SPY150417C203</stp>
        <tr r="C9" s="1"/>
      </tp>
      <tp>
        <v>0</v>
        <stp/>
        <stp>BID</stp>
        <stp>.SPY150417P203</stp>
        <tr r="N9" s="1"/>
      </tp>
      <tp>
        <v>5.99</v>
        <stp/>
        <stp>BID</stp>
        <stp>.SPY150417C202</stp>
        <tr r="C7" s="1"/>
      </tp>
      <tp>
        <v>0</v>
        <stp/>
        <stp>BID</stp>
        <stp>.SPY150417P202</stp>
        <tr r="N7" s="1"/>
      </tp>
      <tp>
        <v>6.99</v>
        <stp/>
        <stp>BID</stp>
        <stp>.SPY150417C201</stp>
        <tr r="C5" s="1"/>
      </tp>
      <tp>
        <v>0</v>
        <stp/>
        <stp>BID</stp>
        <stp>.SPY150417P201</stp>
        <tr r="N5" s="1"/>
      </tp>
      <tp>
        <v>7.99</v>
        <stp/>
        <stp>BID</stp>
        <stp>.SPY150417C200</stp>
        <tr r="C3" s="1"/>
      </tp>
      <tp>
        <v>0</v>
        <stp/>
        <stp>BID</stp>
        <stp>.SPY150417P200</stp>
        <tr r="N3" s="1"/>
      </tp>
      <tp t="s">
        <v>N/A</v>
        <stp/>
        <stp>RHO</stp>
        <stp>.SPY150424C209</stp>
        <tr r="K63" s="1"/>
      </tp>
      <tp t="s">
        <v>N/A</v>
        <stp/>
        <stp>RHO</stp>
        <stp>.SPY150424P209</stp>
        <tr r="V63" s="1"/>
      </tp>
      <tp t="s">
        <v>N/A</v>
        <stp/>
        <stp>RHO</stp>
        <stp>.SPY150424C208</stp>
        <tr r="K61" s="1"/>
      </tp>
      <tp t="s">
        <v>N/A</v>
        <stp/>
        <stp>RHO</stp>
        <stp>.SPY150424P208</stp>
        <tr r="V61" s="1"/>
      </tp>
      <tp t="s">
        <v>N/A</v>
        <stp/>
        <stp>RHO</stp>
        <stp>.SPY150424C205</stp>
        <tr r="K55" s="1"/>
      </tp>
      <tp t="s">
        <v>N/A</v>
        <stp/>
        <stp>RHO</stp>
        <stp>.SPY150424P205</stp>
        <tr r="V55" s="1"/>
      </tp>
      <tp t="s">
        <v>N/A</v>
        <stp/>
        <stp>RHO</stp>
        <stp>.SPY150424C204</stp>
        <tr r="K53" s="1"/>
      </tp>
      <tp t="s">
        <v>N/A</v>
        <stp/>
        <stp>RHO</stp>
        <stp>.SPY150424P204</stp>
        <tr r="V53" s="1"/>
      </tp>
      <tp t="s">
        <v>N/A</v>
        <stp/>
        <stp>RHO</stp>
        <stp>.SPY150424C207</stp>
        <tr r="K59" s="1"/>
      </tp>
      <tp t="s">
        <v>N/A</v>
        <stp/>
        <stp>RHO</stp>
        <stp>.SPY150424P207</stp>
        <tr r="V59" s="1"/>
      </tp>
      <tp t="s">
        <v>N/A</v>
        <stp/>
        <stp>RHO</stp>
        <stp>.SPY150424C206</stp>
        <tr r="K57" s="1"/>
      </tp>
      <tp t="s">
        <v>N/A</v>
        <stp/>
        <stp>RHO</stp>
        <stp>.SPY150424P206</stp>
        <tr r="V57" s="1"/>
      </tp>
      <tp t="s">
        <v>N/A</v>
        <stp/>
        <stp>RHO</stp>
        <stp>.SPY150424C201</stp>
        <tr r="K47" s="1"/>
      </tp>
      <tp t="s">
        <v>N/A</v>
        <stp/>
        <stp>RHO</stp>
        <stp>.SPY150424P201</stp>
        <tr r="V47" s="1"/>
      </tp>
      <tp t="s">
        <v>N/A</v>
        <stp/>
        <stp>RHO</stp>
        <stp>.SPY150424C200</stp>
        <tr r="K45" s="1"/>
      </tp>
      <tp t="s">
        <v>N/A</v>
        <stp/>
        <stp>RHO</stp>
        <stp>.SPY150424P200</stp>
        <tr r="V45" s="1"/>
      </tp>
      <tp t="s">
        <v>N/A</v>
        <stp/>
        <stp>RHO</stp>
        <stp>.SPY150424C203</stp>
        <tr r="K51" s="1"/>
      </tp>
      <tp t="s">
        <v>N/A</v>
        <stp/>
        <stp>RHO</stp>
        <stp>.SPY150424P203</stp>
        <tr r="V51" s="1"/>
      </tp>
      <tp t="s">
        <v>N/A</v>
        <stp/>
        <stp>RHO</stp>
        <stp>.SPY150424C202</stp>
        <tr r="K49" s="1"/>
      </tp>
      <tp t="s">
        <v>N/A</v>
        <stp/>
        <stp>RHO</stp>
        <stp>.SPY150424P202</stp>
        <tr r="V49" s="1"/>
      </tp>
      <tp t="s">
        <v>N/A</v>
        <stp/>
        <stp>RHO</stp>
        <stp>.SPY150424C219</stp>
        <tr r="K83" s="1"/>
      </tp>
      <tp t="s">
        <v>N/A</v>
        <stp/>
        <stp>RHO</stp>
        <stp>.SPY150424P219</stp>
        <tr r="V83" s="1"/>
      </tp>
      <tp t="s">
        <v>N/A</v>
        <stp/>
        <stp>RHO</stp>
        <stp>.SPY150424C218</stp>
        <tr r="K81" s="1"/>
      </tp>
      <tp t="s">
        <v>N/A</v>
        <stp/>
        <stp>RHO</stp>
        <stp>.SPY150424P218</stp>
        <tr r="V81" s="1"/>
      </tp>
      <tp t="s">
        <v>N/A</v>
        <stp/>
        <stp>RHO</stp>
        <stp>.SPY150424C215</stp>
        <tr r="K75" s="1"/>
      </tp>
      <tp t="s">
        <v>N/A</v>
        <stp/>
        <stp>RHO</stp>
        <stp>.SPY150424P215</stp>
        <tr r="V75" s="1"/>
      </tp>
      <tp t="s">
        <v>N/A</v>
        <stp/>
        <stp>RHO</stp>
        <stp>.SPY150424C214</stp>
        <tr r="K73" s="1"/>
      </tp>
      <tp t="s">
        <v>N/A</v>
        <stp/>
        <stp>RHO</stp>
        <stp>.SPY150424P214</stp>
        <tr r="V73" s="1"/>
      </tp>
      <tp t="s">
        <v>N/A</v>
        <stp/>
        <stp>RHO</stp>
        <stp>.SPY150424C217</stp>
        <tr r="K79" s="1"/>
      </tp>
      <tp t="s">
        <v>N/A</v>
        <stp/>
        <stp>RHO</stp>
        <stp>.SPY150424P217</stp>
        <tr r="V79" s="1"/>
      </tp>
      <tp t="s">
        <v>N/A</v>
        <stp/>
        <stp>RHO</stp>
        <stp>.SPY150424C216</stp>
        <tr r="K77" s="1"/>
      </tp>
      <tp t="s">
        <v>N/A</v>
        <stp/>
        <stp>RHO</stp>
        <stp>.SPY150424P216</stp>
        <tr r="V77" s="1"/>
      </tp>
      <tp t="s">
        <v>N/A</v>
        <stp/>
        <stp>RHO</stp>
        <stp>.SPY150424C211</stp>
        <tr r="K67" s="1"/>
      </tp>
      <tp t="s">
        <v>N/A</v>
        <stp/>
        <stp>RHO</stp>
        <stp>.SPY150424P211</stp>
        <tr r="V67" s="1"/>
      </tp>
      <tp t="s">
        <v>N/A</v>
        <stp/>
        <stp>RHO</stp>
        <stp>.SPY150424C210</stp>
        <tr r="K65" s="1"/>
      </tp>
      <tp t="s">
        <v>N/A</v>
        <stp/>
        <stp>RHO</stp>
        <stp>.SPY150424P210</stp>
        <tr r="V65" s="1"/>
      </tp>
      <tp t="s">
        <v>N/A</v>
        <stp/>
        <stp>RHO</stp>
        <stp>.SPY150424C213</stp>
        <tr r="K71" s="1"/>
      </tp>
      <tp t="s">
        <v>N/A</v>
        <stp/>
        <stp>RHO</stp>
        <stp>.SPY150424P213</stp>
        <tr r="V71" s="1"/>
      </tp>
      <tp t="s">
        <v>N/A</v>
        <stp/>
        <stp>RHO</stp>
        <stp>.SPY150424C212</stp>
        <tr r="K69" s="1"/>
      </tp>
      <tp t="s">
        <v>N/A</v>
        <stp/>
        <stp>RHO</stp>
        <stp>.SPY150424P212</stp>
        <tr r="V69" s="1"/>
      </tp>
      <tp t="s">
        <v>N/A</v>
        <stp/>
        <stp>RHO</stp>
        <stp>.SPY150417C218</stp>
        <tr r="K39" s="1"/>
      </tp>
      <tp t="s">
        <v>N/A</v>
        <stp/>
        <stp>RHO</stp>
        <stp>.SPY150417P218</stp>
        <tr r="V39" s="1"/>
      </tp>
      <tp t="s">
        <v>N/A</v>
        <stp/>
        <stp>RHO</stp>
        <stp>.SPY150417C219</stp>
        <tr r="K41" s="1"/>
      </tp>
      <tp t="s">
        <v>N/A</v>
        <stp/>
        <stp>RHO</stp>
        <stp>.SPY150417P219</stp>
        <tr r="V41" s="1"/>
      </tp>
      <tp t="s">
        <v>N/A</v>
        <stp/>
        <stp>RHO</stp>
        <stp>.SPY150417C216</stp>
        <tr r="K35" s="1"/>
      </tp>
      <tp t="s">
        <v>N/A</v>
        <stp/>
        <stp>RHO</stp>
        <stp>.SPY150417P216</stp>
        <tr r="V35" s="1"/>
      </tp>
      <tp t="s">
        <v>N/A</v>
        <stp/>
        <stp>RHO</stp>
        <stp>.SPY150417C217</stp>
        <tr r="K37" s="1"/>
      </tp>
      <tp t="s">
        <v>N/A</v>
        <stp/>
        <stp>RHO</stp>
        <stp>.SPY150417P217</stp>
        <tr r="V37" s="1"/>
      </tp>
      <tp t="s">
        <v>N/A</v>
        <stp/>
        <stp>RHO</stp>
        <stp>.SPY150417C214</stp>
        <tr r="K31" s="1"/>
      </tp>
      <tp t="s">
        <v>N/A</v>
        <stp/>
        <stp>RHO</stp>
        <stp>.SPY150417P214</stp>
        <tr r="V31" s="1"/>
      </tp>
      <tp t="s">
        <v>N/A</v>
        <stp/>
        <stp>RHO</stp>
        <stp>.SPY150417C215</stp>
        <tr r="K33" s="1"/>
      </tp>
      <tp t="s">
        <v>N/A</v>
        <stp/>
        <stp>RHO</stp>
        <stp>.SPY150417P215</stp>
        <tr r="V33" s="1"/>
      </tp>
      <tp t="s">
        <v>N/A</v>
        <stp/>
        <stp>RHO</stp>
        <stp>.SPY150417C212</stp>
        <tr r="K27" s="1"/>
      </tp>
      <tp t="s">
        <v>N/A</v>
        <stp/>
        <stp>RHO</stp>
        <stp>.SPY150417P212</stp>
        <tr r="V27" s="1"/>
      </tp>
      <tp t="s">
        <v>N/A</v>
        <stp/>
        <stp>RHO</stp>
        <stp>.SPY150417C213</stp>
        <tr r="K29" s="1"/>
      </tp>
      <tp t="s">
        <v>N/A</v>
        <stp/>
        <stp>RHO</stp>
        <stp>.SPY150417P213</stp>
        <tr r="V29" s="1"/>
      </tp>
      <tp t="s">
        <v>N/A</v>
        <stp/>
        <stp>RHO</stp>
        <stp>.SPY150417C210</stp>
        <tr r="K23" s="1"/>
      </tp>
      <tp t="s">
        <v>N/A</v>
        <stp/>
        <stp>RHO</stp>
        <stp>.SPY150417P210</stp>
        <tr r="V23" s="1"/>
      </tp>
      <tp t="s">
        <v>N/A</v>
        <stp/>
        <stp>RHO</stp>
        <stp>.SPY150417C211</stp>
        <tr r="K25" s="1"/>
      </tp>
      <tp t="s">
        <v>N/A</v>
        <stp/>
        <stp>RHO</stp>
        <stp>.SPY150417P211</stp>
        <tr r="V25" s="1"/>
      </tp>
      <tp t="s">
        <v>N/A</v>
        <stp/>
        <stp>RHO</stp>
        <stp>.SPY150417C208</stp>
        <tr r="K19" s="1"/>
      </tp>
      <tp t="s">
        <v>N/A</v>
        <stp/>
        <stp>RHO</stp>
        <stp>.SPY150417P208</stp>
        <tr r="V19" s="1"/>
      </tp>
      <tp t="s">
        <v>N/A</v>
        <stp/>
        <stp>RHO</stp>
        <stp>.SPY150417C209</stp>
        <tr r="K21" s="1"/>
      </tp>
      <tp t="s">
        <v>N/A</v>
        <stp/>
        <stp>RHO</stp>
        <stp>.SPY150417P209</stp>
        <tr r="V21" s="1"/>
      </tp>
      <tp t="s">
        <v>N/A</v>
        <stp/>
        <stp>RHO</stp>
        <stp>.SPY150417C206</stp>
        <tr r="K15" s="1"/>
      </tp>
      <tp t="s">
        <v>N/A</v>
        <stp/>
        <stp>RHO</stp>
        <stp>.SPY150417P206</stp>
        <tr r="V15" s="1"/>
      </tp>
      <tp t="s">
        <v>N/A</v>
        <stp/>
        <stp>RHO</stp>
        <stp>.SPY150417C207</stp>
        <tr r="K17" s="1"/>
      </tp>
      <tp t="s">
        <v>N/A</v>
        <stp/>
        <stp>RHO</stp>
        <stp>.SPY150417P207</stp>
        <tr r="V17" s="1"/>
      </tp>
      <tp t="s">
        <v>N/A</v>
        <stp/>
        <stp>RHO</stp>
        <stp>.SPY150417C204</stp>
        <tr r="K11" s="1"/>
      </tp>
      <tp t="s">
        <v>N/A</v>
        <stp/>
        <stp>RHO</stp>
        <stp>.SPY150417P204</stp>
        <tr r="V11" s="1"/>
      </tp>
      <tp t="s">
        <v>N/A</v>
        <stp/>
        <stp>RHO</stp>
        <stp>.SPY150417C205</stp>
        <tr r="K13" s="1"/>
      </tp>
      <tp t="s">
        <v>N/A</v>
        <stp/>
        <stp>RHO</stp>
        <stp>.SPY150417P205</stp>
        <tr r="V13" s="1"/>
      </tp>
      <tp t="s">
        <v>N/A</v>
        <stp/>
        <stp>RHO</stp>
        <stp>.SPY150417C202</stp>
        <tr r="K7" s="1"/>
      </tp>
      <tp t="s">
        <v>N/A</v>
        <stp/>
        <stp>RHO</stp>
        <stp>.SPY150417P202</stp>
        <tr r="V7" s="1"/>
      </tp>
      <tp t="s">
        <v>N/A</v>
        <stp/>
        <stp>RHO</stp>
        <stp>.SPY150417C203</stp>
        <tr r="K9" s="1"/>
      </tp>
      <tp t="s">
        <v>N/A</v>
        <stp/>
        <stp>RHO</stp>
        <stp>.SPY150417P203</stp>
        <tr r="V9" s="1"/>
      </tp>
      <tp t="s">
        <v>N/A</v>
        <stp/>
        <stp>RHO</stp>
        <stp>.SPY150417C200</stp>
        <tr r="K3" s="1"/>
      </tp>
      <tp t="s">
        <v>N/A</v>
        <stp/>
        <stp>RHO</stp>
        <stp>.SPY150417P200</stp>
        <tr r="V3" s="1"/>
      </tp>
      <tp t="s">
        <v>N/A</v>
        <stp/>
        <stp>RHO</stp>
        <stp>.SPY150417C201</stp>
        <tr r="K5" s="1"/>
      </tp>
      <tp t="s">
        <v>N/A</v>
        <stp/>
        <stp>RHO</stp>
        <stp>.SPY150417P201</stp>
        <tr r="V5" s="1"/>
      </tp>
      <tp>
        <v>0</v>
        <stp/>
        <stp>BID_SIZE</stp>
        <stp>.SPY150417P213.5</stp>
        <tr r="O30" s="1"/>
      </tp>
      <tp>
        <v>0</v>
        <stp/>
        <stp>BID_SIZE</stp>
        <stp>.SPY150417P203.5</stp>
        <tr r="O10" s="1"/>
      </tp>
      <tp>
        <v>0</v>
        <stp/>
        <stp>BID_SIZE</stp>
        <stp>.SPY150424P200.5</stp>
        <tr r="O46" s="1"/>
      </tp>
      <tp>
        <v>0</v>
        <stp/>
        <stp>BID_SIZE</stp>
        <stp>.SPY150424P210.5</stp>
        <tr r="O66" s="1"/>
      </tp>
      <tp>
        <v>0</v>
        <stp/>
        <stp>BID_SIZE</stp>
        <stp>.SPY150501P205.5</stp>
        <tr r="O98" s="1"/>
      </tp>
      <tp>
        <v>430</v>
        <stp/>
        <stp>BID_SIZE</stp>
        <stp>.SPY150515P211.5</stp>
        <tr r="O194" s="1"/>
      </tp>
      <tp>
        <v>0</v>
        <stp/>
        <stp>BID_SIZE</stp>
        <stp>.SPY150501P215.5</stp>
        <tr r="O118" s="1"/>
      </tp>
      <tp>
        <v>2858</v>
        <stp/>
        <stp>BID_SIZE</stp>
        <stp>.SPY150515P201.5</stp>
        <tr r="O174" s="1"/>
      </tp>
      <tp>
        <v>2284</v>
        <stp/>
        <stp>BID_SIZE</stp>
        <stp>.SPY150522P206.5</stp>
        <tr r="O226" s="1"/>
      </tp>
      <tp>
        <v>199</v>
        <stp/>
        <stp>BID_SIZE</stp>
        <stp>.SPY150522P216.5</stp>
        <tr r="O246" s="1"/>
      </tp>
      <tp t="s">
        <v>N/A</v>
        <stp/>
        <stp>ASK_SIZE</stp>
        <stp>.SPY150619P212.5</stp>
        <tr r="M322" s="1"/>
      </tp>
      <tp t="s">
        <v>N/A</v>
        <stp/>
        <stp>ASK_SIZE</stp>
        <stp>.SPY150619P202.5</stp>
        <tr r="M302" s="1"/>
      </tp>
      <tp t="s">
        <v>N/A</v>
        <stp/>
        <stp>BID_SIZE</stp>
        <stp>.SPY160617P210.5</stp>
        <tr r="O696" s="1"/>
      </tp>
      <tp t="s">
        <v>N/A</v>
        <stp/>
        <stp>BID_SIZE</stp>
        <stp>.SPY160617P200.5</stp>
        <tr r="O676" s="1"/>
      </tp>
      <tp t="s">
        <v>N/A</v>
        <stp/>
        <stp>BID_SIZE</stp>
        <stp>.SPY150630P214.5</stp>
        <tr r="O368" s="1"/>
      </tp>
      <tp t="s">
        <v>N/A</v>
        <stp/>
        <stp>BID_SIZE</stp>
        <stp>.SPY150630P204.5</stp>
        <tr r="O348" s="1"/>
      </tp>
      <tp>
        <v>199</v>
        <stp/>
        <stp>ASK_SIZE</stp>
        <stp>.SPY150522P209.5</stp>
        <tr r="M232" s="1"/>
      </tp>
      <tp>
        <v>249</v>
        <stp/>
        <stp>ASK_SIZE</stp>
        <stp>.SPY150529P202.5</stp>
        <tr r="M260" s="1"/>
      </tp>
      <tp>
        <v>100</v>
        <stp/>
        <stp>ASK_SIZE</stp>
        <stp>.SPY150522P219.5</stp>
        <tr r="M252" s="1"/>
      </tp>
      <tp>
        <v>322</v>
        <stp/>
        <stp>ASK_SIZE</stp>
        <stp>.SPY150529P212.5</stp>
        <tr r="M280" s="1"/>
      </tp>
      <tp>
        <v>1200</v>
        <stp/>
        <stp>ASK_SIZE</stp>
        <stp>.SPY150508P203.5</stp>
        <tr r="M136" s="1"/>
      </tp>
      <tp>
        <v>121</v>
        <stp/>
        <stp>ASK_SIZE</stp>
        <stp>.SPY150508P213.5</stp>
        <tr r="M156" s="1"/>
      </tp>
      <tp t="s">
        <v>N/A</v>
        <stp/>
        <stp>BID_SIZE</stp>
        <stp>.SPY150717P213.5</stp>
        <tr r="O408" s="1"/>
      </tp>
      <tp t="s">
        <v>N/A</v>
        <stp/>
        <stp>BID_SIZE</stp>
        <stp>.SPY150717P203.5</stp>
        <tr r="O388" s="1"/>
      </tp>
      <tp t="s">
        <v>N/A</v>
        <stp/>
        <stp>ASK_SIZE</stp>
        <stp>.SPY160318P210.5</stp>
        <tr r="M654" s="1"/>
      </tp>
      <tp t="s">
        <v>N/A</v>
        <stp/>
        <stp>ASK_SIZE</stp>
        <stp>.SPY160318P200.5</stp>
        <tr r="M634" s="1"/>
      </tp>
      <tp t="s">
        <v>N/A</v>
        <stp/>
        <stp>BID_SIZE</stp>
        <stp>.SPY160115P212.5</stp>
        <tr r="O616" s="1"/>
      </tp>
      <tp t="s">
        <v>N/A</v>
        <stp/>
        <stp>BID_SIZE</stp>
        <stp>.SPY160115P202.5</stp>
        <tr r="O596" s="1"/>
      </tp>
      <tp t="s">
        <v>N/A</v>
        <stp/>
        <stp>BID_SIZE</stp>
        <stp>.SPY170120P206.5</stp>
        <tr r="O814" s="1"/>
      </tp>
      <tp t="s">
        <v>N/A</v>
        <stp/>
        <stp>BID_SIZE</stp>
        <stp>.SPY170120P216.5</stp>
        <tr r="O834" s="1"/>
      </tp>
      <tp t="s">
        <v>N/A</v>
        <stp/>
        <stp>ASK_SIZE</stp>
        <stp>.SPY170120P209.5</stp>
        <tr r="M820" s="1"/>
      </tp>
      <tp t="s">
        <v>N/A</v>
        <stp/>
        <stp>ASK_SIZE</stp>
        <stp>.SPY170120P219.5</stp>
        <tr r="M840" s="1"/>
      </tp>
      <tp t="s">
        <v>N/A</v>
        <stp/>
        <stp>BID_SIZE</stp>
        <stp>.SPY170317P211.5</stp>
        <tr r="O866" s="1"/>
      </tp>
      <tp t="s">
        <v>N/A</v>
        <stp/>
        <stp>BID_SIZE</stp>
        <stp>.SPY170317P201.5</stp>
        <tr r="O846" s="1"/>
      </tp>
      <tp t="s">
        <v>N/A</v>
        <stp/>
        <stp>BID_SIZE</stp>
        <stp>.SPY160916P211.5</stp>
        <tr r="O740" s="1"/>
      </tp>
      <tp t="s">
        <v>N/A</v>
        <stp/>
        <stp>BID_SIZE</stp>
        <stp>.SPY160916P201.5</stp>
        <tr r="O720" s="1"/>
      </tp>
      <tp t="s">
        <v>N/A</v>
        <stp/>
        <stp>BID_SIZE</stp>
        <stp>.SPY150930P214.5</stp>
        <tr r="O494" s="1"/>
      </tp>
      <tp t="s">
        <v>N/A</v>
        <stp/>
        <stp>BID_SIZE</stp>
        <stp>.SPY150930P204.5</stp>
        <tr r="O474" s="1"/>
      </tp>
      <tp t="s">
        <v>N/A</v>
        <stp/>
        <stp>ASK_SIZE</stp>
        <stp>.SPY150918P213.5</stp>
        <tr r="M450" s="1"/>
      </tp>
      <tp t="s">
        <v>N/A</v>
        <stp/>
        <stp>ASK_SIZE</stp>
        <stp>.SPY150918P203.5</stp>
        <tr r="M430" s="1"/>
      </tp>
      <tp t="s">
        <v>N/A</v>
        <stp/>
        <stp>ASK_SIZE</stp>
        <stp>.SPY151219P212.5</stp>
        <tr r="M532" s="1"/>
      </tp>
      <tp t="s">
        <v>N/A</v>
        <stp/>
        <stp>ASK_SIZE</stp>
        <stp>.SPY151219P202.5</stp>
        <tr r="M512" s="1"/>
      </tp>
      <tp t="s">
        <v>N/A</v>
        <stp/>
        <stp>BID_SIZE</stp>
        <stp>.SPY161216P211.5</stp>
        <tr r="O782" s="1"/>
      </tp>
      <tp t="s">
        <v>N/A</v>
        <stp/>
        <stp>BID_SIZE</stp>
        <stp>.SPY171215P213.5</stp>
        <tr r="O912" s="1"/>
      </tp>
      <tp t="s">
        <v>N/A</v>
        <stp/>
        <stp>BID_SIZE</stp>
        <stp>.SPY161216P201.5</stp>
        <tr r="O762" s="1"/>
      </tp>
      <tp t="s">
        <v>N/A</v>
        <stp/>
        <stp>BID_SIZE</stp>
        <stp>.SPY171215P203.5</stp>
        <tr r="O892" s="1"/>
      </tp>
      <tp t="s">
        <v>N/A</v>
        <stp/>
        <stp>BID_SIZE</stp>
        <stp>.SPY151231P215.5</stp>
        <tr r="O580" s="1"/>
      </tp>
      <tp t="s">
        <v>N/A</v>
        <stp/>
        <stp>BID_SIZE</stp>
        <stp>.SPY151231P205.5</stp>
        <tr r="O560" s="1"/>
      </tp>
      <tp t="s">
        <v>N/A</v>
        <stp/>
        <stp>ASK_SIZE</stp>
        <stp>.SPY150930P218</stp>
        <tr r="M501" s="1"/>
      </tp>
      <tp t="s">
        <v>N/A</v>
        <stp/>
        <stp>ASK_SIZE</stp>
        <stp>.SPY150930C218</stp>
        <tr r="B501" s="1"/>
      </tp>
      <tp t="s">
        <v>N/A</v>
        <stp/>
        <stp>ASK_SIZE</stp>
        <stp>.SPY150930P219</stp>
        <tr r="M503" s="1"/>
      </tp>
      <tp t="s">
        <v>N/A</v>
        <stp/>
        <stp>ASK_SIZE</stp>
        <stp>.SPY150930C219</stp>
        <tr r="B503" s="1"/>
      </tp>
      <tp t="s">
        <v>N/A</v>
        <stp/>
        <stp>ASK_SIZE</stp>
        <stp>.SPY150930P216</stp>
        <tr r="M497" s="1"/>
      </tp>
      <tp t="s">
        <v>N/A</v>
        <stp/>
        <stp>ASK_SIZE</stp>
        <stp>.SPY150930C216</stp>
        <tr r="B497" s="1"/>
      </tp>
      <tp t="s">
        <v>N/A</v>
        <stp/>
        <stp>ASK_SIZE</stp>
        <stp>.SPY150930P217</stp>
        <tr r="M499" s="1"/>
      </tp>
      <tp t="s">
        <v>N/A</v>
        <stp/>
        <stp>ASK_SIZE</stp>
        <stp>.SPY150930C217</stp>
        <tr r="B499" s="1"/>
      </tp>
      <tp>
        <v>176</v>
        <stp/>
        <stp>ASK_SIZE</stp>
        <stp>.SPY150930P214</stp>
        <tr r="M493" s="1"/>
      </tp>
      <tp>
        <v>131</v>
        <stp/>
        <stp>ASK_SIZE</stp>
        <stp>.SPY150930C214</stp>
        <tr r="B493" s="1"/>
      </tp>
      <tp>
        <v>232</v>
        <stp/>
        <stp>ASK_SIZE</stp>
        <stp>.SPY150930P215</stp>
        <tr r="M495" s="1"/>
      </tp>
      <tp>
        <v>117</v>
        <stp/>
        <stp>ASK_SIZE</stp>
        <stp>.SPY150930C215</stp>
        <tr r="B495" s="1"/>
      </tp>
      <tp>
        <v>199</v>
        <stp/>
        <stp>ASK_SIZE</stp>
        <stp>.SPY150930P212</stp>
        <tr r="M489" s="1"/>
      </tp>
      <tp>
        <v>160</v>
        <stp/>
        <stp>ASK_SIZE</stp>
        <stp>.SPY150930C212</stp>
        <tr r="B489" s="1"/>
      </tp>
      <tp>
        <v>199</v>
        <stp/>
        <stp>ASK_SIZE</stp>
        <stp>.SPY150930P213</stp>
        <tr r="M491" s="1"/>
      </tp>
      <tp>
        <v>164</v>
        <stp/>
        <stp>ASK_SIZE</stp>
        <stp>.SPY150930C213</stp>
        <tr r="B491" s="1"/>
      </tp>
      <tp>
        <v>2517</v>
        <stp/>
        <stp>ASK_SIZE</stp>
        <stp>.SPY150930P210</stp>
        <tr r="M485" s="1"/>
      </tp>
      <tp>
        <v>131</v>
        <stp/>
        <stp>ASK_SIZE</stp>
        <stp>.SPY150930C210</stp>
        <tr r="B485" s="1"/>
      </tp>
      <tp>
        <v>2692</v>
        <stp/>
        <stp>ASK_SIZE</stp>
        <stp>.SPY150930P211</stp>
        <tr r="M487" s="1"/>
      </tp>
      <tp>
        <v>142</v>
        <stp/>
        <stp>ASK_SIZE</stp>
        <stp>.SPY150930C211</stp>
        <tr r="B487" s="1"/>
      </tp>
      <tp>
        <v>2689</v>
        <stp/>
        <stp>ASK_SIZE</stp>
        <stp>.SPY150930P208</stp>
        <tr r="M481" s="1"/>
      </tp>
      <tp>
        <v>130</v>
        <stp/>
        <stp>ASK_SIZE</stp>
        <stp>.SPY150930C208</stp>
        <tr r="B481" s="1"/>
      </tp>
      <tp>
        <v>2672</v>
        <stp/>
        <stp>ASK_SIZE</stp>
        <stp>.SPY150930P209</stp>
        <tr r="M483" s="1"/>
      </tp>
      <tp>
        <v>131</v>
        <stp/>
        <stp>ASK_SIZE</stp>
        <stp>.SPY150930C209</stp>
        <tr r="B483" s="1"/>
      </tp>
      <tp>
        <v>2676</v>
        <stp/>
        <stp>ASK_SIZE</stp>
        <stp>.SPY150930P206</stp>
        <tr r="M477" s="1"/>
      </tp>
      <tp>
        <v>128</v>
        <stp/>
        <stp>ASK_SIZE</stp>
        <stp>.SPY150930C206</stp>
        <tr r="B477" s="1"/>
      </tp>
      <tp>
        <v>2676</v>
        <stp/>
        <stp>ASK_SIZE</stp>
        <stp>.SPY150930P207</stp>
        <tr r="M479" s="1"/>
      </tp>
      <tp>
        <v>169</v>
        <stp/>
        <stp>ASK_SIZE</stp>
        <stp>.SPY150930C207</stp>
        <tr r="B479" s="1"/>
      </tp>
      <tp>
        <v>2676</v>
        <stp/>
        <stp>ASK_SIZE</stp>
        <stp>.SPY150930P204</stp>
        <tr r="M473" s="1"/>
      </tp>
      <tp>
        <v>138</v>
        <stp/>
        <stp>ASK_SIZE</stp>
        <stp>.SPY150930C204</stp>
        <tr r="B473" s="1"/>
      </tp>
      <tp>
        <v>2684</v>
        <stp/>
        <stp>ASK_SIZE</stp>
        <stp>.SPY150930P205</stp>
        <tr r="M475" s="1"/>
      </tp>
      <tp>
        <v>138</v>
        <stp/>
        <stp>ASK_SIZE</stp>
        <stp>.SPY150930C205</stp>
        <tr r="B475" s="1"/>
      </tp>
      <tp>
        <v>2694</v>
        <stp/>
        <stp>ASK_SIZE</stp>
        <stp>.SPY150930P202</stp>
        <tr r="M469" s="1"/>
      </tp>
      <tp>
        <v>128</v>
        <stp/>
        <stp>ASK_SIZE</stp>
        <stp>.SPY150930C202</stp>
        <tr r="B469" s="1"/>
      </tp>
      <tp>
        <v>2490</v>
        <stp/>
        <stp>ASK_SIZE</stp>
        <stp>.SPY150930P203</stp>
        <tr r="M471" s="1"/>
      </tp>
      <tp>
        <v>140</v>
        <stp/>
        <stp>ASK_SIZE</stp>
        <stp>.SPY150930C203</stp>
        <tr r="B471" s="1"/>
      </tp>
      <tp>
        <v>2393</v>
        <stp/>
        <stp>ASK_SIZE</stp>
        <stp>.SPY150930P200</stp>
        <tr r="M465" s="1"/>
      </tp>
      <tp>
        <v>146</v>
        <stp/>
        <stp>ASK_SIZE</stp>
        <stp>.SPY150930C200</stp>
        <tr r="B465" s="1"/>
      </tp>
      <tp>
        <v>2703</v>
        <stp/>
        <stp>ASK_SIZE</stp>
        <stp>.SPY150930P201</stp>
        <tr r="M467" s="1"/>
      </tp>
      <tp>
        <v>146</v>
        <stp/>
        <stp>ASK_SIZE</stp>
        <stp>.SPY150930C201</stp>
        <tr r="B467" s="1"/>
      </tp>
      <tp>
        <v>167</v>
        <stp/>
        <stp>ASK_SIZE</stp>
        <stp>.SPY150918P216</stp>
        <tr r="M455" s="1"/>
      </tp>
      <tp>
        <v>160</v>
        <stp/>
        <stp>ASK_SIZE</stp>
        <stp>.SPY150918C216</stp>
        <tr r="B455" s="1"/>
      </tp>
      <tp>
        <v>193</v>
        <stp/>
        <stp>ASK_SIZE</stp>
        <stp>.SPY150918P217</stp>
        <tr r="M457" s="1"/>
      </tp>
      <tp>
        <v>100</v>
        <stp/>
        <stp>ASK_SIZE</stp>
        <stp>.SPY150918C217</stp>
        <tr r="B457" s="1"/>
      </tp>
      <tp>
        <v>160</v>
        <stp/>
        <stp>ASK_SIZE</stp>
        <stp>.SPY150918P214</stp>
        <tr r="M451" s="1"/>
      </tp>
      <tp t="s">
        <v>N/A</v>
        <stp/>
        <stp>ASK_SIZE</stp>
        <stp>.SPY160916P219</stp>
        <tr r="M755" s="1"/>
      </tp>
      <tp>
        <v>160</v>
        <stp/>
        <stp>ASK_SIZE</stp>
        <stp>.SPY150918C214</stp>
        <tr r="B451" s="1"/>
      </tp>
      <tp t="s">
        <v>N/A</v>
        <stp/>
        <stp>ASK_SIZE</stp>
        <stp>.SPY160916C219</stp>
        <tr r="B755" s="1"/>
      </tp>
      <tp>
        <v>248</v>
        <stp/>
        <stp>ASK_SIZE</stp>
        <stp>.SPY150918P215</stp>
        <tr r="M453" s="1"/>
      </tp>
      <tp t="s">
        <v>N/A</v>
        <stp/>
        <stp>ASK_SIZE</stp>
        <stp>.SPY160916P218</stp>
        <tr r="M753" s="1"/>
      </tp>
      <tp>
        <v>160</v>
        <stp/>
        <stp>ASK_SIZE</stp>
        <stp>.SPY150918C215</stp>
        <tr r="B453" s="1"/>
      </tp>
      <tp t="s">
        <v>N/A</v>
        <stp/>
        <stp>ASK_SIZE</stp>
        <stp>.SPY160916C218</stp>
        <tr r="B753" s="1"/>
      </tp>
      <tp>
        <v>238</v>
        <stp/>
        <stp>ASK_SIZE</stp>
        <stp>.SPY150918P212</stp>
        <tr r="M447" s="1"/>
      </tp>
      <tp>
        <v>160</v>
        <stp/>
        <stp>ASK_SIZE</stp>
        <stp>.SPY150918C212</stp>
        <tr r="B447" s="1"/>
      </tp>
      <tp>
        <v>199</v>
        <stp/>
        <stp>ASK_SIZE</stp>
        <stp>.SPY150918P213</stp>
        <tr r="M449" s="1"/>
      </tp>
      <tp>
        <v>199</v>
        <stp/>
        <stp>ASK_SIZE</stp>
        <stp>.SPY150918C213</stp>
        <tr r="B449" s="1"/>
      </tp>
      <tp>
        <v>3477</v>
        <stp/>
        <stp>ASK_SIZE</stp>
        <stp>.SPY150918P210</stp>
        <tr r="M443" s="1"/>
      </tp>
      <tp>
        <v>160</v>
        <stp/>
        <stp>ASK_SIZE</stp>
        <stp>.SPY150918C210</stp>
        <tr r="B443" s="1"/>
      </tp>
      <tp>
        <v>1843</v>
        <stp/>
        <stp>ASK_SIZE</stp>
        <stp>.SPY150918P211</stp>
        <tr r="M445" s="1"/>
      </tp>
      <tp>
        <v>160</v>
        <stp/>
        <stp>ASK_SIZE</stp>
        <stp>.SPY150918C211</stp>
        <tr r="B445" s="1"/>
      </tp>
      <tp t="s">
        <v>N/A</v>
        <stp/>
        <stp>ASK_SIZE</stp>
        <stp>.SPY160916P213</stp>
        <tr r="M743" s="1"/>
      </tp>
      <tp t="s">
        <v>N/A</v>
        <stp/>
        <stp>ASK_SIZE</stp>
        <stp>.SPY160916C213</stp>
        <tr r="B743" s="1"/>
      </tp>
      <tp t="s">
        <v>N/A</v>
        <stp/>
        <stp>ASK_SIZE</stp>
        <stp>.SPY160916P212</stp>
        <tr r="M741" s="1"/>
      </tp>
      <tp t="s">
        <v>N/A</v>
        <stp/>
        <stp>ASK_SIZE</stp>
        <stp>.SPY160916C212</stp>
        <tr r="B741" s="1"/>
      </tp>
      <tp t="s">
        <v>N/A</v>
        <stp/>
        <stp>ASK_SIZE</stp>
        <stp>.SPY160916P211</stp>
        <tr r="M739" s="1"/>
      </tp>
      <tp t="s">
        <v>N/A</v>
        <stp/>
        <stp>ASK_SIZE</stp>
        <stp>.SPY160916C211</stp>
        <tr r="B739" s="1"/>
      </tp>
      <tp>
        <v>1679</v>
        <stp/>
        <stp>ASK_SIZE</stp>
        <stp>.SPY160916P210</stp>
        <tr r="M737" s="1"/>
      </tp>
      <tp>
        <v>1660</v>
        <stp/>
        <stp>ASK_SIZE</stp>
        <stp>.SPY160916C210</stp>
        <tr r="B737" s="1"/>
      </tp>
      <tp t="s">
        <v>N/A</v>
        <stp/>
        <stp>ASK_SIZE</stp>
        <stp>.SPY160916P217</stp>
        <tr r="M751" s="1"/>
      </tp>
      <tp t="s">
        <v>N/A</v>
        <stp/>
        <stp>ASK_SIZE</stp>
        <stp>.SPY160916C217</stp>
        <tr r="B751" s="1"/>
      </tp>
      <tp t="s">
        <v>N/A</v>
        <stp/>
        <stp>ASK_SIZE</stp>
        <stp>.SPY160916P216</stp>
        <tr r="M749" s="1"/>
      </tp>
      <tp t="s">
        <v>N/A</v>
        <stp/>
        <stp>ASK_SIZE</stp>
        <stp>.SPY160916C216</stp>
        <tr r="B749" s="1"/>
      </tp>
      <tp>
        <v>228</v>
        <stp/>
        <stp>ASK_SIZE</stp>
        <stp>.SPY150918P218</stp>
        <tr r="M459" s="1"/>
      </tp>
      <tp>
        <v>181</v>
        <stp/>
        <stp>ASK_SIZE</stp>
        <stp>.SPY160916P215</stp>
        <tr r="M747" s="1"/>
      </tp>
      <tp>
        <v>100</v>
        <stp/>
        <stp>ASK_SIZE</stp>
        <stp>.SPY150918C218</stp>
        <tr r="B459" s="1"/>
      </tp>
      <tp>
        <v>1688</v>
        <stp/>
        <stp>ASK_SIZE</stp>
        <stp>.SPY160916C215</stp>
        <tr r="B747" s="1"/>
      </tp>
      <tp>
        <v>198</v>
        <stp/>
        <stp>ASK_SIZE</stp>
        <stp>.SPY150918P219</stp>
        <tr r="M461" s="1"/>
      </tp>
      <tp t="s">
        <v>N/A</v>
        <stp/>
        <stp>ASK_SIZE</stp>
        <stp>.SPY160916P214</stp>
        <tr r="M745" s="1"/>
      </tp>
      <tp>
        <v>145</v>
        <stp/>
        <stp>ASK_SIZE</stp>
        <stp>.SPY150918C219</stp>
        <tr r="B461" s="1"/>
      </tp>
      <tp t="s">
        <v>N/A</v>
        <stp/>
        <stp>ASK_SIZE</stp>
        <stp>.SPY160916C214</stp>
        <tr r="B745" s="1"/>
      </tp>
      <tp>
        <v>2186</v>
        <stp/>
        <stp>ASK_SIZE</stp>
        <stp>.SPY150918P206</stp>
        <tr r="M435" s="1"/>
      </tp>
      <tp>
        <v>150</v>
        <stp/>
        <stp>ASK_SIZE</stp>
        <stp>.SPY150918C206</stp>
        <tr r="B435" s="1"/>
      </tp>
      <tp>
        <v>2529</v>
        <stp/>
        <stp>ASK_SIZE</stp>
        <stp>.SPY150918P207</stp>
        <tr r="M437" s="1"/>
      </tp>
      <tp>
        <v>160</v>
        <stp/>
        <stp>ASK_SIZE</stp>
        <stp>.SPY150918C207</stp>
        <tr r="B437" s="1"/>
      </tp>
      <tp>
        <v>100</v>
        <stp/>
        <stp>ASK_SIZE</stp>
        <stp>.SPY150918P204</stp>
        <tr r="M431" s="1"/>
      </tp>
      <tp t="s">
        <v>N/A</v>
        <stp/>
        <stp>ASK_SIZE</stp>
        <stp>.SPY160916P209</stp>
        <tr r="M735" s="1"/>
      </tp>
      <tp>
        <v>131</v>
        <stp/>
        <stp>ASK_SIZE</stp>
        <stp>.SPY150918C204</stp>
        <tr r="B431" s="1"/>
      </tp>
      <tp t="s">
        <v>N/A</v>
        <stp/>
        <stp>ASK_SIZE</stp>
        <stp>.SPY160916C209</stp>
        <tr r="B735" s="1"/>
      </tp>
      <tp>
        <v>100</v>
        <stp/>
        <stp>ASK_SIZE</stp>
        <stp>.SPY150918P205</stp>
        <tr r="M433" s="1"/>
      </tp>
      <tp t="s">
        <v>N/A</v>
        <stp/>
        <stp>ASK_SIZE</stp>
        <stp>.SPY160916P208</stp>
        <tr r="M733" s="1"/>
      </tp>
      <tp>
        <v>131</v>
        <stp/>
        <stp>ASK_SIZE</stp>
        <stp>.SPY150918C205</stp>
        <tr r="B433" s="1"/>
      </tp>
      <tp t="s">
        <v>N/A</v>
        <stp/>
        <stp>ASK_SIZE</stp>
        <stp>.SPY160916C208</stp>
        <tr r="B733" s="1"/>
      </tp>
      <tp>
        <v>155</v>
        <stp/>
        <stp>ASK_SIZE</stp>
        <stp>.SPY150918P202</stp>
        <tr r="M427" s="1"/>
      </tp>
      <tp>
        <v>131</v>
        <stp/>
        <stp>ASK_SIZE</stp>
        <stp>.SPY150918C202</stp>
        <tr r="B427" s="1"/>
      </tp>
      <tp>
        <v>100</v>
        <stp/>
        <stp>ASK_SIZE</stp>
        <stp>.SPY150918P203</stp>
        <tr r="M429" s="1"/>
      </tp>
      <tp>
        <v>89</v>
        <stp/>
        <stp>ASK_SIZE</stp>
        <stp>.SPY150918C203</stp>
        <tr r="B429" s="1"/>
      </tp>
      <tp>
        <v>41</v>
        <stp/>
        <stp>ASK_SIZE</stp>
        <stp>.SPY150918P200</stp>
        <tr r="M423" s="1"/>
      </tp>
      <tp>
        <v>41</v>
        <stp/>
        <stp>ASK_SIZE</stp>
        <stp>.SPY150918C200</stp>
        <tr r="B423" s="1"/>
      </tp>
      <tp>
        <v>100</v>
        <stp/>
        <stp>ASK_SIZE</stp>
        <stp>.SPY150918P201</stp>
        <tr r="M425" s="1"/>
      </tp>
      <tp>
        <v>131</v>
        <stp/>
        <stp>ASK_SIZE</stp>
        <stp>.SPY150918C201</stp>
        <tr r="B425" s="1"/>
      </tp>
      <tp t="s">
        <v>N/A</v>
        <stp/>
        <stp>ASK_SIZE</stp>
        <stp>.SPY160916P203</stp>
        <tr r="M723" s="1"/>
      </tp>
      <tp t="s">
        <v>N/A</v>
        <stp/>
        <stp>ASK_SIZE</stp>
        <stp>.SPY160916C203</stp>
        <tr r="B723" s="1"/>
      </tp>
      <tp t="s">
        <v>N/A</v>
        <stp/>
        <stp>ASK_SIZE</stp>
        <stp>.SPY160916P202</stp>
        <tr r="M721" s="1"/>
      </tp>
      <tp t="s">
        <v>N/A</v>
        <stp/>
        <stp>ASK_SIZE</stp>
        <stp>.SPY160916C202</stp>
        <tr r="B721" s="1"/>
      </tp>
      <tp t="s">
        <v>N/A</v>
        <stp/>
        <stp>ASK_SIZE</stp>
        <stp>.SPY160916P201</stp>
        <tr r="M719" s="1"/>
      </tp>
      <tp t="s">
        <v>N/A</v>
        <stp/>
        <stp>ASK_SIZE</stp>
        <stp>.SPY160916C201</stp>
        <tr r="B719" s="1"/>
      </tp>
      <tp>
        <v>1656</v>
        <stp/>
        <stp>ASK_SIZE</stp>
        <stp>.SPY160916P200</stp>
        <tr r="M717" s="1"/>
      </tp>
      <tp>
        <v>196</v>
        <stp/>
        <stp>ASK_SIZE</stp>
        <stp>.SPY160916C200</stp>
        <tr r="B717" s="1"/>
      </tp>
      <tp t="s">
        <v>N/A</v>
        <stp/>
        <stp>ASK_SIZE</stp>
        <stp>.SPY160916P207</stp>
        <tr r="M731" s="1"/>
      </tp>
      <tp t="s">
        <v>N/A</v>
        <stp/>
        <stp>ASK_SIZE</stp>
        <stp>.SPY160916C207</stp>
        <tr r="B731" s="1"/>
      </tp>
      <tp t="s">
        <v>N/A</v>
        <stp/>
        <stp>ASK_SIZE</stp>
        <stp>.SPY160916P206</stp>
        <tr r="M729" s="1"/>
      </tp>
      <tp t="s">
        <v>N/A</v>
        <stp/>
        <stp>ASK_SIZE</stp>
        <stp>.SPY160916C206</stp>
        <tr r="B729" s="1"/>
      </tp>
      <tp>
        <v>2695</v>
        <stp/>
        <stp>ASK_SIZE</stp>
        <stp>.SPY150918P208</stp>
        <tr r="M439" s="1"/>
      </tp>
      <tp>
        <v>1692</v>
        <stp/>
        <stp>ASK_SIZE</stp>
        <stp>.SPY160916P205</stp>
        <tr r="M727" s="1"/>
      </tp>
      <tp>
        <v>160</v>
        <stp/>
        <stp>ASK_SIZE</stp>
        <stp>.SPY150918C208</stp>
        <tr r="B439" s="1"/>
      </tp>
      <tp>
        <v>177</v>
        <stp/>
        <stp>ASK_SIZE</stp>
        <stp>.SPY160916C205</stp>
        <tr r="B727" s="1"/>
      </tp>
      <tp>
        <v>2701</v>
        <stp/>
        <stp>ASK_SIZE</stp>
        <stp>.SPY150918P209</stp>
        <tr r="M441" s="1"/>
      </tp>
      <tp t="s">
        <v>N/A</v>
        <stp/>
        <stp>ASK_SIZE</stp>
        <stp>.SPY160916P204</stp>
        <tr r="M725" s="1"/>
      </tp>
      <tp>
        <v>199</v>
        <stp/>
        <stp>ASK_SIZE</stp>
        <stp>.SPY150918C209</stp>
        <tr r="B441" s="1"/>
      </tp>
      <tp t="s">
        <v>N/A</v>
        <stp/>
        <stp>ASK_SIZE</stp>
        <stp>.SPY160916C204</stp>
        <tr r="B725" s="1"/>
      </tp>
      <tp t="s">
        <v>N/A</v>
        <stp/>
        <stp>ASK_SIZE</stp>
        <stp>.SPY151219C212.5</stp>
        <tr r="B532" s="1"/>
      </tp>
      <tp t="s">
        <v>N/A</v>
        <stp/>
        <stp>ASK_SIZE</stp>
        <stp>.SPY151219C202.5</stp>
        <tr r="B512" s="1"/>
      </tp>
      <tp t="s">
        <v>N/A</v>
        <stp/>
        <stp>BID_SIZE</stp>
        <stp>.SPY161216C211.5</stp>
        <tr r="D782" s="1"/>
      </tp>
      <tp t="s">
        <v>N/A</v>
        <stp/>
        <stp>BID_SIZE</stp>
        <stp>.SPY171215C213.5</stp>
        <tr r="D912" s="1"/>
      </tp>
      <tp t="s">
        <v>N/A</v>
        <stp/>
        <stp>BID_SIZE</stp>
        <stp>.SPY161216C201.5</stp>
        <tr r="D762" s="1"/>
      </tp>
      <tp t="s">
        <v>N/A</v>
        <stp/>
        <stp>BID_SIZE</stp>
        <stp>.SPY171215C203.5</stp>
        <tr r="D892" s="1"/>
      </tp>
      <tp t="s">
        <v>N/A</v>
        <stp/>
        <stp>BID_SIZE</stp>
        <stp>.SPY151231C215.5</stp>
        <tr r="D580" s="1"/>
      </tp>
      <tp t="s">
        <v>N/A</v>
        <stp/>
        <stp>BID_SIZE</stp>
        <stp>.SPY151231C205.5</stp>
        <tr r="D560" s="1"/>
      </tp>
      <tp>
        <v>0</v>
        <stp/>
        <stp>BID_SIZE</stp>
        <stp>.SPY150417C213.5</stp>
        <tr r="D30" s="1"/>
      </tp>
      <tp>
        <v>0</v>
        <stp/>
        <stp>BID_SIZE</stp>
        <stp>.SPY150417C203.5</stp>
        <tr r="D10" s="1"/>
      </tp>
      <tp>
        <v>0</v>
        <stp/>
        <stp>BID_SIZE</stp>
        <stp>.SPY150424C200.5</stp>
        <tr r="D46" s="1"/>
      </tp>
      <tp>
        <v>0</v>
        <stp/>
        <stp>BID_SIZE</stp>
        <stp>.SPY150424C210.5</stp>
        <tr r="D66" s="1"/>
      </tp>
      <tp>
        <v>0</v>
        <stp/>
        <stp>BID_SIZE</stp>
        <stp>.SPY150501C205.5</stp>
        <tr r="D98" s="1"/>
      </tp>
      <tp>
        <v>349</v>
        <stp/>
        <stp>BID_SIZE</stp>
        <stp>.SPY150515C211.5</stp>
        <tr r="D194" s="1"/>
      </tp>
      <tp>
        <v>0</v>
        <stp/>
        <stp>BID_SIZE</stp>
        <stp>.SPY150501C215.5</stp>
        <tr r="D118" s="1"/>
      </tp>
      <tp>
        <v>111</v>
        <stp/>
        <stp>BID_SIZE</stp>
        <stp>.SPY150515C201.5</stp>
        <tr r="D174" s="1"/>
      </tp>
      <tp>
        <v>199</v>
        <stp/>
        <stp>BID_SIZE</stp>
        <stp>.SPY150522C206.5</stp>
        <tr r="D226" s="1"/>
      </tp>
      <tp>
        <v>199</v>
        <stp/>
        <stp>BID_SIZE</stp>
        <stp>.SPY150522C216.5</stp>
        <tr r="D246" s="1"/>
      </tp>
      <tp t="s">
        <v>N/A</v>
        <stp/>
        <stp>ASK_SIZE</stp>
        <stp>.SPY150619C212.5</stp>
        <tr r="B322" s="1"/>
      </tp>
      <tp t="s">
        <v>N/A</v>
        <stp/>
        <stp>ASK_SIZE</stp>
        <stp>.SPY150619C202.5</stp>
        <tr r="B302" s="1"/>
      </tp>
      <tp t="s">
        <v>N/A</v>
        <stp/>
        <stp>BID_SIZE</stp>
        <stp>.SPY160617C210.5</stp>
        <tr r="D696" s="1"/>
      </tp>
      <tp t="s">
        <v>N/A</v>
        <stp/>
        <stp>BID_SIZE</stp>
        <stp>.SPY160617C200.5</stp>
        <tr r="D676" s="1"/>
      </tp>
      <tp t="s">
        <v>N/A</v>
        <stp/>
        <stp>BID_SIZE</stp>
        <stp>.SPY150630C214.5</stp>
        <tr r="D368" s="1"/>
      </tp>
      <tp t="s">
        <v>N/A</v>
        <stp/>
        <stp>BID_SIZE</stp>
        <stp>.SPY150630C204.5</stp>
        <tr r="D348" s="1"/>
      </tp>
      <tp>
        <v>160</v>
        <stp/>
        <stp>ASK_SIZE</stp>
        <stp>.SPY150522C209.5</stp>
        <tr r="B232" s="1"/>
      </tp>
      <tp>
        <v>249</v>
        <stp/>
        <stp>ASK_SIZE</stp>
        <stp>.SPY150529C202.5</stp>
        <tr r="B260" s="1"/>
      </tp>
      <tp>
        <v>600</v>
        <stp/>
        <stp>ASK_SIZE</stp>
        <stp>.SPY150522C219.5</stp>
        <tr r="B252" s="1"/>
      </tp>
      <tp>
        <v>249</v>
        <stp/>
        <stp>ASK_SIZE</stp>
        <stp>.SPY150529C212.5</stp>
        <tr r="B280" s="1"/>
      </tp>
      <tp>
        <v>100</v>
        <stp/>
        <stp>ASK_SIZE</stp>
        <stp>.SPY150508C203.5</stp>
        <tr r="B136" s="1"/>
      </tp>
      <tp>
        <v>100</v>
        <stp/>
        <stp>ASK_SIZE</stp>
        <stp>.SPY150508C213.5</stp>
        <tr r="B156" s="1"/>
      </tp>
      <tp t="s">
        <v>N/A</v>
        <stp/>
        <stp>BID_SIZE</stp>
        <stp>.SPY150717C213.5</stp>
        <tr r="D408" s="1"/>
      </tp>
      <tp t="s">
        <v>N/A</v>
        <stp/>
        <stp>BID_SIZE</stp>
        <stp>.SPY150717C203.5</stp>
        <tr r="D388" s="1"/>
      </tp>
      <tp t="s">
        <v>N/A</v>
        <stp/>
        <stp>ASK_SIZE</stp>
        <stp>.SPY160318C210.5</stp>
        <tr r="B654" s="1"/>
      </tp>
      <tp t="s">
        <v>N/A</v>
        <stp/>
        <stp>ASK_SIZE</stp>
        <stp>.SPY160318C200.5</stp>
        <tr r="B634" s="1"/>
      </tp>
      <tp t="s">
        <v>N/A</v>
        <stp/>
        <stp>BID_SIZE</stp>
        <stp>.SPY160115C212.5</stp>
        <tr r="D616" s="1"/>
      </tp>
      <tp t="s">
        <v>N/A</v>
        <stp/>
        <stp>BID_SIZE</stp>
        <stp>.SPY160115C202.5</stp>
        <tr r="D596" s="1"/>
      </tp>
      <tp t="s">
        <v>N/A</v>
        <stp/>
        <stp>BID_SIZE</stp>
        <stp>.SPY170120C206.5</stp>
        <tr r="D814" s="1"/>
      </tp>
      <tp t="s">
        <v>N/A</v>
        <stp/>
        <stp>BID_SIZE</stp>
        <stp>.SPY170120C216.5</stp>
        <tr r="D834" s="1"/>
      </tp>
      <tp t="s">
        <v>N/A</v>
        <stp/>
        <stp>ASK_SIZE</stp>
        <stp>.SPY170120C209.5</stp>
        <tr r="B820" s="1"/>
      </tp>
      <tp t="s">
        <v>N/A</v>
        <stp/>
        <stp>ASK_SIZE</stp>
        <stp>.SPY170120C219.5</stp>
        <tr r="B840" s="1"/>
      </tp>
      <tp t="s">
        <v>N/A</v>
        <stp/>
        <stp>BID_SIZE</stp>
        <stp>.SPY170317C211.5</stp>
        <tr r="D866" s="1"/>
      </tp>
      <tp t="s">
        <v>N/A</v>
        <stp/>
        <stp>BID_SIZE</stp>
        <stp>.SPY170317C201.5</stp>
        <tr r="D846" s="1"/>
      </tp>
      <tp t="s">
        <v>N/A</v>
        <stp/>
        <stp>BID_SIZE</stp>
        <stp>.SPY160916C211.5</stp>
        <tr r="D740" s="1"/>
      </tp>
      <tp t="s">
        <v>N/A</v>
        <stp/>
        <stp>BID_SIZE</stp>
        <stp>.SPY160916C201.5</stp>
        <tr r="D720" s="1"/>
      </tp>
      <tp t="s">
        <v>N/A</v>
        <stp/>
        <stp>BID_SIZE</stp>
        <stp>.SPY150930C214.5</stp>
        <tr r="D494" s="1"/>
      </tp>
      <tp t="s">
        <v>N/A</v>
        <stp/>
        <stp>BID_SIZE</stp>
        <stp>.SPY150930C204.5</stp>
        <tr r="D474" s="1"/>
      </tp>
      <tp t="s">
        <v>N/A</v>
        <stp/>
        <stp>ASK_SIZE</stp>
        <stp>.SPY150918C213.5</stp>
        <tr r="B450" s="1"/>
      </tp>
      <tp t="s">
        <v>N/A</v>
        <stp/>
        <stp>ASK_SIZE</stp>
        <stp>.SPY150918C203.5</stp>
        <tr r="B430" s="1"/>
      </tp>
      <tp>
        <v>0.01</v>
        <stp/>
        <stp>ASK</stp>
        <stp>.SPY150501C213</stp>
        <tr r="A113" s="1"/>
      </tp>
      <tp>
        <v>5.05</v>
        <stp/>
        <stp>ASK</stp>
        <stp>.SPY150515C207</stp>
        <tr r="A185" s="1"/>
      </tp>
      <tp>
        <v>2.42</v>
        <stp/>
        <stp>ASK</stp>
        <stp>.SPY150501P213</stp>
        <tr r="L113" s="1"/>
      </tp>
      <tp>
        <v>0.52</v>
        <stp/>
        <stp>ASK</stp>
        <stp>.SPY150515P207</stp>
        <tr r="L185" s="1"/>
      </tp>
      <tp>
        <v>0.01</v>
        <stp/>
        <stp>ASK</stp>
        <stp>.SPY150501C212</stp>
        <tr r="A111" s="1"/>
      </tp>
      <tp>
        <v>5.95</v>
        <stp/>
        <stp>ASK</stp>
        <stp>.SPY150515C206</stp>
        <tr r="A183" s="1"/>
      </tp>
      <tp>
        <v>1.4</v>
        <stp/>
        <stp>ASK</stp>
        <stp>.SPY150501P212</stp>
        <tr r="L111" s="1"/>
      </tp>
      <tp>
        <v>0.4</v>
        <stp/>
        <stp>ASK</stp>
        <stp>.SPY150515P206</stp>
        <tr r="L183" s="1"/>
      </tp>
      <tp>
        <v>0.01</v>
        <stp/>
        <stp>ASK</stp>
        <stp>.SPY150501C211</stp>
        <tr r="A109" s="1"/>
      </tp>
      <tp>
        <v>0.01</v>
        <stp/>
        <stp>ASK</stp>
        <stp>.SPY150508C218</stp>
        <tr r="A165" s="1"/>
      </tp>
      <tp>
        <v>6.87</v>
        <stp/>
        <stp>ASK</stp>
        <stp>.SPY150515C205</stp>
        <tr r="A181" s="1"/>
      </tp>
      <tp>
        <v>0.39</v>
        <stp/>
        <stp>ASK</stp>
        <stp>.SPY150501P211</stp>
        <tr r="L109" s="1"/>
      </tp>
      <tp>
        <v>6.69</v>
        <stp/>
        <stp>ASK</stp>
        <stp>.SPY150508P218</stp>
        <tr r="L165" s="1"/>
      </tp>
      <tp>
        <v>0.31</v>
        <stp/>
        <stp>ASK</stp>
        <stp>.SPY150515P205</stp>
        <tr r="L181" s="1"/>
      </tp>
      <tp>
        <v>0.82</v>
        <stp/>
        <stp>ASK</stp>
        <stp>.SPY150501C210</stp>
        <tr r="A107" s="1"/>
      </tp>
      <tp>
        <v>0.01</v>
        <stp/>
        <stp>ASK</stp>
        <stp>.SPY150508C219</stp>
        <tr r="A167" s="1"/>
      </tp>
      <tp>
        <v>7.81</v>
        <stp/>
        <stp>ASK</stp>
        <stp>.SPY150515C204</stp>
        <tr r="A179" s="1"/>
      </tp>
      <tp>
        <v>0.01</v>
        <stp/>
        <stp>ASK</stp>
        <stp>.SPY150501P210</stp>
        <tr r="L107" s="1"/>
      </tp>
      <tp>
        <v>7.69</v>
        <stp/>
        <stp>ASK</stp>
        <stp>.SPY150508P219</stp>
        <tr r="L167" s="1"/>
      </tp>
      <tp>
        <v>0.25</v>
        <stp/>
        <stp>ASK</stp>
        <stp>.SPY150515P204</stp>
        <tr r="L179" s="1"/>
      </tp>
      <tp>
        <v>0.01</v>
        <stp/>
        <stp>ASK</stp>
        <stp>.SPY150501C217</stp>
        <tr r="A121" s="1"/>
      </tp>
      <tp>
        <v>8.75</v>
        <stp/>
        <stp>ASK</stp>
        <stp>.SPY150515C203</stp>
        <tr r="A177" s="1"/>
      </tp>
      <tp>
        <v>6.42</v>
        <stp/>
        <stp>ASK</stp>
        <stp>.SPY150501P217</stp>
        <tr r="L121" s="1"/>
      </tp>
      <tp>
        <v>0.2</v>
        <stp/>
        <stp>ASK</stp>
        <stp>.SPY150515P203</stp>
        <tr r="L177" s="1"/>
      </tp>
      <tp>
        <v>0.01</v>
        <stp/>
        <stp>ASK</stp>
        <stp>.SPY150501C216</stp>
        <tr r="A119" s="1"/>
      </tp>
      <tp>
        <v>9.7200000000000006</v>
        <stp/>
        <stp>ASK</stp>
        <stp>.SPY150515C202</stp>
        <tr r="A175" s="1"/>
      </tp>
      <tp>
        <v>5.42</v>
        <stp/>
        <stp>ASK</stp>
        <stp>.SPY150501P216</stp>
        <tr r="L119" s="1"/>
      </tp>
      <tp>
        <v>0.16</v>
        <stp/>
        <stp>ASK</stp>
        <stp>.SPY150515P202</stp>
        <tr r="L175" s="1"/>
      </tp>
      <tp>
        <v>0.01</v>
        <stp/>
        <stp>ASK</stp>
        <stp>.SPY150501C215</stp>
        <tr r="A117" s="1"/>
      </tp>
      <tp>
        <v>10.72</v>
        <stp/>
        <stp>ASK</stp>
        <stp>.SPY150515C201</stp>
        <tr r="A173" s="1"/>
      </tp>
      <tp>
        <v>4.46</v>
        <stp/>
        <stp>ASK</stp>
        <stp>.SPY150501P215</stp>
        <tr r="L117" s="1"/>
      </tp>
      <tp>
        <v>0.13</v>
        <stp/>
        <stp>ASK</stp>
        <stp>.SPY150515P201</stp>
        <tr r="L173" s="1"/>
      </tp>
      <tp>
        <v>0.01</v>
        <stp/>
        <stp>ASK</stp>
        <stp>.SPY150501C214</stp>
        <tr r="A115" s="1"/>
      </tp>
      <tp>
        <v>11.71</v>
        <stp/>
        <stp>ASK</stp>
        <stp>.SPY150515C200</stp>
        <tr r="A171" s="1"/>
      </tp>
      <tp>
        <v>3.42</v>
        <stp/>
        <stp>ASK</stp>
        <stp>.SPY150501P214</stp>
        <tr r="L115" s="1"/>
      </tp>
      <tp>
        <v>0.11</v>
        <stp/>
        <stp>ASK</stp>
        <stp>.SPY150515P200</stp>
        <tr r="L171" s="1"/>
      </tp>
      <tp>
        <v>0.7</v>
        <stp/>
        <stp>ASK</stp>
        <stp>.SPY150508C212</stp>
        <tr r="A153" s="1"/>
      </tp>
      <tp>
        <v>1.29</v>
        <stp/>
        <stp>ASK</stp>
        <stp>.SPY150508P212</stp>
        <tr r="L153" s="1"/>
      </tp>
      <tp>
        <v>0.28999999999999998</v>
        <stp/>
        <stp>ASK</stp>
        <stp>.SPY150508C213</stp>
        <tr r="A155" s="1"/>
      </tp>
      <tp>
        <v>1.9</v>
        <stp/>
        <stp>ASK</stp>
        <stp>.SPY150508P213</stp>
        <tr r="L155" s="1"/>
      </tp>
      <tp>
        <v>0.01</v>
        <stp/>
        <stp>ASK</stp>
        <stp>.SPY150501C219</stp>
        <tr r="A125" s="1"/>
      </tp>
      <tp>
        <v>2.04</v>
        <stp/>
        <stp>ASK</stp>
        <stp>.SPY150508C210</stp>
        <tr r="A149" s="1"/>
      </tp>
      <tp>
        <v>8.4600000000000009</v>
        <stp/>
        <stp>ASK</stp>
        <stp>.SPY150501P219</stp>
        <tr r="L125" s="1"/>
      </tp>
      <tp>
        <v>0.55000000000000004</v>
        <stp/>
        <stp>ASK</stp>
        <stp>.SPY150508P210</stp>
        <tr r="L149" s="1"/>
      </tp>
      <tp>
        <v>0.01</v>
        <stp/>
        <stp>ASK</stp>
        <stp>.SPY150501C218</stp>
        <tr r="A123" s="1"/>
      </tp>
      <tp>
        <v>1.28</v>
        <stp/>
        <stp>ASK</stp>
        <stp>.SPY150508C211</stp>
        <tr r="A151" s="1"/>
      </tp>
      <tp>
        <v>7.42</v>
        <stp/>
        <stp>ASK</stp>
        <stp>.SPY150501P218</stp>
        <tr r="L123" s="1"/>
      </tp>
      <tp>
        <v>0.84</v>
        <stp/>
        <stp>ASK</stp>
        <stp>.SPY150508P211</stp>
        <tr r="L151" s="1"/>
      </tp>
      <tp>
        <v>0.02</v>
        <stp/>
        <stp>ASK</stp>
        <stp>.SPY150508C216</stp>
        <tr r="A161" s="1"/>
      </tp>
      <tp>
        <v>4.66</v>
        <stp/>
        <stp>ASK</stp>
        <stp>.SPY150508P216</stp>
        <tr r="L161" s="1"/>
      </tp>
      <tp>
        <v>0.02</v>
        <stp/>
        <stp>ASK</stp>
        <stp>.SPY150508C217</stp>
        <tr r="A163" s="1"/>
      </tp>
      <tp>
        <v>5.7</v>
        <stp/>
        <stp>ASK</stp>
        <stp>.SPY150508P217</stp>
        <tr r="L163" s="1"/>
      </tp>
      <tp>
        <v>0.1</v>
        <stp/>
        <stp>ASK</stp>
        <stp>.SPY150508C214</stp>
        <tr r="A157" s="1"/>
      </tp>
      <tp>
        <v>3.37</v>
        <stp/>
        <stp>ASK</stp>
        <stp>.SPY150515C209</stp>
        <tr r="A189" s="1"/>
      </tp>
      <tp>
        <v>2.76</v>
        <stp/>
        <stp>ASK</stp>
        <stp>.SPY150508P214</stp>
        <tr r="L157" s="1"/>
      </tp>
      <tp>
        <v>0.87</v>
        <stp/>
        <stp>ASK</stp>
        <stp>.SPY150515P209</stp>
        <tr r="L189" s="1"/>
      </tp>
      <tp>
        <v>0.04</v>
        <stp/>
        <stp>ASK</stp>
        <stp>.SPY150508C215</stp>
        <tr r="A159" s="1"/>
      </tp>
      <tp>
        <v>4.18</v>
        <stp/>
        <stp>ASK</stp>
        <stp>.SPY150515C208</stp>
        <tr r="A187" s="1"/>
      </tp>
      <tp>
        <v>3.69</v>
        <stp/>
        <stp>ASK</stp>
        <stp>.SPY150508P215</stp>
        <tr r="L159" s="1"/>
      </tp>
      <tp>
        <v>0.67</v>
        <stp/>
        <stp>ASK</stp>
        <stp>.SPY150515P208</stp>
        <tr r="L187" s="1"/>
      </tp>
      <tp>
        <v>10.76</v>
        <stp/>
        <stp>BID</stp>
        <stp>.SPY150529C201</stp>
        <tr r="C257" s="1"/>
      </tp>
      <tp>
        <v>0.4</v>
        <stp/>
        <stp>BID</stp>
        <stp>.SPY150529P201</stp>
        <tr r="N257" s="1"/>
      </tp>
      <tp>
        <v>11.7</v>
        <stp/>
        <stp>BID</stp>
        <stp>.SPY150529C200</stp>
        <tr r="C255" s="1"/>
      </tp>
      <tp>
        <v>0.34</v>
        <stp/>
        <stp>BID</stp>
        <stp>.SPY150529P200</stp>
        <tr r="N255" s="1"/>
      </tp>
      <tp>
        <v>4.4000000000000004</v>
        <stp/>
        <stp>BID</stp>
        <stp>.SPY150522C208</stp>
        <tr r="C229" s="1"/>
      </tp>
      <tp>
        <v>8.9600000000000009</v>
        <stp/>
        <stp>BID</stp>
        <stp>.SPY150529C203</stp>
        <tr r="C261" s="1"/>
      </tp>
      <tp>
        <v>1</v>
        <stp/>
        <stp>BID</stp>
        <stp>.SPY150522P208</stp>
        <tr r="N229" s="1"/>
      </tp>
      <tp>
        <v>0.56999999999999995</v>
        <stp/>
        <stp>BID</stp>
        <stp>.SPY150529P203</stp>
        <tr r="N261" s="1"/>
      </tp>
      <tp>
        <v>3.63</v>
        <stp/>
        <stp>BID</stp>
        <stp>.SPY150522C209</stp>
        <tr r="C231" s="1"/>
      </tp>
      <tp>
        <v>9.85</v>
        <stp/>
        <stp>BID</stp>
        <stp>.SPY150529C202</stp>
        <tr r="C259" s="1"/>
      </tp>
      <tp>
        <v>1.22</v>
        <stp/>
        <stp>BID</stp>
        <stp>.SPY150522P209</stp>
        <tr r="N231" s="1"/>
      </tp>
      <tp>
        <v>0.47</v>
        <stp/>
        <stp>BID</stp>
        <stp>.SPY150529P202</stp>
        <tr r="N259" s="1"/>
      </tp>
      <tp>
        <v>7.19</v>
        <stp/>
        <stp>BID</stp>
        <stp>.SPY150529C205</stp>
        <tr r="C265" s="1"/>
      </tp>
      <tp>
        <v>0.8</v>
        <stp/>
        <stp>BID</stp>
        <stp>.SPY150529P205</stp>
        <tr r="N265" s="1"/>
      </tp>
      <tp>
        <v>8.06</v>
        <stp/>
        <stp>BID</stp>
        <stp>.SPY150529C204</stp>
        <tr r="C263" s="1"/>
      </tp>
      <tp>
        <v>0.68</v>
        <stp/>
        <stp>BID</stp>
        <stp>.SPY150529P204</stp>
        <tr r="N263" s="1"/>
      </tp>
      <tp>
        <v>5.53</v>
        <stp/>
        <stp>BID</stp>
        <stp>.SPY150529C207</stp>
        <tr r="C269" s="1"/>
      </tp>
      <tp>
        <v>1.1200000000000001</v>
        <stp/>
        <stp>BID</stp>
        <stp>.SPY150529P207</stp>
        <tr r="N269" s="1"/>
      </tp>
      <tp>
        <v>6.34</v>
        <stp/>
        <stp>BID</stp>
        <stp>.SPY150529C206</stp>
        <tr r="C267" s="1"/>
      </tp>
      <tp>
        <v>0.95</v>
        <stp/>
        <stp>BID</stp>
        <stp>.SPY150529P206</stp>
        <tr r="N267" s="1"/>
      </tp>
      <tp>
        <v>9.66</v>
        <stp/>
        <stp>BID</stp>
        <stp>.SPY150522C202</stp>
        <tr r="C217" s="1"/>
      </tp>
      <tp>
        <v>3.98</v>
        <stp/>
        <stp>BID</stp>
        <stp>.SPY150529C209</stp>
        <tr r="C273" s="1"/>
      </tp>
      <tp>
        <v>0.3</v>
        <stp/>
        <stp>BID</stp>
        <stp>.SPY150522P202</stp>
        <tr r="N217" s="1"/>
      </tp>
      <tp>
        <v>1.57</v>
        <stp/>
        <stp>BID</stp>
        <stp>.SPY150529P209</stp>
        <tr r="N273" s="1"/>
      </tp>
      <tp>
        <v>8.73</v>
        <stp/>
        <stp>BID</stp>
        <stp>.SPY150522C203</stp>
        <tr r="C219" s="1"/>
      </tp>
      <tp>
        <v>4.74</v>
        <stp/>
        <stp>BID</stp>
        <stp>.SPY150529C208</stp>
        <tr r="C271" s="1"/>
      </tp>
      <tp>
        <v>0.36</v>
        <stp/>
        <stp>BID</stp>
        <stp>.SPY150522P203</stp>
        <tr r="N219" s="1"/>
      </tp>
      <tp>
        <v>1.33</v>
        <stp/>
        <stp>BID</stp>
        <stp>.SPY150529P208</stp>
        <tr r="N271" s="1"/>
      </tp>
      <tp>
        <v>11.56</v>
        <stp/>
        <stp>BID</stp>
        <stp>.SPY150522C200</stp>
        <tr r="C213" s="1"/>
      </tp>
      <tp>
        <v>0.2</v>
        <stp/>
        <stp>BID</stp>
        <stp>.SPY150522P200</stp>
        <tr r="N213" s="1"/>
      </tp>
      <tp>
        <v>10.6</v>
        <stp/>
        <stp>BID</stp>
        <stp>.SPY150522C201</stp>
        <tr r="C215" s="1"/>
      </tp>
      <tp>
        <v>0.24</v>
        <stp/>
        <stp>BID</stp>
        <stp>.SPY150522P201</stp>
        <tr r="N215" s="1"/>
      </tp>
      <tp>
        <v>6.05</v>
        <stp/>
        <stp>BID</stp>
        <stp>.SPY150522C206</stp>
        <tr r="C225" s="1"/>
      </tp>
      <tp>
        <v>0.67</v>
        <stp/>
        <stp>BID</stp>
        <stp>.SPY150522P206</stp>
        <tr r="N225" s="1"/>
      </tp>
      <tp>
        <v>5.21</v>
        <stp/>
        <stp>BID</stp>
        <stp>.SPY150522C207</stp>
        <tr r="C227" s="1"/>
      </tp>
      <tp>
        <v>0.82</v>
        <stp/>
        <stp>BID</stp>
        <stp>.SPY150522P207</stp>
        <tr r="N227" s="1"/>
      </tp>
      <tp>
        <v>7.83</v>
        <stp/>
        <stp>BID</stp>
        <stp>.SPY150522C204</stp>
        <tr r="C221" s="1"/>
      </tp>
      <tp>
        <v>0.45</v>
        <stp/>
        <stp>BID</stp>
        <stp>.SPY150522P204</stp>
        <tr r="N221" s="1"/>
      </tp>
      <tp>
        <v>6.92</v>
        <stp/>
        <stp>BID</stp>
        <stp>.SPY150522C205</stp>
        <tr r="C223" s="1"/>
      </tp>
      <tp>
        <v>0.54</v>
        <stp/>
        <stp>BID</stp>
        <stp>.SPY150522P205</stp>
        <tr r="N223" s="1"/>
      </tp>
      <tp>
        <v>7.86</v>
        <stp/>
        <stp>ASK</stp>
        <stp>.SPY150501C203</stp>
        <tr r="A93" s="1"/>
      </tp>
      <tp>
        <v>0.06</v>
        <stp/>
        <stp>ASK</stp>
        <stp>.SPY150515C217</stp>
        <tr r="A205" s="1"/>
      </tp>
      <tp>
        <v>0.01</v>
        <stp/>
        <stp>ASK</stp>
        <stp>.SPY150501P203</stp>
        <tr r="L93" s="1"/>
      </tp>
      <tp>
        <v>5.71</v>
        <stp/>
        <stp>ASK</stp>
        <stp>.SPY150515P217</stp>
        <tr r="L205" s="1"/>
      </tp>
      <tp>
        <v>8.86</v>
        <stp/>
        <stp>ASK</stp>
        <stp>.SPY150501C202</stp>
        <tr r="A91" s="1"/>
      </tp>
      <tp>
        <v>0.12</v>
        <stp/>
        <stp>ASK</stp>
        <stp>.SPY150515C216</stp>
        <tr r="A203" s="1"/>
      </tp>
      <tp>
        <v>0.01</v>
        <stp/>
        <stp>ASK</stp>
        <stp>.SPY150501P202</stp>
        <tr r="L91" s="1"/>
      </tp>
      <tp>
        <v>4.76</v>
        <stp/>
        <stp>ASK</stp>
        <stp>.SPY150515P216</stp>
        <tr r="L203" s="1"/>
      </tp>
      <tp>
        <v>9.86</v>
        <stp/>
        <stp>ASK</stp>
        <stp>.SPY150501C201</stp>
        <tr r="A89" s="1"/>
      </tp>
      <tp>
        <v>3.76</v>
        <stp/>
        <stp>ASK</stp>
        <stp>.SPY150508C208</stp>
        <tr r="A145" s="1"/>
      </tp>
      <tp>
        <v>0.24</v>
        <stp/>
        <stp>ASK</stp>
        <stp>.SPY150515C215</stp>
        <tr r="A201" s="1"/>
      </tp>
      <tp>
        <v>0.01</v>
        <stp/>
        <stp>ASK</stp>
        <stp>.SPY150501P201</stp>
        <tr r="L89" s="1"/>
      </tp>
      <tp>
        <v>0.24</v>
        <stp/>
        <stp>ASK</stp>
        <stp>.SPY150508P208</stp>
        <tr r="L145" s="1"/>
      </tp>
      <tp>
        <v>3.88</v>
        <stp/>
        <stp>ASK</stp>
        <stp>.SPY150515P215</stp>
        <tr r="L201" s="1"/>
      </tp>
      <tp>
        <v>10.86</v>
        <stp/>
        <stp>ASK</stp>
        <stp>.SPY150501C200</stp>
        <tr r="A87" s="1"/>
      </tp>
      <tp>
        <v>2.86</v>
        <stp/>
        <stp>ASK</stp>
        <stp>.SPY150508C209</stp>
        <tr r="A147" s="1"/>
      </tp>
      <tp>
        <v>0.45</v>
        <stp/>
        <stp>ASK</stp>
        <stp>.SPY150515C214</stp>
        <tr r="A199" s="1"/>
      </tp>
      <tp>
        <v>0.01</v>
        <stp/>
        <stp>ASK</stp>
        <stp>.SPY150501P200</stp>
        <tr r="L87" s="1"/>
      </tp>
      <tp>
        <v>0.36</v>
        <stp/>
        <stp>ASK</stp>
        <stp>.SPY150508P209</stp>
        <tr r="L147" s="1"/>
      </tp>
      <tp>
        <v>3.1</v>
        <stp/>
        <stp>ASK</stp>
        <stp>.SPY150515P214</stp>
        <tr r="L199" s="1"/>
      </tp>
      <tp>
        <v>3.84</v>
        <stp/>
        <stp>ASK</stp>
        <stp>.SPY150501C207</stp>
        <tr r="A101" s="1"/>
      </tp>
      <tp>
        <v>0.83</v>
        <stp/>
        <stp>ASK</stp>
        <stp>.SPY150515C213</stp>
        <tr r="A197" s="1"/>
      </tp>
      <tp>
        <v>0.01</v>
        <stp/>
        <stp>ASK</stp>
        <stp>.SPY150501P207</stp>
        <tr r="L101" s="1"/>
      </tp>
      <tp>
        <v>2.46</v>
        <stp/>
        <stp>ASK</stp>
        <stp>.SPY150515P213</stp>
        <tr r="L197" s="1"/>
      </tp>
      <tp>
        <v>4.84</v>
        <stp/>
        <stp>ASK</stp>
        <stp>.SPY150501C206</stp>
        <tr r="A99" s="1"/>
      </tp>
      <tp>
        <v>1.34</v>
        <stp/>
        <stp>ASK</stp>
        <stp>.SPY150515C212</stp>
        <tr r="A195" s="1"/>
      </tp>
      <tp>
        <v>0.01</v>
        <stp/>
        <stp>ASK</stp>
        <stp>.SPY150501P206</stp>
        <tr r="L99" s="1"/>
      </tp>
      <tp>
        <v>1.87</v>
        <stp/>
        <stp>ASK</stp>
        <stp>.SPY150515P212</stp>
        <tr r="L195" s="1"/>
      </tp>
      <tp>
        <v>5.84</v>
        <stp/>
        <stp>ASK</stp>
        <stp>.SPY150501C205</stp>
        <tr r="A97" s="1"/>
      </tp>
      <tp>
        <v>1.93</v>
        <stp/>
        <stp>ASK</stp>
        <stp>.SPY150515C211</stp>
        <tr r="A193" s="1"/>
      </tp>
      <tp>
        <v>0.01</v>
        <stp/>
        <stp>ASK</stp>
        <stp>.SPY150501P205</stp>
        <tr r="L97" s="1"/>
      </tp>
      <tp>
        <v>1.45</v>
        <stp/>
        <stp>ASK</stp>
        <stp>.SPY150515P211</stp>
        <tr r="L193" s="1"/>
      </tp>
      <tp>
        <v>6.84</v>
        <stp/>
        <stp>ASK</stp>
        <stp>.SPY150501C204</stp>
        <tr r="A95" s="1"/>
      </tp>
      <tp>
        <v>2.62</v>
        <stp/>
        <stp>ASK</stp>
        <stp>.SPY150515C210</stp>
        <tr r="A191" s="1"/>
      </tp>
      <tp>
        <v>0.01</v>
        <stp/>
        <stp>ASK</stp>
        <stp>.SPY150501P204</stp>
        <tr r="L95" s="1"/>
      </tp>
      <tp>
        <v>1.1299999999999999</v>
        <stp/>
        <stp>ASK</stp>
        <stp>.SPY150515P210</stp>
        <tr r="L191" s="1"/>
      </tp>
      <tp>
        <v>9.6300000000000008</v>
        <stp/>
        <stp>ASK</stp>
        <stp>.SPY150508C202</stp>
        <tr r="A133" s="1"/>
      </tp>
      <tp>
        <v>0.04</v>
        <stp/>
        <stp>ASK</stp>
        <stp>.SPY150508P202</stp>
        <tr r="L133" s="1"/>
      </tp>
      <tp>
        <v>8.6300000000000008</v>
        <stp/>
        <stp>ASK</stp>
        <stp>.SPY150508C203</stp>
        <tr r="A135" s="1"/>
      </tp>
      <tp>
        <v>0.04</v>
        <stp/>
        <stp>ASK</stp>
        <stp>.SPY150508P203</stp>
        <tr r="L135" s="1"/>
      </tp>
      <tp>
        <v>1.81</v>
        <stp/>
        <stp>ASK</stp>
        <stp>.SPY150501C209</stp>
        <tr r="A105" s="1"/>
      </tp>
      <tp>
        <v>11.61</v>
        <stp/>
        <stp>ASK</stp>
        <stp>.SPY150508C200</stp>
        <tr r="A129" s="1"/>
      </tp>
      <tp>
        <v>0.01</v>
        <stp/>
        <stp>ASK</stp>
        <stp>.SPY150501P209</stp>
        <tr r="L105" s="1"/>
      </tp>
      <tp>
        <v>0.03</v>
        <stp/>
        <stp>ASK</stp>
        <stp>.SPY150508P200</stp>
        <tr r="L129" s="1"/>
      </tp>
      <tp>
        <v>2.83</v>
        <stp/>
        <stp>ASK</stp>
        <stp>.SPY150501C208</stp>
        <tr r="A103" s="1"/>
      </tp>
      <tp>
        <v>10.62</v>
        <stp/>
        <stp>ASK</stp>
        <stp>.SPY150508C201</stp>
        <tr r="A131" s="1"/>
      </tp>
      <tp>
        <v>0.01</v>
        <stp/>
        <stp>ASK</stp>
        <stp>.SPY150501P208</stp>
        <tr r="L103" s="1"/>
      </tp>
      <tp>
        <v>0.03</v>
        <stp/>
        <stp>ASK</stp>
        <stp>.SPY150508P201</stp>
        <tr r="L131" s="1"/>
      </tp>
      <tp>
        <v>5.65</v>
        <stp/>
        <stp>ASK</stp>
        <stp>.SPY150508C206</stp>
        <tr r="A141" s="1"/>
      </tp>
      <tp>
        <v>0.11</v>
        <stp/>
        <stp>ASK</stp>
        <stp>.SPY150508P206</stp>
        <tr r="L141" s="1"/>
      </tp>
      <tp>
        <v>4.6900000000000004</v>
        <stp/>
        <stp>ASK</stp>
        <stp>.SPY150508C207</stp>
        <tr r="A143" s="1"/>
      </tp>
      <tp>
        <v>0.16</v>
        <stp/>
        <stp>ASK</stp>
        <stp>.SPY150508P207</stp>
        <tr r="L143" s="1"/>
      </tp>
      <tp>
        <v>7.61</v>
        <stp/>
        <stp>ASK</stp>
        <stp>.SPY150508C204</stp>
        <tr r="A137" s="1"/>
      </tp>
      <tp>
        <v>0.03</v>
        <stp/>
        <stp>ASK</stp>
        <stp>.SPY150515C219</stp>
        <tr r="A209" s="1"/>
      </tp>
      <tp>
        <v>0.06</v>
        <stp/>
        <stp>ASK</stp>
        <stp>.SPY150508P204</stp>
        <tr r="L137" s="1"/>
      </tp>
      <tp>
        <v>7.73</v>
        <stp/>
        <stp>ASK</stp>
        <stp>.SPY150515P219</stp>
        <tr r="L209" s="1"/>
      </tp>
      <tp>
        <v>6.6</v>
        <stp/>
        <stp>ASK</stp>
        <stp>.SPY150508C205</stp>
        <tr r="A139" s="1"/>
      </tp>
      <tp>
        <v>0.04</v>
        <stp/>
        <stp>ASK</stp>
        <stp>.SPY150515C218</stp>
        <tr r="A207" s="1"/>
      </tp>
      <tp>
        <v>0.08</v>
        <stp/>
        <stp>ASK</stp>
        <stp>.SPY150508P205</stp>
        <tr r="L139" s="1"/>
      </tp>
      <tp>
        <v>6.69</v>
        <stp/>
        <stp>ASK</stp>
        <stp>.SPY150515P218</stp>
        <tr r="L207" s="1"/>
      </tp>
      <tp>
        <v>2.61</v>
        <stp/>
        <stp>BID</stp>
        <stp>.SPY150529C211</stp>
        <tr r="C277" s="1"/>
      </tp>
      <tp>
        <v>2.17</v>
        <stp/>
        <stp>BID</stp>
        <stp>.SPY150529P211</stp>
        <tr r="N277" s="1"/>
      </tp>
      <tp>
        <v>3.27</v>
        <stp/>
        <stp>BID</stp>
        <stp>.SPY150529C210</stp>
        <tr r="C275" s="1"/>
      </tp>
      <tp>
        <v>1.88</v>
        <stp/>
        <stp>BID</stp>
        <stp>.SPY150529P210</stp>
        <tr r="N275" s="1"/>
      </tp>
      <tp>
        <v>7.0000000000000007E-2</v>
        <stp/>
        <stp>BID</stp>
        <stp>.SPY150522C218</stp>
        <tr r="C249" s="1"/>
      </tp>
      <tp>
        <v>1.51</v>
        <stp/>
        <stp>BID</stp>
        <stp>.SPY150529C213</stp>
        <tr r="C281" s="1"/>
      </tp>
      <tp>
        <v>6.49</v>
        <stp/>
        <stp>BID</stp>
        <stp>.SPY150522P218</stp>
        <tr r="N249" s="1"/>
      </tp>
      <tp>
        <v>3</v>
        <stp/>
        <stp>BID</stp>
        <stp>.SPY150529P213</stp>
        <tr r="N281" s="1"/>
      </tp>
      <tp>
        <v>0.04</v>
        <stp/>
        <stp>BID</stp>
        <stp>.SPY150522C219</stp>
        <tr r="C251" s="1"/>
      </tp>
      <tp>
        <v>2.04</v>
        <stp/>
        <stp>BID</stp>
        <stp>.SPY150529C212</stp>
        <tr r="C279" s="1"/>
      </tp>
      <tp>
        <v>7.45</v>
        <stp/>
        <stp>BID</stp>
        <stp>.SPY150522P219</stp>
        <tr r="N251" s="1"/>
      </tp>
      <tp>
        <v>2.5499999999999998</v>
        <stp/>
        <stp>BID</stp>
        <stp>.SPY150529P212</stp>
        <tr r="N279" s="1"/>
      </tp>
      <tp>
        <v>0.71</v>
        <stp/>
        <stp>BID</stp>
        <stp>.SPY150529C215</stp>
        <tr r="C285" s="1"/>
      </tp>
      <tp>
        <v>4.16</v>
        <stp/>
        <stp>BID</stp>
        <stp>.SPY150529P215</stp>
        <tr r="N285" s="1"/>
      </tp>
      <tp>
        <v>1.06</v>
        <stp/>
        <stp>BID</stp>
        <stp>.SPY150529C214</stp>
        <tr r="C283" s="1"/>
      </tp>
      <tp>
        <v>3.53</v>
        <stp/>
        <stp>BID</stp>
        <stp>.SPY150529P214</stp>
        <tr r="N283" s="1"/>
      </tp>
      <tp>
        <v>0.26</v>
        <stp/>
        <stp>BID</stp>
        <stp>.SPY150529C217</stp>
        <tr r="C289" s="1"/>
      </tp>
      <tp>
        <v>5.68</v>
        <stp/>
        <stp>BID</stp>
        <stp>.SPY150529P217</stp>
        <tr r="N289" s="1"/>
      </tp>
      <tp>
        <v>0.44</v>
        <stp/>
        <stp>BID</stp>
        <stp>.SPY150529C216</stp>
        <tr r="C287" s="1"/>
      </tp>
      <tp>
        <v>4.8899999999999997</v>
        <stp/>
        <stp>BID</stp>
        <stp>.SPY150529P216</stp>
        <tr r="N287" s="1"/>
      </tp>
      <tp>
        <v>1.7</v>
        <stp/>
        <stp>BID</stp>
        <stp>.SPY150522C212</stp>
        <tr r="C237" s="1"/>
      </tp>
      <tp>
        <v>0.09</v>
        <stp/>
        <stp>BID</stp>
        <stp>.SPY150529C219</stp>
        <tr r="C293" s="1"/>
      </tp>
      <tp>
        <v>2.21</v>
        <stp/>
        <stp>BID</stp>
        <stp>.SPY150522P212</stp>
        <tr r="N237" s="1"/>
      </tp>
      <tp>
        <v>7.49</v>
        <stp/>
        <stp>BID</stp>
        <stp>.SPY150529P219</stp>
        <tr r="N293" s="1"/>
      </tp>
      <tp>
        <v>1.18</v>
        <stp/>
        <stp>BID</stp>
        <stp>.SPY150522C213</stp>
        <tr r="C239" s="1"/>
      </tp>
      <tp>
        <v>0.15</v>
        <stp/>
        <stp>BID</stp>
        <stp>.SPY150529C218</stp>
        <tr r="C291" s="1"/>
      </tp>
      <tp>
        <v>2.68</v>
        <stp/>
        <stp>BID</stp>
        <stp>.SPY150522P213</stp>
        <tr r="N239" s="1"/>
      </tp>
      <tp>
        <v>6.56</v>
        <stp/>
        <stp>BID</stp>
        <stp>.SPY150529P218</stp>
        <tr r="N291" s="1"/>
      </tp>
      <tp>
        <v>2.93</v>
        <stp/>
        <stp>BID</stp>
        <stp>.SPY150522C210</stp>
        <tr r="C233" s="1"/>
      </tp>
      <tp>
        <v>1.49</v>
        <stp/>
        <stp>BID</stp>
        <stp>.SPY150522P210</stp>
        <tr r="N233" s="1"/>
      </tp>
      <tp>
        <v>2.2999999999999998</v>
        <stp/>
        <stp>BID</stp>
        <stp>.SPY150522C211</stp>
        <tr r="C235" s="1"/>
      </tp>
      <tp>
        <v>1.82</v>
        <stp/>
        <stp>BID</stp>
        <stp>.SPY150522P211</stp>
        <tr r="N235" s="1"/>
      </tp>
      <tp>
        <v>0.25</v>
        <stp/>
        <stp>BID</stp>
        <stp>.SPY150522C216</stp>
        <tr r="C245" s="1"/>
      </tp>
      <tp>
        <v>4.6900000000000004</v>
        <stp/>
        <stp>BID</stp>
        <stp>.SPY150522P216</stp>
        <tr r="N245" s="1"/>
      </tp>
      <tp>
        <v>0.14000000000000001</v>
        <stp/>
        <stp>BID</stp>
        <stp>.SPY150522C217</stp>
        <tr r="C247" s="1"/>
      </tp>
      <tp>
        <v>5.57</v>
        <stp/>
        <stp>BID</stp>
        <stp>.SPY150522P217</stp>
        <tr r="N247" s="1"/>
      </tp>
      <tp>
        <v>0.77</v>
        <stp/>
        <stp>BID</stp>
        <stp>.SPY150522C214</stp>
        <tr r="C241" s="1"/>
      </tp>
      <tp>
        <v>3.24</v>
        <stp/>
        <stp>BID</stp>
        <stp>.SPY150522P214</stp>
        <tr r="N241" s="1"/>
      </tp>
      <tp>
        <v>0.46</v>
        <stp/>
        <stp>BID</stp>
        <stp>.SPY150522C215</stp>
        <tr r="C243" s="1"/>
      </tp>
      <tp>
        <v>3.91</v>
        <stp/>
        <stp>BID</stp>
        <stp>.SPY150522P215</stp>
        <tr r="N243" s="1"/>
      </tp>
      <tp>
        <v>3.05</v>
        <stp/>
        <stp>ASK</stp>
        <stp>.SPY150522C210</stp>
        <tr r="A233" s="1"/>
      </tp>
      <tp>
        <v>1.54</v>
        <stp/>
        <stp>ASK</stp>
        <stp>.SPY150522P210</stp>
        <tr r="L233" s="1"/>
      </tp>
      <tp>
        <v>2.35</v>
        <stp/>
        <stp>ASK</stp>
        <stp>.SPY150522C211</stp>
        <tr r="A235" s="1"/>
      </tp>
      <tp>
        <v>1.87</v>
        <stp/>
        <stp>ASK</stp>
        <stp>.SPY150522P211</stp>
        <tr r="L235" s="1"/>
      </tp>
      <tp>
        <v>1.75</v>
        <stp/>
        <stp>ASK</stp>
        <stp>.SPY150522C212</stp>
        <tr r="A237" s="1"/>
      </tp>
      <tp>
        <v>0.11</v>
        <stp/>
        <stp>ASK</stp>
        <stp>.SPY150529C219</stp>
        <tr r="A293" s="1"/>
      </tp>
      <tp>
        <v>2.29</v>
        <stp/>
        <stp>ASK</stp>
        <stp>.SPY150522P212</stp>
        <tr r="L237" s="1"/>
      </tp>
      <tp>
        <v>7.75</v>
        <stp/>
        <stp>ASK</stp>
        <stp>.SPY150529P219</stp>
        <tr r="L293" s="1"/>
      </tp>
      <tp>
        <v>1.22</v>
        <stp/>
        <stp>ASK</stp>
        <stp>.SPY150522C213</stp>
        <tr r="A239" s="1"/>
      </tp>
      <tp>
        <v>0.18</v>
        <stp/>
        <stp>ASK</stp>
        <stp>.SPY150529C218</stp>
        <tr r="A291" s="1"/>
      </tp>
      <tp>
        <v>2.82</v>
        <stp/>
        <stp>ASK</stp>
        <stp>.SPY150522P213</stp>
        <tr r="L239" s="1"/>
      </tp>
      <tp>
        <v>6.81</v>
        <stp/>
        <stp>ASK</stp>
        <stp>.SPY150529P218</stp>
        <tr r="L291" s="1"/>
      </tp>
      <tp>
        <v>0.81</v>
        <stp/>
        <stp>ASK</stp>
        <stp>.SPY150522C214</stp>
        <tr r="A241" s="1"/>
      </tp>
      <tp>
        <v>3.42</v>
        <stp/>
        <stp>ASK</stp>
        <stp>.SPY150522P214</stp>
        <tr r="L241" s="1"/>
      </tp>
      <tp>
        <v>0.49</v>
        <stp/>
        <stp>ASK</stp>
        <stp>.SPY150522C215</stp>
        <tr r="A243" s="1"/>
      </tp>
      <tp>
        <v>4.12</v>
        <stp/>
        <stp>ASK</stp>
        <stp>.SPY150522P215</stp>
        <tr r="L243" s="1"/>
      </tp>
      <tp>
        <v>0.28000000000000003</v>
        <stp/>
        <stp>ASK</stp>
        <stp>.SPY150522C216</stp>
        <tr r="A245" s="1"/>
      </tp>
      <tp>
        <v>4.91</v>
        <stp/>
        <stp>ASK</stp>
        <stp>.SPY150522P216</stp>
        <tr r="L245" s="1"/>
      </tp>
      <tp>
        <v>0.15</v>
        <stp/>
        <stp>ASK</stp>
        <stp>.SPY150522C217</stp>
        <tr r="A247" s="1"/>
      </tp>
      <tp>
        <v>5.8</v>
        <stp/>
        <stp>ASK</stp>
        <stp>.SPY150522P217</stp>
        <tr r="L247" s="1"/>
      </tp>
      <tp>
        <v>0.09</v>
        <stp/>
        <stp>ASK</stp>
        <stp>.SPY150522C218</stp>
        <tr r="A249" s="1"/>
      </tp>
      <tp>
        <v>1.57</v>
        <stp/>
        <stp>ASK</stp>
        <stp>.SPY150529C213</stp>
        <tr r="A281" s="1"/>
      </tp>
      <tp>
        <v>6.74</v>
        <stp/>
        <stp>ASK</stp>
        <stp>.SPY150522P218</stp>
        <tr r="L249" s="1"/>
      </tp>
      <tp>
        <v>3.12</v>
        <stp/>
        <stp>ASK</stp>
        <stp>.SPY150529P213</stp>
        <tr r="L281" s="1"/>
      </tp>
      <tp>
        <v>0.05</v>
        <stp/>
        <stp>ASK</stp>
        <stp>.SPY150522C219</stp>
        <tr r="A251" s="1"/>
      </tp>
      <tp>
        <v>2.11</v>
        <stp/>
        <stp>ASK</stp>
        <stp>.SPY150529C212</stp>
        <tr r="A279" s="1"/>
      </tp>
      <tp>
        <v>7.71</v>
        <stp/>
        <stp>ASK</stp>
        <stp>.SPY150522P219</stp>
        <tr r="L251" s="1"/>
      </tp>
      <tp>
        <v>2.67</v>
        <stp/>
        <stp>ASK</stp>
        <stp>.SPY150529P212</stp>
        <tr r="L279" s="1"/>
      </tp>
      <tp>
        <v>2.74</v>
        <stp/>
        <stp>ASK</stp>
        <stp>.SPY150529C211</stp>
        <tr r="A277" s="1"/>
      </tp>
      <tp>
        <v>2.25</v>
        <stp/>
        <stp>ASK</stp>
        <stp>.SPY150529P211</stp>
        <tr r="L277" s="1"/>
      </tp>
      <tp>
        <v>3.41</v>
        <stp/>
        <stp>ASK</stp>
        <stp>.SPY150529C210</stp>
        <tr r="A275" s="1"/>
      </tp>
      <tp>
        <v>1.92</v>
        <stp/>
        <stp>ASK</stp>
        <stp>.SPY150529P210</stp>
        <tr r="L275" s="1"/>
      </tp>
      <tp>
        <v>0.28999999999999998</v>
        <stp/>
        <stp>ASK</stp>
        <stp>.SPY150529C217</stp>
        <tr r="A289" s="1"/>
      </tp>
      <tp>
        <v>5.92</v>
        <stp/>
        <stp>ASK</stp>
        <stp>.SPY150529P217</stp>
        <tr r="L289" s="1"/>
      </tp>
      <tp>
        <v>0.47</v>
        <stp/>
        <stp>ASK</stp>
        <stp>.SPY150529C216</stp>
        <tr r="A287" s="1"/>
      </tp>
      <tp>
        <v>5.09</v>
        <stp/>
        <stp>ASK</stp>
        <stp>.SPY150529P216</stp>
        <tr r="L287" s="1"/>
      </tp>
      <tp>
        <v>0.76</v>
        <stp/>
        <stp>ASK</stp>
        <stp>.SPY150529C215</stp>
        <tr r="A285" s="1"/>
      </tp>
      <tp>
        <v>4.3499999999999996</v>
        <stp/>
        <stp>ASK</stp>
        <stp>.SPY150529P215</stp>
        <tr r="L285" s="1"/>
      </tp>
      <tp>
        <v>1.1100000000000001</v>
        <stp/>
        <stp>ASK</stp>
        <stp>.SPY150529C214</stp>
        <tr r="A283" s="1"/>
      </tp>
      <tp>
        <v>3.7</v>
        <stp/>
        <stp>ASK</stp>
        <stp>.SPY150529P214</stp>
        <tr r="L283" s="1"/>
      </tp>
      <tp>
        <v>1.68</v>
        <stp/>
        <stp>BID</stp>
        <stp>.SPY150501C209</stp>
        <tr r="C105" s="1"/>
      </tp>
      <tp>
        <v>11.34</v>
        <stp/>
        <stp>BID</stp>
        <stp>.SPY150508C200</stp>
        <tr r="C129" s="1"/>
      </tp>
      <tp>
        <v>0</v>
        <stp/>
        <stp>BID</stp>
        <stp>.SPY150501P209</stp>
        <tr r="N105" s="1"/>
      </tp>
      <tp>
        <v>0.02</v>
        <stp/>
        <stp>BID</stp>
        <stp>.SPY150508P200</stp>
        <tr r="N129" s="1"/>
      </tp>
      <tp>
        <v>2.61</v>
        <stp/>
        <stp>BID</stp>
        <stp>.SPY150501C208</stp>
        <tr r="C103" s="1"/>
      </tp>
      <tp>
        <v>10.34</v>
        <stp/>
        <stp>BID</stp>
        <stp>.SPY150508C201</stp>
        <tr r="C131" s="1"/>
      </tp>
      <tp>
        <v>0</v>
        <stp/>
        <stp>BID</stp>
        <stp>.SPY150501P208</stp>
        <tr r="N103" s="1"/>
      </tp>
      <tp>
        <v>0.02</v>
        <stp/>
        <stp>BID</stp>
        <stp>.SPY150508P201</stp>
        <tr r="N131" s="1"/>
      </tp>
      <tp>
        <v>9.35</v>
        <stp/>
        <stp>BID</stp>
        <stp>.SPY150508C202</stp>
        <tr r="C133" s="1"/>
      </tp>
      <tp>
        <v>0.03</v>
        <stp/>
        <stp>BID</stp>
        <stp>.SPY150508P202</stp>
        <tr r="N133" s="1"/>
      </tp>
      <tp>
        <v>8.35</v>
        <stp/>
        <stp>BID</stp>
        <stp>.SPY150508C203</stp>
        <tr r="C135" s="1"/>
      </tp>
      <tp>
        <v>0.03</v>
        <stp/>
        <stp>BID</stp>
        <stp>.SPY150508P203</stp>
        <tr r="N135" s="1"/>
      </tp>
      <tp>
        <v>7.35</v>
        <stp/>
        <stp>BID</stp>
        <stp>.SPY150508C204</stp>
        <tr r="C137" s="1"/>
      </tp>
      <tp>
        <v>0.02</v>
        <stp/>
        <stp>BID</stp>
        <stp>.SPY150515C219</stp>
        <tr r="C209" s="1"/>
      </tp>
      <tp>
        <v>0.05</v>
        <stp/>
        <stp>BID</stp>
        <stp>.SPY150508P204</stp>
        <tr r="N137" s="1"/>
      </tp>
      <tp>
        <v>7.43</v>
        <stp/>
        <stp>BID</stp>
        <stp>.SPY150515P219</stp>
        <tr r="N209" s="1"/>
      </tp>
      <tp>
        <v>6.38</v>
        <stp/>
        <stp>BID</stp>
        <stp>.SPY150508C205</stp>
        <tr r="C139" s="1"/>
      </tp>
      <tp>
        <v>0.02</v>
        <stp/>
        <stp>BID</stp>
        <stp>.SPY150515C218</stp>
        <tr r="C207" s="1"/>
      </tp>
      <tp>
        <v>7.0000000000000007E-2</v>
        <stp/>
        <stp>BID</stp>
        <stp>.SPY150508P205</stp>
        <tr r="N139" s="1"/>
      </tp>
      <tp>
        <v>6.45</v>
        <stp/>
        <stp>BID</stp>
        <stp>.SPY150515P218</stp>
        <tr r="N207" s="1"/>
      </tp>
      <tp>
        <v>5.41</v>
        <stp/>
        <stp>BID</stp>
        <stp>.SPY150508C206</stp>
        <tr r="C141" s="1"/>
      </tp>
      <tp>
        <v>0.1</v>
        <stp/>
        <stp>BID</stp>
        <stp>.SPY150508P206</stp>
        <tr r="N141" s="1"/>
      </tp>
      <tp>
        <v>4.45</v>
        <stp/>
        <stp>BID</stp>
        <stp>.SPY150508C207</stp>
        <tr r="C143" s="1"/>
      </tp>
      <tp>
        <v>0.14000000000000001</v>
        <stp/>
        <stp>BID</stp>
        <stp>.SPY150508P207</stp>
        <tr r="N143" s="1"/>
      </tp>
      <tp>
        <v>9.58</v>
        <stp/>
        <stp>BID</stp>
        <stp>.SPY150501C201</stp>
        <tr r="C89" s="1"/>
      </tp>
      <tp>
        <v>3.53</v>
        <stp/>
        <stp>BID</stp>
        <stp>.SPY150508C208</stp>
        <tr r="C145" s="1"/>
      </tp>
      <tp>
        <v>0.22</v>
        <stp/>
        <stp>BID</stp>
        <stp>.SPY150515C215</stp>
        <tr r="C201" s="1"/>
      </tp>
      <tp>
        <v>0</v>
        <stp/>
        <stp>BID</stp>
        <stp>.SPY150501P201</stp>
        <tr r="N89" s="1"/>
      </tp>
      <tp>
        <v>0.22</v>
        <stp/>
        <stp>BID</stp>
        <stp>.SPY150508P208</stp>
        <tr r="N145" s="1"/>
      </tp>
      <tp>
        <v>3.67</v>
        <stp/>
        <stp>BID</stp>
        <stp>.SPY150515P215</stp>
        <tr r="N201" s="1"/>
      </tp>
      <tp>
        <v>10.58</v>
        <stp/>
        <stp>BID</stp>
        <stp>.SPY150501C200</stp>
        <tr r="C87" s="1"/>
      </tp>
      <tp>
        <v>2.66</v>
        <stp/>
        <stp>BID</stp>
        <stp>.SPY150508C209</stp>
        <tr r="C147" s="1"/>
      </tp>
      <tp>
        <v>0.44</v>
        <stp/>
        <stp>BID</stp>
        <stp>.SPY150515C214</stp>
        <tr r="C199" s="1"/>
      </tp>
      <tp>
        <v>0</v>
        <stp/>
        <stp>BID</stp>
        <stp>.SPY150501P200</stp>
        <tr r="N87" s="1"/>
      </tp>
      <tp>
        <v>0.35</v>
        <stp/>
        <stp>BID</stp>
        <stp>.SPY150508P209</stp>
        <tr r="N147" s="1"/>
      </tp>
      <tp>
        <v>2.92</v>
        <stp/>
        <stp>BID</stp>
        <stp>.SPY150515P214</stp>
        <tr r="N199" s="1"/>
      </tp>
      <tp>
        <v>7.58</v>
        <stp/>
        <stp>BID</stp>
        <stp>.SPY150501C203</stp>
        <tr r="C93" s="1"/>
      </tp>
      <tp>
        <v>0.05</v>
        <stp/>
        <stp>BID</stp>
        <stp>.SPY150515C217</stp>
        <tr r="C205" s="1"/>
      </tp>
      <tp>
        <v>0</v>
        <stp/>
        <stp>BID</stp>
        <stp>.SPY150501P203</stp>
        <tr r="N93" s="1"/>
      </tp>
      <tp>
        <v>5.48</v>
        <stp/>
        <stp>BID</stp>
        <stp>.SPY150515P217</stp>
        <tr r="N205" s="1"/>
      </tp>
      <tp>
        <v>8.58</v>
        <stp/>
        <stp>BID</stp>
        <stp>.SPY150501C202</stp>
        <tr r="C91" s="1"/>
      </tp>
      <tp>
        <v>0.1</v>
        <stp/>
        <stp>BID</stp>
        <stp>.SPY150515C216</stp>
        <tr r="C203" s="1"/>
      </tp>
      <tp>
        <v>0</v>
        <stp/>
        <stp>BID</stp>
        <stp>.SPY150501P202</stp>
        <tr r="N91" s="1"/>
      </tp>
      <tp>
        <v>4.53</v>
        <stp/>
        <stp>BID</stp>
        <stp>.SPY150515P216</stp>
        <tr r="N203" s="1"/>
      </tp>
      <tp>
        <v>5.6</v>
        <stp/>
        <stp>BID</stp>
        <stp>.SPY150501C205</stp>
        <tr r="C97" s="1"/>
      </tp>
      <tp>
        <v>1.88</v>
        <stp/>
        <stp>BID</stp>
        <stp>.SPY150515C211</stp>
        <tr r="C193" s="1"/>
      </tp>
      <tp>
        <v>0</v>
        <stp/>
        <stp>BID</stp>
        <stp>.SPY150501P205</stp>
        <tr r="N97" s="1"/>
      </tp>
      <tp>
        <v>1.42</v>
        <stp/>
        <stp>BID</stp>
        <stp>.SPY150515P211</stp>
        <tr r="N193" s="1"/>
      </tp>
      <tp>
        <v>6.6</v>
        <stp/>
        <stp>BID</stp>
        <stp>.SPY150501C204</stp>
        <tr r="C95" s="1"/>
      </tp>
      <tp>
        <v>2.54</v>
        <stp/>
        <stp>BID</stp>
        <stp>.SPY150515C210</stp>
        <tr r="C191" s="1"/>
      </tp>
      <tp>
        <v>0</v>
        <stp/>
        <stp>BID</stp>
        <stp>.SPY150501P204</stp>
        <tr r="N95" s="1"/>
      </tp>
      <tp>
        <v>1.1100000000000001</v>
        <stp/>
        <stp>BID</stp>
        <stp>.SPY150515P210</stp>
        <tr r="N191" s="1"/>
      </tp>
      <tp>
        <v>3.6</v>
        <stp/>
        <stp>BID</stp>
        <stp>.SPY150501C207</stp>
        <tr r="C101" s="1"/>
      </tp>
      <tp>
        <v>0.8</v>
        <stp/>
        <stp>BID</stp>
        <stp>.SPY150515C213</stp>
        <tr r="C197" s="1"/>
      </tp>
      <tp>
        <v>0</v>
        <stp/>
        <stp>BID</stp>
        <stp>.SPY150501P207</stp>
        <tr r="N101" s="1"/>
      </tp>
      <tp>
        <v>2.35</v>
        <stp/>
        <stp>BID</stp>
        <stp>.SPY150515P213</stp>
        <tr r="N197" s="1"/>
      </tp>
      <tp>
        <v>4.5999999999999996</v>
        <stp/>
        <stp>BID</stp>
        <stp>.SPY150501C206</stp>
        <tr r="C99" s="1"/>
      </tp>
      <tp>
        <v>1.29</v>
        <stp/>
        <stp>BID</stp>
        <stp>.SPY150515C212</stp>
        <tr r="C195" s="1"/>
      </tp>
      <tp>
        <v>0</v>
        <stp/>
        <stp>BID</stp>
        <stp>.SPY150501P206</stp>
        <tr r="N99" s="1"/>
      </tp>
      <tp>
        <v>1.81</v>
        <stp/>
        <stp>BID</stp>
        <stp>.SPY150515P212</stp>
        <tr r="N195" s="1"/>
      </tp>
      <tp>
        <v>11.81</v>
        <stp/>
        <stp>ASK</stp>
        <stp>.SPY150522C200</stp>
        <tr r="A213" s="1"/>
      </tp>
      <tp>
        <v>0.22</v>
        <stp/>
        <stp>ASK</stp>
        <stp>.SPY150522P200</stp>
        <tr r="L213" s="1"/>
      </tp>
      <tp>
        <v>10.84</v>
        <stp/>
        <stp>ASK</stp>
        <stp>.SPY150522C201</stp>
        <tr r="A215" s="1"/>
      </tp>
      <tp>
        <v>0.26</v>
        <stp/>
        <stp>ASK</stp>
        <stp>.SPY150522P201</stp>
        <tr r="L215" s="1"/>
      </tp>
      <tp>
        <v>9.9</v>
        <stp/>
        <stp>ASK</stp>
        <stp>.SPY150522C202</stp>
        <tr r="A217" s="1"/>
      </tp>
      <tp>
        <v>4.12</v>
        <stp/>
        <stp>ASK</stp>
        <stp>.SPY150529C209</stp>
        <tr r="A273" s="1"/>
      </tp>
      <tp>
        <v>0.32</v>
        <stp/>
        <stp>ASK</stp>
        <stp>.SPY150522P202</stp>
        <tr r="L217" s="1"/>
      </tp>
      <tp>
        <v>1.63</v>
        <stp/>
        <stp>ASK</stp>
        <stp>.SPY150529P209</stp>
        <tr r="L273" s="1"/>
      </tp>
      <tp>
        <v>8.9600000000000009</v>
        <stp/>
        <stp>ASK</stp>
        <stp>.SPY150522C203</stp>
        <tr r="A219" s="1"/>
      </tp>
      <tp>
        <v>4.91</v>
        <stp/>
        <stp>ASK</stp>
        <stp>.SPY150529C208</stp>
        <tr r="A271" s="1"/>
      </tp>
      <tp>
        <v>0.39</v>
        <stp/>
        <stp>ASK</stp>
        <stp>.SPY150522P203</stp>
        <tr r="L219" s="1"/>
      </tp>
      <tp>
        <v>1.38</v>
        <stp/>
        <stp>ASK</stp>
        <stp>.SPY150529P208</stp>
        <tr r="L271" s="1"/>
      </tp>
      <tp>
        <v>8.0399999999999991</v>
        <stp/>
        <stp>ASK</stp>
        <stp>.SPY150522C204</stp>
        <tr r="A221" s="1"/>
      </tp>
      <tp>
        <v>0.47</v>
        <stp/>
        <stp>ASK</stp>
        <stp>.SPY150522P204</stp>
        <tr r="L221" s="1"/>
      </tp>
      <tp>
        <v>7.11</v>
        <stp/>
        <stp>ASK</stp>
        <stp>.SPY150522C205</stp>
        <tr r="A223" s="1"/>
      </tp>
      <tp>
        <v>0.56999999999999995</v>
        <stp/>
        <stp>ASK</stp>
        <stp>.SPY150522P205</stp>
        <tr r="L223" s="1"/>
      </tp>
      <tp>
        <v>6.25</v>
        <stp/>
        <stp>ASK</stp>
        <stp>.SPY150522C206</stp>
        <tr r="A225" s="1"/>
      </tp>
      <tp>
        <v>0.7</v>
        <stp/>
        <stp>ASK</stp>
        <stp>.SPY150522P206</stp>
        <tr r="L225" s="1"/>
      </tp>
      <tp>
        <v>5.39</v>
        <stp/>
        <stp>ASK</stp>
        <stp>.SPY150522C207</stp>
        <tr r="A227" s="1"/>
      </tp>
      <tp>
        <v>0.85</v>
        <stp/>
        <stp>ASK</stp>
        <stp>.SPY150522P207</stp>
        <tr r="L227" s="1"/>
      </tp>
      <tp>
        <v>4.57</v>
        <stp/>
        <stp>ASK</stp>
        <stp>.SPY150522C208</stp>
        <tr r="A229" s="1"/>
      </tp>
      <tp>
        <v>9.18</v>
        <stp/>
        <stp>ASK</stp>
        <stp>.SPY150529C203</stp>
        <tr r="A261" s="1"/>
      </tp>
      <tp>
        <v>1.04</v>
        <stp/>
        <stp>ASK</stp>
        <stp>.SPY150522P208</stp>
        <tr r="L229" s="1"/>
      </tp>
      <tp>
        <v>0.6</v>
        <stp/>
        <stp>ASK</stp>
        <stp>.SPY150529P203</stp>
        <tr r="L261" s="1"/>
      </tp>
      <tp>
        <v>3.77</v>
        <stp/>
        <stp>ASK</stp>
        <stp>.SPY150522C209</stp>
        <tr r="A231" s="1"/>
      </tp>
      <tp>
        <v>10.08</v>
        <stp/>
        <stp>ASK</stp>
        <stp>.SPY150529C202</stp>
        <tr r="A259" s="1"/>
      </tp>
      <tp>
        <v>1.27</v>
        <stp/>
        <stp>ASK</stp>
        <stp>.SPY150522P209</stp>
        <tr r="L231" s="1"/>
      </tp>
      <tp>
        <v>0.5</v>
        <stp/>
        <stp>ASK</stp>
        <stp>.SPY150529P202</stp>
        <tr r="L259" s="1"/>
      </tp>
      <tp>
        <v>11.03</v>
        <stp/>
        <stp>ASK</stp>
        <stp>.SPY150529C201</stp>
        <tr r="A257" s="1"/>
      </tp>
      <tp>
        <v>0.43</v>
        <stp/>
        <stp>ASK</stp>
        <stp>.SPY150529P201</stp>
        <tr r="L257" s="1"/>
      </tp>
      <tp>
        <v>11.97</v>
        <stp/>
        <stp>ASK</stp>
        <stp>.SPY150529C200</stp>
        <tr r="A255" s="1"/>
      </tp>
      <tp>
        <v>0.36</v>
        <stp/>
        <stp>ASK</stp>
        <stp>.SPY150529P200</stp>
        <tr r="L255" s="1"/>
      </tp>
      <tp>
        <v>5.71</v>
        <stp/>
        <stp>ASK</stp>
        <stp>.SPY150529C207</stp>
        <tr r="A269" s="1"/>
      </tp>
      <tp>
        <v>1.17</v>
        <stp/>
        <stp>ASK</stp>
        <stp>.SPY150529P207</stp>
        <tr r="L269" s="1"/>
      </tp>
      <tp>
        <v>6.54</v>
        <stp/>
        <stp>ASK</stp>
        <stp>.SPY150529C206</stp>
        <tr r="A267" s="1"/>
      </tp>
      <tp>
        <v>0.99</v>
        <stp/>
        <stp>ASK</stp>
        <stp>.SPY150529P206</stp>
        <tr r="L267" s="1"/>
      </tp>
      <tp>
        <v>7.39</v>
        <stp/>
        <stp>ASK</stp>
        <stp>.SPY150529C205</stp>
        <tr r="A265" s="1"/>
      </tp>
      <tp>
        <v>0.84</v>
        <stp/>
        <stp>ASK</stp>
        <stp>.SPY150529P205</stp>
        <tr r="L265" s="1"/>
      </tp>
      <tp>
        <v>8.26</v>
        <stp/>
        <stp>ASK</stp>
        <stp>.SPY150529C204</stp>
        <tr r="A263" s="1"/>
      </tp>
      <tp>
        <v>0.71</v>
        <stp/>
        <stp>ASK</stp>
        <stp>.SPY150529P204</stp>
        <tr r="L263" s="1"/>
      </tp>
      <tp>
        <v>0</v>
        <stp/>
        <stp>BID</stp>
        <stp>.SPY150501C219</stp>
        <tr r="C125" s="1"/>
      </tp>
      <tp>
        <v>1.95</v>
        <stp/>
        <stp>BID</stp>
        <stp>.SPY150508C210</stp>
        <tr r="C149" s="1"/>
      </tp>
      <tp>
        <v>8.14</v>
        <stp/>
        <stp>BID</stp>
        <stp>.SPY150501P219</stp>
        <tr r="N125" s="1"/>
      </tp>
      <tp>
        <v>0.53</v>
        <stp/>
        <stp>BID</stp>
        <stp>.SPY150508P210</stp>
        <tr r="N149" s="1"/>
      </tp>
      <tp>
        <v>0</v>
        <stp/>
        <stp>BID</stp>
        <stp>.SPY150501C218</stp>
        <tr r="C123" s="1"/>
      </tp>
      <tp>
        <v>1.26</v>
        <stp/>
        <stp>BID</stp>
        <stp>.SPY150508C211</stp>
        <tr r="C151" s="1"/>
      </tp>
      <tp>
        <v>7.14</v>
        <stp/>
        <stp>BID</stp>
        <stp>.SPY150501P218</stp>
        <tr r="N123" s="1"/>
      </tp>
      <tp>
        <v>0.82</v>
        <stp/>
        <stp>BID</stp>
        <stp>.SPY150508P211</stp>
        <tr r="N151" s="1"/>
      </tp>
      <tp>
        <v>0.67</v>
        <stp/>
        <stp>BID</stp>
        <stp>.SPY150508C212</stp>
        <tr r="C153" s="1"/>
      </tp>
      <tp>
        <v>1.21</v>
        <stp/>
        <stp>BID</stp>
        <stp>.SPY150508P212</stp>
        <tr r="N153" s="1"/>
      </tp>
      <tp>
        <v>0.27</v>
        <stp/>
        <stp>BID</stp>
        <stp>.SPY150508C213</stp>
        <tr r="C155" s="1"/>
      </tp>
      <tp>
        <v>1.78</v>
        <stp/>
        <stp>BID</stp>
        <stp>.SPY150508P213</stp>
        <tr r="N155" s="1"/>
      </tp>
      <tp>
        <v>0.09</v>
        <stp/>
        <stp>BID</stp>
        <stp>.SPY150508C214</stp>
        <tr r="C157" s="1"/>
      </tp>
      <tp>
        <v>3.21</v>
        <stp/>
        <stp>BID</stp>
        <stp>.SPY150515C209</stp>
        <tr r="C189" s="1"/>
      </tp>
      <tp>
        <v>2.6</v>
        <stp/>
        <stp>BID</stp>
        <stp>.SPY150508P214</stp>
        <tr r="N157" s="1"/>
      </tp>
      <tp>
        <v>0.84</v>
        <stp/>
        <stp>BID</stp>
        <stp>.SPY150515P209</stp>
        <tr r="N189" s="1"/>
      </tp>
      <tp>
        <v>0.03</v>
        <stp/>
        <stp>BID</stp>
        <stp>.SPY150508C215</stp>
        <tr r="C159" s="1"/>
      </tp>
      <tp>
        <v>4</v>
        <stp/>
        <stp>BID</stp>
        <stp>.SPY150515C208</stp>
        <tr r="C187" s="1"/>
      </tp>
      <tp>
        <v>3.55</v>
        <stp/>
        <stp>BID</stp>
        <stp>.SPY150508P215</stp>
        <tr r="N159" s="1"/>
      </tp>
      <tp>
        <v>0.65</v>
        <stp/>
        <stp>BID</stp>
        <stp>.SPY150515P208</stp>
        <tr r="N187" s="1"/>
      </tp>
      <tp>
        <v>0.01</v>
        <stp/>
        <stp>BID</stp>
        <stp>.SPY150508C216</stp>
        <tr r="C161" s="1"/>
      </tp>
      <tp>
        <v>4.43</v>
        <stp/>
        <stp>BID</stp>
        <stp>.SPY150508P216</stp>
        <tr r="N161" s="1"/>
      </tp>
      <tp>
        <v>0.01</v>
        <stp/>
        <stp>BID</stp>
        <stp>.SPY150508C217</stp>
        <tr r="C163" s="1"/>
      </tp>
      <tp>
        <v>5.4</v>
        <stp/>
        <stp>BID</stp>
        <stp>.SPY150508P217</stp>
        <tr r="N163" s="1"/>
      </tp>
      <tp>
        <v>0</v>
        <stp/>
        <stp>BID</stp>
        <stp>.SPY150501C211</stp>
        <tr r="C109" s="1"/>
      </tp>
      <tp>
        <v>0</v>
        <stp/>
        <stp>BID</stp>
        <stp>.SPY150508C218</stp>
        <tr r="C165" s="1"/>
      </tp>
      <tp>
        <v>6.63</v>
        <stp/>
        <stp>BID</stp>
        <stp>.SPY150515C205</stp>
        <tr r="C181" s="1"/>
      </tp>
      <tp>
        <v>0.18</v>
        <stp/>
        <stp>BID</stp>
        <stp>.SPY150501P211</stp>
        <tr r="N109" s="1"/>
      </tp>
      <tp>
        <v>6.39</v>
        <stp/>
        <stp>BID</stp>
        <stp>.SPY150508P218</stp>
        <tr r="N165" s="1"/>
      </tp>
      <tp>
        <v>0.28999999999999998</v>
        <stp/>
        <stp>BID</stp>
        <stp>.SPY150515P205</stp>
        <tr r="N181" s="1"/>
      </tp>
      <tp>
        <v>0.63</v>
        <stp/>
        <stp>BID</stp>
        <stp>.SPY150501C210</stp>
        <tr r="C107" s="1"/>
      </tp>
      <tp>
        <v>0</v>
        <stp/>
        <stp>BID</stp>
        <stp>.SPY150508C219</stp>
        <tr r="C167" s="1"/>
      </tp>
      <tp>
        <v>7.56</v>
        <stp/>
        <stp>BID</stp>
        <stp>.SPY150515C204</stp>
        <tr r="C179" s="1"/>
      </tp>
      <tp>
        <v>0</v>
        <stp/>
        <stp>BID</stp>
        <stp>.SPY150501P210</stp>
        <tr r="N107" s="1"/>
      </tp>
      <tp>
        <v>7.4</v>
        <stp/>
        <stp>BID</stp>
        <stp>.SPY150508P219</stp>
        <tr r="N167" s="1"/>
      </tp>
      <tp>
        <v>0.22</v>
        <stp/>
        <stp>BID</stp>
        <stp>.SPY150515P204</stp>
        <tr r="N179" s="1"/>
      </tp>
      <tp>
        <v>0</v>
        <stp/>
        <stp>BID</stp>
        <stp>.SPY150501C213</stp>
        <tr r="C113" s="1"/>
      </tp>
      <tp>
        <v>4.84</v>
        <stp/>
        <stp>BID</stp>
        <stp>.SPY150515C207</stp>
        <tr r="C185" s="1"/>
      </tp>
      <tp>
        <v>2.14</v>
        <stp/>
        <stp>BID</stp>
        <stp>.SPY150501P213</stp>
        <tr r="N113" s="1"/>
      </tp>
      <tp>
        <v>0.49</v>
        <stp/>
        <stp>BID</stp>
        <stp>.SPY150515P207</stp>
        <tr r="N185" s="1"/>
      </tp>
      <tp>
        <v>0</v>
        <stp/>
        <stp>BID</stp>
        <stp>.SPY150501C212</stp>
        <tr r="C111" s="1"/>
      </tp>
      <tp>
        <v>5.73</v>
        <stp/>
        <stp>BID</stp>
        <stp>.SPY150515C206</stp>
        <tr r="C183" s="1"/>
      </tp>
      <tp>
        <v>1.18</v>
        <stp/>
        <stp>BID</stp>
        <stp>.SPY150501P212</stp>
        <tr r="N111" s="1"/>
      </tp>
      <tp>
        <v>0.38</v>
        <stp/>
        <stp>BID</stp>
        <stp>.SPY150515P206</stp>
        <tr r="N183" s="1"/>
      </tp>
      <tp>
        <v>0</v>
        <stp/>
        <stp>BID</stp>
        <stp>.SPY150501C215</stp>
        <tr r="C117" s="1"/>
      </tp>
      <tp>
        <v>10.45</v>
        <stp/>
        <stp>BID</stp>
        <stp>.SPY150515C201</stp>
        <tr r="C173" s="1"/>
      </tp>
      <tp>
        <v>4.1399999999999997</v>
        <stp/>
        <stp>BID</stp>
        <stp>.SPY150501P215</stp>
        <tr r="N117" s="1"/>
      </tp>
      <tp>
        <v>0.11</v>
        <stp/>
        <stp>BID</stp>
        <stp>.SPY150515P201</stp>
        <tr r="N173" s="1"/>
      </tp>
      <tp>
        <v>0</v>
        <stp/>
        <stp>BID</stp>
        <stp>.SPY150501C214</stp>
        <tr r="C115" s="1"/>
      </tp>
      <tp>
        <v>11.41</v>
        <stp/>
        <stp>BID</stp>
        <stp>.SPY150515C200</stp>
        <tr r="C171" s="1"/>
      </tp>
      <tp>
        <v>3.14</v>
        <stp/>
        <stp>BID</stp>
        <stp>.SPY150501P214</stp>
        <tr r="N115" s="1"/>
      </tp>
      <tp>
        <v>0.09</v>
        <stp/>
        <stp>BID</stp>
        <stp>.SPY150515P200</stp>
        <tr r="N171" s="1"/>
      </tp>
      <tp>
        <v>0</v>
        <stp/>
        <stp>BID</stp>
        <stp>.SPY150501C217</stp>
        <tr r="C121" s="1"/>
      </tp>
      <tp>
        <v>8.51</v>
        <stp/>
        <stp>BID</stp>
        <stp>.SPY150515C203</stp>
        <tr r="C177" s="1"/>
      </tp>
      <tp>
        <v>6.14</v>
        <stp/>
        <stp>BID</stp>
        <stp>.SPY150501P217</stp>
        <tr r="N121" s="1"/>
      </tp>
      <tp>
        <v>0.17</v>
        <stp/>
        <stp>BID</stp>
        <stp>.SPY150515P203</stp>
        <tr r="N177" s="1"/>
      </tp>
      <tp>
        <v>0</v>
        <stp/>
        <stp>BID</stp>
        <stp>.SPY150501C216</stp>
        <tr r="C119" s="1"/>
      </tp>
      <tp>
        <v>9.48</v>
        <stp/>
        <stp>BID</stp>
        <stp>.SPY150515C202</stp>
        <tr r="C175" s="1"/>
      </tp>
      <tp>
        <v>5.14</v>
        <stp/>
        <stp>BID</stp>
        <stp>.SPY150501P216</stp>
        <tr r="N119" s="1"/>
      </tp>
      <tp>
        <v>0.14000000000000001</v>
        <stp/>
        <stp>BID</stp>
        <stp>.SPY150515P202</stp>
        <tr r="N175" s="1"/>
      </tp>
      <tp>
        <v>7.8729999999999994E-2</v>
        <stp/>
        <stp>RHO</stp>
        <stp>.SPY150529C200</stp>
        <tr r="K255" s="1"/>
      </tp>
      <tp>
        <v>-1.328E-2</v>
        <stp/>
        <stp>RHO</stp>
        <stp>.SPY150529P200</stp>
        <tr r="V255" s="1"/>
      </tp>
      <tp>
        <v>8.2500000000000004E-2</v>
        <stp/>
        <stp>RHO</stp>
        <stp>.SPY150529C201</stp>
        <tr r="K257" s="1"/>
      </tp>
      <tp>
        <v>-1.5640000000000001E-2</v>
        <stp/>
        <stp>RHO</stp>
        <stp>.SPY150529P201</stp>
        <tr r="V257" s="1"/>
      </tp>
      <tp>
        <v>6.3560000000000005E-2</v>
        <stp/>
        <stp>RHO</stp>
        <stp>.SPY150522C209</stp>
        <tr r="K231" s="1"/>
      </tp>
      <tp>
        <v>8.5720000000000005E-2</v>
        <stp/>
        <stp>RHO</stp>
        <stp>.SPY150529C202</stp>
        <tr r="K259" s="1"/>
      </tp>
      <tp>
        <v>-3.7350000000000001E-2</v>
        <stp/>
        <stp>RHO</stp>
        <stp>.SPY150522P209</stp>
        <tr r="V231" s="1"/>
      </tp>
      <tp>
        <v>-1.8249999999999999E-2</v>
        <stp/>
        <stp>RHO</stp>
        <stp>.SPY150529P202</stp>
        <tr r="V259" s="1"/>
      </tp>
      <tp>
        <v>6.633E-2</v>
        <stp/>
        <stp>RHO</stp>
        <stp>.SPY150522C208</stp>
        <tr r="K229" s="1"/>
      </tp>
      <tp>
        <v>8.863E-2</v>
        <stp/>
        <stp>RHO</stp>
        <stp>.SPY150529C203</stp>
        <tr r="K261" s="1"/>
      </tp>
      <tp>
        <v>-3.1199999999999999E-2</v>
        <stp/>
        <stp>RHO</stp>
        <stp>.SPY150522P208</stp>
        <tr r="V229" s="1"/>
      </tp>
      <tp>
        <v>-2.1659999999999999E-2</v>
        <stp/>
        <stp>RHO</stp>
        <stp>.SPY150529P203</stp>
        <tr r="V261" s="1"/>
      </tp>
      <tp>
        <v>9.0289999999999995E-2</v>
        <stp/>
        <stp>RHO</stp>
        <stp>.SPY150529C204</stp>
        <tr r="K263" s="1"/>
      </tp>
      <tp>
        <v>-2.545E-2</v>
        <stp/>
        <stp>RHO</stp>
        <stp>.SPY150529P204</stp>
        <tr r="V263" s="1"/>
      </tp>
      <tp>
        <v>9.1259999999999994E-2</v>
        <stp/>
        <stp>RHO</stp>
        <stp>.SPY150529C205</stp>
        <tr r="K265" s="1"/>
      </tp>
      <tp>
        <v>-2.9760000000000002E-2</v>
        <stp/>
        <stp>RHO</stp>
        <stp>.SPY150529P205</stp>
        <tr r="V265" s="1"/>
      </tp>
      <tp>
        <v>9.1170000000000001E-2</v>
        <stp/>
        <stp>RHO</stp>
        <stp>.SPY150529C206</stp>
        <tr r="K267" s="1"/>
      </tp>
      <tp>
        <v>-3.4799999999999998E-2</v>
        <stp/>
        <stp>RHO</stp>
        <stp>.SPY150529P206</stp>
        <tr r="V267" s="1"/>
      </tp>
      <tp>
        <v>8.9940000000000006E-2</v>
        <stp/>
        <stp>RHO</stp>
        <stp>.SPY150529C207</stp>
        <tr r="K269" s="1"/>
      </tp>
      <tp>
        <v>-4.0590000000000001E-2</v>
        <stp/>
        <stp>RHO</stp>
        <stp>.SPY150529P207</stp>
        <tr r="V269" s="1"/>
      </tp>
      <tp>
        <v>6.2890000000000001E-2</v>
        <stp/>
        <stp>RHO</stp>
        <stp>.SPY150522C203</stp>
        <tr r="K219" s="1"/>
      </tp>
      <tp>
        <v>8.7499999999999994E-2</v>
        <stp/>
        <stp>RHO</stp>
        <stp>.SPY150529C208</stp>
        <tr r="K271" s="1"/>
      </tp>
      <tp>
        <v>-1.2239999999999999E-2</v>
        <stp/>
        <stp>RHO</stp>
        <stp>.SPY150522P203</stp>
        <tr r="V219" s="1"/>
      </tp>
      <tp>
        <v>-4.7300000000000002E-2</v>
        <stp/>
        <stp>RHO</stp>
        <stp>.SPY150529P208</stp>
        <tr r="V271" s="1"/>
      </tp>
      <tp>
        <v>5.9679999999999997E-2</v>
        <stp/>
        <stp>RHO</stp>
        <stp>.SPY150522C202</stp>
        <tr r="K217" s="1"/>
      </tp>
      <tp>
        <v>8.3809999999999996E-2</v>
        <stp/>
        <stp>RHO</stp>
        <stp>.SPY150529C209</stp>
        <tr r="K273" s="1"/>
      </tp>
      <tp>
        <v>-1.0149999999999999E-2</v>
        <stp/>
        <stp>RHO</stp>
        <stp>.SPY150522P202</stp>
        <tr r="V217" s="1"/>
      </tp>
      <tp>
        <v>-5.4960000000000002E-2</v>
        <stp/>
        <stp>RHO</stp>
        <stp>.SPY150529P209</stp>
        <tr r="V273" s="1"/>
      </tp>
      <tp>
        <v>5.5640000000000002E-2</v>
        <stp/>
        <stp>RHO</stp>
        <stp>.SPY150522C201</stp>
        <tr r="K215" s="1"/>
      </tp>
      <tp>
        <v>-8.3099999999999997E-3</v>
        <stp/>
        <stp>RHO</stp>
        <stp>.SPY150522P201</stp>
        <tr r="V215" s="1"/>
      </tp>
      <tp>
        <v>5.203E-2</v>
        <stp/>
        <stp>RHO</stp>
        <stp>.SPY150522C200</stp>
        <tr r="K213" s="1"/>
      </tp>
      <tp>
        <v>-6.9699999999999996E-3</v>
        <stp/>
        <stp>RHO</stp>
        <stp>.SPY150522P200</stp>
        <tr r="V213" s="1"/>
      </tp>
      <tp>
        <v>6.7809999999999995E-2</v>
        <stp/>
        <stp>RHO</stp>
        <stp>.SPY150522C207</stp>
        <tr r="K227" s="1"/>
      </tp>
      <tp>
        <v>-2.598E-2</v>
        <stp/>
        <stp>RHO</stp>
        <stp>.SPY150522P207</stp>
        <tr r="V227" s="1"/>
      </tp>
      <tp>
        <v>6.8070000000000006E-2</v>
        <stp/>
        <stp>RHO</stp>
        <stp>.SPY150522C206</stp>
        <tr r="K225" s="1"/>
      </tp>
      <tp>
        <v>-2.1600000000000001E-2</v>
        <stp/>
        <stp>RHO</stp>
        <stp>.SPY150522P206</stp>
        <tr r="V225" s="1"/>
      </tp>
      <tp>
        <v>6.7159999999999997E-2</v>
        <stp/>
        <stp>RHO</stp>
        <stp>.SPY150522C205</stp>
        <tr r="K223" s="1"/>
      </tp>
      <tp>
        <v>-1.7819999999999999E-2</v>
        <stp/>
        <stp>RHO</stp>
        <stp>.SPY150522P205</stp>
        <tr r="V223" s="1"/>
      </tp>
      <tp>
        <v>6.5600000000000006E-2</v>
        <stp/>
        <stp>RHO</stp>
        <stp>.SPY150522C204</stp>
        <tr r="K221" s="1"/>
      </tp>
      <tp>
        <v>-1.4840000000000001E-2</v>
        <stp/>
        <stp>RHO</stp>
        <stp>.SPY150522P204</stp>
        <tr r="V221" s="1"/>
      </tp>
      <tp>
        <v>7.868E-2</v>
        <stp/>
        <stp>RHO</stp>
        <stp>.SPY150529C210</stp>
        <tr r="K275" s="1"/>
      </tp>
      <tp>
        <v>-6.3719999999999999E-2</v>
        <stp/>
        <stp>RHO</stp>
        <stp>.SPY150529P210</stp>
        <tr r="V275" s="1"/>
      </tp>
      <tp>
        <v>7.2160000000000002E-2</v>
        <stp/>
        <stp>RHO</stp>
        <stp>.SPY150529C211</stp>
        <tr r="K277" s="1"/>
      </tp>
      <tp>
        <v>-7.3440000000000005E-2</v>
        <stp/>
        <stp>RHO</stp>
        <stp>.SPY150529P211</stp>
        <tr r="V277" s="1"/>
      </tp>
      <tp>
        <v>3.2399999999999998E-3</v>
        <stp/>
        <stp>RHO</stp>
        <stp>.SPY150522C219</stp>
        <tr r="K251" s="1"/>
      </tp>
      <tp>
        <v>6.4269999999999994E-2</v>
        <stp/>
        <stp>RHO</stp>
        <stp>.SPY150529C212</stp>
        <tr r="K279" s="1"/>
      </tp>
      <tp>
        <v>-0.11391</v>
        <stp/>
        <stp>RHO</stp>
        <stp>.SPY150522P219</stp>
        <tr r="V251" s="1"/>
      </tp>
      <tp>
        <v>-8.4470000000000003E-2</v>
        <stp/>
        <stp>RHO</stp>
        <stp>.SPY150529P212</stp>
        <tr r="V279" s="1"/>
      </tp>
      <tp>
        <v>5.3299999999999997E-3</v>
        <stp/>
        <stp>RHO</stp>
        <stp>.SPY150522C218</stp>
        <tr r="K249" s="1"/>
      </tp>
      <tp>
        <v>5.518E-2</v>
        <stp/>
        <stp>RHO</stp>
        <stp>.SPY150529C213</stp>
        <tr r="K281" s="1"/>
      </tp>
      <tp>
        <v>0</v>
        <stp/>
        <stp>RHO</stp>
        <stp>.SPY150522P218</stp>
        <tr r="V249" s="1"/>
      </tp>
      <tp>
        <v>-9.6729999999999997E-2</v>
        <stp/>
        <stp>RHO</stp>
        <stp>.SPY150529P213</stp>
        <tr r="V281" s="1"/>
      </tp>
      <tp>
        <v>4.521E-2</v>
        <stp/>
        <stp>RHO</stp>
        <stp>.SPY150529C214</stp>
        <tr r="K283" s="1"/>
      </tp>
      <tp>
        <v>-0.10971</v>
        <stp/>
        <stp>RHO</stp>
        <stp>.SPY150529P214</stp>
        <tr r="V283" s="1"/>
      </tp>
      <tp>
        <v>3.5270000000000003E-2</v>
        <stp/>
        <stp>RHO</stp>
        <stp>.SPY150529C215</stp>
        <tr r="K285" s="1"/>
      </tp>
      <tp>
        <v>-0.12311</v>
        <stp/>
        <stp>RHO</stp>
        <stp>.SPY150529P215</stp>
        <tr r="V285" s="1"/>
      </tp>
      <tp>
        <v>2.5520000000000001E-2</v>
        <stp/>
        <stp>RHO</stp>
        <stp>.SPY150529C216</stp>
        <tr r="K287" s="1"/>
      </tp>
      <tp>
        <v>-0.13622999999999999</v>
        <stp/>
        <stp>RHO</stp>
        <stp>.SPY150529P216</stp>
        <tr r="V287" s="1"/>
      </tp>
      <tp>
        <v>1.7569999999999999E-2</v>
        <stp/>
        <stp>RHO</stp>
        <stp>.SPY150529C217</stp>
        <tr r="K289" s="1"/>
      </tp>
      <tp>
        <v>-0.15001999999999999</v>
        <stp/>
        <stp>RHO</stp>
        <stp>.SPY150529P217</stp>
        <tr r="V289" s="1"/>
      </tp>
      <tp>
        <v>3.8710000000000001E-2</v>
        <stp/>
        <stp>RHO</stp>
        <stp>.SPY150522C213</stp>
        <tr r="K239" s="1"/>
      </tp>
      <tp>
        <v>1.172E-2</v>
        <stp/>
        <stp>RHO</stp>
        <stp>.SPY150529C218</stp>
        <tr r="K291" s="1"/>
      </tp>
      <tp>
        <v>-7.2370000000000004E-2</v>
        <stp/>
        <stp>RHO</stp>
        <stp>.SPY150522P213</stp>
        <tr r="V239" s="1"/>
      </tp>
      <tp>
        <v>-0.15515000000000001</v>
        <stp/>
        <stp>RHO</stp>
        <stp>.SPY150529P218</stp>
        <tr r="V291" s="1"/>
      </tp>
      <tp>
        <v>4.6820000000000001E-2</v>
        <stp/>
        <stp>RHO</stp>
        <stp>.SPY150522C212</stp>
        <tr r="K237" s="1"/>
      </tp>
      <tp>
        <v>7.7000000000000002E-3</v>
        <stp/>
        <stp>RHO</stp>
        <stp>.SPY150529C219</stp>
        <tr r="K293" s="1"/>
      </tp>
      <tp>
        <v>-6.2149999999999997E-2</v>
        <stp/>
        <stp>RHO</stp>
        <stp>.SPY150522P212</stp>
        <tr r="V237" s="1"/>
      </tp>
      <tp>
        <v>-0.15586</v>
        <stp/>
        <stp>RHO</stp>
        <stp>.SPY150529P219</stp>
        <tr r="V293" s="1"/>
      </tp>
      <tp>
        <v>5.3749999999999999E-2</v>
        <stp/>
        <stp>RHO</stp>
        <stp>.SPY150522C211</stp>
        <tr r="K235" s="1"/>
      </tp>
      <tp>
        <v>-5.2760000000000001E-2</v>
        <stp/>
        <stp>RHO</stp>
        <stp>.SPY150522P211</stp>
        <tr r="V235" s="1"/>
      </tp>
      <tp>
        <v>5.9330000000000001E-2</v>
        <stp/>
        <stp>RHO</stp>
        <stp>.SPY150522C210</stp>
        <tr r="K233" s="1"/>
      </tp>
      <tp>
        <v>-4.4490000000000002E-2</v>
        <stp/>
        <stp>RHO</stp>
        <stp>.SPY150522P210</stp>
        <tr r="V233" s="1"/>
      </tp>
      <tp>
        <v>8.7899999999999992E-3</v>
        <stp/>
        <stp>RHO</stp>
        <stp>.SPY150522C217</stp>
        <tr r="K247" s="1"/>
      </tp>
      <tp>
        <v>0</v>
        <stp/>
        <stp>RHO</stp>
        <stp>.SPY150522P217</stp>
        <tr r="V247" s="1"/>
      </tp>
      <tp>
        <v>1.4109999999999999E-2</v>
        <stp/>
        <stp>RHO</stp>
        <stp>.SPY150522C216</stp>
        <tr r="K245" s="1"/>
      </tp>
      <tp>
        <v>-0.10477</v>
        <stp/>
        <stp>RHO</stp>
        <stp>.SPY150522P216</stp>
        <tr r="V245" s="1"/>
      </tp>
      <tp>
        <v>2.1499999999999998E-2</v>
        <stp/>
        <stp>RHO</stp>
        <stp>.SPY150522C215</stp>
        <tr r="K243" s="1"/>
      </tp>
      <tp>
        <v>-9.4259999999999997E-2</v>
        <stp/>
        <stp>RHO</stp>
        <stp>.SPY150522P215</stp>
        <tr r="V243" s="1"/>
      </tp>
      <tp>
        <v>3.0079999999999999E-2</v>
        <stp/>
        <stp>RHO</stp>
        <stp>.SPY150522C214</stp>
        <tr r="K241" s="1"/>
      </tp>
      <tp>
        <v>-8.3299999999999999E-2</v>
        <stp/>
        <stp>RHO</stp>
        <stp>.SPY150522P214</stp>
        <tr r="V241" s="1"/>
      </tp>
      <tp t="s">
        <v>N/A</v>
        <stp/>
        <stp>RHO</stp>
        <stp>.SPY150501C208</stp>
        <tr r="K103" s="1"/>
      </tp>
      <tp>
        <v>5.2900000000000004E-3</v>
        <stp/>
        <stp>RHO</stp>
        <stp>.SPY150508C201</stp>
        <tr r="K131" s="1"/>
      </tp>
      <tp t="s">
        <v>N/A</v>
        <stp/>
        <stp>RHO</stp>
        <stp>.SPY150501P208</stp>
        <tr r="V103" s="1"/>
      </tp>
      <tp>
        <v>-4.0999999999999999E-4</v>
        <stp/>
        <stp>RHO</stp>
        <stp>.SPY150508P201</stp>
        <tr r="V131" s="1"/>
      </tp>
      <tp t="s">
        <v>N/A</v>
        <stp/>
        <stp>RHO</stp>
        <stp>.SPY150501C209</stp>
        <tr r="K105" s="1"/>
      </tp>
      <tp>
        <v>4.4400000000000004E-3</v>
        <stp/>
        <stp>RHO</stp>
        <stp>.SPY150508C200</stp>
        <tr r="K129" s="1"/>
      </tp>
      <tp t="s">
        <v>N/A</v>
        <stp/>
        <stp>RHO</stp>
        <stp>.SPY150501P209</stp>
        <tr r="V105" s="1"/>
      </tp>
      <tp>
        <v>-3.8000000000000002E-4</v>
        <stp/>
        <stp>RHO</stp>
        <stp>.SPY150508P200</stp>
        <tr r="V129" s="1"/>
      </tp>
      <tp>
        <v>7.3299999999999997E-3</v>
        <stp/>
        <stp>RHO</stp>
        <stp>.SPY150508C203</stp>
        <tr r="K135" s="1"/>
      </tp>
      <tp>
        <v>-6.4000000000000005E-4</v>
        <stp/>
        <stp>RHO</stp>
        <stp>.SPY150508P203</stp>
        <tr r="V135" s="1"/>
      </tp>
      <tp>
        <v>6.7600000000000004E-3</v>
        <stp/>
        <stp>RHO</stp>
        <stp>.SPY150508C202</stp>
        <tr r="K133" s="1"/>
      </tp>
      <tp>
        <v>-5.8E-4</v>
        <stp/>
        <stp>RHO</stp>
        <stp>.SPY150508P202</stp>
        <tr r="V133" s="1"/>
      </tp>
      <tp>
        <v>8.7399999999999995E-3</v>
        <stp/>
        <stp>RHO</stp>
        <stp>.SPY150508C205</stp>
        <tr r="K139" s="1"/>
      </tp>
      <tp>
        <v>1.6800000000000001E-3</v>
        <stp/>
        <stp>RHO</stp>
        <stp>.SPY150515C218</stp>
        <tr r="K207" s="1"/>
      </tp>
      <tp>
        <v>-1.3500000000000001E-3</v>
        <stp/>
        <stp>RHO</stp>
        <stp>.SPY150508P205</stp>
        <tr r="V139" s="1"/>
      </tp>
      <tp>
        <v>-7.1620000000000003E-2</v>
        <stp/>
        <stp>RHO</stp>
        <stp>.SPY150515P218</stp>
        <tr r="V207" s="1"/>
      </tp>
      <tp>
        <v>6.7200000000000003E-3</v>
        <stp/>
        <stp>RHO</stp>
        <stp>.SPY150508C204</stp>
        <tr r="K137" s="1"/>
      </tp>
      <tp>
        <v>1.32E-3</v>
        <stp/>
        <stp>RHO</stp>
        <stp>.SPY150515C219</stp>
        <tr r="K209" s="1"/>
      </tp>
      <tp>
        <v>-9.7999999999999997E-4</v>
        <stp/>
        <stp>RHO</stp>
        <stp>.SPY150508P204</stp>
        <tr r="V137" s="1"/>
      </tp>
      <tp>
        <v>-7.195E-2</v>
        <stp/>
        <stp>RHO</stp>
        <stp>.SPY150515P219</stp>
        <tr r="V209" s="1"/>
      </tp>
      <tp>
        <v>1.6039999999999999E-2</v>
        <stp/>
        <stp>RHO</stp>
        <stp>.SPY150508C207</stp>
        <tr r="K143" s="1"/>
      </tp>
      <tp>
        <v>-2.7299999999999998E-3</v>
        <stp/>
        <stp>RHO</stp>
        <stp>.SPY150508P207</stp>
        <tr r="V143" s="1"/>
      </tp>
      <tp>
        <v>1.324E-2</v>
        <stp/>
        <stp>RHO</stp>
        <stp>.SPY150508C206</stp>
        <tr r="K141" s="1"/>
      </tp>
      <tp>
        <v>-1.9E-3</v>
        <stp/>
        <stp>RHO</stp>
        <stp>.SPY150508P206</stp>
        <tr r="V141" s="1"/>
      </tp>
      <tp t="s">
        <v>N/A</v>
        <stp/>
        <stp>RHO</stp>
        <stp>.SPY150501C200</stp>
        <tr r="K87" s="1"/>
      </tp>
      <tp>
        <v>1.899E-2</v>
        <stp/>
        <stp>RHO</stp>
        <stp>.SPY150508C209</stp>
        <tr r="K147" s="1"/>
      </tp>
      <tp>
        <v>1.536E-2</v>
        <stp/>
        <stp>RHO</stp>
        <stp>.SPY150515C214</stp>
        <tr r="K199" s="1"/>
      </tp>
      <tp t="s">
        <v>N/A</v>
        <stp/>
        <stp>RHO</stp>
        <stp>.SPY150501P200</stp>
        <tr r="V87" s="1"/>
      </tp>
      <tp>
        <v>-6.0499999999999998E-3</v>
        <stp/>
        <stp>RHO</stp>
        <stp>.SPY150508P209</stp>
        <tr r="V147" s="1"/>
      </tp>
      <tp>
        <v>-5.6099999999999997E-2</v>
        <stp/>
        <stp>RHO</stp>
        <stp>.SPY150515P214</stp>
        <tr r="V199" s="1"/>
      </tp>
      <tp t="s">
        <v>N/A</v>
        <stp/>
        <stp>RHO</stp>
        <stp>.SPY150501C201</stp>
        <tr r="K89" s="1"/>
      </tp>
      <tp>
        <v>1.823E-2</v>
        <stp/>
        <stp>RHO</stp>
        <stp>.SPY150508C208</stp>
        <tr r="K145" s="1"/>
      </tp>
      <tp>
        <v>9.4900000000000002E-3</v>
        <stp/>
        <stp>RHO</stp>
        <stp>.SPY150515C215</stp>
        <tr r="K201" s="1"/>
      </tp>
      <tp t="s">
        <v>N/A</v>
        <stp/>
        <stp>RHO</stp>
        <stp>.SPY150501P201</stp>
        <tr r="V89" s="1"/>
      </tp>
      <tp>
        <v>-4.0800000000000003E-3</v>
        <stp/>
        <stp>RHO</stp>
        <stp>.SPY150508P208</stp>
        <tr r="V145" s="1"/>
      </tp>
      <tp>
        <v>-6.3769999999999993E-2</v>
        <stp/>
        <stp>RHO</stp>
        <stp>.SPY150515P215</stp>
        <tr r="V201" s="1"/>
      </tp>
      <tp t="s">
        <v>N/A</v>
        <stp/>
        <stp>RHO</stp>
        <stp>.SPY150501C202</stp>
        <tr r="K91" s="1"/>
      </tp>
      <tp>
        <v>5.2900000000000004E-3</v>
        <stp/>
        <stp>RHO</stp>
        <stp>.SPY150515C216</stp>
        <tr r="K203" s="1"/>
      </tp>
      <tp t="s">
        <v>N/A</v>
        <stp/>
        <stp>RHO</stp>
        <stp>.SPY150501P202</stp>
        <tr r="V91" s="1"/>
      </tp>
      <tp>
        <v>-7.0959999999999995E-2</v>
        <stp/>
        <stp>RHO</stp>
        <stp>.SPY150515P216</stp>
        <tr r="V203" s="1"/>
      </tp>
      <tp t="s">
        <v>N/A</v>
        <stp/>
        <stp>RHO</stp>
        <stp>.SPY150501C203</stp>
        <tr r="K93" s="1"/>
      </tp>
      <tp>
        <v>2.9199999999999999E-3</v>
        <stp/>
        <stp>RHO</stp>
        <stp>.SPY150515C217</stp>
        <tr r="K205" s="1"/>
      </tp>
      <tp t="s">
        <v>N/A</v>
        <stp/>
        <stp>RHO</stp>
        <stp>.SPY150501P203</stp>
        <tr r="V93" s="1"/>
      </tp>
      <tp>
        <v>0</v>
        <stp/>
        <stp>RHO</stp>
        <stp>.SPY150515P217</stp>
        <tr r="V205" s="1"/>
      </tp>
      <tp t="s">
        <v>N/A</v>
        <stp/>
        <stp>RHO</stp>
        <stp>.SPY150501C204</stp>
        <tr r="K95" s="1"/>
      </tp>
      <tp>
        <v>3.925E-2</v>
        <stp/>
        <stp>RHO</stp>
        <stp>.SPY150515C210</stp>
        <tr r="K191" s="1"/>
      </tp>
      <tp t="s">
        <v>N/A</v>
        <stp/>
        <stp>RHO</stp>
        <stp>.SPY150501P204</stp>
        <tr r="V95" s="1"/>
      </tp>
      <tp>
        <v>-2.6200000000000001E-2</v>
        <stp/>
        <stp>RHO</stp>
        <stp>.SPY150515P210</stp>
        <tr r="V191" s="1"/>
      </tp>
      <tp t="s">
        <v>N/A</v>
        <stp/>
        <stp>RHO</stp>
        <stp>.SPY150501C205</stp>
        <tr r="K97" s="1"/>
      </tp>
      <tp>
        <v>3.4889999999999997E-2</v>
        <stp/>
        <stp>RHO</stp>
        <stp>.SPY150515C211</stp>
        <tr r="K193" s="1"/>
      </tp>
      <tp t="s">
        <v>N/A</v>
        <stp/>
        <stp>RHO</stp>
        <stp>.SPY150501P205</stp>
        <tr r="V97" s="1"/>
      </tp>
      <tp>
        <v>-3.2460000000000003E-2</v>
        <stp/>
        <stp>RHO</stp>
        <stp>.SPY150515P211</stp>
        <tr r="V193" s="1"/>
      </tp>
      <tp t="s">
        <v>N/A</v>
        <stp/>
        <stp>RHO</stp>
        <stp>.SPY150501C206</stp>
        <tr r="K99" s="1"/>
      </tp>
      <tp>
        <v>2.9239999999999999E-2</v>
        <stp/>
        <stp>RHO</stp>
        <stp>.SPY150515C212</stp>
        <tr r="K195" s="1"/>
      </tp>
      <tp t="s">
        <v>N/A</v>
        <stp/>
        <stp>RHO</stp>
        <stp>.SPY150501P206</stp>
        <tr r="V99" s="1"/>
      </tp>
      <tp>
        <v>-3.9800000000000002E-2</v>
        <stp/>
        <stp>RHO</stp>
        <stp>.SPY150515P212</stp>
        <tr r="V195" s="1"/>
      </tp>
      <tp t="s">
        <v>N/A</v>
        <stp/>
        <stp>RHO</stp>
        <stp>.SPY150501C207</stp>
        <tr r="K101" s="1"/>
      </tp>
      <tp>
        <v>2.249E-2</v>
        <stp/>
        <stp>RHO</stp>
        <stp>.SPY150515C213</stp>
        <tr r="K197" s="1"/>
      </tp>
      <tp t="s">
        <v>N/A</v>
        <stp/>
        <stp>RHO</stp>
        <stp>.SPY150501P207</stp>
        <tr r="V101" s="1"/>
      </tp>
      <tp>
        <v>-4.7509999999999997E-2</v>
        <stp/>
        <stp>RHO</stp>
        <stp>.SPY150515P213</stp>
        <tr r="V197" s="1"/>
      </tp>
      <tp t="s">
        <v>N/A</v>
        <stp/>
        <stp>RHO</stp>
        <stp>.SPY150501C218</stp>
        <tr r="K123" s="1"/>
      </tp>
      <tp>
        <v>1.5429999999999999E-2</v>
        <stp/>
        <stp>RHO</stp>
        <stp>.SPY150508C211</stp>
        <tr r="K151" s="1"/>
      </tp>
      <tp t="s">
        <v>N/A</v>
        <stp/>
        <stp>RHO</stp>
        <stp>.SPY150501P218</stp>
        <tr r="V123" s="1"/>
      </tp>
      <tp>
        <v>-1.265E-2</v>
        <stp/>
        <stp>RHO</stp>
        <stp>.SPY150508P211</stp>
        <tr r="V151" s="1"/>
      </tp>
      <tp t="s">
        <v>N/A</v>
        <stp/>
        <stp>RHO</stp>
        <stp>.SPY150501C219</stp>
        <tr r="K125" s="1"/>
      </tp>
      <tp>
        <v>1.7989999999999999E-2</v>
        <stp/>
        <stp>RHO</stp>
        <stp>.SPY150508C210</stp>
        <tr r="K149" s="1"/>
      </tp>
      <tp t="s">
        <v>N/A</v>
        <stp/>
        <stp>RHO</stp>
        <stp>.SPY150501P219</stp>
        <tr r="V125" s="1"/>
      </tp>
      <tp>
        <v>-8.8299999999999993E-3</v>
        <stp/>
        <stp>RHO</stp>
        <stp>.SPY150508P210</stp>
        <tr r="V149" s="1"/>
      </tp>
      <tp>
        <v>6.5500000000000003E-3</v>
        <stp/>
        <stp>RHO</stp>
        <stp>.SPY150508C213</stp>
        <tr r="K155" s="1"/>
      </tp>
      <tp>
        <v>-2.281E-2</v>
        <stp/>
        <stp>RHO</stp>
        <stp>.SPY150508P213</stp>
        <tr r="V155" s="1"/>
      </tp>
      <tp>
        <v>1.1390000000000001E-2</v>
        <stp/>
        <stp>RHO</stp>
        <stp>.SPY150508C212</stp>
        <tr r="K153" s="1"/>
      </tp>
      <tp>
        <v>-1.7440000000000001E-2</v>
        <stp/>
        <stp>RHO</stp>
        <stp>.SPY150508P212</stp>
        <tr r="V153" s="1"/>
      </tp>
      <tp>
        <v>1.2199999999999999E-3</v>
        <stp/>
        <stp>RHO</stp>
        <stp>.SPY150508C215</stp>
        <tr r="K159" s="1"/>
      </tp>
      <tp>
        <v>4.3830000000000001E-2</v>
        <stp/>
        <stp>RHO</stp>
        <stp>.SPY150515C208</stp>
        <tr r="K187" s="1"/>
      </tp>
      <tp>
        <v>-2.818E-2</v>
        <stp/>
        <stp>RHO</stp>
        <stp>.SPY150508P215</stp>
        <tr r="V159" s="1"/>
      </tp>
      <tp>
        <v>-1.651E-2</v>
        <stp/>
        <stp>RHO</stp>
        <stp>.SPY150515P208</stp>
        <tr r="V187" s="1"/>
      </tp>
      <tp>
        <v>2.8900000000000002E-3</v>
        <stp/>
        <stp>RHO</stp>
        <stp>.SPY150508C214</stp>
        <tr r="K157" s="1"/>
      </tp>
      <tp>
        <v>4.2320000000000003E-2</v>
        <stp/>
        <stp>RHO</stp>
        <stp>.SPY150515C209</stp>
        <tr r="K189" s="1"/>
      </tp>
      <tp>
        <v>-2.6370000000000001E-2</v>
        <stp/>
        <stp>RHO</stp>
        <stp>.SPY150508P214</stp>
        <tr r="V157" s="1"/>
      </tp>
      <tp>
        <v>-2.0840000000000001E-2</v>
        <stp/>
        <stp>RHO</stp>
        <stp>.SPY150515P209</stp>
        <tr r="V189" s="1"/>
      </tp>
      <tp>
        <v>4.8000000000000001E-4</v>
        <stp/>
        <stp>RHO</stp>
        <stp>.SPY150508C217</stp>
        <tr r="K163" s="1"/>
      </tp>
      <tp>
        <v>-2.971E-2</v>
        <stp/>
        <stp>RHO</stp>
        <stp>.SPY150508P217</stp>
        <tr r="V163" s="1"/>
      </tp>
      <tp>
        <v>5.5000000000000003E-4</v>
        <stp/>
        <stp>RHO</stp>
        <stp>.SPY150508C216</stp>
        <tr r="K161" s="1"/>
      </tp>
      <tp>
        <v>-2.9569999999999999E-2</v>
        <stp/>
        <stp>RHO</stp>
        <stp>.SPY150508P216</stp>
        <tr r="V161" s="1"/>
      </tp>
      <tp t="s">
        <v>N/A</v>
        <stp/>
        <stp>RHO</stp>
        <stp>.SPY150501C210</stp>
        <tr r="K107" s="1"/>
      </tp>
      <tp>
        <v>1.6000000000000001E-4</v>
        <stp/>
        <stp>RHO</stp>
        <stp>.SPY150508C219</stp>
        <tr r="K167" s="1"/>
      </tp>
      <tp>
        <v>3.8179999999999999E-2</v>
        <stp/>
        <stp>RHO</stp>
        <stp>.SPY150515C204</stp>
        <tr r="K179" s="1"/>
      </tp>
      <tp t="s">
        <v>N/A</v>
        <stp/>
        <stp>RHO</stp>
        <stp>.SPY150501P210</stp>
        <tr r="V107" s="1"/>
      </tp>
      <tp>
        <v>0</v>
        <stp/>
        <stp>RHO</stp>
        <stp>.SPY150508P219</stp>
        <tr r="V167" s="1"/>
      </tp>
      <tp>
        <v>-6.28E-3</v>
        <stp/>
        <stp>RHO</stp>
        <stp>.SPY150515P204</stp>
        <tr r="V179" s="1"/>
      </tp>
      <tp t="s">
        <v>N/A</v>
        <stp/>
        <stp>RHO</stp>
        <stp>.SPY150501C211</stp>
        <tr r="K109" s="1"/>
      </tp>
      <tp>
        <v>1.7000000000000001E-4</v>
        <stp/>
        <stp>RHO</stp>
        <stp>.SPY150508C218</stp>
        <tr r="K165" s="1"/>
      </tp>
      <tp>
        <v>4.0969999999999999E-2</v>
        <stp/>
        <stp>RHO</stp>
        <stp>.SPY150515C205</stp>
        <tr r="K181" s="1"/>
      </tp>
      <tp t="s">
        <v>N/A</v>
        <stp/>
        <stp>RHO</stp>
        <stp>.SPY150501P211</stp>
        <tr r="V109" s="1"/>
      </tp>
      <tp>
        <v>0</v>
        <stp/>
        <stp>RHO</stp>
        <stp>.SPY150508P218</stp>
        <tr r="V165" s="1"/>
      </tp>
      <tp>
        <v>-7.9600000000000001E-3</v>
        <stp/>
        <stp>RHO</stp>
        <stp>.SPY150515P205</stp>
        <tr r="V181" s="1"/>
      </tp>
      <tp t="s">
        <v>N/A</v>
        <stp/>
        <stp>RHO</stp>
        <stp>.SPY150501C212</stp>
        <tr r="K111" s="1"/>
      </tp>
      <tp>
        <v>4.3020000000000003E-2</v>
        <stp/>
        <stp>RHO</stp>
        <stp>.SPY150515C206</stp>
        <tr r="K183" s="1"/>
      </tp>
      <tp t="s">
        <v>N/A</v>
        <stp/>
        <stp>RHO</stp>
        <stp>.SPY150501P212</stp>
        <tr r="V111" s="1"/>
      </tp>
      <tp>
        <v>-1.018E-2</v>
        <stp/>
        <stp>RHO</stp>
        <stp>.SPY150515P206</stp>
        <tr r="V183" s="1"/>
      </tp>
      <tp t="s">
        <v>N/A</v>
        <stp/>
        <stp>RHO</stp>
        <stp>.SPY150501C213</stp>
        <tr r="K113" s="1"/>
      </tp>
      <tp>
        <v>4.3979999999999998E-2</v>
        <stp/>
        <stp>RHO</stp>
        <stp>.SPY150515C207</stp>
        <tr r="K185" s="1"/>
      </tp>
      <tp t="s">
        <v>N/A</v>
        <stp/>
        <stp>RHO</stp>
        <stp>.SPY150501P213</stp>
        <tr r="V113" s="1"/>
      </tp>
      <tp>
        <v>-1.2959999999999999E-2</v>
        <stp/>
        <stp>RHO</stp>
        <stp>.SPY150515P207</stp>
        <tr r="V185" s="1"/>
      </tp>
      <tp t="s">
        <v>N/A</v>
        <stp/>
        <stp>RHO</stp>
        <stp>.SPY150501C214</stp>
        <tr r="K115" s="1"/>
      </tp>
      <tp>
        <v>2.5139999999999999E-2</v>
        <stp/>
        <stp>RHO</stp>
        <stp>.SPY150515C200</stp>
        <tr r="K171" s="1"/>
      </tp>
      <tp t="s">
        <v>N/A</v>
        <stp/>
        <stp>RHO</stp>
        <stp>.SPY150501P214</stp>
        <tr r="V115" s="1"/>
      </tp>
      <tp>
        <v>-2.63E-3</v>
        <stp/>
        <stp>RHO</stp>
        <stp>.SPY150515P200</stp>
        <tr r="V171" s="1"/>
      </tp>
      <tp t="s">
        <v>N/A</v>
        <stp/>
        <stp>RHO</stp>
        <stp>.SPY150501C215</stp>
        <tr r="K117" s="1"/>
      </tp>
      <tp>
        <v>2.879E-2</v>
        <stp/>
        <stp>RHO</stp>
        <stp>.SPY150515C201</stp>
        <tr r="K173" s="1"/>
      </tp>
      <tp t="s">
        <v>N/A</v>
        <stp/>
        <stp>RHO</stp>
        <stp>.SPY150501P215</stp>
        <tr r="V117" s="1"/>
      </tp>
      <tp>
        <v>-3.1900000000000001E-3</v>
        <stp/>
        <stp>RHO</stp>
        <stp>.SPY150515P201</stp>
        <tr r="V173" s="1"/>
      </tp>
      <tp t="s">
        <v>N/A</v>
        <stp/>
        <stp>RHO</stp>
        <stp>.SPY150501C216</stp>
        <tr r="K119" s="1"/>
      </tp>
      <tp>
        <v>3.1300000000000001E-2</v>
        <stp/>
        <stp>RHO</stp>
        <stp>.SPY150515C202</stp>
        <tr r="K175" s="1"/>
      </tp>
      <tp t="s">
        <v>N/A</v>
        <stp/>
        <stp>RHO</stp>
        <stp>.SPY150501P216</stp>
        <tr r="V119" s="1"/>
      </tp>
      <tp>
        <v>-4.0000000000000001E-3</v>
        <stp/>
        <stp>RHO</stp>
        <stp>.SPY150515P202</stp>
        <tr r="V175" s="1"/>
      </tp>
      <tp t="s">
        <v>N/A</v>
        <stp/>
        <stp>RHO</stp>
        <stp>.SPY150501C217</stp>
        <tr r="K121" s="1"/>
      </tp>
      <tp>
        <v>3.4549999999999997E-2</v>
        <stp/>
        <stp>RHO</stp>
        <stp>.SPY150515C203</stp>
        <tr r="K177" s="1"/>
      </tp>
      <tp t="s">
        <v>N/A</v>
        <stp/>
        <stp>RHO</stp>
        <stp>.SPY150501P217</stp>
        <tr r="V121" s="1"/>
      </tp>
      <tp>
        <v>-4.9699999999999996E-3</v>
        <stp/>
        <stp>RHO</stp>
        <stp>.SPY150515P203</stp>
        <tr r="V177" s="1"/>
      </tp>
      <tp>
        <v>180</v>
        <stp/>
        <stp>BID_SIZE</stp>
        <stp>.SPY150918P219</stp>
        <tr r="O461" s="1"/>
      </tp>
      <tp t="s">
        <v>N/A</v>
        <stp/>
        <stp>BID_SIZE</stp>
        <stp>.SPY160916P214</stp>
        <tr r="O745" s="1"/>
      </tp>
      <tp>
        <v>40</v>
        <stp/>
        <stp>BID_SIZE</stp>
        <stp>.SPY150918C219</stp>
        <tr r="D461" s="1"/>
      </tp>
      <tp t="s">
        <v>N/A</v>
        <stp/>
        <stp>BID_SIZE</stp>
        <stp>.SPY160916C214</stp>
        <tr r="D745" s="1"/>
      </tp>
      <tp>
        <v>193</v>
        <stp/>
        <stp>BID_SIZE</stp>
        <stp>.SPY150918P218</stp>
        <tr r="O459" s="1"/>
      </tp>
      <tp>
        <v>199</v>
        <stp/>
        <stp>BID_SIZE</stp>
        <stp>.SPY160916P215</stp>
        <tr r="O747" s="1"/>
      </tp>
      <tp>
        <v>38</v>
        <stp/>
        <stp>BID_SIZE</stp>
        <stp>.SPY150918C218</stp>
        <tr r="D459" s="1"/>
      </tp>
      <tp>
        <v>1706</v>
        <stp/>
        <stp>BID_SIZE</stp>
        <stp>.SPY160916C215</stp>
        <tr r="D747" s="1"/>
      </tp>
      <tp t="s">
        <v>N/A</v>
        <stp/>
        <stp>BID_SIZE</stp>
        <stp>.SPY160916P216</stp>
        <tr r="O749" s="1"/>
      </tp>
      <tp t="s">
        <v>N/A</v>
        <stp/>
        <stp>BID_SIZE</stp>
        <stp>.SPY160916C216</stp>
        <tr r="D749" s="1"/>
      </tp>
      <tp t="s">
        <v>N/A</v>
        <stp/>
        <stp>BID_SIZE</stp>
        <stp>.SPY160916P217</stp>
        <tr r="O751" s="1"/>
      </tp>
      <tp t="s">
        <v>N/A</v>
        <stp/>
        <stp>BID_SIZE</stp>
        <stp>.SPY160916C217</stp>
        <tr r="D751" s="1"/>
      </tp>
      <tp>
        <v>1677</v>
        <stp/>
        <stp>BID_SIZE</stp>
        <stp>.SPY160916P210</stp>
        <tr r="O737" s="1"/>
      </tp>
      <tp>
        <v>153</v>
        <stp/>
        <stp>BID_SIZE</stp>
        <stp>.SPY160916C210</stp>
        <tr r="D737" s="1"/>
      </tp>
      <tp t="s">
        <v>N/A</v>
        <stp/>
        <stp>BID_SIZE</stp>
        <stp>.SPY160916P211</stp>
        <tr r="O739" s="1"/>
      </tp>
      <tp t="s">
        <v>N/A</v>
        <stp/>
        <stp>BID_SIZE</stp>
        <stp>.SPY160916C211</stp>
        <tr r="D739" s="1"/>
      </tp>
      <tp t="s">
        <v>N/A</v>
        <stp/>
        <stp>BID_SIZE</stp>
        <stp>.SPY160916P212</stp>
        <tr r="O741" s="1"/>
      </tp>
      <tp t="s">
        <v>N/A</v>
        <stp/>
        <stp>BID_SIZE</stp>
        <stp>.SPY160916C212</stp>
        <tr r="D741" s="1"/>
      </tp>
      <tp t="s">
        <v>N/A</v>
        <stp/>
        <stp>BID_SIZE</stp>
        <stp>.SPY160916P213</stp>
        <tr r="O743" s="1"/>
      </tp>
      <tp t="s">
        <v>N/A</v>
        <stp/>
        <stp>BID_SIZE</stp>
        <stp>.SPY160916C213</stp>
        <tr r="D743" s="1"/>
      </tp>
      <tp>
        <v>1</v>
        <stp/>
        <stp>BID_SIZE</stp>
        <stp>.SPY150918P211</stp>
        <tr r="O445" s="1"/>
      </tp>
      <tp>
        <v>1768</v>
        <stp/>
        <stp>BID_SIZE</stp>
        <stp>.SPY150918C211</stp>
        <tr r="D445" s="1"/>
      </tp>
      <tp>
        <v>2681</v>
        <stp/>
        <stp>BID_SIZE</stp>
        <stp>.SPY150918P210</stp>
        <tr r="O443" s="1"/>
      </tp>
      <tp>
        <v>2055</v>
        <stp/>
        <stp>BID_SIZE</stp>
        <stp>.SPY150918C210</stp>
        <tr r="D443" s="1"/>
      </tp>
      <tp>
        <v>178</v>
        <stp/>
        <stp>BID_SIZE</stp>
        <stp>.SPY150918P213</stp>
        <tr r="O449" s="1"/>
      </tp>
      <tp>
        <v>1776</v>
        <stp/>
        <stp>BID_SIZE</stp>
        <stp>.SPY150918C213</stp>
        <tr r="D449" s="1"/>
      </tp>
      <tp>
        <v>129</v>
        <stp/>
        <stp>BID_SIZE</stp>
        <stp>.SPY150918P212</stp>
        <tr r="O447" s="1"/>
      </tp>
      <tp>
        <v>199</v>
        <stp/>
        <stp>BID_SIZE</stp>
        <stp>.SPY150918C212</stp>
        <tr r="D447" s="1"/>
      </tp>
      <tp>
        <v>10</v>
        <stp/>
        <stp>BID_SIZE</stp>
        <stp>.SPY150918P215</stp>
        <tr r="O453" s="1"/>
      </tp>
      <tp t="s">
        <v>N/A</v>
        <stp/>
        <stp>BID_SIZE</stp>
        <stp>.SPY160916P218</stp>
        <tr r="O753" s="1"/>
      </tp>
      <tp>
        <v>1780</v>
        <stp/>
        <stp>BID_SIZE</stp>
        <stp>.SPY150918C215</stp>
        <tr r="D453" s="1"/>
      </tp>
      <tp t="s">
        <v>N/A</v>
        <stp/>
        <stp>BID_SIZE</stp>
        <stp>.SPY160916C218</stp>
        <tr r="D753" s="1"/>
      </tp>
      <tp>
        <v>100</v>
        <stp/>
        <stp>BID_SIZE</stp>
        <stp>.SPY150918P214</stp>
        <tr r="O451" s="1"/>
      </tp>
      <tp t="s">
        <v>N/A</v>
        <stp/>
        <stp>BID_SIZE</stp>
        <stp>.SPY160916P219</stp>
        <tr r="O755" s="1"/>
      </tp>
      <tp>
        <v>151</v>
        <stp/>
        <stp>BID_SIZE</stp>
        <stp>.SPY150918C214</stp>
        <tr r="D451" s="1"/>
      </tp>
      <tp t="s">
        <v>N/A</v>
        <stp/>
        <stp>BID_SIZE</stp>
        <stp>.SPY160916C219</stp>
        <tr r="D755" s="1"/>
      </tp>
      <tp>
        <v>180</v>
        <stp/>
        <stp>BID_SIZE</stp>
        <stp>.SPY150918P217</stp>
        <tr r="O457" s="1"/>
      </tp>
      <tp>
        <v>34</v>
        <stp/>
        <stp>BID_SIZE</stp>
        <stp>.SPY150918C217</stp>
        <tr r="D457" s="1"/>
      </tp>
      <tp>
        <v>201</v>
        <stp/>
        <stp>BID_SIZE</stp>
        <stp>.SPY150918P216</stp>
        <tr r="O455" s="1"/>
      </tp>
      <tp>
        <v>31</v>
        <stp/>
        <stp>BID_SIZE</stp>
        <stp>.SPY150918C216</stp>
        <tr r="D455" s="1"/>
      </tp>
      <tp>
        <v>2560</v>
        <stp/>
        <stp>BID_SIZE</stp>
        <stp>.SPY150918P209</stp>
        <tr r="O441" s="1"/>
      </tp>
      <tp t="s">
        <v>N/A</v>
        <stp/>
        <stp>BID_SIZE</stp>
        <stp>.SPY160916P204</stp>
        <tr r="O725" s="1"/>
      </tp>
      <tp>
        <v>1875</v>
        <stp/>
        <stp>BID_SIZE</stp>
        <stp>.SPY150918C209</stp>
        <tr r="D441" s="1"/>
      </tp>
      <tp t="s">
        <v>N/A</v>
        <stp/>
        <stp>BID_SIZE</stp>
        <stp>.SPY160916C204</stp>
        <tr r="D725" s="1"/>
      </tp>
      <tp>
        <v>199</v>
        <stp/>
        <stp>BID_SIZE</stp>
        <stp>.SPY150918P208</stp>
        <tr r="O439" s="1"/>
      </tp>
      <tp>
        <v>1696</v>
        <stp/>
        <stp>BID_SIZE</stp>
        <stp>.SPY160916P205</stp>
        <tr r="O727" s="1"/>
      </tp>
      <tp>
        <v>2165</v>
        <stp/>
        <stp>BID_SIZE</stp>
        <stp>.SPY150918C208</stp>
        <tr r="D439" s="1"/>
      </tp>
      <tp>
        <v>201</v>
        <stp/>
        <stp>BID_SIZE</stp>
        <stp>.SPY160916C205</stp>
        <tr r="D727" s="1"/>
      </tp>
      <tp t="s">
        <v>N/A</v>
        <stp/>
        <stp>BID_SIZE</stp>
        <stp>.SPY160916P206</stp>
        <tr r="O729" s="1"/>
      </tp>
      <tp t="s">
        <v>N/A</v>
        <stp/>
        <stp>BID_SIZE</stp>
        <stp>.SPY160916C206</stp>
        <tr r="D729" s="1"/>
      </tp>
      <tp t="s">
        <v>N/A</v>
        <stp/>
        <stp>BID_SIZE</stp>
        <stp>.SPY160916P207</stp>
        <tr r="O731" s="1"/>
      </tp>
      <tp t="s">
        <v>N/A</v>
        <stp/>
        <stp>BID_SIZE</stp>
        <stp>.SPY160916C207</stp>
        <tr r="D731" s="1"/>
      </tp>
      <tp>
        <v>1675</v>
        <stp/>
        <stp>BID_SIZE</stp>
        <stp>.SPY160916P200</stp>
        <tr r="O717" s="1"/>
      </tp>
      <tp>
        <v>173</v>
        <stp/>
        <stp>BID_SIZE</stp>
        <stp>.SPY160916C200</stp>
        <tr r="D717" s="1"/>
      </tp>
      <tp t="s">
        <v>N/A</v>
        <stp/>
        <stp>BID_SIZE</stp>
        <stp>.SPY160916P201</stp>
        <tr r="O719" s="1"/>
      </tp>
      <tp t="s">
        <v>N/A</v>
        <stp/>
        <stp>BID_SIZE</stp>
        <stp>.SPY160916C201</stp>
        <tr r="D719" s="1"/>
      </tp>
      <tp t="s">
        <v>N/A</v>
        <stp/>
        <stp>BID_SIZE</stp>
        <stp>.SPY160916P202</stp>
        <tr r="O721" s="1"/>
      </tp>
      <tp t="s">
        <v>N/A</v>
        <stp/>
        <stp>BID_SIZE</stp>
        <stp>.SPY160916C202</stp>
        <tr r="D721" s="1"/>
      </tp>
      <tp t="s">
        <v>N/A</v>
        <stp/>
        <stp>BID_SIZE</stp>
        <stp>.SPY160916P203</stp>
        <tr r="O723" s="1"/>
      </tp>
      <tp t="s">
        <v>N/A</v>
        <stp/>
        <stp>BID_SIZE</stp>
        <stp>.SPY160916C203</stp>
        <tr r="D723" s="1"/>
      </tp>
      <tp>
        <v>111</v>
        <stp/>
        <stp>BID_SIZE</stp>
        <stp>.SPY150918P201</stp>
        <tr r="O425" s="1"/>
      </tp>
      <tp>
        <v>291</v>
        <stp/>
        <stp>BID_SIZE</stp>
        <stp>.SPY150918C201</stp>
        <tr r="D425" s="1"/>
      </tp>
      <tp>
        <v>203</v>
        <stp/>
        <stp>BID_SIZE</stp>
        <stp>.SPY150918P200</stp>
        <tr r="O423" s="1"/>
      </tp>
      <tp>
        <v>270</v>
        <stp/>
        <stp>BID_SIZE</stp>
        <stp>.SPY150918C200</stp>
        <tr r="D423" s="1"/>
      </tp>
      <tp>
        <v>133</v>
        <stp/>
        <stp>BID_SIZE</stp>
        <stp>.SPY150918P203</stp>
        <tr r="O429" s="1"/>
      </tp>
      <tp>
        <v>168</v>
        <stp/>
        <stp>BID_SIZE</stp>
        <stp>.SPY150918C203</stp>
        <tr r="D429" s="1"/>
      </tp>
      <tp>
        <v>174</v>
        <stp/>
        <stp>BID_SIZE</stp>
        <stp>.SPY150918P202</stp>
        <tr r="O427" s="1"/>
      </tp>
      <tp>
        <v>240</v>
        <stp/>
        <stp>BID_SIZE</stp>
        <stp>.SPY150918C202</stp>
        <tr r="D427" s="1"/>
      </tp>
      <tp>
        <v>118</v>
        <stp/>
        <stp>BID_SIZE</stp>
        <stp>.SPY150918P205</stp>
        <tr r="O433" s="1"/>
      </tp>
      <tp t="s">
        <v>N/A</v>
        <stp/>
        <stp>BID_SIZE</stp>
        <stp>.SPY160916P208</stp>
        <tr r="O733" s="1"/>
      </tp>
      <tp>
        <v>244</v>
        <stp/>
        <stp>BID_SIZE</stp>
        <stp>.SPY150918C205</stp>
        <tr r="D433" s="1"/>
      </tp>
      <tp t="s">
        <v>N/A</v>
        <stp/>
        <stp>BID_SIZE</stp>
        <stp>.SPY160916C208</stp>
        <tr r="D733" s="1"/>
      </tp>
      <tp>
        <v>151</v>
        <stp/>
        <stp>BID_SIZE</stp>
        <stp>.SPY150918P204</stp>
        <tr r="O431" s="1"/>
      </tp>
      <tp t="s">
        <v>N/A</v>
        <stp/>
        <stp>BID_SIZE</stp>
        <stp>.SPY160916P209</stp>
        <tr r="O735" s="1"/>
      </tp>
      <tp>
        <v>237</v>
        <stp/>
        <stp>BID_SIZE</stp>
        <stp>.SPY150918C204</stp>
        <tr r="D431" s="1"/>
      </tp>
      <tp t="s">
        <v>N/A</v>
        <stp/>
        <stp>BID_SIZE</stp>
        <stp>.SPY160916C209</stp>
        <tr r="D735" s="1"/>
      </tp>
      <tp>
        <v>2508</v>
        <stp/>
        <stp>BID_SIZE</stp>
        <stp>.SPY150918P207</stp>
        <tr r="O437" s="1"/>
      </tp>
      <tp>
        <v>199</v>
        <stp/>
        <stp>BID_SIZE</stp>
        <stp>.SPY150918C207</stp>
        <tr r="D437" s="1"/>
      </tp>
      <tp>
        <v>160</v>
        <stp/>
        <stp>BID_SIZE</stp>
        <stp>.SPY150918P206</stp>
        <tr r="O435" s="1"/>
      </tp>
      <tp>
        <v>237</v>
        <stp/>
        <stp>BID_SIZE</stp>
        <stp>.SPY150918C206</stp>
        <tr r="D435" s="1"/>
      </tp>
      <tp>
        <v>100</v>
        <stp/>
        <stp>BID_SIZE</stp>
        <stp>.SPY150930P211</stp>
        <tr r="O487" s="1"/>
      </tp>
      <tp>
        <v>5</v>
        <stp/>
        <stp>BID_SIZE</stp>
        <stp>.SPY150930C211</stp>
        <tr r="D487" s="1"/>
      </tp>
      <tp>
        <v>100</v>
        <stp/>
        <stp>BID_SIZE</stp>
        <stp>.SPY150930P210</stp>
        <tr r="O485" s="1"/>
      </tp>
      <tp>
        <v>5</v>
        <stp/>
        <stp>BID_SIZE</stp>
        <stp>.SPY150930C210</stp>
        <tr r="D485" s="1"/>
      </tp>
      <tp>
        <v>144</v>
        <stp/>
        <stp>BID_SIZE</stp>
        <stp>.SPY150930P213</stp>
        <tr r="O491" s="1"/>
      </tp>
      <tp>
        <v>100</v>
        <stp/>
        <stp>BID_SIZE</stp>
        <stp>.SPY150930C213</stp>
        <tr r="D491" s="1"/>
      </tp>
      <tp>
        <v>149</v>
        <stp/>
        <stp>BID_SIZE</stp>
        <stp>.SPY150930P212</stp>
        <tr r="O489" s="1"/>
      </tp>
      <tp>
        <v>100</v>
        <stp/>
        <stp>BID_SIZE</stp>
        <stp>.SPY150930C212</stp>
        <tr r="D489" s="1"/>
      </tp>
      <tp>
        <v>187</v>
        <stp/>
        <stp>BID_SIZE</stp>
        <stp>.SPY150930P215</stp>
        <tr r="O495" s="1"/>
      </tp>
      <tp>
        <v>5</v>
        <stp/>
        <stp>BID_SIZE</stp>
        <stp>.SPY150930C215</stp>
        <tr r="D495" s="1"/>
      </tp>
      <tp>
        <v>148</v>
        <stp/>
        <stp>BID_SIZE</stp>
        <stp>.SPY150930P214</stp>
        <tr r="O493" s="1"/>
      </tp>
      <tp>
        <v>100</v>
        <stp/>
        <stp>BID_SIZE</stp>
        <stp>.SPY150930C214</stp>
        <tr r="D493" s="1"/>
      </tp>
      <tp t="s">
        <v>N/A</v>
        <stp/>
        <stp>BID_SIZE</stp>
        <stp>.SPY150930P217</stp>
        <tr r="O499" s="1"/>
      </tp>
      <tp t="s">
        <v>N/A</v>
        <stp/>
        <stp>BID_SIZE</stp>
        <stp>.SPY150930C217</stp>
        <tr r="D499" s="1"/>
      </tp>
      <tp t="s">
        <v>N/A</v>
        <stp/>
        <stp>BID_SIZE</stp>
        <stp>.SPY150930P216</stp>
        <tr r="O497" s="1"/>
      </tp>
      <tp t="s">
        <v>N/A</v>
        <stp/>
        <stp>BID_SIZE</stp>
        <stp>.SPY150930C216</stp>
        <tr r="D497" s="1"/>
      </tp>
      <tp t="s">
        <v>N/A</v>
        <stp/>
        <stp>BID_SIZE</stp>
        <stp>.SPY150930P219</stp>
        <tr r="O503" s="1"/>
      </tp>
      <tp t="s">
        <v>N/A</v>
        <stp/>
        <stp>BID_SIZE</stp>
        <stp>.SPY150930C219</stp>
        <tr r="D503" s="1"/>
      </tp>
      <tp t="s">
        <v>N/A</v>
        <stp/>
        <stp>BID_SIZE</stp>
        <stp>.SPY150930P218</stp>
        <tr r="O501" s="1"/>
      </tp>
      <tp t="s">
        <v>N/A</v>
        <stp/>
        <stp>BID_SIZE</stp>
        <stp>.SPY150930C218</stp>
        <tr r="D501" s="1"/>
      </tp>
      <tp>
        <v>0</v>
        <stp/>
        <stp>BID_SIZE</stp>
        <stp>.SPY150417P210.5</stp>
        <tr r="O24" s="1"/>
      </tp>
      <tp>
        <v>0</v>
        <stp/>
        <stp>BID_SIZE</stp>
        <stp>.SPY150417P200.5</stp>
        <tr r="O4" s="1"/>
      </tp>
      <tp>
        <v>0</v>
        <stp/>
        <stp>BID_SIZE</stp>
        <stp>.SPY150424P203.5</stp>
        <tr r="O52" s="1"/>
      </tp>
      <tp>
        <v>0</v>
        <stp/>
        <stp>BID_SIZE</stp>
        <stp>.SPY150424P213.5</stp>
        <tr r="O72" s="1"/>
      </tp>
      <tp>
        <v>0</v>
        <stp/>
        <stp>BID_SIZE</stp>
        <stp>.SPY150501P206.5</stp>
        <tr r="O100" s="1"/>
      </tp>
      <tp>
        <v>349</v>
        <stp/>
        <stp>BID_SIZE</stp>
        <stp>.SPY150515P212.5</stp>
        <tr r="O196" s="1"/>
      </tp>
      <tp>
        <v>0</v>
        <stp/>
        <stp>BID_SIZE</stp>
        <stp>.SPY150501P216.5</stp>
        <tr r="O120" s="1"/>
      </tp>
      <tp>
        <v>10</v>
        <stp/>
        <stp>BID_SIZE</stp>
        <stp>.SPY150515P202.5</stp>
        <tr r="O176" s="1"/>
      </tp>
      <tp>
        <v>111</v>
        <stp/>
        <stp>BID_SIZE</stp>
        <stp>.SPY150522P205.5</stp>
        <tr r="O224" s="1"/>
      </tp>
      <tp>
        <v>199</v>
        <stp/>
        <stp>BID_SIZE</stp>
        <stp>.SPY150522P215.5</stp>
        <tr r="O244" s="1"/>
      </tp>
      <tp t="s">
        <v>N/A</v>
        <stp/>
        <stp>ASK_SIZE</stp>
        <stp>.SPY150630P218.5</stp>
        <tr r="M376" s="1"/>
      </tp>
      <tp t="s">
        <v>N/A</v>
        <stp/>
        <stp>ASK_SIZE</stp>
        <stp>.SPY150630P208.5</stp>
        <tr r="M356" s="1"/>
      </tp>
      <tp t="s">
        <v>N/A</v>
        <stp/>
        <stp>ASK_SIZE</stp>
        <stp>.SPY150619P211.5</stp>
        <tr r="M320" s="1"/>
      </tp>
      <tp t="s">
        <v>N/A</v>
        <stp/>
        <stp>ASK_SIZE</stp>
        <stp>.SPY150619P201.5</stp>
        <tr r="M300" s="1"/>
      </tp>
      <tp t="s">
        <v>N/A</v>
        <stp/>
        <stp>BID_SIZE</stp>
        <stp>.SPY160617P213.5</stp>
        <tr r="O702" s="1"/>
      </tp>
      <tp t="s">
        <v>N/A</v>
        <stp/>
        <stp>BID_SIZE</stp>
        <stp>.SPY160617P203.5</stp>
        <tr r="O682" s="1"/>
      </tp>
      <tp t="s">
        <v>N/A</v>
        <stp/>
        <stp>BID_SIZE</stp>
        <stp>.SPY150630P217.5</stp>
        <tr r="O374" s="1"/>
      </tp>
      <tp t="s">
        <v>N/A</v>
        <stp/>
        <stp>BID_SIZE</stp>
        <stp>.SPY150630P207.5</stp>
        <tr r="O354" s="1"/>
      </tp>
      <tp>
        <v>250</v>
        <stp/>
        <stp>ASK_SIZE</stp>
        <stp>.SPY150529P201.5</stp>
        <tr r="M258" s="1"/>
      </tp>
      <tp>
        <v>2321</v>
        <stp/>
        <stp>ASK_SIZE</stp>
        <stp>.SPY150529P211.5</stp>
        <tr r="M278" s="1"/>
      </tp>
      <tp>
        <v>0</v>
        <stp/>
        <stp>ASK_SIZE</stp>
        <stp>.SPY150501P209.5</stp>
        <tr r="M106" s="1"/>
      </tp>
      <tp>
        <v>1200</v>
        <stp/>
        <stp>ASK_SIZE</stp>
        <stp>.SPY150508P200.5</stp>
        <tr r="M130" s="1"/>
      </tp>
      <tp>
        <v>0</v>
        <stp/>
        <stp>ASK_SIZE</stp>
        <stp>.SPY150501P219.5</stp>
        <tr r="M126" s="1"/>
      </tp>
      <tp>
        <v>100</v>
        <stp/>
        <stp>ASK_SIZE</stp>
        <stp>.SPY150508P210.5</stp>
        <tr r="M150" s="1"/>
      </tp>
      <tp t="s">
        <v>N/A</v>
        <stp/>
        <stp>BID_SIZE</stp>
        <stp>.SPY150717P210.5</stp>
        <tr r="O402" s="1"/>
      </tp>
      <tp t="s">
        <v>N/A</v>
        <stp/>
        <stp>BID_SIZE</stp>
        <stp>.SPY150717P200.5</stp>
        <tr r="O382" s="1"/>
      </tp>
      <tp t="s">
        <v>N/A</v>
        <stp/>
        <stp>ASK_SIZE</stp>
        <stp>.SPY160318P213.5</stp>
        <tr r="M660" s="1"/>
      </tp>
      <tp t="s">
        <v>N/A</v>
        <stp/>
        <stp>ASK_SIZE</stp>
        <stp>.SPY160318P203.5</stp>
        <tr r="M640" s="1"/>
      </tp>
      <tp t="s">
        <v>N/A</v>
        <stp/>
        <stp>BID_SIZE</stp>
        <stp>.SPY160115P211.5</stp>
        <tr r="O614" s="1"/>
      </tp>
      <tp t="s">
        <v>N/A</v>
        <stp/>
        <stp>BID_SIZE</stp>
        <stp>.SPY160115P201.5</stp>
        <tr r="O594" s="1"/>
      </tp>
      <tp t="s">
        <v>N/A</v>
        <stp/>
        <stp>BID_SIZE</stp>
        <stp>.SPY170120P205.5</stp>
        <tr r="O812" s="1"/>
      </tp>
      <tp t="s">
        <v>N/A</v>
        <stp/>
        <stp>BID_SIZE</stp>
        <stp>.SPY170120P215.5</stp>
        <tr r="O832" s="1"/>
      </tp>
      <tp t="s">
        <v>N/A</v>
        <stp/>
        <stp>BID_SIZE</stp>
        <stp>.SPY170317P212.5</stp>
        <tr r="O868" s="1"/>
      </tp>
      <tp t="s">
        <v>N/A</v>
        <stp/>
        <stp>BID_SIZE</stp>
        <stp>.SPY170317P202.5</stp>
        <tr r="O848" s="1"/>
      </tp>
      <tp t="s">
        <v>N/A</v>
        <stp/>
        <stp>BID_SIZE</stp>
        <stp>.SPY160916P212.5</stp>
        <tr r="O742" s="1"/>
      </tp>
      <tp t="s">
        <v>N/A</v>
        <stp/>
        <stp>BID_SIZE</stp>
        <stp>.SPY160916P202.5</stp>
        <tr r="O722" s="1"/>
      </tp>
      <tp t="s">
        <v>N/A</v>
        <stp/>
        <stp>BID_SIZE</stp>
        <stp>.SPY150930P217.5</stp>
        <tr r="O500" s="1"/>
      </tp>
      <tp t="s">
        <v>N/A</v>
        <stp/>
        <stp>BID_SIZE</stp>
        <stp>.SPY150930P207.5</stp>
        <tr r="O480" s="1"/>
      </tp>
      <tp t="s">
        <v>N/A</v>
        <stp/>
        <stp>ASK_SIZE</stp>
        <stp>.SPY150930P218.5</stp>
        <tr r="M502" s="1"/>
      </tp>
      <tp t="s">
        <v>N/A</v>
        <stp/>
        <stp>ASK_SIZE</stp>
        <stp>.SPY150930P208.5</stp>
        <tr r="M482" s="1"/>
      </tp>
      <tp t="s">
        <v>N/A</v>
        <stp/>
        <stp>ASK_SIZE</stp>
        <stp>.SPY150918P210.5</stp>
        <tr r="M444" s="1"/>
      </tp>
      <tp t="s">
        <v>N/A</v>
        <stp/>
        <stp>ASK_SIZE</stp>
        <stp>.SPY150918P200.5</stp>
        <tr r="M424" s="1"/>
      </tp>
      <tp>
        <v>199</v>
        <stp/>
        <stp>BID_SIZE</stp>
        <stp>.SPY150930P201</stp>
        <tr r="O467" s="1"/>
      </tp>
      <tp>
        <v>266</v>
        <stp/>
        <stp>BID_SIZE</stp>
        <stp>.SPY150930C201</stp>
        <tr r="D467" s="1"/>
      </tp>
      <tp>
        <v>160</v>
        <stp/>
        <stp>BID_SIZE</stp>
        <stp>.SPY150930P200</stp>
        <tr r="O465" s="1"/>
      </tp>
      <tp>
        <v>303</v>
        <stp/>
        <stp>BID_SIZE</stp>
        <stp>.SPY150930C200</stp>
        <tr r="D465" s="1"/>
      </tp>
      <tp>
        <v>99</v>
        <stp/>
        <stp>BID_SIZE</stp>
        <stp>.SPY150930P203</stp>
        <tr r="O471" s="1"/>
      </tp>
      <tp>
        <v>226</v>
        <stp/>
        <stp>BID_SIZE</stp>
        <stp>.SPY150930C203</stp>
        <tr r="D471" s="1"/>
      </tp>
      <tp>
        <v>118</v>
        <stp/>
        <stp>BID_SIZE</stp>
        <stp>.SPY150930P202</stp>
        <tr r="O469" s="1"/>
      </tp>
      <tp>
        <v>241</v>
        <stp/>
        <stp>BID_SIZE</stp>
        <stp>.SPY150930C202</stp>
        <tr r="D469" s="1"/>
      </tp>
      <tp>
        <v>160</v>
        <stp/>
        <stp>BID_SIZE</stp>
        <stp>.SPY150930P205</stp>
        <tr r="O475" s="1"/>
      </tp>
      <tp>
        <v>200</v>
        <stp/>
        <stp>BID_SIZE</stp>
        <stp>.SPY150930C205</stp>
        <tr r="D475" s="1"/>
      </tp>
      <tp>
        <v>99</v>
        <stp/>
        <stp>BID_SIZE</stp>
        <stp>.SPY150930P204</stp>
        <tr r="O473" s="1"/>
      </tp>
      <tp>
        <v>187</v>
        <stp/>
        <stp>BID_SIZE</stp>
        <stp>.SPY150930C204</stp>
        <tr r="D473" s="1"/>
      </tp>
      <tp>
        <v>228</v>
        <stp/>
        <stp>BID_SIZE</stp>
        <stp>.SPY150930P207</stp>
        <tr r="O479" s="1"/>
      </tp>
      <tp>
        <v>100</v>
        <stp/>
        <stp>BID_SIZE</stp>
        <stp>.SPY150930C207</stp>
        <tr r="D479" s="1"/>
      </tp>
      <tp>
        <v>150</v>
        <stp/>
        <stp>BID_SIZE</stp>
        <stp>.SPY150930P206</stp>
        <tr r="O477" s="1"/>
      </tp>
      <tp>
        <v>100</v>
        <stp/>
        <stp>BID_SIZE</stp>
        <stp>.SPY150930C206</stp>
        <tr r="D477" s="1"/>
      </tp>
      <tp>
        <v>132</v>
        <stp/>
        <stp>BID_SIZE</stp>
        <stp>.SPY150930P209</stp>
        <tr r="O483" s="1"/>
      </tp>
      <tp>
        <v>100</v>
        <stp/>
        <stp>BID_SIZE</stp>
        <stp>.SPY150930C209</stp>
        <tr r="D483" s="1"/>
      </tp>
      <tp>
        <v>199</v>
        <stp/>
        <stp>BID_SIZE</stp>
        <stp>.SPY150930P208</stp>
        <tr r="O481" s="1"/>
      </tp>
      <tp>
        <v>100</v>
        <stp/>
        <stp>BID_SIZE</stp>
        <stp>.SPY150930C208</stp>
        <tr r="D481" s="1"/>
      </tp>
      <tp t="s">
        <v>N/A</v>
        <stp/>
        <stp>ASK_SIZE</stp>
        <stp>.SPY151231P219.5</stp>
        <tr r="M588" s="1"/>
      </tp>
      <tp t="s">
        <v>N/A</v>
        <stp/>
        <stp>ASK_SIZE</stp>
        <stp>.SPY151231P209.5</stp>
        <tr r="M568" s="1"/>
      </tp>
      <tp t="s">
        <v>N/A</v>
        <stp/>
        <stp>ASK_SIZE</stp>
        <stp>.SPY151219P211.5</stp>
        <tr r="M530" s="1"/>
      </tp>
      <tp t="s">
        <v>N/A</v>
        <stp/>
        <stp>ASK_SIZE</stp>
        <stp>.SPY151219P201.5</stp>
        <tr r="M510" s="1"/>
      </tp>
      <tp t="s">
        <v>N/A</v>
        <stp/>
        <stp>BID_SIZE</stp>
        <stp>.SPY161216P212.5</stp>
        <tr r="O784" s="1"/>
      </tp>
      <tp t="s">
        <v>N/A</v>
        <stp/>
        <stp>BID_SIZE</stp>
        <stp>.SPY171215P210.5</stp>
        <tr r="O906" s="1"/>
      </tp>
      <tp t="s">
        <v>N/A</v>
        <stp/>
        <stp>BID_SIZE</stp>
        <stp>.SPY161216P202.5</stp>
        <tr r="O764" s="1"/>
      </tp>
      <tp t="s">
        <v>N/A</v>
        <stp/>
        <stp>BID_SIZE</stp>
        <stp>.SPY171215P200.5</stp>
        <tr r="O886" s="1"/>
      </tp>
      <tp t="s">
        <v>N/A</v>
        <stp/>
        <stp>BID_SIZE</stp>
        <stp>.SPY151231P216.5</stp>
        <tr r="O582" s="1"/>
      </tp>
      <tp t="s">
        <v>N/A</v>
        <stp/>
        <stp>BID_SIZE</stp>
        <stp>.SPY151231P206.5</stp>
        <tr r="O562" s="1"/>
      </tp>
      <tp t="s">
        <v>N/A</v>
        <stp/>
        <stp>ASK_SIZE</stp>
        <stp>.SPY151231C219.5</stp>
        <tr r="B588" s="1"/>
      </tp>
      <tp t="s">
        <v>N/A</v>
        <stp/>
        <stp>ASK_SIZE</stp>
        <stp>.SPY151231C209.5</stp>
        <tr r="B568" s="1"/>
      </tp>
      <tp t="s">
        <v>N/A</v>
        <stp/>
        <stp>ASK_SIZE</stp>
        <stp>.SPY151219C211.5</stp>
        <tr r="B530" s="1"/>
      </tp>
      <tp t="s">
        <v>N/A</v>
        <stp/>
        <stp>ASK_SIZE</stp>
        <stp>.SPY151219C201.5</stp>
        <tr r="B510" s="1"/>
      </tp>
      <tp t="s">
        <v>N/A</v>
        <stp/>
        <stp>BID_SIZE</stp>
        <stp>.SPY161216C212.5</stp>
        <tr r="D784" s="1"/>
      </tp>
      <tp t="s">
        <v>N/A</v>
        <stp/>
        <stp>BID_SIZE</stp>
        <stp>.SPY171215C210.5</stp>
        <tr r="D906" s="1"/>
      </tp>
      <tp t="s">
        <v>N/A</v>
        <stp/>
        <stp>BID_SIZE</stp>
        <stp>.SPY161216C202.5</stp>
        <tr r="D764" s="1"/>
      </tp>
      <tp t="s">
        <v>N/A</v>
        <stp/>
        <stp>BID_SIZE</stp>
        <stp>.SPY171215C200.5</stp>
        <tr r="D886" s="1"/>
      </tp>
      <tp t="s">
        <v>N/A</v>
        <stp/>
        <stp>BID_SIZE</stp>
        <stp>.SPY151231C216.5</stp>
        <tr r="D582" s="1"/>
      </tp>
      <tp t="s">
        <v>N/A</v>
        <stp/>
        <stp>BID_SIZE</stp>
        <stp>.SPY151231C206.5</stp>
        <tr r="D562" s="1"/>
      </tp>
      <tp>
        <v>0</v>
        <stp/>
        <stp>BID_SIZE</stp>
        <stp>.SPY150417C210.5</stp>
        <tr r="D24" s="1"/>
      </tp>
      <tp>
        <v>0</v>
        <stp/>
        <stp>BID_SIZE</stp>
        <stp>.SPY150417C200.5</stp>
        <tr r="D4" s="1"/>
      </tp>
      <tp>
        <v>0</v>
        <stp/>
        <stp>BID_SIZE</stp>
        <stp>.SPY150424C203.5</stp>
        <tr r="D52" s="1"/>
      </tp>
      <tp>
        <v>0</v>
        <stp/>
        <stp>BID_SIZE</stp>
        <stp>.SPY150424C213.5</stp>
        <tr r="D72" s="1"/>
      </tp>
      <tp>
        <v>0</v>
        <stp/>
        <stp>BID_SIZE</stp>
        <stp>.SPY150501C206.5</stp>
        <tr r="D100" s="1"/>
      </tp>
      <tp>
        <v>349</v>
        <stp/>
        <stp>BID_SIZE</stp>
        <stp>.SPY150515C212.5</stp>
        <tr r="D196" s="1"/>
      </tp>
      <tp>
        <v>0</v>
        <stp/>
        <stp>BID_SIZE</stp>
        <stp>.SPY150501C216.5</stp>
        <tr r="D120" s="1"/>
      </tp>
      <tp>
        <v>141</v>
        <stp/>
        <stp>BID_SIZE</stp>
        <stp>.SPY150515C202.5</stp>
        <tr r="D176" s="1"/>
      </tp>
      <tp>
        <v>199</v>
        <stp/>
        <stp>BID_SIZE</stp>
        <stp>.SPY150522C205.5</stp>
        <tr r="D224" s="1"/>
      </tp>
      <tp>
        <v>2283</v>
        <stp/>
        <stp>BID_SIZE</stp>
        <stp>.SPY150522C215.5</stp>
        <tr r="D244" s="1"/>
      </tp>
      <tp t="s">
        <v>N/A</v>
        <stp/>
        <stp>ASK_SIZE</stp>
        <stp>.SPY150630C218.5</stp>
        <tr r="B376" s="1"/>
      </tp>
      <tp t="s">
        <v>N/A</v>
        <stp/>
        <stp>ASK_SIZE</stp>
        <stp>.SPY150630C208.5</stp>
        <tr r="B356" s="1"/>
      </tp>
      <tp t="s">
        <v>N/A</v>
        <stp/>
        <stp>ASK_SIZE</stp>
        <stp>.SPY150619C211.5</stp>
        <tr r="B320" s="1"/>
      </tp>
      <tp t="s">
        <v>N/A</v>
        <stp/>
        <stp>ASK_SIZE</stp>
        <stp>.SPY150619C201.5</stp>
        <tr r="B300" s="1"/>
      </tp>
      <tp t="s">
        <v>N/A</v>
        <stp/>
        <stp>BID_SIZE</stp>
        <stp>.SPY160617C213.5</stp>
        <tr r="D702" s="1"/>
      </tp>
      <tp t="s">
        <v>N/A</v>
        <stp/>
        <stp>BID_SIZE</stp>
        <stp>.SPY160617C203.5</stp>
        <tr r="D682" s="1"/>
      </tp>
      <tp t="s">
        <v>N/A</v>
        <stp/>
        <stp>BID_SIZE</stp>
        <stp>.SPY150630C217.5</stp>
        <tr r="D374" s="1"/>
      </tp>
      <tp t="s">
        <v>N/A</v>
        <stp/>
        <stp>BID_SIZE</stp>
        <stp>.SPY150630C207.5</stp>
        <tr r="D354" s="1"/>
      </tp>
      <tp>
        <v>111</v>
        <stp/>
        <stp>ASK_SIZE</stp>
        <stp>.SPY150529C201.5</stp>
        <tr r="B258" s="1"/>
      </tp>
      <tp>
        <v>2611</v>
        <stp/>
        <stp>ASK_SIZE</stp>
        <stp>.SPY150529C211.5</stp>
        <tr r="B278" s="1"/>
      </tp>
      <tp>
        <v>0</v>
        <stp/>
        <stp>ASK_SIZE</stp>
        <stp>.SPY150501C209.5</stp>
        <tr r="B106" s="1"/>
      </tp>
      <tp>
        <v>31</v>
        <stp/>
        <stp>ASK_SIZE</stp>
        <stp>.SPY150508C200.5</stp>
        <tr r="B130" s="1"/>
      </tp>
      <tp>
        <v>0</v>
        <stp/>
        <stp>ASK_SIZE</stp>
        <stp>.SPY150501C219.5</stp>
        <tr r="B126" s="1"/>
      </tp>
      <tp>
        <v>164</v>
        <stp/>
        <stp>ASK_SIZE</stp>
        <stp>.SPY150508C210.5</stp>
        <tr r="B150" s="1"/>
      </tp>
      <tp t="s">
        <v>N/A</v>
        <stp/>
        <stp>BID_SIZE</stp>
        <stp>.SPY150717C210.5</stp>
        <tr r="D402" s="1"/>
      </tp>
      <tp t="s">
        <v>N/A</v>
        <stp/>
        <stp>BID_SIZE</stp>
        <stp>.SPY150717C200.5</stp>
        <tr r="D382" s="1"/>
      </tp>
      <tp t="s">
        <v>N/A</v>
        <stp/>
        <stp>ASK_SIZE</stp>
        <stp>.SPY160318C213.5</stp>
        <tr r="B660" s="1"/>
      </tp>
      <tp t="s">
        <v>N/A</v>
        <stp/>
        <stp>ASK_SIZE</stp>
        <stp>.SPY160318C203.5</stp>
        <tr r="B640" s="1"/>
      </tp>
      <tp t="s">
        <v>N/A</v>
        <stp/>
        <stp>BID_SIZE</stp>
        <stp>.SPY160115C211.5</stp>
        <tr r="D614" s="1"/>
      </tp>
      <tp t="s">
        <v>N/A</v>
        <stp/>
        <stp>BID_SIZE</stp>
        <stp>.SPY160115C201.5</stp>
        <tr r="D594" s="1"/>
      </tp>
      <tp t="s">
        <v>N/A</v>
        <stp/>
        <stp>BID_SIZE</stp>
        <stp>.SPY170120C205.5</stp>
        <tr r="D812" s="1"/>
      </tp>
      <tp t="s">
        <v>N/A</v>
        <stp/>
        <stp>BID_SIZE</stp>
        <stp>.SPY170120C215.5</stp>
        <tr r="D832" s="1"/>
      </tp>
      <tp t="s">
        <v>N/A</v>
        <stp/>
        <stp>BID_SIZE</stp>
        <stp>.SPY170317C212.5</stp>
        <tr r="D868" s="1"/>
      </tp>
      <tp t="s">
        <v>N/A</v>
        <stp/>
        <stp>BID_SIZE</stp>
        <stp>.SPY170317C202.5</stp>
        <tr r="D848" s="1"/>
      </tp>
      <tp t="s">
        <v>N/A</v>
        <stp/>
        <stp>BID_SIZE</stp>
        <stp>.SPY160916C212.5</stp>
        <tr r="D742" s="1"/>
      </tp>
      <tp t="s">
        <v>N/A</v>
        <stp/>
        <stp>BID_SIZE</stp>
        <stp>.SPY160916C202.5</stp>
        <tr r="D722" s="1"/>
      </tp>
      <tp t="s">
        <v>N/A</v>
        <stp/>
        <stp>BID_SIZE</stp>
        <stp>.SPY150930C217.5</stp>
        <tr r="D500" s="1"/>
      </tp>
      <tp t="s">
        <v>N/A</v>
        <stp/>
        <stp>BID_SIZE</stp>
        <stp>.SPY150930C207.5</stp>
        <tr r="D480" s="1"/>
      </tp>
      <tp t="s">
        <v>N/A</v>
        <stp/>
        <stp>ASK_SIZE</stp>
        <stp>.SPY150930C218.5</stp>
        <tr r="B502" s="1"/>
      </tp>
      <tp t="s">
        <v>N/A</v>
        <stp/>
        <stp>ASK_SIZE</stp>
        <stp>.SPY150930C208.5</stp>
        <tr r="B482" s="1"/>
      </tp>
      <tp t="s">
        <v>N/A</v>
        <stp/>
        <stp>ASK_SIZE</stp>
        <stp>.SPY150918C210.5</stp>
        <tr r="B444" s="1"/>
      </tp>
      <tp t="s">
        <v>N/A</v>
        <stp/>
        <stp>ASK_SIZE</stp>
        <stp>.SPY150918C200.5</stp>
        <tr r="B424" s="1"/>
      </tp>
      <tp t="s">
        <v>N/A</v>
        <stp/>
        <stp>ASK</stp>
        <stp>.SPY160617C206</stp>
        <tr r="A687" s="1"/>
      </tp>
      <tp t="s">
        <v>N/A</v>
        <stp/>
        <stp>ASK</stp>
        <stp>.SPY160617P206</stp>
        <tr r="L687" s="1"/>
      </tp>
      <tp t="s">
        <v>N/A</v>
        <stp/>
        <stp>ASK</stp>
        <stp>.SPY160617C207</stp>
        <tr r="A689" s="1"/>
      </tp>
      <tp t="s">
        <v>N/A</v>
        <stp/>
        <stp>ASK</stp>
        <stp>.SPY160617P207</stp>
        <tr r="L689" s="1"/>
      </tp>
      <tp>
        <v>5.17</v>
        <stp/>
        <stp>ASK</stp>
        <stp>.SPY150619C209</stp>
        <tr r="A315" s="1"/>
      </tp>
      <tp t="s">
        <v>N/A</v>
        <stp/>
        <stp>ASK</stp>
        <stp>.SPY160617C204</stp>
        <tr r="A683" s="1"/>
      </tp>
      <tp>
        <v>3.14</v>
        <stp/>
        <stp>ASK</stp>
        <stp>.SPY150619P209</stp>
        <tr r="L315" s="1"/>
      </tp>
      <tp t="s">
        <v>N/A</v>
        <stp/>
        <stp>ASK</stp>
        <stp>.SPY160617P204</stp>
        <tr r="L683" s="1"/>
      </tp>
      <tp>
        <v>5.92</v>
        <stp/>
        <stp>ASK</stp>
        <stp>.SPY150619C208</stp>
        <tr r="A313" s="1"/>
      </tp>
      <tp>
        <v>17.350000000000001</v>
        <stp/>
        <stp>ASK</stp>
        <stp>.SPY160617C205</stp>
        <tr r="A685" s="1"/>
      </tp>
      <tp>
        <v>2.82</v>
        <stp/>
        <stp>ASK</stp>
        <stp>.SPY150619P208</stp>
        <tr r="L313" s="1"/>
      </tp>
      <tp>
        <v>13.85</v>
        <stp/>
        <stp>ASK</stp>
        <stp>.SPY160617P205</stp>
        <tr r="L685" s="1"/>
      </tp>
      <tp t="s">
        <v>N/A</v>
        <stp/>
        <stp>ASK</stp>
        <stp>.SPY160617C202</stp>
        <tr r="A679" s="1"/>
      </tp>
      <tp t="s">
        <v>N/A</v>
        <stp/>
        <stp>ASK</stp>
        <stp>.SPY160617P202</stp>
        <tr r="L679" s="1"/>
      </tp>
      <tp t="s">
        <v>N/A</v>
        <stp/>
        <stp>ASK</stp>
        <stp>.SPY160617C203</stp>
        <tr r="A681" s="1"/>
      </tp>
      <tp t="s">
        <v>N/A</v>
        <stp/>
        <stp>ASK</stp>
        <stp>.SPY160617P203</stp>
        <tr r="L681" s="1"/>
      </tp>
      <tp>
        <v>20.72</v>
        <stp/>
        <stp>ASK</stp>
        <stp>.SPY160617C200</stp>
        <tr r="A675" s="1"/>
      </tp>
      <tp>
        <v>12.13</v>
        <stp/>
        <stp>ASK</stp>
        <stp>.SPY160617P200</stp>
        <tr r="L675" s="1"/>
      </tp>
      <tp t="s">
        <v>N/A</v>
        <stp/>
        <stp>ASK</stp>
        <stp>.SPY160617C201</stp>
        <tr r="A677" s="1"/>
      </tp>
      <tp t="s">
        <v>N/A</v>
        <stp/>
        <stp>ASK</stp>
        <stp>.SPY160617P201</stp>
        <tr r="L677" s="1"/>
      </tp>
      <tp>
        <v>9.9499999999999993</v>
        <stp/>
        <stp>ASK</stp>
        <stp>.SPY150619C203</stp>
        <tr r="A303" s="1"/>
      </tp>
      <tp>
        <v>1.66</v>
        <stp/>
        <stp>ASK</stp>
        <stp>.SPY150619P203</stp>
        <tr r="L303" s="1"/>
      </tp>
      <tp>
        <v>10.84</v>
        <stp/>
        <stp>ASK</stp>
        <stp>.SPY150619C202</stp>
        <tr r="A301" s="1"/>
      </tp>
      <tp>
        <v>1.49</v>
        <stp/>
        <stp>ASK</stp>
        <stp>.SPY150619P202</stp>
        <tr r="L301" s="1"/>
      </tp>
      <tp>
        <v>11.71</v>
        <stp/>
        <stp>ASK</stp>
        <stp>.SPY150619C201</stp>
        <tr r="A299" s="1"/>
      </tp>
      <tp>
        <v>1.34</v>
        <stp/>
        <stp>ASK</stp>
        <stp>.SPY150619P201</stp>
        <tr r="L299" s="1"/>
      </tp>
      <tp>
        <v>12.6</v>
        <stp/>
        <stp>ASK</stp>
        <stp>.SPY150619C200</stp>
        <tr r="A297" s="1"/>
      </tp>
      <tp>
        <v>1.2</v>
        <stp/>
        <stp>ASK</stp>
        <stp>.SPY150619P200</stp>
        <tr r="L297" s="1"/>
      </tp>
      <tp>
        <v>6.67</v>
        <stp/>
        <stp>ASK</stp>
        <stp>.SPY150619C207</stp>
        <tr r="A311" s="1"/>
      </tp>
      <tp>
        <v>2.54</v>
        <stp/>
        <stp>ASK</stp>
        <stp>.SPY150619P207</stp>
        <tr r="L311" s="1"/>
      </tp>
      <tp>
        <v>7.49</v>
        <stp/>
        <stp>ASK</stp>
        <stp>.SPY150619C206</stp>
        <tr r="A309" s="1"/>
      </tp>
      <tp>
        <v>2.2799999999999998</v>
        <stp/>
        <stp>ASK</stp>
        <stp>.SPY150619P206</stp>
        <tr r="L309" s="1"/>
      </tp>
      <tp>
        <v>8.26</v>
        <stp/>
        <stp>ASK</stp>
        <stp>.SPY150619C205</stp>
        <tr r="A307" s="1"/>
      </tp>
      <tp t="s">
        <v>N/A</v>
        <stp/>
        <stp>ASK</stp>
        <stp>.SPY160617C208</stp>
        <tr r="A691" s="1"/>
      </tp>
      <tp>
        <v>2.0499999999999998</v>
        <stp/>
        <stp>ASK</stp>
        <stp>.SPY150619P205</stp>
        <tr r="L307" s="1"/>
      </tp>
      <tp t="s">
        <v>N/A</v>
        <stp/>
        <stp>ASK</stp>
        <stp>.SPY160617P208</stp>
        <tr r="L691" s="1"/>
      </tp>
      <tp>
        <v>9.1</v>
        <stp/>
        <stp>ASK</stp>
        <stp>.SPY150619C204</stp>
        <tr r="A305" s="1"/>
      </tp>
      <tp t="s">
        <v>N/A</v>
        <stp/>
        <stp>ASK</stp>
        <stp>.SPY160617C209</stp>
        <tr r="A693" s="1"/>
      </tp>
      <tp>
        <v>1.85</v>
        <stp/>
        <stp>ASK</stp>
        <stp>.SPY150619P204</stp>
        <tr r="L305" s="1"/>
      </tp>
      <tp t="s">
        <v>N/A</v>
        <stp/>
        <stp>ASK</stp>
        <stp>.SPY160617P209</stp>
        <tr r="L693" s="1"/>
      </tp>
      <tp>
        <v>0.85</v>
        <stp/>
        <stp>BID</stp>
        <stp>.SPY150630C218</stp>
        <tr r="C375" s="1"/>
      </tp>
      <tp>
        <v>8.16</v>
        <stp/>
        <stp>BID</stp>
        <stp>.SPY150630P218</stp>
        <tr r="N375" s="1"/>
      </tp>
      <tp>
        <v>0.62</v>
        <stp/>
        <stp>BID</stp>
        <stp>.SPY150630C219</stp>
        <tr r="C377" s="1"/>
      </tp>
      <tp>
        <v>8.9600000000000009</v>
        <stp/>
        <stp>BID</stp>
        <stp>.SPY150630P219</stp>
        <tr r="N377" s="1"/>
      </tp>
      <tp>
        <v>4.6500000000000004</v>
        <stp/>
        <stp>BID</stp>
        <stp>.SPY150630C210</stp>
        <tr r="C359" s="1"/>
      </tp>
      <tp>
        <v>3.87</v>
        <stp/>
        <stp>BID</stp>
        <stp>.SPY150630P210</stp>
        <tr r="N359" s="1"/>
      </tp>
      <tp>
        <v>4.08</v>
        <stp/>
        <stp>BID</stp>
        <stp>.SPY150630C211</stp>
        <tr r="C361" s="1"/>
      </tp>
      <tp>
        <v>4.25</v>
        <stp/>
        <stp>BID</stp>
        <stp>.SPY150630P211</stp>
        <tr r="N361" s="1"/>
      </tp>
      <tp>
        <v>3.46</v>
        <stp/>
        <stp>BID</stp>
        <stp>.SPY150630C212</stp>
        <tr r="C363" s="1"/>
      </tp>
      <tp>
        <v>4.66</v>
        <stp/>
        <stp>BID</stp>
        <stp>.SPY150630P212</stp>
        <tr r="N363" s="1"/>
      </tp>
      <tp>
        <v>2.89</v>
        <stp/>
        <stp>BID</stp>
        <stp>.SPY150630C213</stp>
        <tr r="C365" s="1"/>
      </tp>
      <tp>
        <v>5.0999999999999996</v>
        <stp/>
        <stp>BID</stp>
        <stp>.SPY150630P213</stp>
        <tr r="N365" s="1"/>
      </tp>
      <tp>
        <v>2.36</v>
        <stp/>
        <stp>BID</stp>
        <stp>.SPY150630C214</stp>
        <tr r="C367" s="1"/>
      </tp>
      <tp>
        <v>5.61</v>
        <stp/>
        <stp>BID</stp>
        <stp>.SPY150630P214</stp>
        <tr r="N367" s="1"/>
      </tp>
      <tp>
        <v>1.9</v>
        <stp/>
        <stp>BID</stp>
        <stp>.SPY150630C215</stp>
        <tr r="C369" s="1"/>
      </tp>
      <tp>
        <v>6.16</v>
        <stp/>
        <stp>BID</stp>
        <stp>.SPY150630P215</stp>
        <tr r="N369" s="1"/>
      </tp>
      <tp>
        <v>1.49</v>
        <stp/>
        <stp>BID</stp>
        <stp>.SPY150630C216</stp>
        <tr r="C371" s="1"/>
      </tp>
      <tp>
        <v>6.77</v>
        <stp/>
        <stp>BID</stp>
        <stp>.SPY150630P216</stp>
        <tr r="N371" s="1"/>
      </tp>
      <tp>
        <v>1.1399999999999999</v>
        <stp/>
        <stp>BID</stp>
        <stp>.SPY150630C217</stp>
        <tr r="C373" s="1"/>
      </tp>
      <tp>
        <v>7.47</v>
        <stp/>
        <stp>BID</stp>
        <stp>.SPY150630P217</stp>
        <tr r="N373" s="1"/>
      </tp>
      <tp t="s">
        <v>N/A</v>
        <stp/>
        <stp>ASK</stp>
        <stp>.SPY160617C216</stp>
        <tr r="A707" s="1"/>
      </tp>
      <tp t="s">
        <v>N/A</v>
        <stp/>
        <stp>ASK</stp>
        <stp>.SPY160617P216</stp>
        <tr r="L707" s="1"/>
      </tp>
      <tp t="s">
        <v>N/A</v>
        <stp/>
        <stp>ASK</stp>
        <stp>.SPY160617C217</stp>
        <tr r="A709" s="1"/>
      </tp>
      <tp t="s">
        <v>N/A</v>
        <stp/>
        <stp>ASK</stp>
        <stp>.SPY160617P217</stp>
        <tr r="L709" s="1"/>
      </tp>
      <tp>
        <v>0.51</v>
        <stp/>
        <stp>ASK</stp>
        <stp>.SPY150619C219</stp>
        <tr r="A335" s="1"/>
      </tp>
      <tp t="s">
        <v>N/A</v>
        <stp/>
        <stp>ASK</stp>
        <stp>.SPY160617C214</stp>
        <tr r="A703" s="1"/>
      </tp>
      <tp>
        <v>9.01</v>
        <stp/>
        <stp>ASK</stp>
        <stp>.SPY150619P219</stp>
        <tr r="L335" s="1"/>
      </tp>
      <tp t="s">
        <v>N/A</v>
        <stp/>
        <stp>ASK</stp>
        <stp>.SPY160617P214</stp>
        <tr r="L703" s="1"/>
      </tp>
      <tp>
        <v>0.7</v>
        <stp/>
        <stp>ASK</stp>
        <stp>.SPY150619C218</stp>
        <tr r="A333" s="1"/>
      </tp>
      <tp>
        <v>11.44</v>
        <stp/>
        <stp>ASK</stp>
        <stp>.SPY160617C215</stp>
        <tr r="A705" s="1"/>
      </tp>
      <tp>
        <v>8.17</v>
        <stp/>
        <stp>ASK</stp>
        <stp>.SPY150619P218</stp>
        <tr r="L333" s="1"/>
      </tp>
      <tp>
        <v>18.07</v>
        <stp/>
        <stp>ASK</stp>
        <stp>.SPY160617P215</stp>
        <tr r="L705" s="1"/>
      </tp>
      <tp t="s">
        <v>N/A</v>
        <stp/>
        <stp>ASK</stp>
        <stp>.SPY160617C212</stp>
        <tr r="A699" s="1"/>
      </tp>
      <tp t="s">
        <v>N/A</v>
        <stp/>
        <stp>ASK</stp>
        <stp>.SPY160617P212</stp>
        <tr r="L699" s="1"/>
      </tp>
      <tp t="s">
        <v>N/A</v>
        <stp/>
        <stp>ASK</stp>
        <stp>.SPY160617C213</stp>
        <tr r="A701" s="1"/>
      </tp>
      <tp t="s">
        <v>N/A</v>
        <stp/>
        <stp>ASK</stp>
        <stp>.SPY160617P213</stp>
        <tr r="L701" s="1"/>
      </tp>
      <tp>
        <v>14.26</v>
        <stp/>
        <stp>ASK</stp>
        <stp>.SPY160617C210</stp>
        <tr r="A695" s="1"/>
      </tp>
      <tp>
        <v>15.93</v>
        <stp/>
        <stp>ASK</stp>
        <stp>.SPY160617P210</stp>
        <tr r="L695" s="1"/>
      </tp>
      <tp t="s">
        <v>N/A</v>
        <stp/>
        <stp>ASK</stp>
        <stp>.SPY160617C211</stp>
        <tr r="A697" s="1"/>
      </tp>
      <tp t="s">
        <v>N/A</v>
        <stp/>
        <stp>ASK</stp>
        <stp>.SPY160617P211</stp>
        <tr r="L697" s="1"/>
      </tp>
      <tp>
        <v>2.62</v>
        <stp/>
        <stp>ASK</stp>
        <stp>.SPY150619C213</stp>
        <tr r="A323" s="1"/>
      </tp>
      <tp>
        <v>4.83</v>
        <stp/>
        <stp>ASK</stp>
        <stp>.SPY150619P213</stp>
        <tr r="L323" s="1"/>
      </tp>
      <tp>
        <v>3.21</v>
        <stp/>
        <stp>ASK</stp>
        <stp>.SPY150619C212</stp>
        <tr r="A321" s="1"/>
      </tp>
      <tp>
        <v>4.3499999999999996</v>
        <stp/>
        <stp>ASK</stp>
        <stp>.SPY150619P212</stp>
        <tr r="L321" s="1"/>
      </tp>
      <tp>
        <v>3.83</v>
        <stp/>
        <stp>ASK</stp>
        <stp>.SPY150619C211</stp>
        <tr r="A319" s="1"/>
      </tp>
      <tp>
        <v>3.88</v>
        <stp/>
        <stp>ASK</stp>
        <stp>.SPY150619P211</stp>
        <tr r="L319" s="1"/>
      </tp>
      <tp>
        <v>4.49</v>
        <stp/>
        <stp>ASK</stp>
        <stp>.SPY150619C210</stp>
        <tr r="A317" s="1"/>
      </tp>
      <tp>
        <v>3.48</v>
        <stp/>
        <stp>ASK</stp>
        <stp>.SPY150619P210</stp>
        <tr r="L317" s="1"/>
      </tp>
      <tp>
        <v>0.96</v>
        <stp/>
        <stp>ASK</stp>
        <stp>.SPY150619C217</stp>
        <tr r="A331" s="1"/>
      </tp>
      <tp>
        <v>7.38</v>
        <stp/>
        <stp>ASK</stp>
        <stp>.SPY150619P217</stp>
        <tr r="L331" s="1"/>
      </tp>
      <tp>
        <v>1.28</v>
        <stp/>
        <stp>ASK</stp>
        <stp>.SPY150619C216</stp>
        <tr r="A329" s="1"/>
      </tp>
      <tp>
        <v>6.65</v>
        <stp/>
        <stp>ASK</stp>
        <stp>.SPY150619P216</stp>
        <tr r="L329" s="1"/>
      </tp>
      <tp>
        <v>1.67</v>
        <stp/>
        <stp>ASK</stp>
        <stp>.SPY150619C215</stp>
        <tr r="A327" s="1"/>
      </tp>
      <tp t="s">
        <v>N/A</v>
        <stp/>
        <stp>ASK</stp>
        <stp>.SPY160617C218</stp>
        <tr r="A711" s="1"/>
      </tp>
      <tp>
        <v>5.99</v>
        <stp/>
        <stp>ASK</stp>
        <stp>.SPY150619P215</stp>
        <tr r="L327" s="1"/>
      </tp>
      <tp t="s">
        <v>N/A</v>
        <stp/>
        <stp>ASK</stp>
        <stp>.SPY160617P218</stp>
        <tr r="L711" s="1"/>
      </tp>
      <tp>
        <v>2.11</v>
        <stp/>
        <stp>ASK</stp>
        <stp>.SPY150619C214</stp>
        <tr r="A325" s="1"/>
      </tp>
      <tp t="s">
        <v>N/A</v>
        <stp/>
        <stp>ASK</stp>
        <stp>.SPY160617C219</stp>
        <tr r="A713" s="1"/>
      </tp>
      <tp>
        <v>5.36</v>
        <stp/>
        <stp>ASK</stp>
        <stp>.SPY150619P214</stp>
        <tr r="L325" s="1"/>
      </tp>
      <tp t="s">
        <v>N/A</v>
        <stp/>
        <stp>ASK</stp>
        <stp>.SPY160617P219</stp>
        <tr r="L713" s="1"/>
      </tp>
      <tp>
        <v>6.05</v>
        <stp/>
        <stp>BID</stp>
        <stp>.SPY150630C208</stp>
        <tr r="C355" s="1"/>
      </tp>
      <tp>
        <v>3.22</v>
        <stp/>
        <stp>BID</stp>
        <stp>.SPY150630P208</stp>
        <tr r="N355" s="1"/>
      </tp>
      <tp>
        <v>5.34</v>
        <stp/>
        <stp>BID</stp>
        <stp>.SPY150630C209</stp>
        <tr r="C357" s="1"/>
      </tp>
      <tp>
        <v>3.53</v>
        <stp/>
        <stp>BID</stp>
        <stp>.SPY150630P209</stp>
        <tr r="N357" s="1"/>
      </tp>
      <tp>
        <v>12.57</v>
        <stp/>
        <stp>BID</stp>
        <stp>.SPY150630C200</stp>
        <tr r="C339" s="1"/>
      </tp>
      <tp>
        <v>1.53</v>
        <stp/>
        <stp>BID</stp>
        <stp>.SPY150630P200</stp>
        <tr r="N339" s="1"/>
      </tp>
      <tp>
        <v>11.7</v>
        <stp/>
        <stp>BID</stp>
        <stp>.SPY150630C201</stp>
        <tr r="C341" s="1"/>
      </tp>
      <tp>
        <v>1.68</v>
        <stp/>
        <stp>BID</stp>
        <stp>.SPY150630P201</stp>
        <tr r="N341" s="1"/>
      </tp>
      <tp>
        <v>10.84</v>
        <stp/>
        <stp>BID</stp>
        <stp>.SPY150630C202</stp>
        <tr r="C343" s="1"/>
      </tp>
      <tp>
        <v>1.84</v>
        <stp/>
        <stp>BID</stp>
        <stp>.SPY150630P202</stp>
        <tr r="N343" s="1"/>
      </tp>
      <tp>
        <v>9.99</v>
        <stp/>
        <stp>BID</stp>
        <stp>.SPY150630C203</stp>
        <tr r="C345" s="1"/>
      </tp>
      <tp>
        <v>2.02</v>
        <stp/>
        <stp>BID</stp>
        <stp>.SPY150630P203</stp>
        <tr r="N345" s="1"/>
      </tp>
      <tp>
        <v>9.17</v>
        <stp/>
        <stp>BID</stp>
        <stp>.SPY150630C204</stp>
        <tr r="C347" s="1"/>
      </tp>
      <tp>
        <v>2.2200000000000002</v>
        <stp/>
        <stp>BID</stp>
        <stp>.SPY150630P204</stp>
        <tr r="N347" s="1"/>
      </tp>
      <tp>
        <v>8.36</v>
        <stp/>
        <stp>BID</stp>
        <stp>.SPY150630C205</stp>
        <tr r="C349" s="1"/>
      </tp>
      <tp>
        <v>2.44</v>
        <stp/>
        <stp>BID</stp>
        <stp>.SPY150630P205</stp>
        <tr r="N349" s="1"/>
      </tp>
      <tp>
        <v>7.57</v>
        <stp/>
        <stp>BID</stp>
        <stp>.SPY150630C206</stp>
        <tr r="C351" s="1"/>
      </tp>
      <tp>
        <v>2.67</v>
        <stp/>
        <stp>BID</stp>
        <stp>.SPY150630P206</stp>
        <tr r="N351" s="1"/>
      </tp>
      <tp>
        <v>6.8</v>
        <stp/>
        <stp>BID</stp>
        <stp>.SPY150630C207</stp>
        <tr r="C353" s="1"/>
      </tp>
      <tp>
        <v>2.93</v>
        <stp/>
        <stp>BID</stp>
        <stp>.SPY150630P207</stp>
        <tr r="N353" s="1"/>
      </tp>
      <tp>
        <v>11.07</v>
        <stp/>
        <stp>ASK</stp>
        <stp>.SPY150630C202</stp>
        <tr r="A343" s="1"/>
      </tp>
      <tp>
        <v>1.89</v>
        <stp/>
        <stp>ASK</stp>
        <stp>.SPY150630P202</stp>
        <tr r="L343" s="1"/>
      </tp>
      <tp>
        <v>10.220000000000001</v>
        <stp/>
        <stp>ASK</stp>
        <stp>.SPY150630C203</stp>
        <tr r="A345" s="1"/>
      </tp>
      <tp>
        <v>2.0699999999999998</v>
        <stp/>
        <stp>ASK</stp>
        <stp>.SPY150630P203</stp>
        <tr r="L345" s="1"/>
      </tp>
      <tp>
        <v>12.8</v>
        <stp/>
        <stp>ASK</stp>
        <stp>.SPY150630C200</stp>
        <tr r="A339" s="1"/>
      </tp>
      <tp>
        <v>1.57</v>
        <stp/>
        <stp>ASK</stp>
        <stp>.SPY150630P200</stp>
        <tr r="L339" s="1"/>
      </tp>
      <tp>
        <v>11.93</v>
        <stp/>
        <stp>ASK</stp>
        <stp>.SPY150630C201</stp>
        <tr r="A341" s="1"/>
      </tp>
      <tp>
        <v>1.73</v>
        <stp/>
        <stp>ASK</stp>
        <stp>.SPY150630P201</stp>
        <tr r="L341" s="1"/>
      </tp>
      <tp>
        <v>7.76</v>
        <stp/>
        <stp>ASK</stp>
        <stp>.SPY150630C206</stp>
        <tr r="A351" s="1"/>
      </tp>
      <tp>
        <v>2.73</v>
        <stp/>
        <stp>ASK</stp>
        <stp>.SPY150630P206</stp>
        <tr r="L351" s="1"/>
      </tp>
      <tp>
        <v>6.98</v>
        <stp/>
        <stp>ASK</stp>
        <stp>.SPY150630C207</stp>
        <tr r="A353" s="1"/>
      </tp>
      <tp>
        <v>3</v>
        <stp/>
        <stp>ASK</stp>
        <stp>.SPY150630P207</stp>
        <tr r="L353" s="1"/>
      </tp>
      <tp>
        <v>9.35</v>
        <stp/>
        <stp>ASK</stp>
        <stp>.SPY150630C204</stp>
        <tr r="A347" s="1"/>
      </tp>
      <tp>
        <v>2.2799999999999998</v>
        <stp/>
        <stp>ASK</stp>
        <stp>.SPY150630P204</stp>
        <tr r="L347" s="1"/>
      </tp>
      <tp>
        <v>8.5500000000000007</v>
        <stp/>
        <stp>ASK</stp>
        <stp>.SPY150630C205</stp>
        <tr r="A349" s="1"/>
      </tp>
      <tp>
        <v>2.4900000000000002</v>
        <stp/>
        <stp>ASK</stp>
        <stp>.SPY150630P205</stp>
        <tr r="L349" s="1"/>
      </tp>
      <tp>
        <v>6.2</v>
        <stp/>
        <stp>ASK</stp>
        <stp>.SPY150630C208</stp>
        <tr r="A355" s="1"/>
      </tp>
      <tp>
        <v>3.28</v>
        <stp/>
        <stp>ASK</stp>
        <stp>.SPY150630P208</stp>
        <tr r="L355" s="1"/>
      </tp>
      <tp>
        <v>5.5</v>
        <stp/>
        <stp>ASK</stp>
        <stp>.SPY150630C209</stp>
        <tr r="A357" s="1"/>
      </tp>
      <tp>
        <v>3.6</v>
        <stp/>
        <stp>ASK</stp>
        <stp>.SPY150630P209</stp>
        <tr r="L357" s="1"/>
      </tp>
      <tp>
        <v>3.76</v>
        <stp/>
        <stp>BID</stp>
        <stp>.SPY150619C211</stp>
        <tr r="C319" s="1"/>
      </tp>
      <tp>
        <v>3.8</v>
        <stp/>
        <stp>BID</stp>
        <stp>.SPY150619P211</stp>
        <tr r="N319" s="1"/>
      </tp>
      <tp>
        <v>4.41</v>
        <stp/>
        <stp>BID</stp>
        <stp>.SPY150619C210</stp>
        <tr r="C317" s="1"/>
      </tp>
      <tp>
        <v>3.46</v>
        <stp/>
        <stp>BID</stp>
        <stp>.SPY150619P210</stp>
        <tr r="N317" s="1"/>
      </tp>
      <tp>
        <v>2.59</v>
        <stp/>
        <stp>BID</stp>
        <stp>.SPY150619C213</stp>
        <tr r="C323" s="1"/>
      </tp>
      <tp>
        <v>4.75</v>
        <stp/>
        <stp>BID</stp>
        <stp>.SPY150619P213</stp>
        <tr r="N323" s="1"/>
      </tp>
      <tp>
        <v>3.16</v>
        <stp/>
        <stp>BID</stp>
        <stp>.SPY150619C212</stp>
        <tr r="C321" s="1"/>
      </tp>
      <tp>
        <v>4.25</v>
        <stp/>
        <stp>BID</stp>
        <stp>.SPY150619P212</stp>
        <tr r="N321" s="1"/>
      </tp>
      <tp>
        <v>1.63</v>
        <stp/>
        <stp>BID</stp>
        <stp>.SPY150619C215</stp>
        <tr r="C327" s="1"/>
      </tp>
      <tp t="s">
        <v>N/A</v>
        <stp/>
        <stp>BID</stp>
        <stp>.SPY160617C218</stp>
        <tr r="C711" s="1"/>
      </tp>
      <tp>
        <v>5.83</v>
        <stp/>
        <stp>BID</stp>
        <stp>.SPY150619P215</stp>
        <tr r="N327" s="1"/>
      </tp>
      <tp t="s">
        <v>N/A</v>
        <stp/>
        <stp>BID</stp>
        <stp>.SPY160617P218</stp>
        <tr r="N711" s="1"/>
      </tp>
      <tp>
        <v>2.08</v>
        <stp/>
        <stp>BID</stp>
        <stp>.SPY150619C214</stp>
        <tr r="C325" s="1"/>
      </tp>
      <tp t="s">
        <v>N/A</v>
        <stp/>
        <stp>BID</stp>
        <stp>.SPY160617C219</stp>
        <tr r="C713" s="1"/>
      </tp>
      <tp>
        <v>5.23</v>
        <stp/>
        <stp>BID</stp>
        <stp>.SPY150619P214</stp>
        <tr r="N325" s="1"/>
      </tp>
      <tp t="s">
        <v>N/A</v>
        <stp/>
        <stp>BID</stp>
        <stp>.SPY160617P219</stp>
        <tr r="N713" s="1"/>
      </tp>
      <tp>
        <v>0.93</v>
        <stp/>
        <stp>BID</stp>
        <stp>.SPY150619C217</stp>
        <tr r="C331" s="1"/>
      </tp>
      <tp>
        <v>7.17</v>
        <stp/>
        <stp>BID</stp>
        <stp>.SPY150619P217</stp>
        <tr r="N331" s="1"/>
      </tp>
      <tp>
        <v>1.25</v>
        <stp/>
        <stp>BID</stp>
        <stp>.SPY150619C216</stp>
        <tr r="C329" s="1"/>
      </tp>
      <tp>
        <v>6.46</v>
        <stp/>
        <stp>BID</stp>
        <stp>.SPY150619P216</stp>
        <tr r="N329" s="1"/>
      </tp>
      <tp>
        <v>0.49</v>
        <stp/>
        <stp>BID</stp>
        <stp>.SPY150619C219</stp>
        <tr r="C335" s="1"/>
      </tp>
      <tp t="s">
        <v>N/A</v>
        <stp/>
        <stp>BID</stp>
        <stp>.SPY160617C214</stp>
        <tr r="C703" s="1"/>
      </tp>
      <tp>
        <v>8.77</v>
        <stp/>
        <stp>BID</stp>
        <stp>.SPY150619P219</stp>
        <tr r="N335" s="1"/>
      </tp>
      <tp t="s">
        <v>N/A</v>
        <stp/>
        <stp>BID</stp>
        <stp>.SPY160617P214</stp>
        <tr r="N703" s="1"/>
      </tp>
      <tp>
        <v>0.68</v>
        <stp/>
        <stp>BID</stp>
        <stp>.SPY150619C218</stp>
        <tr r="C333" s="1"/>
      </tp>
      <tp>
        <v>11.05</v>
        <stp/>
        <stp>BID</stp>
        <stp>.SPY160617C215</stp>
        <tr r="C705" s="1"/>
      </tp>
      <tp>
        <v>7.94</v>
        <stp/>
        <stp>BID</stp>
        <stp>.SPY150619P218</stp>
        <tr r="N333" s="1"/>
      </tp>
      <tp>
        <v>17.63</v>
        <stp/>
        <stp>BID</stp>
        <stp>.SPY160617P215</stp>
        <tr r="N705" s="1"/>
      </tp>
      <tp t="s">
        <v>N/A</v>
        <stp/>
        <stp>BID</stp>
        <stp>.SPY160617C216</stp>
        <tr r="C707" s="1"/>
      </tp>
      <tp t="s">
        <v>N/A</v>
        <stp/>
        <stp>BID</stp>
        <stp>.SPY160617P216</stp>
        <tr r="N707" s="1"/>
      </tp>
      <tp t="s">
        <v>N/A</v>
        <stp/>
        <stp>BID</stp>
        <stp>.SPY160617C217</stp>
        <tr r="C709" s="1"/>
      </tp>
      <tp t="s">
        <v>N/A</v>
        <stp/>
        <stp>BID</stp>
        <stp>.SPY160617P217</stp>
        <tr r="N709" s="1"/>
      </tp>
      <tp>
        <v>14</v>
        <stp/>
        <stp>BID</stp>
        <stp>.SPY160617C210</stp>
        <tr r="C695" s="1"/>
      </tp>
      <tp>
        <v>15.42</v>
        <stp/>
        <stp>BID</stp>
        <stp>.SPY160617P210</stp>
        <tr r="N695" s="1"/>
      </tp>
      <tp t="s">
        <v>N/A</v>
        <stp/>
        <stp>BID</stp>
        <stp>.SPY160617C211</stp>
        <tr r="C697" s="1"/>
      </tp>
      <tp t="s">
        <v>N/A</v>
        <stp/>
        <stp>BID</stp>
        <stp>.SPY160617P211</stp>
        <tr r="N697" s="1"/>
      </tp>
      <tp t="s">
        <v>N/A</v>
        <stp/>
        <stp>BID</stp>
        <stp>.SPY160617C212</stp>
        <tr r="C699" s="1"/>
      </tp>
      <tp t="s">
        <v>N/A</v>
        <stp/>
        <stp>BID</stp>
        <stp>.SPY160617P212</stp>
        <tr r="N699" s="1"/>
      </tp>
      <tp t="s">
        <v>N/A</v>
        <stp/>
        <stp>BID</stp>
        <stp>.SPY160617C213</stp>
        <tr r="C701" s="1"/>
      </tp>
      <tp t="s">
        <v>N/A</v>
        <stp/>
        <stp>BID</stp>
        <stp>.SPY160617P213</stp>
        <tr r="N701" s="1"/>
      </tp>
      <tp>
        <v>3.51</v>
        <stp/>
        <stp>ASK</stp>
        <stp>.SPY150630C212</stp>
        <tr r="A363" s="1"/>
      </tp>
      <tp>
        <v>4.79</v>
        <stp/>
        <stp>ASK</stp>
        <stp>.SPY150630P212</stp>
        <tr r="L363" s="1"/>
      </tp>
      <tp>
        <v>2.94</v>
        <stp/>
        <stp>ASK</stp>
        <stp>.SPY150630C213</stp>
        <tr r="A365" s="1"/>
      </tp>
      <tp>
        <v>5.26</v>
        <stp/>
        <stp>ASK</stp>
        <stp>.SPY150630P213</stp>
        <tr r="L365" s="1"/>
      </tp>
      <tp>
        <v>4.78</v>
        <stp/>
        <stp>ASK</stp>
        <stp>.SPY150630C210</stp>
        <tr r="A359" s="1"/>
      </tp>
      <tp>
        <v>3.95</v>
        <stp/>
        <stp>ASK</stp>
        <stp>.SPY150630P210</stp>
        <tr r="L359" s="1"/>
      </tp>
      <tp>
        <v>4.13</v>
        <stp/>
        <stp>ASK</stp>
        <stp>.SPY150630C211</stp>
        <tr r="A361" s="1"/>
      </tp>
      <tp>
        <v>4.33</v>
        <stp/>
        <stp>ASK</stp>
        <stp>.SPY150630P211</stp>
        <tr r="L361" s="1"/>
      </tp>
      <tp>
        <v>1.54</v>
        <stp/>
        <stp>ASK</stp>
        <stp>.SPY150630C216</stp>
        <tr r="A371" s="1"/>
      </tp>
      <tp>
        <v>6.98</v>
        <stp/>
        <stp>ASK</stp>
        <stp>.SPY150630P216</stp>
        <tr r="L371" s="1"/>
      </tp>
      <tp>
        <v>1.19</v>
        <stp/>
        <stp>ASK</stp>
        <stp>.SPY150630C217</stp>
        <tr r="A373" s="1"/>
      </tp>
      <tp>
        <v>7.66</v>
        <stp/>
        <stp>ASK</stp>
        <stp>.SPY150630P217</stp>
        <tr r="L373" s="1"/>
      </tp>
      <tp>
        <v>2.41</v>
        <stp/>
        <stp>ASK</stp>
        <stp>.SPY150630C214</stp>
        <tr r="A367" s="1"/>
      </tp>
      <tp>
        <v>5.78</v>
        <stp/>
        <stp>ASK</stp>
        <stp>.SPY150630P214</stp>
        <tr r="L367" s="1"/>
      </tp>
      <tp>
        <v>1.94</v>
        <stp/>
        <stp>ASK</stp>
        <stp>.SPY150630C215</stp>
        <tr r="A369" s="1"/>
      </tp>
      <tp>
        <v>6.35</v>
        <stp/>
        <stp>ASK</stp>
        <stp>.SPY150630P215</stp>
        <tr r="L369" s="1"/>
      </tp>
      <tp>
        <v>0.9</v>
        <stp/>
        <stp>ASK</stp>
        <stp>.SPY150630C218</stp>
        <tr r="A375" s="1"/>
      </tp>
      <tp>
        <v>8.4</v>
        <stp/>
        <stp>ASK</stp>
        <stp>.SPY150630P218</stp>
        <tr r="L375" s="1"/>
      </tp>
      <tp>
        <v>0.67</v>
        <stp/>
        <stp>ASK</stp>
        <stp>.SPY150630C219</stp>
        <tr r="A377" s="1"/>
      </tp>
      <tp>
        <v>9.1999999999999993</v>
        <stp/>
        <stp>ASK</stp>
        <stp>.SPY150630P219</stp>
        <tr r="L377" s="1"/>
      </tp>
      <tp>
        <v>11.48</v>
        <stp/>
        <stp>BID</stp>
        <stp>.SPY150619C201</stp>
        <tr r="C299" s="1"/>
      </tp>
      <tp>
        <v>1.31</v>
        <stp/>
        <stp>BID</stp>
        <stp>.SPY150619P201</stp>
        <tr r="N299" s="1"/>
      </tp>
      <tp>
        <v>12.36</v>
        <stp/>
        <stp>BID</stp>
        <stp>.SPY150619C200</stp>
        <tr r="C297" s="1"/>
      </tp>
      <tp>
        <v>1.17</v>
        <stp/>
        <stp>BID</stp>
        <stp>.SPY150619P200</stp>
        <tr r="N297" s="1"/>
      </tp>
      <tp>
        <v>9.75</v>
        <stp/>
        <stp>BID</stp>
        <stp>.SPY150619C203</stp>
        <tr r="C303" s="1"/>
      </tp>
      <tp>
        <v>1.63</v>
        <stp/>
        <stp>BID</stp>
        <stp>.SPY150619P203</stp>
        <tr r="N303" s="1"/>
      </tp>
      <tp>
        <v>10.61</v>
        <stp/>
        <stp>BID</stp>
        <stp>.SPY150619C202</stp>
        <tr r="C301" s="1"/>
      </tp>
      <tp>
        <v>1.46</v>
        <stp/>
        <stp>BID</stp>
        <stp>.SPY150619P202</stp>
        <tr r="N301" s="1"/>
      </tp>
      <tp>
        <v>8.1</v>
        <stp/>
        <stp>BID</stp>
        <stp>.SPY150619C205</stp>
        <tr r="C307" s="1"/>
      </tp>
      <tp t="s">
        <v>N/A</v>
        <stp/>
        <stp>BID</stp>
        <stp>.SPY160617C208</stp>
        <tr r="C691" s="1"/>
      </tp>
      <tp>
        <v>2.02</v>
        <stp/>
        <stp>BID</stp>
        <stp>.SPY150619P205</stp>
        <tr r="N307" s="1"/>
      </tp>
      <tp t="s">
        <v>N/A</v>
        <stp/>
        <stp>BID</stp>
        <stp>.SPY160617P208</stp>
        <tr r="N691" s="1"/>
      </tp>
      <tp>
        <v>8.92</v>
        <stp/>
        <stp>BID</stp>
        <stp>.SPY150619C204</stp>
        <tr r="C305" s="1"/>
      </tp>
      <tp t="s">
        <v>N/A</v>
        <stp/>
        <stp>BID</stp>
        <stp>.SPY160617C209</stp>
        <tr r="C693" s="1"/>
      </tp>
      <tp>
        <v>1.81</v>
        <stp/>
        <stp>BID</stp>
        <stp>.SPY150619P204</stp>
        <tr r="N305" s="1"/>
      </tp>
      <tp t="s">
        <v>N/A</v>
        <stp/>
        <stp>BID</stp>
        <stp>.SPY160617P209</stp>
        <tr r="N693" s="1"/>
      </tp>
      <tp>
        <v>6.52</v>
        <stp/>
        <stp>BID</stp>
        <stp>.SPY150619C207</stp>
        <tr r="C311" s="1"/>
      </tp>
      <tp>
        <v>2.5</v>
        <stp/>
        <stp>BID</stp>
        <stp>.SPY150619P207</stp>
        <tr r="N311" s="1"/>
      </tp>
      <tp>
        <v>7.33</v>
        <stp/>
        <stp>BID</stp>
        <stp>.SPY150619C206</stp>
        <tr r="C309" s="1"/>
      </tp>
      <tp>
        <v>2.2400000000000002</v>
        <stp/>
        <stp>BID</stp>
        <stp>.SPY150619P206</stp>
        <tr r="N309" s="1"/>
      </tp>
      <tp>
        <v>5.0999999999999996</v>
        <stp/>
        <stp>BID</stp>
        <stp>.SPY150619C209</stp>
        <tr r="C315" s="1"/>
      </tp>
      <tp t="s">
        <v>N/A</v>
        <stp/>
        <stp>BID</stp>
        <stp>.SPY160617C204</stp>
        <tr r="C683" s="1"/>
      </tp>
      <tp>
        <v>3.09</v>
        <stp/>
        <stp>BID</stp>
        <stp>.SPY150619P209</stp>
        <tr r="N315" s="1"/>
      </tp>
      <tp t="s">
        <v>N/A</v>
        <stp/>
        <stp>BID</stp>
        <stp>.SPY160617P204</stp>
        <tr r="N683" s="1"/>
      </tp>
      <tp>
        <v>5.82</v>
        <stp/>
        <stp>BID</stp>
        <stp>.SPY150619C208</stp>
        <tr r="C313" s="1"/>
      </tp>
      <tp>
        <v>16.97</v>
        <stp/>
        <stp>BID</stp>
        <stp>.SPY160617C205</stp>
        <tr r="C685" s="1"/>
      </tp>
      <tp>
        <v>2.78</v>
        <stp/>
        <stp>BID</stp>
        <stp>.SPY150619P208</stp>
        <tr r="N313" s="1"/>
      </tp>
      <tp>
        <v>13.44</v>
        <stp/>
        <stp>BID</stp>
        <stp>.SPY160617P205</stp>
        <tr r="N685" s="1"/>
      </tp>
      <tp t="s">
        <v>N/A</v>
        <stp/>
        <stp>BID</stp>
        <stp>.SPY160617C206</stp>
        <tr r="C687" s="1"/>
      </tp>
      <tp t="s">
        <v>N/A</v>
        <stp/>
        <stp>BID</stp>
        <stp>.SPY160617P206</stp>
        <tr r="N687" s="1"/>
      </tp>
      <tp t="s">
        <v>N/A</v>
        <stp/>
        <stp>BID</stp>
        <stp>.SPY160617C207</stp>
        <tr r="C689" s="1"/>
      </tp>
      <tp t="s">
        <v>N/A</v>
        <stp/>
        <stp>BID</stp>
        <stp>.SPY160617P207</stp>
        <tr r="N689" s="1"/>
      </tp>
      <tp>
        <v>20.23</v>
        <stp/>
        <stp>BID</stp>
        <stp>.SPY160617C200</stp>
        <tr r="C675" s="1"/>
      </tp>
      <tp>
        <v>11.8</v>
        <stp/>
        <stp>BID</stp>
        <stp>.SPY160617P200</stp>
        <tr r="N675" s="1"/>
      </tp>
      <tp t="s">
        <v>N/A</v>
        <stp/>
        <stp>BID</stp>
        <stp>.SPY160617C201</stp>
        <tr r="C677" s="1"/>
      </tp>
      <tp t="s">
        <v>N/A</v>
        <stp/>
        <stp>BID</stp>
        <stp>.SPY160617P201</stp>
        <tr r="N677" s="1"/>
      </tp>
      <tp t="s">
        <v>N/A</v>
        <stp/>
        <stp>BID</stp>
        <stp>.SPY160617C202</stp>
        <tr r="C679" s="1"/>
      </tp>
      <tp t="s">
        <v>N/A</v>
        <stp/>
        <stp>BID</stp>
        <stp>.SPY160617P202</stp>
        <tr r="N679" s="1"/>
      </tp>
      <tp t="s">
        <v>N/A</v>
        <stp/>
        <stp>BID</stp>
        <stp>.SPY160617C203</stp>
        <tr r="C681" s="1"/>
      </tp>
      <tp t="s">
        <v>N/A</v>
        <stp/>
        <stp>BID</stp>
        <stp>.SPY160617P203</stp>
        <tr r="N681" s="1"/>
      </tp>
      <tp>
        <v>5.1999999999999998E-2</v>
        <stp/>
        <stp>RHO</stp>
        <stp>.SPY150630C219</stp>
        <tr r="K377" s="1"/>
      </tp>
      <tp>
        <v>-0.28095999999999999</v>
        <stp/>
        <stp>RHO</stp>
        <stp>.SPY150630P219</stp>
        <tr r="V377" s="1"/>
      </tp>
      <tp>
        <v>6.4339999999999994E-2</v>
        <stp/>
        <stp>RHO</stp>
        <stp>.SPY150630C218</stp>
        <tr r="K375" s="1"/>
      </tp>
      <tp>
        <v>-0.26956999999999998</v>
        <stp/>
        <stp>RHO</stp>
        <stp>.SPY150630P218</stp>
        <tr r="V375" s="1"/>
      </tp>
      <tp>
        <v>0.15279999999999999</v>
        <stp/>
        <stp>RHO</stp>
        <stp>.SPY150630C211</stp>
        <tr r="K361" s="1"/>
      </tp>
      <tp>
        <v>-0.17122000000000001</v>
        <stp/>
        <stp>RHO</stp>
        <stp>.SPY150630P211</stp>
        <tr r="V361" s="1"/>
      </tp>
      <tp>
        <v>0.16177</v>
        <stp/>
        <stp>RHO</stp>
        <stp>.SPY150630C210</stp>
        <tr r="K359" s="1"/>
      </tp>
      <tp>
        <v>-0.15834999999999999</v>
        <stp/>
        <stp>RHO</stp>
        <stp>.SPY150630P210</stp>
        <tr r="V359" s="1"/>
      </tp>
      <tp>
        <v>0.13117999999999999</v>
        <stp/>
        <stp>RHO</stp>
        <stp>.SPY150630C213</stp>
        <tr r="K365" s="1"/>
      </tp>
      <tp>
        <v>-0.19883999999999999</v>
        <stp/>
        <stp>RHO</stp>
        <stp>.SPY150630P213</stp>
        <tr r="V365" s="1"/>
      </tp>
      <tp>
        <v>0.14258000000000001</v>
        <stp/>
        <stp>RHO</stp>
        <stp>.SPY150630C212</stp>
        <tr r="K363" s="1"/>
      </tp>
      <tp>
        <v>-0.18473999999999999</v>
        <stp/>
        <stp>RHO</stp>
        <stp>.SPY150630P212</stp>
        <tr r="V363" s="1"/>
      </tp>
      <tp>
        <v>0.10535</v>
        <stp/>
        <stp>RHO</stp>
        <stp>.SPY150630C215</stp>
        <tr r="K369" s="1"/>
      </tp>
      <tp>
        <v>-0.22799</v>
        <stp/>
        <stp>RHO</stp>
        <stp>.SPY150630P215</stp>
        <tr r="V369" s="1"/>
      </tp>
      <tp>
        <v>0.11864</v>
        <stp/>
        <stp>RHO</stp>
        <stp>.SPY150630C214</stp>
        <tr r="K367" s="1"/>
      </tp>
      <tp>
        <v>-0.21331</v>
        <stp/>
        <stp>RHO</stp>
        <stp>.SPY150630P214</stp>
        <tr r="V367" s="1"/>
      </tp>
      <tp>
        <v>7.7759999999999996E-2</v>
        <stp/>
        <stp>RHO</stp>
        <stp>.SPY150630C217</stp>
        <tr r="K373" s="1"/>
      </tp>
      <tp>
        <v>-0.25613000000000002</v>
        <stp/>
        <stp>RHO</stp>
        <stp>.SPY150630P217</stp>
        <tr r="V373" s="1"/>
      </tp>
      <tp>
        <v>9.1619999999999993E-2</v>
        <stp/>
        <stp>RHO</stp>
        <stp>.SPY150630C216</stp>
        <tr r="K371" s="1"/>
      </tp>
      <tp>
        <v>-0.24246999999999999</v>
        <stp/>
        <stp>RHO</stp>
        <stp>.SPY150630P216</stp>
        <tr r="V371" s="1"/>
      </tp>
      <tp>
        <v>0.16944000000000001</v>
        <stp/>
        <stp>RHO</stp>
        <stp>.SPY150630C209</stp>
        <tr r="K357" s="1"/>
      </tp>
      <tp>
        <v>-0.14623</v>
        <stp/>
        <stp>RHO</stp>
        <stp>.SPY150630P209</stp>
        <tr r="V357" s="1"/>
      </tp>
      <tp>
        <v>0.17591000000000001</v>
        <stp/>
        <stp>RHO</stp>
        <stp>.SPY150630C208</stp>
        <tr r="K355" s="1"/>
      </tp>
      <tp>
        <v>-0.13486999999999999</v>
        <stp/>
        <stp>RHO</stp>
        <stp>.SPY150630P208</stp>
        <tr r="V355" s="1"/>
      </tp>
      <tp>
        <v>0.18997</v>
        <stp/>
        <stp>RHO</stp>
        <stp>.SPY150630C201</stp>
        <tr r="K341" s="1"/>
      </tp>
      <tp>
        <v>-7.4649999999999994E-2</v>
        <stp/>
        <stp>RHO</stp>
        <stp>.SPY150630P201</stp>
        <tr r="V341" s="1"/>
      </tp>
      <tp>
        <v>0.18828</v>
        <stp/>
        <stp>RHO</stp>
        <stp>.SPY150630C200</stp>
        <tr r="K339" s="1"/>
      </tp>
      <tp>
        <v>-6.8330000000000002E-2</v>
        <stp/>
        <stp>RHO</stp>
        <stp>.SPY150630P200</stp>
        <tr r="V339" s="1"/>
      </tp>
      <tp>
        <v>0.19081999999999999</v>
        <stp/>
        <stp>RHO</stp>
        <stp>.SPY150630C203</stp>
        <tr r="K345" s="1"/>
      </tp>
      <tp>
        <v>-8.8609999999999994E-2</v>
        <stp/>
        <stp>RHO</stp>
        <stp>.SPY150630P203</stp>
        <tr r="V345" s="1"/>
      </tp>
      <tp>
        <v>0.19081999999999999</v>
        <stp/>
        <stp>RHO</stp>
        <stp>.SPY150630C202</stp>
        <tr r="K343" s="1"/>
      </tp>
      <tp>
        <v>-8.1309999999999993E-2</v>
        <stp/>
        <stp>RHO</stp>
        <stp>.SPY150630P202</stp>
        <tr r="V343" s="1"/>
      </tp>
      <tp>
        <v>0.18803</v>
        <stp/>
        <stp>RHO</stp>
        <stp>.SPY150630C205</stp>
        <tr r="K349" s="1"/>
      </tp>
      <tp>
        <v>-0.10513</v>
        <stp/>
        <stp>RHO</stp>
        <stp>.SPY150630P205</stp>
        <tr r="V349" s="1"/>
      </tp>
      <tp>
        <v>0.18992000000000001</v>
        <stp/>
        <stp>RHO</stp>
        <stp>.SPY150630C204</stp>
        <tr r="K347" s="1"/>
      </tp>
      <tp>
        <v>-9.6629999999999994E-2</v>
        <stp/>
        <stp>RHO</stp>
        <stp>.SPY150630P204</stp>
        <tr r="V347" s="1"/>
      </tp>
      <tp>
        <v>0.18106</v>
        <stp/>
        <stp>RHO</stp>
        <stp>.SPY150630C207</stp>
        <tr r="K353" s="1"/>
      </tp>
      <tp>
        <v>-0.12425</v>
        <stp/>
        <stp>RHO</stp>
        <stp>.SPY150630P207</stp>
        <tr r="V353" s="1"/>
      </tp>
      <tp>
        <v>0.18507999999999999</v>
        <stp/>
        <stp>RHO</stp>
        <stp>.SPY150630C206</stp>
        <tr r="K351" s="1"/>
      </tp>
      <tp>
        <v>-0.1143</v>
        <stp/>
        <stp>RHO</stp>
        <stp>.SPY150630P206</stp>
        <tr r="V351" s="1"/>
      </tp>
      <tp>
        <v>0.13371</v>
        <stp/>
        <stp>RHO</stp>
        <stp>.SPY150619C210</stp>
        <tr r="K317" s="1"/>
      </tp>
      <tp>
        <v>-0.12612000000000001</v>
        <stp/>
        <stp>RHO</stp>
        <stp>.SPY150619P210</stp>
        <tr r="V317" s="1"/>
      </tp>
      <tp>
        <v>0.12567999999999999</v>
        <stp/>
        <stp>RHO</stp>
        <stp>.SPY150619C211</stp>
        <tr r="K319" s="1"/>
      </tp>
      <tp>
        <v>-0.13749</v>
        <stp/>
        <stp>RHO</stp>
        <stp>.SPY150619P211</stp>
        <tr r="V319" s="1"/>
      </tp>
      <tp>
        <v>0.11645999999999999</v>
        <stp/>
        <stp>RHO</stp>
        <stp>.SPY150619C212</stp>
        <tr r="K321" s="1"/>
      </tp>
      <tp>
        <v>-0.14946999999999999</v>
        <stp/>
        <stp>RHO</stp>
        <stp>.SPY150619P212</stp>
        <tr r="V321" s="1"/>
      </tp>
      <tp>
        <v>0.10603</v>
        <stp/>
        <stp>RHO</stp>
        <stp>.SPY150619C213</stp>
        <tr r="K323" s="1"/>
      </tp>
      <tp>
        <v>-0.16181000000000001</v>
        <stp/>
        <stp>RHO</stp>
        <stp>.SPY150619P213</stp>
        <tr r="V323" s="1"/>
      </tp>
      <tp>
        <v>9.4689999999999996E-2</v>
        <stp/>
        <stp>RHO</stp>
        <stp>.SPY150619C214</stp>
        <tr r="K325" s="1"/>
      </tp>
      <tp t="s">
        <v>N/A</v>
        <stp/>
        <stp>RHO</stp>
        <stp>.SPY160617C219</stp>
        <tr r="K713" s="1"/>
      </tp>
      <tp>
        <v>-0.17469000000000001</v>
        <stp/>
        <stp>RHO</stp>
        <stp>.SPY150619P214</stp>
        <tr r="V325" s="1"/>
      </tp>
      <tp t="s">
        <v>N/A</v>
        <stp/>
        <stp>RHO</stp>
        <stp>.SPY160617P219</stp>
        <tr r="V713" s="1"/>
      </tp>
      <tp>
        <v>8.2710000000000006E-2</v>
        <stp/>
        <stp>RHO</stp>
        <stp>.SPY150619C215</stp>
        <tr r="K327" s="1"/>
      </tp>
      <tp t="s">
        <v>N/A</v>
        <stp/>
        <stp>RHO</stp>
        <stp>.SPY160617C218</stp>
        <tr r="K711" s="1"/>
      </tp>
      <tp>
        <v>-0.18708</v>
        <stp/>
        <stp>RHO</stp>
        <stp>.SPY150619P215</stp>
        <tr r="V327" s="1"/>
      </tp>
      <tp t="s">
        <v>N/A</v>
        <stp/>
        <stp>RHO</stp>
        <stp>.SPY160617P218</stp>
        <tr r="V711" s="1"/>
      </tp>
      <tp>
        <v>7.041E-2</v>
        <stp/>
        <stp>RHO</stp>
        <stp>.SPY150619C216</stp>
        <tr r="K329" s="1"/>
      </tp>
      <tp>
        <v>-0.19944000000000001</v>
        <stp/>
        <stp>RHO</stp>
        <stp>.SPY150619P216</stp>
        <tr r="V329" s="1"/>
      </tp>
      <tp>
        <v>5.8299999999999998E-2</v>
        <stp/>
        <stp>RHO</stp>
        <stp>.SPY150619C217</stp>
        <tr r="K331" s="1"/>
      </tp>
      <tp>
        <v>-0.21081</v>
        <stp/>
        <stp>RHO</stp>
        <stp>.SPY150619P217</stp>
        <tr r="V331" s="1"/>
      </tp>
      <tp>
        <v>4.6980000000000001E-2</v>
        <stp/>
        <stp>RHO</stp>
        <stp>.SPY150619C218</stp>
        <tr r="K333" s="1"/>
      </tp>
      <tp>
        <v>0.84147000000000005</v>
        <stp/>
        <stp>RHO</stp>
        <stp>.SPY160617C215</stp>
        <tr r="K705" s="1"/>
      </tp>
      <tp>
        <v>-0.22101000000000001</v>
        <stp/>
        <stp>RHO</stp>
        <stp>.SPY150619P218</stp>
        <tr r="V333" s="1"/>
      </tp>
      <tp>
        <v>-1.4728399999999999</v>
        <stp/>
        <stp>RHO</stp>
        <stp>.SPY160617P215</stp>
        <tr r="V705" s="1"/>
      </tp>
      <tp>
        <v>3.7069999999999999E-2</v>
        <stp/>
        <stp>RHO</stp>
        <stp>.SPY150619C219</stp>
        <tr r="K335" s="1"/>
      </tp>
      <tp t="s">
        <v>N/A</v>
        <stp/>
        <stp>RHO</stp>
        <stp>.SPY160617C214</stp>
        <tr r="K703" s="1"/>
      </tp>
      <tp>
        <v>-0.22978999999999999</v>
        <stp/>
        <stp>RHO</stp>
        <stp>.SPY150619P219</stp>
        <tr r="V335" s="1"/>
      </tp>
      <tp t="s">
        <v>N/A</v>
        <stp/>
        <stp>RHO</stp>
        <stp>.SPY160617P214</stp>
        <tr r="V703" s="1"/>
      </tp>
      <tp t="s">
        <v>N/A</v>
        <stp/>
        <stp>RHO</stp>
        <stp>.SPY160617C217</stp>
        <tr r="K709" s="1"/>
      </tp>
      <tp t="s">
        <v>N/A</v>
        <stp/>
        <stp>RHO</stp>
        <stp>.SPY160617P217</stp>
        <tr r="V709" s="1"/>
      </tp>
      <tp t="s">
        <v>N/A</v>
        <stp/>
        <stp>RHO</stp>
        <stp>.SPY160617C216</stp>
        <tr r="K707" s="1"/>
      </tp>
      <tp t="s">
        <v>N/A</v>
        <stp/>
        <stp>RHO</stp>
        <stp>.SPY160617P216</stp>
        <tr r="V707" s="1"/>
      </tp>
      <tp t="s">
        <v>N/A</v>
        <stp/>
        <stp>RHO</stp>
        <stp>.SPY160617C211</stp>
        <tr r="K697" s="1"/>
      </tp>
      <tp t="s">
        <v>N/A</v>
        <stp/>
        <stp>RHO</stp>
        <stp>.SPY160617P211</stp>
        <tr r="V697" s="1"/>
      </tp>
      <tp>
        <v>0.91076000000000001</v>
        <stp/>
        <stp>RHO</stp>
        <stp>.SPY160617C210</stp>
        <tr r="K695" s="1"/>
      </tp>
      <tp>
        <v>-1.31064</v>
        <stp/>
        <stp>RHO</stp>
        <stp>.SPY160617P210</stp>
        <tr r="V695" s="1"/>
      </tp>
      <tp t="s">
        <v>N/A</v>
        <stp/>
        <stp>RHO</stp>
        <stp>.SPY160617C213</stp>
        <tr r="K701" s="1"/>
      </tp>
      <tp t="s">
        <v>N/A</v>
        <stp/>
        <stp>RHO</stp>
        <stp>.SPY160617P213</stp>
        <tr r="V701" s="1"/>
      </tp>
      <tp t="s">
        <v>N/A</v>
        <stp/>
        <stp>RHO</stp>
        <stp>.SPY160617C212</stp>
        <tr r="K699" s="1"/>
      </tp>
      <tp t="s">
        <v>N/A</v>
        <stp/>
        <stp>RHO</stp>
        <stp>.SPY160617P212</stp>
        <tr r="V699" s="1"/>
      </tp>
      <tp>
        <v>0.15418999999999999</v>
        <stp/>
        <stp>RHO</stp>
        <stp>.SPY150619C200</stp>
        <tr r="K297" s="1"/>
      </tp>
      <tp>
        <v>-4.8399999999999999E-2</v>
        <stp/>
        <stp>RHO</stp>
        <stp>.SPY150619P200</stp>
        <tr r="V297" s="1"/>
      </tp>
      <tp>
        <v>0.15619</v>
        <stp/>
        <stp>RHO</stp>
        <stp>.SPY150619C201</stp>
        <tr r="K299" s="1"/>
      </tp>
      <tp>
        <v>-5.3620000000000001E-2</v>
        <stp/>
        <stp>RHO</stp>
        <stp>.SPY150619P201</stp>
        <tr r="V299" s="1"/>
      </tp>
      <tp>
        <v>0.15745999999999999</v>
        <stp/>
        <stp>RHO</stp>
        <stp>.SPY150619C202</stp>
        <tr r="K301" s="1"/>
      </tp>
      <tp>
        <v>-5.9229999999999998E-2</v>
        <stp/>
        <stp>RHO</stp>
        <stp>.SPY150619P202</stp>
        <tr r="V301" s="1"/>
      </tp>
      <tp>
        <v>0.15790000000000001</v>
        <stp/>
        <stp>RHO</stp>
        <stp>.SPY150619C203</stp>
        <tr r="K303" s="1"/>
      </tp>
      <tp>
        <v>-6.5420000000000006E-2</v>
        <stp/>
        <stp>RHO</stp>
        <stp>.SPY150619P203</stp>
        <tr r="V303" s="1"/>
      </tp>
      <tp>
        <v>0.15754000000000001</v>
        <stp/>
        <stp>RHO</stp>
        <stp>.SPY150619C204</stp>
        <tr r="K305" s="1"/>
      </tp>
      <tp t="s">
        <v>N/A</v>
        <stp/>
        <stp>RHO</stp>
        <stp>.SPY160617C209</stp>
        <tr r="K693" s="1"/>
      </tp>
      <tp>
        <v>-7.213E-2</v>
        <stp/>
        <stp>RHO</stp>
        <stp>.SPY150619P204</stp>
        <tr r="V305" s="1"/>
      </tp>
      <tp t="s">
        <v>N/A</v>
        <stp/>
        <stp>RHO</stp>
        <stp>.SPY160617P209</stp>
        <tr r="V693" s="1"/>
      </tp>
      <tp>
        <v>0.15625</v>
        <stp/>
        <stp>RHO</stp>
        <stp>.SPY150619C205</stp>
        <tr r="K307" s="1"/>
      </tp>
      <tp t="s">
        <v>N/A</v>
        <stp/>
        <stp>RHO</stp>
        <stp>.SPY160617C208</stp>
        <tr r="K691" s="1"/>
      </tp>
      <tp>
        <v>-7.9430000000000001E-2</v>
        <stp/>
        <stp>RHO</stp>
        <stp>.SPY150619P205</stp>
        <tr r="V307" s="1"/>
      </tp>
      <tp t="s">
        <v>N/A</v>
        <stp/>
        <stp>RHO</stp>
        <stp>.SPY160617P208</stp>
        <tr r="V691" s="1"/>
      </tp>
      <tp>
        <v>0.15387000000000001</v>
        <stp/>
        <stp>RHO</stp>
        <stp>.SPY150619C206</stp>
        <tr r="K309" s="1"/>
      </tp>
      <tp>
        <v>-8.7349999999999997E-2</v>
        <stp/>
        <stp>RHO</stp>
        <stp>.SPY150619P206</stp>
        <tr r="V309" s="1"/>
      </tp>
      <tp>
        <v>0.15064</v>
        <stp/>
        <stp>RHO</stp>
        <stp>.SPY150619C207</stp>
        <tr r="K311" s="1"/>
      </tp>
      <tp>
        <v>-9.604E-2</v>
        <stp/>
        <stp>RHO</stp>
        <stp>.SPY150619P207</stp>
        <tr r="V311" s="1"/>
      </tp>
      <tp>
        <v>0.14609</v>
        <stp/>
        <stp>RHO</stp>
        <stp>.SPY150619C208</stp>
        <tr r="K313" s="1"/>
      </tp>
      <tp>
        <v>0.96147000000000005</v>
        <stp/>
        <stp>RHO</stp>
        <stp>.SPY160617C205</stp>
        <tr r="K685" s="1"/>
      </tp>
      <tp>
        <v>-0.10534</v>
        <stp/>
        <stp>RHO</stp>
        <stp>.SPY150619P208</stp>
        <tr r="V313" s="1"/>
      </tp>
      <tp>
        <v>-1.1607099999999999</v>
        <stp/>
        <stp>RHO</stp>
        <stp>.SPY160617P205</stp>
        <tr r="V685" s="1"/>
      </tp>
      <tp>
        <v>0.14052000000000001</v>
        <stp/>
        <stp>RHO</stp>
        <stp>.SPY150619C209</stp>
        <tr r="K315" s="1"/>
      </tp>
      <tp t="s">
        <v>N/A</v>
        <stp/>
        <stp>RHO</stp>
        <stp>.SPY160617C204</stp>
        <tr r="K683" s="1"/>
      </tp>
      <tp>
        <v>-0.11538</v>
        <stp/>
        <stp>RHO</stp>
        <stp>.SPY150619P209</stp>
        <tr r="V315" s="1"/>
      </tp>
      <tp t="s">
        <v>N/A</v>
        <stp/>
        <stp>RHO</stp>
        <stp>.SPY160617P204</stp>
        <tr r="V683" s="1"/>
      </tp>
      <tp t="s">
        <v>N/A</v>
        <stp/>
        <stp>RHO</stp>
        <stp>.SPY160617C207</stp>
        <tr r="K689" s="1"/>
      </tp>
      <tp t="s">
        <v>N/A</v>
        <stp/>
        <stp>RHO</stp>
        <stp>.SPY160617P207</stp>
        <tr r="V689" s="1"/>
      </tp>
      <tp t="s">
        <v>N/A</v>
        <stp/>
        <stp>RHO</stp>
        <stp>.SPY160617C206</stp>
        <tr r="K687" s="1"/>
      </tp>
      <tp t="s">
        <v>N/A</v>
        <stp/>
        <stp>RHO</stp>
        <stp>.SPY160617P206</stp>
        <tr r="V687" s="1"/>
      </tp>
      <tp t="s">
        <v>N/A</v>
        <stp/>
        <stp>RHO</stp>
        <stp>.SPY160617C201</stp>
        <tr r="K677" s="1"/>
      </tp>
      <tp t="s">
        <v>N/A</v>
        <stp/>
        <stp>RHO</stp>
        <stp>.SPY160617P201</stp>
        <tr r="V677" s="1"/>
      </tp>
      <tp>
        <v>0.99356999999999995</v>
        <stp/>
        <stp>RHO</stp>
        <stp>.SPY160617C200</stp>
        <tr r="K675" s="1"/>
      </tp>
      <tp>
        <v>-1.0250300000000001</v>
        <stp/>
        <stp>RHO</stp>
        <stp>.SPY160617P200</stp>
        <tr r="V675" s="1"/>
      </tp>
      <tp t="s">
        <v>N/A</v>
        <stp/>
        <stp>RHO</stp>
        <stp>.SPY160617C203</stp>
        <tr r="K681" s="1"/>
      </tp>
      <tp t="s">
        <v>N/A</v>
        <stp/>
        <stp>RHO</stp>
        <stp>.SPY160617P203</stp>
        <tr r="V681" s="1"/>
      </tp>
      <tp t="s">
        <v>N/A</v>
        <stp/>
        <stp>RHO</stp>
        <stp>.SPY160617C202</stp>
        <tr r="K679" s="1"/>
      </tp>
      <tp t="s">
        <v>N/A</v>
        <stp/>
        <stp>RHO</stp>
        <stp>.SPY160617P202</stp>
        <tr r="V679" s="1"/>
      </tp>
      <tp>
        <v>0</v>
        <stp/>
        <stp>BID_SIZE</stp>
        <stp>.SPY150417P211.5</stp>
        <tr r="O26" s="1"/>
      </tp>
      <tp>
        <v>0</v>
        <stp/>
        <stp>BID_SIZE</stp>
        <stp>.SPY150417P201.5</stp>
        <tr r="O6" s="1"/>
      </tp>
      <tp>
        <v>0</v>
        <stp/>
        <stp>BID_SIZE</stp>
        <stp>.SPY150424P202.5</stp>
        <tr r="O50" s="1"/>
      </tp>
      <tp>
        <v>0</v>
        <stp/>
        <stp>BID_SIZE</stp>
        <stp>.SPY150424P212.5</stp>
        <tr r="O70" s="1"/>
      </tp>
      <tp>
        <v>0</v>
        <stp/>
        <stp>BID_SIZE</stp>
        <stp>.SPY150501P207.5</stp>
        <tr r="O102" s="1"/>
      </tp>
      <tp>
        <v>349</v>
        <stp/>
        <stp>BID_SIZE</stp>
        <stp>.SPY150515P213.5</stp>
        <tr r="O198" s="1"/>
      </tp>
      <tp>
        <v>0</v>
        <stp/>
        <stp>BID_SIZE</stp>
        <stp>.SPY150501P217.5</stp>
        <tr r="O122" s="1"/>
      </tp>
      <tp>
        <v>349</v>
        <stp/>
        <stp>BID_SIZE</stp>
        <stp>.SPY150515P203.5</stp>
        <tr r="O178" s="1"/>
      </tp>
      <tp>
        <v>161</v>
        <stp/>
        <stp>BID_SIZE</stp>
        <stp>.SPY150522P204.5</stp>
        <tr r="O222" s="1"/>
      </tp>
      <tp>
        <v>199</v>
        <stp/>
        <stp>BID_SIZE</stp>
        <stp>.SPY150522P214.5</stp>
        <tr r="O242" s="1"/>
      </tp>
      <tp t="s">
        <v>N/A</v>
        <stp/>
        <stp>ASK_SIZE</stp>
        <stp>.SPY150630P219.5</stp>
        <tr r="M378" s="1"/>
      </tp>
      <tp t="s">
        <v>N/A</v>
        <stp/>
        <stp>ASK_SIZE</stp>
        <stp>.SPY150630P209.5</stp>
        <tr r="M358" s="1"/>
      </tp>
      <tp t="s">
        <v>N/A</v>
        <stp/>
        <stp>ASK_SIZE</stp>
        <stp>.SPY150619P210.5</stp>
        <tr r="M318" s="1"/>
      </tp>
      <tp t="s">
        <v>N/A</v>
        <stp/>
        <stp>ASK_SIZE</stp>
        <stp>.SPY150619P200.5</stp>
        <tr r="M298" s="1"/>
      </tp>
      <tp t="s">
        <v>N/A</v>
        <stp/>
        <stp>BID_SIZE</stp>
        <stp>.SPY160617P212.5</stp>
        <tr r="O700" s="1"/>
      </tp>
      <tp t="s">
        <v>N/A</v>
        <stp/>
        <stp>BID_SIZE</stp>
        <stp>.SPY160617P202.5</stp>
        <tr r="O680" s="1"/>
      </tp>
      <tp t="s">
        <v>N/A</v>
        <stp/>
        <stp>BID_SIZE</stp>
        <stp>.SPY150630P216.5</stp>
        <tr r="O372" s="1"/>
      </tp>
      <tp t="s">
        <v>N/A</v>
        <stp/>
        <stp>BID_SIZE</stp>
        <stp>.SPY150630P206.5</stp>
        <tr r="O352" s="1"/>
      </tp>
      <tp>
        <v>250</v>
        <stp/>
        <stp>ASK_SIZE</stp>
        <stp>.SPY150529P200.5</stp>
        <tr r="M256" s="1"/>
      </tp>
      <tp>
        <v>2373</v>
        <stp/>
        <stp>ASK_SIZE</stp>
        <stp>.SPY150529P210.5</stp>
        <tr r="M276" s="1"/>
      </tp>
      <tp>
        <v>0</v>
        <stp/>
        <stp>ASK_SIZE</stp>
        <stp>.SPY150501P208.5</stp>
        <tr r="M104" s="1"/>
      </tp>
      <tp>
        <v>1200</v>
        <stp/>
        <stp>ASK_SIZE</stp>
        <stp>.SPY150508P201.5</stp>
        <tr r="M132" s="1"/>
      </tp>
      <tp>
        <v>0</v>
        <stp/>
        <stp>ASK_SIZE</stp>
        <stp>.SPY150501P218.5</stp>
        <tr r="M124" s="1"/>
      </tp>
      <tp>
        <v>214</v>
        <stp/>
        <stp>ASK_SIZE</stp>
        <stp>.SPY150508P211.5</stp>
        <tr r="M152" s="1"/>
      </tp>
      <tp t="s">
        <v>N/A</v>
        <stp/>
        <stp>BID_SIZE</stp>
        <stp>.SPY150717P211.5</stp>
        <tr r="O404" s="1"/>
      </tp>
      <tp t="s">
        <v>N/A</v>
        <stp/>
        <stp>BID_SIZE</stp>
        <stp>.SPY150717P201.5</stp>
        <tr r="O384" s="1"/>
      </tp>
      <tp t="s">
        <v>N/A</v>
        <stp/>
        <stp>ASK_SIZE</stp>
        <stp>.SPY160318P212.5</stp>
        <tr r="M658" s="1"/>
      </tp>
      <tp t="s">
        <v>N/A</v>
        <stp/>
        <stp>ASK_SIZE</stp>
        <stp>.SPY160318P202.5</stp>
        <tr r="M638" s="1"/>
      </tp>
      <tp t="s">
        <v>N/A</v>
        <stp/>
        <stp>BID_SIZE</stp>
        <stp>.SPY160115P210.5</stp>
        <tr r="O612" s="1"/>
      </tp>
      <tp t="s">
        <v>N/A</v>
        <stp/>
        <stp>BID_SIZE</stp>
        <stp>.SPY160115P200.5</stp>
        <tr r="O592" s="1"/>
      </tp>
      <tp t="s">
        <v>N/A</v>
        <stp/>
        <stp>BID_SIZE</stp>
        <stp>.SPY170120P204.5</stp>
        <tr r="O810" s="1"/>
      </tp>
      <tp t="s">
        <v>N/A</v>
        <stp/>
        <stp>BID_SIZE</stp>
        <stp>.SPY170120P214.5</stp>
        <tr r="O830" s="1"/>
      </tp>
      <tp t="s">
        <v>N/A</v>
        <stp/>
        <stp>BID_SIZE</stp>
        <stp>.SPY170317P213.5</stp>
        <tr r="O870" s="1"/>
      </tp>
      <tp t="s">
        <v>N/A</v>
        <stp/>
        <stp>BID_SIZE</stp>
        <stp>.SPY170317P203.5</stp>
        <tr r="O850" s="1"/>
      </tp>
      <tp t="s">
        <v>N/A</v>
        <stp/>
        <stp>BID_SIZE</stp>
        <stp>.SPY160916P213.5</stp>
        <tr r="O744" s="1"/>
      </tp>
      <tp t="s">
        <v>N/A</v>
        <stp/>
        <stp>BID_SIZE</stp>
        <stp>.SPY160916P203.5</stp>
        <tr r="O724" s="1"/>
      </tp>
      <tp t="s">
        <v>N/A</v>
        <stp/>
        <stp>BID_SIZE</stp>
        <stp>.SPY150930P216.5</stp>
        <tr r="O498" s="1"/>
      </tp>
      <tp t="s">
        <v>N/A</v>
        <stp/>
        <stp>BID_SIZE</stp>
        <stp>.SPY150930P206.5</stp>
        <tr r="O478" s="1"/>
      </tp>
      <tp t="s">
        <v>N/A</v>
        <stp/>
        <stp>ASK_SIZE</stp>
        <stp>.SPY150930P219.5</stp>
        <tr r="M504" s="1"/>
      </tp>
      <tp t="s">
        <v>N/A</v>
        <stp/>
        <stp>ASK_SIZE</stp>
        <stp>.SPY150930P209.5</stp>
        <tr r="M484" s="1"/>
      </tp>
      <tp t="s">
        <v>N/A</v>
        <stp/>
        <stp>ASK_SIZE</stp>
        <stp>.SPY150918P211.5</stp>
        <tr r="M446" s="1"/>
      </tp>
      <tp t="s">
        <v>N/A</v>
        <stp/>
        <stp>ASK_SIZE</stp>
        <stp>.SPY150918P201.5</stp>
        <tr r="M426" s="1"/>
      </tp>
      <tp t="s">
        <v>N/A</v>
        <stp/>
        <stp>ASK_SIZE</stp>
        <stp>.SPY151231P218.5</stp>
        <tr r="M586" s="1"/>
      </tp>
      <tp t="s">
        <v>N/A</v>
        <stp/>
        <stp>ASK_SIZE</stp>
        <stp>.SPY151231P208.5</stp>
        <tr r="M566" s="1"/>
      </tp>
      <tp t="s">
        <v>N/A</v>
        <stp/>
        <stp>ASK_SIZE</stp>
        <stp>.SPY151219P210.5</stp>
        <tr r="M528" s="1"/>
      </tp>
      <tp t="s">
        <v>N/A</v>
        <stp/>
        <stp>ASK_SIZE</stp>
        <stp>.SPY151219P200.5</stp>
        <tr r="M508" s="1"/>
      </tp>
      <tp t="s">
        <v>N/A</v>
        <stp/>
        <stp>BID_SIZE</stp>
        <stp>.SPY161216P213.5</stp>
        <tr r="O786" s="1"/>
      </tp>
      <tp t="s">
        <v>N/A</v>
        <stp/>
        <stp>BID_SIZE</stp>
        <stp>.SPY171215P211.5</stp>
        <tr r="O908" s="1"/>
      </tp>
      <tp t="s">
        <v>N/A</v>
        <stp/>
        <stp>BID_SIZE</stp>
        <stp>.SPY161216P203.5</stp>
        <tr r="O766" s="1"/>
      </tp>
      <tp t="s">
        <v>N/A</v>
        <stp/>
        <stp>BID_SIZE</stp>
        <stp>.SPY171215P201.5</stp>
        <tr r="O888" s="1"/>
      </tp>
      <tp t="s">
        <v>N/A</v>
        <stp/>
        <stp>BID_SIZE</stp>
        <stp>.SPY151231P217.5</stp>
        <tr r="O584" s="1"/>
      </tp>
      <tp t="s">
        <v>N/A</v>
        <stp/>
        <stp>BID_SIZE</stp>
        <stp>.SPY151231P207.5</stp>
        <tr r="O564" s="1"/>
      </tp>
      <tp t="s">
        <v>N/A</v>
        <stp/>
        <stp>OPEN_INT</stp>
        <stp>.SPY160916P201</stp>
        <tr r="Q719" s="1"/>
      </tp>
      <tp t="s">
        <v>N/A</v>
        <stp/>
        <stp>OPEN_INT</stp>
        <stp>.SPY160916C201</stp>
        <tr r="F719" s="1"/>
      </tp>
      <tp>
        <v>50</v>
        <stp/>
        <stp>OPEN_INT</stp>
        <stp>.SPY160916P200</stp>
        <tr r="Q717" s="1"/>
      </tp>
      <tp>
        <v>218</v>
        <stp/>
        <stp>OPEN_INT</stp>
        <stp>.SPY160916C200</stp>
        <tr r="F717" s="1"/>
      </tp>
      <tp t="s">
        <v>N/A</v>
        <stp/>
        <stp>OPEN_INT</stp>
        <stp>.SPY160916P203</stp>
        <tr r="Q723" s="1"/>
      </tp>
      <tp t="s">
        <v>N/A</v>
        <stp/>
        <stp>OPEN_INT</stp>
        <stp>.SPY160916C203</stp>
        <tr r="F723" s="1"/>
      </tp>
      <tp t="s">
        <v>N/A</v>
        <stp/>
        <stp>OPEN_INT</stp>
        <stp>.SPY160916P202</stp>
        <tr r="Q721" s="1"/>
      </tp>
      <tp t="s">
        <v>N/A</v>
        <stp/>
        <stp>OPEN_INT</stp>
        <stp>.SPY160916C202</stp>
        <tr r="F721" s="1"/>
      </tp>
      <tp>
        <v>9185</v>
        <stp/>
        <stp>OPEN_INT</stp>
        <stp>.SPY150918P208</stp>
        <tr r="Q439" s="1"/>
      </tp>
      <tp>
        <v>103</v>
        <stp/>
        <stp>OPEN_INT</stp>
        <stp>.SPY160916P205</stp>
        <tr r="Q727" s="1"/>
      </tp>
      <tp>
        <v>4781</v>
        <stp/>
        <stp>OPEN_INT</stp>
        <stp>.SPY150918C208</stp>
        <tr r="F439" s="1"/>
      </tp>
      <tp>
        <v>121</v>
        <stp/>
        <stp>OPEN_INT</stp>
        <stp>.SPY160916C205</stp>
        <tr r="F727" s="1"/>
      </tp>
      <tp>
        <v>6804</v>
        <stp/>
        <stp>OPEN_INT</stp>
        <stp>.SPY150918P209</stp>
        <tr r="Q441" s="1"/>
      </tp>
      <tp t="s">
        <v>N/A</v>
        <stp/>
        <stp>OPEN_INT</stp>
        <stp>.SPY160916P204</stp>
        <tr r="Q725" s="1"/>
      </tp>
      <tp>
        <v>9152</v>
        <stp/>
        <stp>OPEN_INT</stp>
        <stp>.SPY150918C209</stp>
        <tr r="F441" s="1"/>
      </tp>
      <tp t="s">
        <v>N/A</v>
        <stp/>
        <stp>OPEN_INT</stp>
        <stp>.SPY160916C204</stp>
        <tr r="F725" s="1"/>
      </tp>
      <tp t="s">
        <v>N/A</v>
        <stp/>
        <stp>OPEN_INT</stp>
        <stp>.SPY160916P207</stp>
        <tr r="Q731" s="1"/>
      </tp>
      <tp t="s">
        <v>N/A</v>
        <stp/>
        <stp>OPEN_INT</stp>
        <stp>.SPY160916C207</stp>
        <tr r="F731" s="1"/>
      </tp>
      <tp t="s">
        <v>N/A</v>
        <stp/>
        <stp>OPEN_INT</stp>
        <stp>.SPY160916P206</stp>
        <tr r="Q729" s="1"/>
      </tp>
      <tp t="s">
        <v>N/A</v>
        <stp/>
        <stp>OPEN_INT</stp>
        <stp>.SPY160916C206</stp>
        <tr r="F729" s="1"/>
      </tp>
      <tp>
        <v>10751</v>
        <stp/>
        <stp>OPEN_INT</stp>
        <stp>.SPY150918P204</stp>
        <tr r="Q431" s="1"/>
      </tp>
      <tp t="s">
        <v>N/A</v>
        <stp/>
        <stp>OPEN_INT</stp>
        <stp>.SPY160916P209</stp>
        <tr r="Q735" s="1"/>
      </tp>
      <tp>
        <v>2844</v>
        <stp/>
        <stp>OPEN_INT</stp>
        <stp>.SPY150918C204</stp>
        <tr r="F431" s="1"/>
      </tp>
      <tp t="s">
        <v>N/A</v>
        <stp/>
        <stp>OPEN_INT</stp>
        <stp>.SPY160916C209</stp>
        <tr r="F735" s="1"/>
      </tp>
      <tp>
        <v>19640</v>
        <stp/>
        <stp>OPEN_INT</stp>
        <stp>.SPY150918P205</stp>
        <tr r="Q433" s="1"/>
      </tp>
      <tp t="s">
        <v>N/A</v>
        <stp/>
        <stp>OPEN_INT</stp>
        <stp>.SPY160916P208</stp>
        <tr r="Q733" s="1"/>
      </tp>
      <tp>
        <v>17847</v>
        <stp/>
        <stp>OPEN_INT</stp>
        <stp>.SPY150918C205</stp>
        <tr r="F433" s="1"/>
      </tp>
      <tp t="s">
        <v>N/A</v>
        <stp/>
        <stp>OPEN_INT</stp>
        <stp>.SPY160916C208</stp>
        <tr r="F733" s="1"/>
      </tp>
      <tp>
        <v>2304</v>
        <stp/>
        <stp>OPEN_INT</stp>
        <stp>.SPY150918P206</stp>
        <tr r="Q435" s="1"/>
      </tp>
      <tp>
        <v>4095</v>
        <stp/>
        <stp>OPEN_INT</stp>
        <stp>.SPY150918C206</stp>
        <tr r="F435" s="1"/>
      </tp>
      <tp>
        <v>9298</v>
        <stp/>
        <stp>OPEN_INT</stp>
        <stp>.SPY150918P207</stp>
        <tr r="Q437" s="1"/>
      </tp>
      <tp>
        <v>5393</v>
        <stp/>
        <stp>OPEN_INT</stp>
        <stp>.SPY150918C207</stp>
        <tr r="F437" s="1"/>
      </tp>
      <tp>
        <v>36516</v>
        <stp/>
        <stp>OPEN_INT</stp>
        <stp>.SPY150918P200</stp>
        <tr r="Q423" s="1"/>
      </tp>
      <tp>
        <v>10603</v>
        <stp/>
        <stp>OPEN_INT</stp>
        <stp>.SPY150918C200</stp>
        <tr r="F423" s="1"/>
      </tp>
      <tp>
        <v>3691</v>
        <stp/>
        <stp>OPEN_INT</stp>
        <stp>.SPY150918P201</stp>
        <tr r="Q425" s="1"/>
      </tp>
      <tp>
        <v>1852</v>
        <stp/>
        <stp>OPEN_INT</stp>
        <stp>.SPY150918C201</stp>
        <tr r="F425" s="1"/>
      </tp>
      <tp>
        <v>4644</v>
        <stp/>
        <stp>OPEN_INT</stp>
        <stp>.SPY150918P202</stp>
        <tr r="Q427" s="1"/>
      </tp>
      <tp>
        <v>2585</v>
        <stp/>
        <stp>OPEN_INT</stp>
        <stp>.SPY150918C202</stp>
        <tr r="F427" s="1"/>
      </tp>
      <tp>
        <v>3418</v>
        <stp/>
        <stp>OPEN_INT</stp>
        <stp>.SPY150918P203</stp>
        <tr r="Q429" s="1"/>
      </tp>
      <tp>
        <v>1785</v>
        <stp/>
        <stp>OPEN_INT</stp>
        <stp>.SPY150918C203</stp>
        <tr r="F429" s="1"/>
      </tp>
      <tp t="s">
        <v>N/A</v>
        <stp/>
        <stp>OPEN_INT</stp>
        <stp>.SPY160916P211</stp>
        <tr r="Q739" s="1"/>
      </tp>
      <tp t="s">
        <v>N/A</v>
        <stp/>
        <stp>OPEN_INT</stp>
        <stp>.SPY160916C211</stp>
        <tr r="F739" s="1"/>
      </tp>
      <tp>
        <v>870</v>
        <stp/>
        <stp>OPEN_INT</stp>
        <stp>.SPY160916P210</stp>
        <tr r="Q737" s="1"/>
      </tp>
      <tp>
        <v>71</v>
        <stp/>
        <stp>OPEN_INT</stp>
        <stp>.SPY160916C210</stp>
        <tr r="F737" s="1"/>
      </tp>
      <tp t="s">
        <v>N/A</v>
        <stp/>
        <stp>OPEN_INT</stp>
        <stp>.SPY160916P213</stp>
        <tr r="Q743" s="1"/>
      </tp>
      <tp t="s">
        <v>N/A</v>
        <stp/>
        <stp>OPEN_INT</stp>
        <stp>.SPY160916C213</stp>
        <tr r="F743" s="1"/>
      </tp>
      <tp t="s">
        <v>N/A</v>
        <stp/>
        <stp>OPEN_INT</stp>
        <stp>.SPY160916P212</stp>
        <tr r="Q741" s="1"/>
      </tp>
      <tp t="s">
        <v>N/A</v>
        <stp/>
        <stp>OPEN_INT</stp>
        <stp>.SPY160916C212</stp>
        <tr r="F741" s="1"/>
      </tp>
      <tp>
        <v>859</v>
        <stp/>
        <stp>OPEN_INT</stp>
        <stp>.SPY150918P218</stp>
        <tr r="Q459" s="1"/>
      </tp>
      <tp>
        <v>480</v>
        <stp/>
        <stp>OPEN_INT</stp>
        <stp>.SPY160916P215</stp>
        <tr r="Q747" s="1"/>
      </tp>
      <tp>
        <v>1548</v>
        <stp/>
        <stp>OPEN_INT</stp>
        <stp>.SPY150918C218</stp>
        <tr r="F459" s="1"/>
      </tp>
      <tp>
        <v>1432</v>
        <stp/>
        <stp>OPEN_INT</stp>
        <stp>.SPY160916C215</stp>
        <tr r="F747" s="1"/>
      </tp>
      <tp>
        <v>796</v>
        <stp/>
        <stp>OPEN_INT</stp>
        <stp>.SPY150918P219</stp>
        <tr r="Q461" s="1"/>
      </tp>
      <tp t="s">
        <v>N/A</v>
        <stp/>
        <stp>OPEN_INT</stp>
        <stp>.SPY160916P214</stp>
        <tr r="Q745" s="1"/>
      </tp>
      <tp>
        <v>3598</v>
        <stp/>
        <stp>OPEN_INT</stp>
        <stp>.SPY150918C219</stp>
        <tr r="F461" s="1"/>
      </tp>
      <tp t="s">
        <v>N/A</v>
        <stp/>
        <stp>OPEN_INT</stp>
        <stp>.SPY160916C214</stp>
        <tr r="F745" s="1"/>
      </tp>
      <tp t="s">
        <v>N/A</v>
        <stp/>
        <stp>OPEN_INT</stp>
        <stp>.SPY160916P217</stp>
        <tr r="Q751" s="1"/>
      </tp>
      <tp t="s">
        <v>N/A</v>
        <stp/>
        <stp>OPEN_INT</stp>
        <stp>.SPY160916C217</stp>
        <tr r="F751" s="1"/>
      </tp>
      <tp t="s">
        <v>N/A</v>
        <stp/>
        <stp>OPEN_INT</stp>
        <stp>.SPY160916P216</stp>
        <tr r="Q749" s="1"/>
      </tp>
      <tp t="s">
        <v>N/A</v>
        <stp/>
        <stp>OPEN_INT</stp>
        <stp>.SPY160916C216</stp>
        <tr r="F749" s="1"/>
      </tp>
      <tp>
        <v>1626</v>
        <stp/>
        <stp>OPEN_INT</stp>
        <stp>.SPY150918P214</stp>
        <tr r="Q451" s="1"/>
      </tp>
      <tp t="s">
        <v>N/A</v>
        <stp/>
        <stp>OPEN_INT</stp>
        <stp>.SPY160916P219</stp>
        <tr r="Q755" s="1"/>
      </tp>
      <tp>
        <v>1644</v>
        <stp/>
        <stp>OPEN_INT</stp>
        <stp>.SPY150918C214</stp>
        <tr r="F451" s="1"/>
      </tp>
      <tp t="s">
        <v>N/A</v>
        <stp/>
        <stp>OPEN_INT</stp>
        <stp>.SPY160916C219</stp>
        <tr r="F755" s="1"/>
      </tp>
      <tp>
        <v>1332</v>
        <stp/>
        <stp>OPEN_INT</stp>
        <stp>.SPY150918P215</stp>
        <tr r="Q453" s="1"/>
      </tp>
      <tp t="s">
        <v>N/A</v>
        <stp/>
        <stp>OPEN_INT</stp>
        <stp>.SPY160916P218</stp>
        <tr r="Q753" s="1"/>
      </tp>
      <tp>
        <v>12324</v>
        <stp/>
        <stp>OPEN_INT</stp>
        <stp>.SPY150918C215</stp>
        <tr r="F453" s="1"/>
      </tp>
      <tp t="s">
        <v>N/A</v>
        <stp/>
        <stp>OPEN_INT</stp>
        <stp>.SPY160916C218</stp>
        <tr r="F753" s="1"/>
      </tp>
      <tp>
        <v>507</v>
        <stp/>
        <stp>OPEN_INT</stp>
        <stp>.SPY150918P216</stp>
        <tr r="Q455" s="1"/>
      </tp>
      <tp>
        <v>2964</v>
        <stp/>
        <stp>OPEN_INT</stp>
        <stp>.SPY150918C216</stp>
        <tr r="F455" s="1"/>
      </tp>
      <tp>
        <v>298</v>
        <stp/>
        <stp>OPEN_INT</stp>
        <stp>.SPY150918P217</stp>
        <tr r="Q457" s="1"/>
      </tp>
      <tp>
        <v>3244</v>
        <stp/>
        <stp>OPEN_INT</stp>
        <stp>.SPY150918C217</stp>
        <tr r="F457" s="1"/>
      </tp>
      <tp>
        <v>17281</v>
        <stp/>
        <stp>OPEN_INT</stp>
        <stp>.SPY150918P210</stp>
        <tr r="Q443" s="1"/>
      </tp>
      <tp>
        <v>11740</v>
        <stp/>
        <stp>OPEN_INT</stp>
        <stp>.SPY150918C210</stp>
        <tr r="F443" s="1"/>
      </tp>
      <tp>
        <v>3545</v>
        <stp/>
        <stp>OPEN_INT</stp>
        <stp>.SPY150918P211</stp>
        <tr r="Q445" s="1"/>
      </tp>
      <tp>
        <v>3388</v>
        <stp/>
        <stp>OPEN_INT</stp>
        <stp>.SPY150918C211</stp>
        <tr r="F445" s="1"/>
      </tp>
      <tp>
        <v>2395</v>
        <stp/>
        <stp>OPEN_INT</stp>
        <stp>.SPY150918P212</stp>
        <tr r="Q447" s="1"/>
      </tp>
      <tp>
        <v>3519</v>
        <stp/>
        <stp>OPEN_INT</stp>
        <stp>.SPY150918C212</stp>
        <tr r="F447" s="1"/>
      </tp>
      <tp>
        <v>827</v>
        <stp/>
        <stp>OPEN_INT</stp>
        <stp>.SPY150918P213</stp>
        <tr r="Q449" s="1"/>
      </tp>
      <tp>
        <v>3459</v>
        <stp/>
        <stp>OPEN_INT</stp>
        <stp>.SPY150918C213</stp>
        <tr r="F449" s="1"/>
      </tp>
      <tp>
        <v>613</v>
        <stp/>
        <stp>OPEN_INT</stp>
        <stp>.SPY150930P204</stp>
        <tr r="Q473" s="1"/>
      </tp>
      <tp>
        <v>311</v>
        <stp/>
        <stp>OPEN_INT</stp>
        <stp>.SPY150930C204</stp>
        <tr r="F473" s="1"/>
      </tp>
      <tp>
        <v>1262</v>
        <stp/>
        <stp>OPEN_INT</stp>
        <stp>.SPY150930P205</stp>
        <tr r="Q475" s="1"/>
      </tp>
      <tp>
        <v>2415</v>
        <stp/>
        <stp>OPEN_INT</stp>
        <stp>.SPY150930C205</stp>
        <tr r="F475" s="1"/>
      </tp>
      <tp>
        <v>590</v>
        <stp/>
        <stp>OPEN_INT</stp>
        <stp>.SPY150930P206</stp>
        <tr r="Q477" s="1"/>
      </tp>
      <tp>
        <v>1072</v>
        <stp/>
        <stp>OPEN_INT</stp>
        <stp>.SPY150930C206</stp>
        <tr r="F477" s="1"/>
      </tp>
      <tp>
        <v>308</v>
        <stp/>
        <stp>OPEN_INT</stp>
        <stp>.SPY150930P207</stp>
        <tr r="Q479" s="1"/>
      </tp>
      <tp>
        <v>427</v>
        <stp/>
        <stp>OPEN_INT</stp>
        <stp>.SPY150930C207</stp>
        <tr r="F479" s="1"/>
      </tp>
      <tp>
        <v>3779</v>
        <stp/>
        <stp>OPEN_INT</stp>
        <stp>.SPY150930P200</stp>
        <tr r="Q465" s="1"/>
      </tp>
      <tp>
        <v>2608</v>
        <stp/>
        <stp>OPEN_INT</stp>
        <stp>.SPY150930C200</stp>
        <tr r="F465" s="1"/>
      </tp>
      <tp>
        <v>9829</v>
        <stp/>
        <stp>OPEN_INT</stp>
        <stp>.SPY150930P201</stp>
        <tr r="Q467" s="1"/>
      </tp>
      <tp>
        <v>770</v>
        <stp/>
        <stp>OPEN_INT</stp>
        <stp>.SPY150930C201</stp>
        <tr r="F467" s="1"/>
      </tp>
      <tp>
        <v>2316</v>
        <stp/>
        <stp>OPEN_INT</stp>
        <stp>.SPY150930P202</stp>
        <tr r="Q469" s="1"/>
      </tp>
      <tp>
        <v>527</v>
        <stp/>
        <stp>OPEN_INT</stp>
        <stp>.SPY150930C202</stp>
        <tr r="F469" s="1"/>
      </tp>
      <tp>
        <v>1037</v>
        <stp/>
        <stp>OPEN_INT</stp>
        <stp>.SPY150930P203</stp>
        <tr r="Q471" s="1"/>
      </tp>
      <tp>
        <v>358</v>
        <stp/>
        <stp>OPEN_INT</stp>
        <stp>.SPY150930C203</stp>
        <tr r="F471" s="1"/>
      </tp>
      <tp>
        <v>1782</v>
        <stp/>
        <stp>OPEN_INT</stp>
        <stp>.SPY150930P208</stp>
        <tr r="Q481" s="1"/>
      </tp>
      <tp>
        <v>1393</v>
        <stp/>
        <stp>OPEN_INT</stp>
        <stp>.SPY150930C208</stp>
        <tr r="F481" s="1"/>
      </tp>
      <tp>
        <v>1275</v>
        <stp/>
        <stp>OPEN_INT</stp>
        <stp>.SPY150930P209</stp>
        <tr r="Q483" s="1"/>
      </tp>
      <tp>
        <v>526</v>
        <stp/>
        <stp>OPEN_INT</stp>
        <stp>.SPY150930C209</stp>
        <tr r="F483" s="1"/>
      </tp>
      <tp>
        <v>100</v>
        <stp/>
        <stp>OPEN_INT</stp>
        <stp>.SPY150930P214</stp>
        <tr r="Q493" s="1"/>
      </tp>
      <tp>
        <v>247</v>
        <stp/>
        <stp>OPEN_INT</stp>
        <stp>.SPY150930C214</stp>
        <tr r="F493" s="1"/>
      </tp>
      <tp>
        <v>1576</v>
        <stp/>
        <stp>OPEN_INT</stp>
        <stp>.SPY150930P215</stp>
        <tr r="Q495" s="1"/>
      </tp>
      <tp>
        <v>3188</v>
        <stp/>
        <stp>OPEN_INT</stp>
        <stp>.SPY150930C215</stp>
        <tr r="F495" s="1"/>
      </tp>
      <tp t="s">
        <v>N/A</v>
        <stp/>
        <stp>OPEN_INT</stp>
        <stp>.SPY150930P216</stp>
        <tr r="Q497" s="1"/>
      </tp>
      <tp t="s">
        <v>N/A</v>
        <stp/>
        <stp>OPEN_INT</stp>
        <stp>.SPY150930C216</stp>
        <tr r="F497" s="1"/>
      </tp>
      <tp t="s">
        <v>N/A</v>
        <stp/>
        <stp>OPEN_INT</stp>
        <stp>.SPY150930P217</stp>
        <tr r="Q499" s="1"/>
      </tp>
      <tp t="s">
        <v>N/A</v>
        <stp/>
        <stp>OPEN_INT</stp>
        <stp>.SPY150930C217</stp>
        <tr r="F499" s="1"/>
      </tp>
      <tp>
        <v>1921</v>
        <stp/>
        <stp>OPEN_INT</stp>
        <stp>.SPY150930P210</stp>
        <tr r="Q485" s="1"/>
      </tp>
      <tp>
        <v>1518</v>
        <stp/>
        <stp>OPEN_INT</stp>
        <stp>.SPY150930C210</stp>
        <tr r="F485" s="1"/>
      </tp>
      <tp>
        <v>1467</v>
        <stp/>
        <stp>OPEN_INT</stp>
        <stp>.SPY150930P211</stp>
        <tr r="Q487" s="1"/>
      </tp>
      <tp>
        <v>2907</v>
        <stp/>
        <stp>OPEN_INT</stp>
        <stp>.SPY150930C211</stp>
        <tr r="F487" s="1"/>
      </tp>
      <tp>
        <v>1341</v>
        <stp/>
        <stp>OPEN_INT</stp>
        <stp>.SPY150930P212</stp>
        <tr r="Q489" s="1"/>
      </tp>
      <tp>
        <v>1873</v>
        <stp/>
        <stp>OPEN_INT</stp>
        <stp>.SPY150930C212</stp>
        <tr r="F489" s="1"/>
      </tp>
      <tp>
        <v>1655</v>
        <stp/>
        <stp>OPEN_INT</stp>
        <stp>.SPY150930P213</stp>
        <tr r="Q491" s="1"/>
      </tp>
      <tp>
        <v>126</v>
        <stp/>
        <stp>OPEN_INT</stp>
        <stp>.SPY150930C213</stp>
        <tr r="F491" s="1"/>
      </tp>
      <tp t="s">
        <v>N/A</v>
        <stp/>
        <stp>OPEN_INT</stp>
        <stp>.SPY150930P218</stp>
        <tr r="Q501" s="1"/>
      </tp>
      <tp t="s">
        <v>N/A</v>
        <stp/>
        <stp>OPEN_INT</stp>
        <stp>.SPY150930C218</stp>
        <tr r="F501" s="1"/>
      </tp>
      <tp t="s">
        <v>N/A</v>
        <stp/>
        <stp>OPEN_INT</stp>
        <stp>.SPY150930P219</stp>
        <tr r="Q503" s="1"/>
      </tp>
      <tp t="s">
        <v>N/A</v>
        <stp/>
        <stp>OPEN_INT</stp>
        <stp>.SPY150930C219</stp>
        <tr r="F503" s="1"/>
      </tp>
      <tp t="s">
        <v>N/A</v>
        <stp/>
        <stp>ASK_SIZE</stp>
        <stp>.SPY151231C218.5</stp>
        <tr r="B586" s="1"/>
      </tp>
      <tp t="s">
        <v>N/A</v>
        <stp/>
        <stp>ASK_SIZE</stp>
        <stp>.SPY151231C208.5</stp>
        <tr r="B566" s="1"/>
      </tp>
      <tp t="s">
        <v>N/A</v>
        <stp/>
        <stp>ASK_SIZE</stp>
        <stp>.SPY151219C210.5</stp>
        <tr r="B528" s="1"/>
      </tp>
      <tp t="s">
        <v>N/A</v>
        <stp/>
        <stp>ASK_SIZE</stp>
        <stp>.SPY151219C200.5</stp>
        <tr r="B508" s="1"/>
      </tp>
      <tp t="s">
        <v>N/A</v>
        <stp/>
        <stp>BID_SIZE</stp>
        <stp>.SPY161216C213.5</stp>
        <tr r="D786" s="1"/>
      </tp>
      <tp t="s">
        <v>N/A</v>
        <stp/>
        <stp>BID_SIZE</stp>
        <stp>.SPY171215C211.5</stp>
        <tr r="D908" s="1"/>
      </tp>
      <tp t="s">
        <v>N/A</v>
        <stp/>
        <stp>BID_SIZE</stp>
        <stp>.SPY161216C203.5</stp>
        <tr r="D766" s="1"/>
      </tp>
      <tp t="s">
        <v>N/A</v>
        <stp/>
        <stp>BID_SIZE</stp>
        <stp>.SPY171215C201.5</stp>
        <tr r="D888" s="1"/>
      </tp>
      <tp t="s">
        <v>N/A</v>
        <stp/>
        <stp>BID_SIZE</stp>
        <stp>.SPY151231C217.5</stp>
        <tr r="D584" s="1"/>
      </tp>
      <tp t="s">
        <v>N/A</v>
        <stp/>
        <stp>BID_SIZE</stp>
        <stp>.SPY151231C207.5</stp>
        <tr r="D564" s="1"/>
      </tp>
      <tp>
        <v>0</v>
        <stp/>
        <stp>BID_SIZE</stp>
        <stp>.SPY150417C211.5</stp>
        <tr r="D26" s="1"/>
      </tp>
      <tp>
        <v>0</v>
        <stp/>
        <stp>BID_SIZE</stp>
        <stp>.SPY150417C201.5</stp>
        <tr r="D6" s="1"/>
      </tp>
      <tp>
        <v>0</v>
        <stp/>
        <stp>BID_SIZE</stp>
        <stp>.SPY150424C202.5</stp>
        <tr r="D50" s="1"/>
      </tp>
      <tp>
        <v>0</v>
        <stp/>
        <stp>BID_SIZE</stp>
        <stp>.SPY150424C212.5</stp>
        <tr r="D70" s="1"/>
      </tp>
      <tp>
        <v>0</v>
        <stp/>
        <stp>BID_SIZE</stp>
        <stp>.SPY150501C207.5</stp>
        <tr r="D102" s="1"/>
      </tp>
      <tp>
        <v>299</v>
        <stp/>
        <stp>BID_SIZE</stp>
        <stp>.SPY150515C213.5</stp>
        <tr r="D198" s="1"/>
      </tp>
      <tp>
        <v>0</v>
        <stp/>
        <stp>BID_SIZE</stp>
        <stp>.SPY150501C217.5</stp>
        <tr r="D122" s="1"/>
      </tp>
      <tp>
        <v>349</v>
        <stp/>
        <stp>BID_SIZE</stp>
        <stp>.SPY150515C203.5</stp>
        <tr r="D178" s="1"/>
      </tp>
      <tp>
        <v>199</v>
        <stp/>
        <stp>BID_SIZE</stp>
        <stp>.SPY150522C204.5</stp>
        <tr r="D222" s="1"/>
      </tp>
      <tp>
        <v>306</v>
        <stp/>
        <stp>BID_SIZE</stp>
        <stp>.SPY150522C214.5</stp>
        <tr r="D242" s="1"/>
      </tp>
      <tp t="s">
        <v>N/A</v>
        <stp/>
        <stp>ASK_SIZE</stp>
        <stp>.SPY150630C219.5</stp>
        <tr r="B378" s="1"/>
      </tp>
      <tp t="s">
        <v>N/A</v>
        <stp/>
        <stp>ASK_SIZE</stp>
        <stp>.SPY150630C209.5</stp>
        <tr r="B358" s="1"/>
      </tp>
      <tp t="s">
        <v>N/A</v>
        <stp/>
        <stp>ASK_SIZE</stp>
        <stp>.SPY150619C210.5</stp>
        <tr r="B318" s="1"/>
      </tp>
      <tp t="s">
        <v>N/A</v>
        <stp/>
        <stp>ASK_SIZE</stp>
        <stp>.SPY150619C200.5</stp>
        <tr r="B298" s="1"/>
      </tp>
      <tp t="s">
        <v>N/A</v>
        <stp/>
        <stp>BID_SIZE</stp>
        <stp>.SPY160617C212.5</stp>
        <tr r="D700" s="1"/>
      </tp>
      <tp t="s">
        <v>N/A</v>
        <stp/>
        <stp>BID_SIZE</stp>
        <stp>.SPY160617C202.5</stp>
        <tr r="D680" s="1"/>
      </tp>
      <tp t="s">
        <v>N/A</v>
        <stp/>
        <stp>BID_SIZE</stp>
        <stp>.SPY150630C216.5</stp>
        <tr r="D372" s="1"/>
      </tp>
      <tp t="s">
        <v>N/A</v>
        <stp/>
        <stp>BID_SIZE</stp>
        <stp>.SPY150630C206.5</stp>
        <tr r="D352" s="1"/>
      </tp>
      <tp>
        <v>111</v>
        <stp/>
        <stp>ASK_SIZE</stp>
        <stp>.SPY150529C200.5</stp>
        <tr r="B256" s="1"/>
      </tp>
      <tp>
        <v>305</v>
        <stp/>
        <stp>ASK_SIZE</stp>
        <stp>.SPY150529C210.5</stp>
        <tr r="B276" s="1"/>
      </tp>
      <tp>
        <v>0</v>
        <stp/>
        <stp>ASK_SIZE</stp>
        <stp>.SPY150501C208.5</stp>
        <tr r="B104" s="1"/>
      </tp>
      <tp>
        <v>31</v>
        <stp/>
        <stp>ASK_SIZE</stp>
        <stp>.SPY150508C201.5</stp>
        <tr r="B132" s="1"/>
      </tp>
      <tp>
        <v>0</v>
        <stp/>
        <stp>ASK_SIZE</stp>
        <stp>.SPY150501C218.5</stp>
        <tr r="B124" s="1"/>
      </tp>
      <tp>
        <v>144</v>
        <stp/>
        <stp>ASK_SIZE</stp>
        <stp>.SPY150508C211.5</stp>
        <tr r="B152" s="1"/>
      </tp>
      <tp t="s">
        <v>N/A</v>
        <stp/>
        <stp>BID_SIZE</stp>
        <stp>.SPY150717C211.5</stp>
        <tr r="D404" s="1"/>
      </tp>
      <tp t="s">
        <v>N/A</v>
        <stp/>
        <stp>BID_SIZE</stp>
        <stp>.SPY150717C201.5</stp>
        <tr r="D384" s="1"/>
      </tp>
      <tp t="s">
        <v>N/A</v>
        <stp/>
        <stp>ASK_SIZE</stp>
        <stp>.SPY160318C212.5</stp>
        <tr r="B658" s="1"/>
      </tp>
      <tp t="s">
        <v>N/A</v>
        <stp/>
        <stp>ASK_SIZE</stp>
        <stp>.SPY160318C202.5</stp>
        <tr r="B638" s="1"/>
      </tp>
      <tp t="s">
        <v>N/A</v>
        <stp/>
        <stp>BID_SIZE</stp>
        <stp>.SPY160115C210.5</stp>
        <tr r="D612" s="1"/>
      </tp>
      <tp t="s">
        <v>N/A</v>
        <stp/>
        <stp>BID_SIZE</stp>
        <stp>.SPY160115C200.5</stp>
        <tr r="D592" s="1"/>
      </tp>
      <tp t="s">
        <v>N/A</v>
        <stp/>
        <stp>BID_SIZE</stp>
        <stp>.SPY170120C204.5</stp>
        <tr r="D810" s="1"/>
      </tp>
      <tp t="s">
        <v>N/A</v>
        <stp/>
        <stp>BID_SIZE</stp>
        <stp>.SPY170120C214.5</stp>
        <tr r="D830" s="1"/>
      </tp>
      <tp t="s">
        <v>N/A</v>
        <stp/>
        <stp>BID_SIZE</stp>
        <stp>.SPY170317C213.5</stp>
        <tr r="D870" s="1"/>
      </tp>
      <tp t="s">
        <v>N/A</v>
        <stp/>
        <stp>BID_SIZE</stp>
        <stp>.SPY170317C203.5</stp>
        <tr r="D850" s="1"/>
      </tp>
      <tp t="s">
        <v>N/A</v>
        <stp/>
        <stp>BID_SIZE</stp>
        <stp>.SPY160916C213.5</stp>
        <tr r="D744" s="1"/>
      </tp>
      <tp t="s">
        <v>N/A</v>
        <stp/>
        <stp>BID_SIZE</stp>
        <stp>.SPY160916C203.5</stp>
        <tr r="D724" s="1"/>
      </tp>
      <tp t="s">
        <v>N/A</v>
        <stp/>
        <stp>BID_SIZE</stp>
        <stp>.SPY150930C216.5</stp>
        <tr r="D498" s="1"/>
      </tp>
      <tp t="s">
        <v>N/A</v>
        <stp/>
        <stp>BID_SIZE</stp>
        <stp>.SPY150930C206.5</stp>
        <tr r="D478" s="1"/>
      </tp>
      <tp t="s">
        <v>N/A</v>
        <stp/>
        <stp>ASK_SIZE</stp>
        <stp>.SPY150930C219.5</stp>
        <tr r="B504" s="1"/>
      </tp>
      <tp t="s">
        <v>N/A</v>
        <stp/>
        <stp>ASK_SIZE</stp>
        <stp>.SPY150930C209.5</stp>
        <tr r="B484" s="1"/>
      </tp>
      <tp t="s">
        <v>N/A</v>
        <stp/>
        <stp>ASK_SIZE</stp>
        <stp>.SPY150918C211.5</stp>
        <tr r="B446" s="1"/>
      </tp>
      <tp t="s">
        <v>N/A</v>
        <stp/>
        <stp>ASK_SIZE</stp>
        <stp>.SPY150918C201.5</stp>
        <tr r="B426" s="1"/>
      </tp>
      <tp>
        <v>9.0399999999999991</v>
        <stp/>
        <stp>ASK</stp>
        <stp>.SPY150717C205</stp>
        <tr r="A391" s="1"/>
      </tp>
      <tp>
        <v>3.19</v>
        <stp/>
        <stp>ASK</stp>
        <stp>.SPY150717P205</stp>
        <tr r="L391" s="1"/>
      </tp>
      <tp>
        <v>9.84</v>
        <stp/>
        <stp>ASK</stp>
        <stp>.SPY150717C204</stp>
        <tr r="A389" s="1"/>
      </tp>
      <tp>
        <v>2.96</v>
        <stp/>
        <stp>ASK</stp>
        <stp>.SPY150717P204</stp>
        <tr r="L389" s="1"/>
      </tp>
      <tp>
        <v>7.51</v>
        <stp/>
        <stp>ASK</stp>
        <stp>.SPY150717C207</stp>
        <tr r="A395" s="1"/>
      </tp>
      <tp>
        <v>3.72</v>
        <stp/>
        <stp>ASK</stp>
        <stp>.SPY150717P207</stp>
        <tr r="L395" s="1"/>
      </tp>
      <tp>
        <v>8.27</v>
        <stp/>
        <stp>ASK</stp>
        <stp>.SPY150717C206</stp>
        <tr r="A393" s="1"/>
      </tp>
      <tp>
        <v>3.45</v>
        <stp/>
        <stp>ASK</stp>
        <stp>.SPY150717P206</stp>
        <tr r="L393" s="1"/>
      </tp>
      <tp>
        <v>12.32</v>
        <stp/>
        <stp>ASK</stp>
        <stp>.SPY150717C201</stp>
        <tr r="A383" s="1"/>
      </tp>
      <tp>
        <v>2.36</v>
        <stp/>
        <stp>ASK</stp>
        <stp>.SPY150717P201</stp>
        <tr r="L383" s="1"/>
      </tp>
      <tp>
        <v>13.18</v>
        <stp/>
        <stp>ASK</stp>
        <stp>.SPY150717C200</stp>
        <tr r="A381" s="1"/>
      </tp>
      <tp>
        <v>2.1800000000000002</v>
        <stp/>
        <stp>ASK</stp>
        <stp>.SPY150717P200</stp>
        <tr r="L381" s="1"/>
      </tp>
      <tp>
        <v>10.74</v>
        <stp/>
        <stp>ASK</stp>
        <stp>.SPY150717C203</stp>
        <tr r="A387" s="1"/>
      </tp>
      <tp>
        <v>2.74</v>
        <stp/>
        <stp>ASK</stp>
        <stp>.SPY150717P203</stp>
        <tr r="L387" s="1"/>
      </tp>
      <tp>
        <v>11.56</v>
        <stp/>
        <stp>ASK</stp>
        <stp>.SPY150717C202</stp>
        <tr r="A385" s="1"/>
      </tp>
      <tp>
        <v>2.54</v>
        <stp/>
        <stp>ASK</stp>
        <stp>.SPY150717P202</stp>
        <tr r="L385" s="1"/>
      </tp>
      <tp>
        <v>6.07</v>
        <stp/>
        <stp>ASK</stp>
        <stp>.SPY150717C209</stp>
        <tr r="A399" s="1"/>
      </tp>
      <tp>
        <v>4.34</v>
        <stp/>
        <stp>ASK</stp>
        <stp>.SPY150717P209</stp>
        <tr r="L399" s="1"/>
      </tp>
      <tp>
        <v>6.79</v>
        <stp/>
        <stp>ASK</stp>
        <stp>.SPY150717C208</stp>
        <tr r="A397" s="1"/>
      </tp>
      <tp>
        <v>4.0199999999999996</v>
        <stp/>
        <stp>ASK</stp>
        <stp>.SPY150717P208</stp>
        <tr r="L397" s="1"/>
      </tp>
      <tp>
        <v>2.5299999999999998</v>
        <stp/>
        <stp>ASK</stp>
        <stp>.SPY150717C215</stp>
        <tr r="A411" s="1"/>
      </tp>
      <tp>
        <v>6.99</v>
        <stp/>
        <stp>ASK</stp>
        <stp>.SPY150717P215</stp>
        <tr r="L411" s="1"/>
      </tp>
      <tp>
        <v>3.02</v>
        <stp/>
        <stp>ASK</stp>
        <stp>.SPY150717C214</stp>
        <tr r="A409" s="1"/>
      </tp>
      <tp>
        <v>6.43</v>
        <stp/>
        <stp>ASK</stp>
        <stp>.SPY150717P214</stp>
        <tr r="L409" s="1"/>
      </tp>
      <tp>
        <v>1.69</v>
        <stp/>
        <stp>ASK</stp>
        <stp>.SPY150717C217</stp>
        <tr r="A415" s="1"/>
      </tp>
      <tp>
        <v>8.19</v>
        <stp/>
        <stp>ASK</stp>
        <stp>.SPY150717P217</stp>
        <tr r="L415" s="1"/>
      </tp>
      <tp>
        <v>2.09</v>
        <stp/>
        <stp>ASK</stp>
        <stp>.SPY150717C216</stp>
        <tr r="A413" s="1"/>
      </tp>
      <tp>
        <v>7.56</v>
        <stp/>
        <stp>ASK</stp>
        <stp>.SPY150717P216</stp>
        <tr r="L413" s="1"/>
      </tp>
      <tp>
        <v>4.74</v>
        <stp/>
        <stp>ASK</stp>
        <stp>.SPY150717C211</stp>
        <tr r="A403" s="1"/>
      </tp>
      <tp>
        <v>5.0599999999999996</v>
        <stp/>
        <stp>ASK</stp>
        <stp>.SPY150717P211</stp>
        <tr r="L403" s="1"/>
      </tp>
      <tp>
        <v>5.39</v>
        <stp/>
        <stp>ASK</stp>
        <stp>.SPY150717C210</stp>
        <tr r="A401" s="1"/>
      </tp>
      <tp>
        <v>4.68</v>
        <stp/>
        <stp>ASK</stp>
        <stp>.SPY150717P210</stp>
        <tr r="L401" s="1"/>
      </tp>
      <tp>
        <v>3.55</v>
        <stp/>
        <stp>ASK</stp>
        <stp>.SPY150717C213</stp>
        <tr r="A407" s="1"/>
      </tp>
      <tp>
        <v>5.97</v>
        <stp/>
        <stp>ASK</stp>
        <stp>.SPY150717P213</stp>
        <tr r="L407" s="1"/>
      </tp>
      <tp>
        <v>4.13</v>
        <stp/>
        <stp>ASK</stp>
        <stp>.SPY150717C212</stp>
        <tr r="A405" s="1"/>
      </tp>
      <tp>
        <v>5.47</v>
        <stp/>
        <stp>ASK</stp>
        <stp>.SPY150717P212</stp>
        <tr r="L405" s="1"/>
      </tp>
      <tp>
        <v>1.05</v>
        <stp/>
        <stp>ASK</stp>
        <stp>.SPY150717C219</stp>
        <tr r="A419" s="1"/>
      </tp>
      <tp>
        <v>9.6</v>
        <stp/>
        <stp>ASK</stp>
        <stp>.SPY150717P219</stp>
        <tr r="L419" s="1"/>
      </tp>
      <tp>
        <v>1.34</v>
        <stp/>
        <stp>ASK</stp>
        <stp>.SPY150717C218</stp>
        <tr r="A417" s="1"/>
      </tp>
      <tp>
        <v>8.86</v>
        <stp/>
        <stp>ASK</stp>
        <stp>.SPY150717P218</stp>
        <tr r="L417" s="1"/>
      </tp>
      <tp>
        <v>1.01</v>
        <stp/>
        <stp>BID</stp>
        <stp>.SPY150717C219</stp>
        <tr r="C419" s="1"/>
      </tp>
      <tp>
        <v>9.36</v>
        <stp/>
        <stp>BID</stp>
        <stp>.SPY150717P219</stp>
        <tr r="N419" s="1"/>
      </tp>
      <tp>
        <v>1.28</v>
        <stp/>
        <stp>BID</stp>
        <stp>.SPY150717C218</stp>
        <tr r="C417" s="1"/>
      </tp>
      <tp>
        <v>8.65</v>
        <stp/>
        <stp>BID</stp>
        <stp>.SPY150717P218</stp>
        <tr r="N417" s="1"/>
      </tp>
      <tp>
        <v>1.63</v>
        <stp/>
        <stp>BID</stp>
        <stp>.SPY150717C217</stp>
        <tr r="C415" s="1"/>
      </tp>
      <tp>
        <v>7.96</v>
        <stp/>
        <stp>BID</stp>
        <stp>.SPY150717P217</stp>
        <tr r="N415" s="1"/>
      </tp>
      <tp>
        <v>2.02</v>
        <stp/>
        <stp>BID</stp>
        <stp>.SPY150717C216</stp>
        <tr r="C413" s="1"/>
      </tp>
      <tp>
        <v>7.35</v>
        <stp/>
        <stp>BID</stp>
        <stp>.SPY150717P216</stp>
        <tr r="N413" s="1"/>
      </tp>
      <tp>
        <v>2.46</v>
        <stp/>
        <stp>BID</stp>
        <stp>.SPY150717C215</stp>
        <tr r="C411" s="1"/>
      </tp>
      <tp>
        <v>6.79</v>
        <stp/>
        <stp>BID</stp>
        <stp>.SPY150717P215</stp>
        <tr r="N411" s="1"/>
      </tp>
      <tp>
        <v>2.95</v>
        <stp/>
        <stp>BID</stp>
        <stp>.SPY150717C214</stp>
        <tr r="C409" s="1"/>
      </tp>
      <tp>
        <v>6.27</v>
        <stp/>
        <stp>BID</stp>
        <stp>.SPY150717P214</stp>
        <tr r="N409" s="1"/>
      </tp>
      <tp>
        <v>3.48</v>
        <stp/>
        <stp>BID</stp>
        <stp>.SPY150717C213</stp>
        <tr r="C407" s="1"/>
      </tp>
      <tp>
        <v>5.82</v>
        <stp/>
        <stp>BID</stp>
        <stp>.SPY150717P213</stp>
        <tr r="N407" s="1"/>
      </tp>
      <tp>
        <v>4.0599999999999996</v>
        <stp/>
        <stp>BID</stp>
        <stp>.SPY150717C212</stp>
        <tr r="C405" s="1"/>
      </tp>
      <tp>
        <v>5.4</v>
        <stp/>
        <stp>BID</stp>
        <stp>.SPY150717P212</stp>
        <tr r="N405" s="1"/>
      </tp>
      <tp>
        <v>4.68</v>
        <stp/>
        <stp>BID</stp>
        <stp>.SPY150717C211</stp>
        <tr r="C403" s="1"/>
      </tp>
      <tp>
        <v>4.97</v>
        <stp/>
        <stp>BID</stp>
        <stp>.SPY150717P211</stp>
        <tr r="N403" s="1"/>
      </tp>
      <tp>
        <v>5.29</v>
        <stp/>
        <stp>BID</stp>
        <stp>.SPY150717C210</stp>
        <tr r="C401" s="1"/>
      </tp>
      <tp>
        <v>4.5999999999999996</v>
        <stp/>
        <stp>BID</stp>
        <stp>.SPY150717P210</stp>
        <tr r="N401" s="1"/>
      </tp>
      <tp>
        <v>5.97</v>
        <stp/>
        <stp>BID</stp>
        <stp>.SPY150717C209</stp>
        <tr r="C399" s="1"/>
      </tp>
      <tp>
        <v>4.26</v>
        <stp/>
        <stp>BID</stp>
        <stp>.SPY150717P209</stp>
        <tr r="N399" s="1"/>
      </tp>
      <tp>
        <v>6.64</v>
        <stp/>
        <stp>BID</stp>
        <stp>.SPY150717C208</stp>
        <tr r="C397" s="1"/>
      </tp>
      <tp>
        <v>3.94</v>
        <stp/>
        <stp>BID</stp>
        <stp>.SPY150717P208</stp>
        <tr r="N397" s="1"/>
      </tp>
      <tp>
        <v>7.36</v>
        <stp/>
        <stp>BID</stp>
        <stp>.SPY150717C207</stp>
        <tr r="C395" s="1"/>
      </tp>
      <tp>
        <v>3.65</v>
        <stp/>
        <stp>BID</stp>
        <stp>.SPY150717P207</stp>
        <tr r="N395" s="1"/>
      </tp>
      <tp>
        <v>8.11</v>
        <stp/>
        <stp>BID</stp>
        <stp>.SPY150717C206</stp>
        <tr r="C393" s="1"/>
      </tp>
      <tp>
        <v>3.38</v>
        <stp/>
        <stp>BID</stp>
        <stp>.SPY150717P206</stp>
        <tr r="N393" s="1"/>
      </tp>
      <tp>
        <v>8.8800000000000008</v>
        <stp/>
        <stp>BID</stp>
        <stp>.SPY150717C205</stp>
        <tr r="C391" s="1"/>
      </tp>
      <tp>
        <v>3.13</v>
        <stp/>
        <stp>BID</stp>
        <stp>.SPY150717P205</stp>
        <tr r="N391" s="1"/>
      </tp>
      <tp>
        <v>9.67</v>
        <stp/>
        <stp>BID</stp>
        <stp>.SPY150717C204</stp>
        <tr r="C389" s="1"/>
      </tp>
      <tp>
        <v>2.9</v>
        <stp/>
        <stp>BID</stp>
        <stp>.SPY150717P204</stp>
        <tr r="N389" s="1"/>
      </tp>
      <tp>
        <v>10.46</v>
        <stp/>
        <stp>BID</stp>
        <stp>.SPY150717C203</stp>
        <tr r="C387" s="1"/>
      </tp>
      <tp>
        <v>2.69</v>
        <stp/>
        <stp>BID</stp>
        <stp>.SPY150717P203</stp>
        <tr r="N387" s="1"/>
      </tp>
      <tp>
        <v>11.28</v>
        <stp/>
        <stp>BID</stp>
        <stp>.SPY150717C202</stp>
        <tr r="C385" s="1"/>
      </tp>
      <tp>
        <v>2.4900000000000002</v>
        <stp/>
        <stp>BID</stp>
        <stp>.SPY150717P202</stp>
        <tr r="N385" s="1"/>
      </tp>
      <tp>
        <v>12.14</v>
        <stp/>
        <stp>BID</stp>
        <stp>.SPY150717C201</stp>
        <tr r="C383" s="1"/>
      </tp>
      <tp>
        <v>2.2999999999999998</v>
        <stp/>
        <stp>BID</stp>
        <stp>.SPY150717P201</stp>
        <tr r="N383" s="1"/>
      </tp>
      <tp>
        <v>12.99</v>
        <stp/>
        <stp>BID</stp>
        <stp>.SPY150717C200</stp>
        <tr r="C381" s="1"/>
      </tp>
      <tp>
        <v>2.13</v>
        <stp/>
        <stp>BID</stp>
        <stp>.SPY150717P200</stp>
        <tr r="N381" s="1"/>
      </tp>
      <tp>
        <v>9.7970000000000002E-2</v>
        <stp/>
        <stp>RHO</stp>
        <stp>.SPY150717C218</stp>
        <tr r="K417" s="1"/>
      </tp>
      <tp>
        <v>-0.33946999999999999</v>
        <stp/>
        <stp>RHO</stp>
        <stp>.SPY150717P218</stp>
        <tr r="V417" s="1"/>
      </tp>
      <tp>
        <v>8.3489999999999995E-2</v>
        <stp/>
        <stp>RHO</stp>
        <stp>.SPY150717C219</stp>
        <tr r="K419" s="1"/>
      </tp>
      <tp>
        <v>-0.35510999999999998</v>
        <stp/>
        <stp>RHO</stp>
        <stp>.SPY150717P219</stp>
        <tr r="V419" s="1"/>
      </tp>
      <tp>
        <v>0.12869</v>
        <stp/>
        <stp>RHO</stp>
        <stp>.SPY150717C216</stp>
        <tr r="K413" s="1"/>
      </tp>
      <tp>
        <v>-0.30601</v>
        <stp/>
        <stp>RHO</stp>
        <stp>.SPY150717P216</stp>
        <tr r="V413" s="1"/>
      </tp>
      <tp>
        <v>0.11345</v>
        <stp/>
        <stp>RHO</stp>
        <stp>.SPY150717C217</stp>
        <tr r="K415" s="1"/>
      </tp>
      <tp>
        <v>-0.3231</v>
        <stp/>
        <stp>RHO</stp>
        <stp>.SPY150717P217</stp>
        <tr r="V415" s="1"/>
      </tp>
      <tp>
        <v>0.15759999999999999</v>
        <stp/>
        <stp>RHO</stp>
        <stp>.SPY150717C214</stp>
        <tr r="K409" s="1"/>
      </tp>
      <tp>
        <v>-0.27194000000000002</v>
        <stp/>
        <stp>RHO</stp>
        <stp>.SPY150717P214</stp>
        <tr r="V409" s="1"/>
      </tp>
      <tp>
        <v>0.14346</v>
        <stp/>
        <stp>RHO</stp>
        <stp>.SPY150717C215</stp>
        <tr r="K411" s="1"/>
      </tp>
      <tp>
        <v>-0.28877999999999998</v>
        <stp/>
        <stp>RHO</stp>
        <stp>.SPY150717P215</stp>
        <tr r="V411" s="1"/>
      </tp>
      <tp>
        <v>0.18295</v>
        <stp/>
        <stp>RHO</stp>
        <stp>.SPY150717C212</stp>
        <tr r="K405" s="1"/>
      </tp>
      <tp>
        <v>-0.23932</v>
        <stp/>
        <stp>RHO</stp>
        <stp>.SPY150717P212</stp>
        <tr r="V405" s="1"/>
      </tp>
      <tp>
        <v>0.17077000000000001</v>
        <stp/>
        <stp>RHO</stp>
        <stp>.SPY150717C213</stp>
        <tr r="K407" s="1"/>
      </tp>
      <tp>
        <v>-0.25518999999999997</v>
        <stp/>
        <stp>RHO</stp>
        <stp>.SPY150717P213</stp>
        <tr r="V407" s="1"/>
      </tp>
      <tp>
        <v>0.20374999999999999</v>
        <stp/>
        <stp>RHO</stp>
        <stp>.SPY150717C210</stp>
        <tr r="K401" s="1"/>
      </tp>
      <tp>
        <v>-0.20937</v>
        <stp/>
        <stp>RHO</stp>
        <stp>.SPY150717P210</stp>
        <tr r="V401" s="1"/>
      </tp>
      <tp>
        <v>0.19395000000000001</v>
        <stp/>
        <stp>RHO</stp>
        <stp>.SPY150717C211</stp>
        <tr r="K403" s="1"/>
      </tp>
      <tp>
        <v>-0.224</v>
        <stp/>
        <stp>RHO</stp>
        <stp>.SPY150717P211</stp>
        <tr r="V403" s="1"/>
      </tp>
      <tp>
        <v>0.21965999999999999</v>
        <stp/>
        <stp>RHO</stp>
        <stp>.SPY150717C208</stp>
        <tr r="K397" s="1"/>
      </tp>
      <tp>
        <v>-0.18251999999999999</v>
        <stp/>
        <stp>RHO</stp>
        <stp>.SPY150717P208</stp>
        <tr r="V397" s="1"/>
      </tp>
      <tp>
        <v>0.21229999999999999</v>
        <stp/>
        <stp>RHO</stp>
        <stp>.SPY150717C209</stp>
        <tr r="K399" s="1"/>
      </tp>
      <tp>
        <v>-0.19556000000000001</v>
        <stp/>
        <stp>RHO</stp>
        <stp>.SPY150717P209</stp>
        <tr r="V399" s="1"/>
      </tp>
      <tp>
        <v>0.23083999999999999</v>
        <stp/>
        <stp>RHO</stp>
        <stp>.SPY150717C206</stp>
        <tr r="K393" s="1"/>
      </tp>
      <tp>
        <v>-0.15867999999999999</v>
        <stp/>
        <stp>RHO</stp>
        <stp>.SPY150717P206</stp>
        <tr r="V393" s="1"/>
      </tp>
      <tp>
        <v>0.22585</v>
        <stp/>
        <stp>RHO</stp>
        <stp>.SPY150717C207</stp>
        <tr r="K395" s="1"/>
      </tp>
      <tp>
        <v>-0.17021</v>
        <stp/>
        <stp>RHO</stp>
        <stp>.SPY150717P207</stp>
        <tr r="V395" s="1"/>
      </tp>
      <tp>
        <v>0.23757</v>
        <stp/>
        <stp>RHO</stp>
        <stp>.SPY150717C204</stp>
        <tr r="K389" s="1"/>
      </tp>
      <tp>
        <v>-0.13764999999999999</v>
        <stp/>
        <stp>RHO</stp>
        <stp>.SPY150717P204</stp>
        <tr r="V389" s="1"/>
      </tp>
      <tp>
        <v>0.23474999999999999</v>
        <stp/>
        <stp>RHO</stp>
        <stp>.SPY150717C205</stp>
        <tr r="K391" s="1"/>
      </tp>
      <tp>
        <v>-0.14777999999999999</v>
        <stp/>
        <stp>RHO</stp>
        <stp>.SPY150717P205</stp>
        <tr r="V391" s="1"/>
      </tp>
      <tp>
        <v>0.24029</v>
        <stp/>
        <stp>RHO</stp>
        <stp>.SPY150717C202</stp>
        <tr r="K385" s="1"/>
      </tp>
      <tp>
        <v>-0.11922000000000001</v>
        <stp/>
        <stp>RHO</stp>
        <stp>.SPY150717P202</stp>
        <tr r="V385" s="1"/>
      </tp>
      <tp>
        <v>0.23937</v>
        <stp/>
        <stp>RHO</stp>
        <stp>.SPY150717C203</stp>
        <tr r="K387" s="1"/>
      </tp>
      <tp>
        <v>-0.12812999999999999</v>
        <stp/>
        <stp>RHO</stp>
        <stp>.SPY150717P203</stp>
        <tr r="V387" s="1"/>
      </tp>
      <tp>
        <v>0.23932999999999999</v>
        <stp/>
        <stp>RHO</stp>
        <stp>.SPY150717C200</stp>
        <tr r="K381" s="1"/>
      </tp>
      <tp>
        <v>-0.10304000000000001</v>
        <stp/>
        <stp>RHO</stp>
        <stp>.SPY150717P200</stp>
        <tr r="V381" s="1"/>
      </tp>
      <tp>
        <v>0.24021000000000001</v>
        <stp/>
        <stp>RHO</stp>
        <stp>.SPY150717C201</stp>
        <tr r="K383" s="1"/>
      </tp>
      <tp>
        <v>-0.11089</v>
        <stp/>
        <stp>RHO</stp>
        <stp>.SPY150717P201</stp>
        <tr r="V383" s="1"/>
      </tp>
      <tp>
        <v>240</v>
        <stp/>
        <stp>BID_SIZE</stp>
        <stp>.SPY150717P216</stp>
        <tr r="O413" s="1"/>
      </tp>
      <tp>
        <v>2726</v>
        <stp/>
        <stp>BID_SIZE</stp>
        <stp>.SPY150717C216</stp>
        <tr r="D413" s="1"/>
      </tp>
      <tp>
        <v>240</v>
        <stp/>
        <stp>BID_SIZE</stp>
        <stp>.SPY150717P217</stp>
        <tr r="O415" s="1"/>
      </tp>
      <tp>
        <v>2900</v>
        <stp/>
        <stp>BID_SIZE</stp>
        <stp>.SPY150717C217</stp>
        <tr r="D415" s="1"/>
      </tp>
      <tp>
        <v>240</v>
        <stp/>
        <stp>BID_SIZE</stp>
        <stp>.SPY150717P214</stp>
        <tr r="O409" s="1"/>
      </tp>
      <tp>
        <v>2233</v>
        <stp/>
        <stp>BID_SIZE</stp>
        <stp>.SPY150717C214</stp>
        <tr r="D409" s="1"/>
      </tp>
      <tp>
        <v>240</v>
        <stp/>
        <stp>BID_SIZE</stp>
        <stp>.SPY150717P215</stp>
        <tr r="O411" s="1"/>
      </tp>
      <tp>
        <v>2712</v>
        <stp/>
        <stp>BID_SIZE</stp>
        <stp>.SPY150717C215</stp>
        <tr r="D411" s="1"/>
      </tp>
      <tp>
        <v>10</v>
        <stp/>
        <stp>BID_SIZE</stp>
        <stp>.SPY150717P212</stp>
        <tr r="O405" s="1"/>
      </tp>
      <tp>
        <v>316</v>
        <stp/>
        <stp>BID_SIZE</stp>
        <stp>.SPY150717C212</stp>
        <tr r="D405" s="1"/>
      </tp>
      <tp>
        <v>190</v>
        <stp/>
        <stp>BID_SIZE</stp>
        <stp>.SPY150717P213</stp>
        <tr r="O407" s="1"/>
      </tp>
      <tp>
        <v>2565</v>
        <stp/>
        <stp>BID_SIZE</stp>
        <stp>.SPY150717C213</stp>
        <tr r="D407" s="1"/>
      </tp>
      <tp>
        <v>240</v>
        <stp/>
        <stp>BID_SIZE</stp>
        <stp>.SPY150717P210</stp>
        <tr r="O401" s="1"/>
      </tp>
      <tp>
        <v>2707</v>
        <stp/>
        <stp>BID_SIZE</stp>
        <stp>.SPY150717C210</stp>
        <tr r="D401" s="1"/>
      </tp>
      <tp>
        <v>356</v>
        <stp/>
        <stp>BID_SIZE</stp>
        <stp>.SPY150717P211</stp>
        <tr r="O403" s="1"/>
      </tp>
      <tp>
        <v>318</v>
        <stp/>
        <stp>BID_SIZE</stp>
        <stp>.SPY150717C211</stp>
        <tr r="D403" s="1"/>
      </tp>
      <tp>
        <v>261</v>
        <stp/>
        <stp>BID_SIZE</stp>
        <stp>.SPY150717P218</stp>
        <tr r="O417" s="1"/>
      </tp>
      <tp>
        <v>3011</v>
        <stp/>
        <stp>BID_SIZE</stp>
        <stp>.SPY150717C218</stp>
        <tr r="D417" s="1"/>
      </tp>
      <tp>
        <v>199</v>
        <stp/>
        <stp>BID_SIZE</stp>
        <stp>.SPY150717P219</stp>
        <tr r="O419" s="1"/>
      </tp>
      <tp>
        <v>2815</v>
        <stp/>
        <stp>BID_SIZE</stp>
        <stp>.SPY150717C219</stp>
        <tr r="D419" s="1"/>
      </tp>
      <tp>
        <v>240</v>
        <stp/>
        <stp>BID_SIZE</stp>
        <stp>.SPY150717P206</stp>
        <tr r="O393" s="1"/>
      </tp>
      <tp>
        <v>249</v>
        <stp/>
        <stp>BID_SIZE</stp>
        <stp>.SPY150717C206</stp>
        <tr r="D393" s="1"/>
      </tp>
      <tp>
        <v>240</v>
        <stp/>
        <stp>BID_SIZE</stp>
        <stp>.SPY150717P207</stp>
        <tr r="O395" s="1"/>
      </tp>
      <tp>
        <v>249</v>
        <stp/>
        <stp>BID_SIZE</stp>
        <stp>.SPY150717C207</stp>
        <tr r="D395" s="1"/>
      </tp>
      <tp>
        <v>199</v>
        <stp/>
        <stp>BID_SIZE</stp>
        <stp>.SPY150717P204</stp>
        <tr r="O389" s="1"/>
      </tp>
      <tp>
        <v>249</v>
        <stp/>
        <stp>BID_SIZE</stp>
        <stp>.SPY150717C204</stp>
        <tr r="D389" s="1"/>
      </tp>
      <tp>
        <v>172</v>
        <stp/>
        <stp>BID_SIZE</stp>
        <stp>.SPY150717P205</stp>
        <tr r="O391" s="1"/>
      </tp>
      <tp>
        <v>249</v>
        <stp/>
        <stp>BID_SIZE</stp>
        <stp>.SPY150717C205</stp>
        <tr r="D391" s="1"/>
      </tp>
      <tp>
        <v>150</v>
        <stp/>
        <stp>BID_SIZE</stp>
        <stp>.SPY150717P202</stp>
        <tr r="O385" s="1"/>
      </tp>
      <tp>
        <v>120</v>
        <stp/>
        <stp>BID_SIZE</stp>
        <stp>.SPY150717C202</stp>
        <tr r="D385" s="1"/>
      </tp>
      <tp>
        <v>90</v>
        <stp/>
        <stp>BID_SIZE</stp>
        <stp>.SPY150717P203</stp>
        <tr r="O387" s="1"/>
      </tp>
      <tp>
        <v>120</v>
        <stp/>
        <stp>BID_SIZE</stp>
        <stp>.SPY150717C203</stp>
        <tr r="D387" s="1"/>
      </tp>
      <tp>
        <v>338</v>
        <stp/>
        <stp>BID_SIZE</stp>
        <stp>.SPY150717P200</stp>
        <tr r="O381" s="1"/>
      </tp>
      <tp>
        <v>139</v>
        <stp/>
        <stp>BID_SIZE</stp>
        <stp>.SPY150717C200</stp>
        <tr r="D381" s="1"/>
      </tp>
      <tp>
        <v>240</v>
        <stp/>
        <stp>BID_SIZE</stp>
        <stp>.SPY150717P201</stp>
        <tr r="O383" s="1"/>
      </tp>
      <tp>
        <v>111</v>
        <stp/>
        <stp>BID_SIZE</stp>
        <stp>.SPY150717C201</stp>
        <tr r="D383" s="1"/>
      </tp>
      <tp>
        <v>264</v>
        <stp/>
        <stp>BID_SIZE</stp>
        <stp>.SPY150717P208</stp>
        <tr r="O397" s="1"/>
      </tp>
      <tp>
        <v>240</v>
        <stp/>
        <stp>BID_SIZE</stp>
        <stp>.SPY150717C208</stp>
        <tr r="D397" s="1"/>
      </tp>
      <tp>
        <v>240</v>
        <stp/>
        <stp>BID_SIZE</stp>
        <stp>.SPY150717P209</stp>
        <tr r="O399" s="1"/>
      </tp>
      <tp>
        <v>240</v>
        <stp/>
        <stp>BID_SIZE</stp>
        <stp>.SPY150717C209</stp>
        <tr r="D399" s="1"/>
      </tp>
      <tp t="s">
        <v>N/A</v>
        <stp/>
        <stp>ASK_SIZE</stp>
        <stp>.SPY150717P211.5</stp>
        <tr r="M404" s="1"/>
      </tp>
      <tp t="s">
        <v>N/A</v>
        <stp/>
        <stp>ASK_SIZE</stp>
        <stp>.SPY150717P201.5</stp>
        <tr r="M384" s="1"/>
      </tp>
      <tp>
        <v>0</v>
        <stp/>
        <stp>BID_SIZE</stp>
        <stp>.SPY150501P208.5</stp>
        <tr r="O104" s="1"/>
      </tp>
      <tp>
        <v>1200</v>
        <stp/>
        <stp>BID_SIZE</stp>
        <stp>.SPY150508P201.5</stp>
        <tr r="O132" s="1"/>
      </tp>
      <tp>
        <v>0</v>
        <stp/>
        <stp>BID_SIZE</stp>
        <stp>.SPY150501P218.5</stp>
        <tr r="O124" s="1"/>
      </tp>
      <tp>
        <v>87</v>
        <stp/>
        <stp>BID_SIZE</stp>
        <stp>.SPY150508P211.5</stp>
        <tr r="O152" s="1"/>
      </tp>
      <tp>
        <v>240</v>
        <stp/>
        <stp>BID_SIZE</stp>
        <stp>.SPY150529P200.5</stp>
        <tr r="O256" s="1"/>
      </tp>
      <tp>
        <v>2322</v>
        <stp/>
        <stp>BID_SIZE</stp>
        <stp>.SPY150529P210.5</stp>
        <tr r="O276" s="1"/>
      </tp>
      <tp t="s">
        <v>N/A</v>
        <stp/>
        <stp>ASK_SIZE</stp>
        <stp>.SPY150630P216.5</stp>
        <tr r="M372" s="1"/>
      </tp>
      <tp t="s">
        <v>N/A</v>
        <stp/>
        <stp>ASK_SIZE</stp>
        <stp>.SPY150630P206.5</stp>
        <tr r="M352" s="1"/>
      </tp>
      <tp t="s">
        <v>N/A</v>
        <stp/>
        <stp>ASK_SIZE</stp>
        <stp>.SPY160617P212.5</stp>
        <tr r="M700" s="1"/>
      </tp>
      <tp t="s">
        <v>N/A</v>
        <stp/>
        <stp>ASK_SIZE</stp>
        <stp>.SPY160617P202.5</stp>
        <tr r="M680" s="1"/>
      </tp>
      <tp t="s">
        <v>N/A</v>
        <stp/>
        <stp>BID_SIZE</stp>
        <stp>.SPY150619P210.5</stp>
        <tr r="O318" s="1"/>
      </tp>
      <tp t="s">
        <v>N/A</v>
        <stp/>
        <stp>BID_SIZE</stp>
        <stp>.SPY150619P200.5</stp>
        <tr r="O298" s="1"/>
      </tp>
      <tp t="s">
        <v>N/A</v>
        <stp/>
        <stp>BID_SIZE</stp>
        <stp>.SPY150630P219.5</stp>
        <tr r="O378" s="1"/>
      </tp>
      <tp t="s">
        <v>N/A</v>
        <stp/>
        <stp>BID_SIZE</stp>
        <stp>.SPY150630P209.5</stp>
        <tr r="O358" s="1"/>
      </tp>
      <tp>
        <v>264</v>
        <stp/>
        <stp>ASK_SIZE</stp>
        <stp>.SPY150522P204.5</stp>
        <tr r="M222" s="1"/>
      </tp>
      <tp>
        <v>160</v>
        <stp/>
        <stp>ASK_SIZE</stp>
        <stp>.SPY150522P214.5</stp>
        <tr r="M242" s="1"/>
      </tp>
      <tp>
        <v>0</v>
        <stp/>
        <stp>ASK_SIZE</stp>
        <stp>.SPY150501P207.5</stp>
        <tr r="M102" s="1"/>
      </tp>
      <tp>
        <v>349</v>
        <stp/>
        <stp>ASK_SIZE</stp>
        <stp>.SPY150515P213.5</stp>
        <tr r="M198" s="1"/>
      </tp>
      <tp>
        <v>0</v>
        <stp/>
        <stp>ASK_SIZE</stp>
        <stp>.SPY150501P217.5</stp>
        <tr r="M122" s="1"/>
      </tp>
      <tp>
        <v>2020</v>
        <stp/>
        <stp>ASK_SIZE</stp>
        <stp>.SPY150515P203.5</stp>
        <tr r="M178" s="1"/>
      </tp>
      <tp>
        <v>0</v>
        <stp/>
        <stp>ASK_SIZE</stp>
        <stp>.SPY150424P202.5</stp>
        <tr r="M50" s="1"/>
      </tp>
      <tp>
        <v>0</v>
        <stp/>
        <stp>ASK_SIZE</stp>
        <stp>.SPY150424P212.5</stp>
        <tr r="M70" s="1"/>
      </tp>
      <tp>
        <v>0</v>
        <stp/>
        <stp>ASK_SIZE</stp>
        <stp>.SPY150417P211.5</stp>
        <tr r="M26" s="1"/>
      </tp>
      <tp>
        <v>0</v>
        <stp/>
        <stp>ASK_SIZE</stp>
        <stp>.SPY150417P201.5</stp>
        <tr r="M6" s="1"/>
      </tp>
      <tp t="s">
        <v>N/A</v>
        <stp/>
        <stp>ASK_SIZE</stp>
        <stp>.SPY170317P213.5</stp>
        <tr r="M870" s="1"/>
      </tp>
      <tp t="s">
        <v>N/A</v>
        <stp/>
        <stp>ASK_SIZE</stp>
        <stp>.SPY170317P203.5</stp>
        <tr r="M850" s="1"/>
      </tp>
      <tp t="s">
        <v>N/A</v>
        <stp/>
        <stp>ASK_SIZE</stp>
        <stp>.SPY170120P204.5</stp>
        <tr r="M810" s="1"/>
      </tp>
      <tp t="s">
        <v>N/A</v>
        <stp/>
        <stp>ASK_SIZE</stp>
        <stp>.SPY170120P214.5</stp>
        <tr r="M830" s="1"/>
      </tp>
      <tp t="s">
        <v>N/A</v>
        <stp/>
        <stp>ASK_SIZE</stp>
        <stp>.SPY160115P210.5</stp>
        <tr r="M612" s="1"/>
      </tp>
      <tp t="s">
        <v>N/A</v>
        <stp/>
        <stp>ASK_SIZE</stp>
        <stp>.SPY160115P200.5</stp>
        <tr r="M592" s="1"/>
      </tp>
      <tp t="s">
        <v>N/A</v>
        <stp/>
        <stp>BID_SIZE</stp>
        <stp>.SPY160318P212.5</stp>
        <tr r="O658" s="1"/>
      </tp>
      <tp t="s">
        <v>N/A</v>
        <stp/>
        <stp>BID_SIZE</stp>
        <stp>.SPY160318P202.5</stp>
        <tr r="O638" s="1"/>
      </tp>
      <tp t="s">
        <v>N/A</v>
        <stp/>
        <stp>BID_SIZE</stp>
        <stp>.SPY150918P211.5</stp>
        <tr r="O446" s="1"/>
      </tp>
      <tp t="s">
        <v>N/A</v>
        <stp/>
        <stp>BID_SIZE</stp>
        <stp>.SPY150918P201.5</stp>
        <tr r="O426" s="1"/>
      </tp>
      <tp t="s">
        <v>N/A</v>
        <stp/>
        <stp>BID_SIZE</stp>
        <stp>.SPY150930P219.5</stp>
        <tr r="O504" s="1"/>
      </tp>
      <tp t="s">
        <v>N/A</v>
        <stp/>
        <stp>BID_SIZE</stp>
        <stp>.SPY150930P209.5</stp>
        <tr r="O484" s="1"/>
      </tp>
      <tp t="s">
        <v>N/A</v>
        <stp/>
        <stp>ASK_SIZE</stp>
        <stp>.SPY150930P216.5</stp>
        <tr r="M498" s="1"/>
      </tp>
      <tp t="s">
        <v>N/A</v>
        <stp/>
        <stp>ASK_SIZE</stp>
        <stp>.SPY150930P206.5</stp>
        <tr r="M478" s="1"/>
      </tp>
      <tp t="s">
        <v>N/A</v>
        <stp/>
        <stp>ASK_SIZE</stp>
        <stp>.SPY160916P213.5</stp>
        <tr r="M744" s="1"/>
      </tp>
      <tp t="s">
        <v>N/A</v>
        <stp/>
        <stp>ASK_SIZE</stp>
        <stp>.SPY160916P203.5</stp>
        <tr r="M724" s="1"/>
      </tp>
      <tp t="s">
        <v>N/A</v>
        <stp/>
        <stp>ASK_SIZE</stp>
        <stp>.SPY151231P217.5</stp>
        <tr r="M584" s="1"/>
      </tp>
      <tp t="s">
        <v>N/A</v>
        <stp/>
        <stp>ASK_SIZE</stp>
        <stp>.SPY151231P207.5</stp>
        <tr r="M564" s="1"/>
      </tp>
      <tp t="s">
        <v>N/A</v>
        <stp/>
        <stp>ASK_SIZE</stp>
        <stp>.SPY161216P213.5</stp>
        <tr r="M786" s="1"/>
      </tp>
      <tp t="s">
        <v>N/A</v>
        <stp/>
        <stp>ASK_SIZE</stp>
        <stp>.SPY171215P211.5</stp>
        <tr r="M908" s="1"/>
      </tp>
      <tp t="s">
        <v>N/A</v>
        <stp/>
        <stp>ASK_SIZE</stp>
        <stp>.SPY161216P203.5</stp>
        <tr r="M766" s="1"/>
      </tp>
      <tp t="s">
        <v>N/A</v>
        <stp/>
        <stp>ASK_SIZE</stp>
        <stp>.SPY171215P201.5</stp>
        <tr r="M888" s="1"/>
      </tp>
      <tp t="s">
        <v>N/A</v>
        <stp/>
        <stp>BID_SIZE</stp>
        <stp>.SPY151219P210.5</stp>
        <tr r="O528" s="1"/>
      </tp>
      <tp t="s">
        <v>N/A</v>
        <stp/>
        <stp>BID_SIZE</stp>
        <stp>.SPY151219P200.5</stp>
        <tr r="O508" s="1"/>
      </tp>
      <tp t="s">
        <v>N/A</v>
        <stp/>
        <stp>BID_SIZE</stp>
        <stp>.SPY151231P218.5</stp>
        <tr r="O586" s="1"/>
      </tp>
      <tp t="s">
        <v>N/A</v>
        <stp/>
        <stp>BID_SIZE</stp>
        <stp>.SPY151231P208.5</stp>
        <tr r="O566" s="1"/>
      </tp>
      <tp>
        <v>9052</v>
        <stp/>
        <stp>OPEN_INT</stp>
        <stp>.SPY160617P200</stp>
        <tr r="Q675" s="1"/>
      </tp>
      <tp>
        <v>4244</v>
        <stp/>
        <stp>OPEN_INT</stp>
        <stp>.SPY160617C200</stp>
        <tr r="F675" s="1"/>
      </tp>
      <tp t="s">
        <v>N/A</v>
        <stp/>
        <stp>OPEN_INT</stp>
        <stp>.SPY160617P201</stp>
        <tr r="Q677" s="1"/>
      </tp>
      <tp t="s">
        <v>N/A</v>
        <stp/>
        <stp>OPEN_INT</stp>
        <stp>.SPY160617C201</stp>
        <tr r="F677" s="1"/>
      </tp>
      <tp t="s">
        <v>N/A</v>
        <stp/>
        <stp>OPEN_INT</stp>
        <stp>.SPY160617P202</stp>
        <tr r="Q679" s="1"/>
      </tp>
      <tp t="s">
        <v>N/A</v>
        <stp/>
        <stp>OPEN_INT</stp>
        <stp>.SPY160617C202</stp>
        <tr r="F679" s="1"/>
      </tp>
      <tp t="s">
        <v>N/A</v>
        <stp/>
        <stp>OPEN_INT</stp>
        <stp>.SPY160617P203</stp>
        <tr r="Q681" s="1"/>
      </tp>
      <tp t="s">
        <v>N/A</v>
        <stp/>
        <stp>OPEN_INT</stp>
        <stp>.SPY160617C203</stp>
        <tr r="F681" s="1"/>
      </tp>
      <tp>
        <v>41700</v>
        <stp/>
        <stp>OPEN_INT</stp>
        <stp>.SPY150619P209</stp>
        <tr r="Q315" s="1"/>
      </tp>
      <tp t="s">
        <v>N/A</v>
        <stp/>
        <stp>OPEN_INT</stp>
        <stp>.SPY160617P204</stp>
        <tr r="Q683" s="1"/>
      </tp>
      <tp>
        <v>13591</v>
        <stp/>
        <stp>OPEN_INT</stp>
        <stp>.SPY150619C209</stp>
        <tr r="F315" s="1"/>
      </tp>
      <tp t="s">
        <v>N/A</v>
        <stp/>
        <stp>OPEN_INT</stp>
        <stp>.SPY160617C204</stp>
        <tr r="F683" s="1"/>
      </tp>
      <tp>
        <v>61317</v>
        <stp/>
        <stp>OPEN_INT</stp>
        <stp>.SPY150619P208</stp>
        <tr r="Q313" s="1"/>
      </tp>
      <tp>
        <v>3270</v>
        <stp/>
        <stp>OPEN_INT</stp>
        <stp>.SPY160617P205</stp>
        <tr r="Q685" s="1"/>
      </tp>
      <tp>
        <v>24324</v>
        <stp/>
        <stp>OPEN_INT</stp>
        <stp>.SPY150619C208</stp>
        <tr r="F313" s="1"/>
      </tp>
      <tp>
        <v>6517</v>
        <stp/>
        <stp>OPEN_INT</stp>
        <stp>.SPY160617C205</stp>
        <tr r="F685" s="1"/>
      </tp>
      <tp t="s">
        <v>N/A</v>
        <stp/>
        <stp>OPEN_INT</stp>
        <stp>.SPY160617P206</stp>
        <tr r="Q687" s="1"/>
      </tp>
      <tp t="s">
        <v>N/A</v>
        <stp/>
        <stp>OPEN_INT</stp>
        <stp>.SPY160617C206</stp>
        <tr r="F687" s="1"/>
      </tp>
      <tp t="s">
        <v>N/A</v>
        <stp/>
        <stp>OPEN_INT</stp>
        <stp>.SPY160617P207</stp>
        <tr r="Q689" s="1"/>
      </tp>
      <tp t="s">
        <v>N/A</v>
        <stp/>
        <stp>OPEN_INT</stp>
        <stp>.SPY160617C207</stp>
        <tr r="F689" s="1"/>
      </tp>
      <tp>
        <v>209600</v>
        <stp/>
        <stp>OPEN_INT</stp>
        <stp>.SPY150619P205</stp>
        <tr r="Q307" s="1"/>
      </tp>
      <tp t="s">
        <v>N/A</v>
        <stp/>
        <stp>OPEN_INT</stp>
        <stp>.SPY160617P208</stp>
        <tr r="Q691" s="1"/>
      </tp>
      <tp>
        <v>35923</v>
        <stp/>
        <stp>OPEN_INT</stp>
        <stp>.SPY150619C205</stp>
        <tr r="F307" s="1"/>
      </tp>
      <tp t="s">
        <v>N/A</v>
        <stp/>
        <stp>OPEN_INT</stp>
        <stp>.SPY160617C208</stp>
        <tr r="F691" s="1"/>
      </tp>
      <tp>
        <v>39748</v>
        <stp/>
        <stp>OPEN_INT</stp>
        <stp>.SPY150619P204</stp>
        <tr r="Q305" s="1"/>
      </tp>
      <tp t="s">
        <v>N/A</v>
        <stp/>
        <stp>OPEN_INT</stp>
        <stp>.SPY160617P209</stp>
        <tr r="Q693" s="1"/>
      </tp>
      <tp>
        <v>6149</v>
        <stp/>
        <stp>OPEN_INT</stp>
        <stp>.SPY150619C204</stp>
        <tr r="F305" s="1"/>
      </tp>
      <tp t="s">
        <v>N/A</v>
        <stp/>
        <stp>OPEN_INT</stp>
        <stp>.SPY160617C209</stp>
        <tr r="F693" s="1"/>
      </tp>
      <tp>
        <v>57745</v>
        <stp/>
        <stp>OPEN_INT</stp>
        <stp>.SPY150619P207</stp>
        <tr r="Q311" s="1"/>
      </tp>
      <tp>
        <v>18115</v>
        <stp/>
        <stp>OPEN_INT</stp>
        <stp>.SPY150619C207</stp>
        <tr r="F311" s="1"/>
      </tp>
      <tp>
        <v>65904</v>
        <stp/>
        <stp>OPEN_INT</stp>
        <stp>.SPY150619P206</stp>
        <tr r="Q309" s="1"/>
      </tp>
      <tp>
        <v>16701</v>
        <stp/>
        <stp>OPEN_INT</stp>
        <stp>.SPY150619C206</stp>
        <tr r="F309" s="1"/>
      </tp>
      <tp>
        <v>53746</v>
        <stp/>
        <stp>OPEN_INT</stp>
        <stp>.SPY150619P201</stp>
        <tr r="Q299" s="1"/>
      </tp>
      <tp>
        <v>1898</v>
        <stp/>
        <stp>OPEN_INT</stp>
        <stp>.SPY150619C201</stp>
        <tr r="F299" s="1"/>
      </tp>
      <tp>
        <v>193842</v>
        <stp/>
        <stp>OPEN_INT</stp>
        <stp>.SPY150619P200</stp>
        <tr r="Q297" s="1"/>
      </tp>
      <tp>
        <v>49745</v>
        <stp/>
        <stp>OPEN_INT</stp>
        <stp>.SPY150619C200</stp>
        <tr r="F297" s="1"/>
      </tp>
      <tp>
        <v>49982</v>
        <stp/>
        <stp>OPEN_INT</stp>
        <stp>.SPY150619P203</stp>
        <tr r="Q303" s="1"/>
      </tp>
      <tp>
        <v>4648</v>
        <stp/>
        <stp>OPEN_INT</stp>
        <stp>.SPY150619C203</stp>
        <tr r="F303" s="1"/>
      </tp>
      <tp>
        <v>35726</v>
        <stp/>
        <stp>OPEN_INT</stp>
        <stp>.SPY150619P202</stp>
        <tr r="Q301" s="1"/>
      </tp>
      <tp>
        <v>6969</v>
        <stp/>
        <stp>OPEN_INT</stp>
        <stp>.SPY150619C202</stp>
        <tr r="F301" s="1"/>
      </tp>
      <tp>
        <v>0</v>
        <stp/>
        <stp>ASK_SIZE</stp>
        <stp>.SPY150424P208</stp>
        <tr r="M61" s="1"/>
      </tp>
      <tp>
        <v>0</v>
        <stp/>
        <stp>ASK_SIZE</stp>
        <stp>.SPY150424C208</stp>
        <tr r="B61" s="1"/>
      </tp>
      <tp>
        <v>0</v>
        <stp/>
        <stp>ASK_SIZE</stp>
        <stp>.SPY150424P209</stp>
        <tr r="M63" s="1"/>
      </tp>
      <tp>
        <v>0</v>
        <stp/>
        <stp>ASK_SIZE</stp>
        <stp>.SPY150424C209</stp>
        <tr r="B63" s="1"/>
      </tp>
      <tp>
        <v>0</v>
        <stp/>
        <stp>ASK_SIZE</stp>
        <stp>.SPY150424P202</stp>
        <tr r="M49" s="1"/>
      </tp>
      <tp>
        <v>0</v>
        <stp/>
        <stp>ASK_SIZE</stp>
        <stp>.SPY150424C202</stp>
        <tr r="B49" s="1"/>
      </tp>
      <tp>
        <v>0</v>
        <stp/>
        <stp>ASK_SIZE</stp>
        <stp>.SPY150424P203</stp>
        <tr r="M51" s="1"/>
      </tp>
      <tp>
        <v>0</v>
        <stp/>
        <stp>ASK_SIZE</stp>
        <stp>.SPY150424C203</stp>
        <tr r="B51" s="1"/>
      </tp>
      <tp>
        <v>0</v>
        <stp/>
        <stp>ASK_SIZE</stp>
        <stp>.SPY150424P200</stp>
        <tr r="M45" s="1"/>
      </tp>
      <tp>
        <v>0</v>
        <stp/>
        <stp>ASK_SIZE</stp>
        <stp>.SPY150424C200</stp>
        <tr r="B45" s="1"/>
      </tp>
      <tp>
        <v>0</v>
        <stp/>
        <stp>ASK_SIZE</stp>
        <stp>.SPY150424P201</stp>
        <tr r="M47" s="1"/>
      </tp>
      <tp>
        <v>0</v>
        <stp/>
        <stp>ASK_SIZE</stp>
        <stp>.SPY150424C201</stp>
        <tr r="B47" s="1"/>
      </tp>
      <tp>
        <v>0</v>
        <stp/>
        <stp>ASK_SIZE</stp>
        <stp>.SPY150424P206</stp>
        <tr r="M57" s="1"/>
      </tp>
      <tp>
        <v>0</v>
        <stp/>
        <stp>ASK_SIZE</stp>
        <stp>.SPY150424C206</stp>
        <tr r="B57" s="1"/>
      </tp>
      <tp>
        <v>0</v>
        <stp/>
        <stp>ASK_SIZE</stp>
        <stp>.SPY150424P207</stp>
        <tr r="M59" s="1"/>
      </tp>
      <tp>
        <v>0</v>
        <stp/>
        <stp>ASK_SIZE</stp>
        <stp>.SPY150424C207</stp>
        <tr r="B59" s="1"/>
      </tp>
      <tp>
        <v>0</v>
        <stp/>
        <stp>ASK_SIZE</stp>
        <stp>.SPY150424P204</stp>
        <tr r="M53" s="1"/>
      </tp>
      <tp>
        <v>0</v>
        <stp/>
        <stp>ASK_SIZE</stp>
        <stp>.SPY150424C204</stp>
        <tr r="B53" s="1"/>
      </tp>
      <tp>
        <v>0</v>
        <stp/>
        <stp>ASK_SIZE</stp>
        <stp>.SPY150424P205</stp>
        <tr r="M55" s="1"/>
      </tp>
      <tp>
        <v>0</v>
        <stp/>
        <stp>ASK_SIZE</stp>
        <stp>.SPY150424C205</stp>
        <tr r="B55" s="1"/>
      </tp>
      <tp>
        <v>3385</v>
        <stp/>
        <stp>OPEN_INT</stp>
        <stp>.SPY160617P210</stp>
        <tr r="Q695" s="1"/>
      </tp>
      <tp>
        <v>4766</v>
        <stp/>
        <stp>OPEN_INT</stp>
        <stp>.SPY160617C210</stp>
        <tr r="F695" s="1"/>
      </tp>
      <tp t="s">
        <v>N/A</v>
        <stp/>
        <stp>OPEN_INT</stp>
        <stp>.SPY160617P211</stp>
        <tr r="Q697" s="1"/>
      </tp>
      <tp t="s">
        <v>N/A</v>
        <stp/>
        <stp>OPEN_INT</stp>
        <stp>.SPY160617C211</stp>
        <tr r="F697" s="1"/>
      </tp>
      <tp t="s">
        <v>N/A</v>
        <stp/>
        <stp>OPEN_INT</stp>
        <stp>.SPY160617P212</stp>
        <tr r="Q699" s="1"/>
      </tp>
      <tp t="s">
        <v>N/A</v>
        <stp/>
        <stp>OPEN_INT</stp>
        <stp>.SPY160617C212</stp>
        <tr r="F699" s="1"/>
      </tp>
      <tp t="s">
        <v>N/A</v>
        <stp/>
        <stp>OPEN_INT</stp>
        <stp>.SPY160617P213</stp>
        <tr r="Q701" s="1"/>
      </tp>
      <tp t="s">
        <v>N/A</v>
        <stp/>
        <stp>OPEN_INT</stp>
        <stp>.SPY160617C213</stp>
        <tr r="F701" s="1"/>
      </tp>
      <tp>
        <v>857</v>
        <stp/>
        <stp>OPEN_INT</stp>
        <stp>.SPY150619P219</stp>
        <tr r="Q335" s="1"/>
      </tp>
      <tp t="s">
        <v>N/A</v>
        <stp/>
        <stp>OPEN_INT</stp>
        <stp>.SPY160617P214</stp>
        <tr r="Q703" s="1"/>
      </tp>
      <tp>
        <v>72595</v>
        <stp/>
        <stp>OPEN_INT</stp>
        <stp>.SPY150619C219</stp>
        <tr r="F335" s="1"/>
      </tp>
      <tp t="s">
        <v>N/A</v>
        <stp/>
        <stp>OPEN_INT</stp>
        <stp>.SPY160617C214</stp>
        <tr r="F703" s="1"/>
      </tp>
      <tp>
        <v>1429</v>
        <stp/>
        <stp>OPEN_INT</stp>
        <stp>.SPY150619P218</stp>
        <tr r="Q333" s="1"/>
      </tp>
      <tp>
        <v>955</v>
        <stp/>
        <stp>OPEN_INT</stp>
        <stp>.SPY160617P215</stp>
        <tr r="Q705" s="1"/>
      </tp>
      <tp>
        <v>34082</v>
        <stp/>
        <stp>OPEN_INT</stp>
        <stp>.SPY150619C218</stp>
        <tr r="F333" s="1"/>
      </tp>
      <tp>
        <v>3228</v>
        <stp/>
        <stp>OPEN_INT</stp>
        <stp>.SPY160617C215</stp>
        <tr r="F705" s="1"/>
      </tp>
      <tp t="s">
        <v>N/A</v>
        <stp/>
        <stp>OPEN_INT</stp>
        <stp>.SPY160617P216</stp>
        <tr r="Q707" s="1"/>
      </tp>
      <tp t="s">
        <v>N/A</v>
        <stp/>
        <stp>OPEN_INT</stp>
        <stp>.SPY160617C216</stp>
        <tr r="F707" s="1"/>
      </tp>
      <tp t="s">
        <v>N/A</v>
        <stp/>
        <stp>OPEN_INT</stp>
        <stp>.SPY160617P217</stp>
        <tr r="Q709" s="1"/>
      </tp>
      <tp t="s">
        <v>N/A</v>
        <stp/>
        <stp>OPEN_INT</stp>
        <stp>.SPY160617C217</stp>
        <tr r="F709" s="1"/>
      </tp>
      <tp>
        <v>2685</v>
        <stp/>
        <stp>OPEN_INT</stp>
        <stp>.SPY150619P215</stp>
        <tr r="Q327" s="1"/>
      </tp>
      <tp t="s">
        <v>N/A</v>
        <stp/>
        <stp>OPEN_INT</stp>
        <stp>.SPY160617P218</stp>
        <tr r="Q711" s="1"/>
      </tp>
      <tp>
        <v>133838</v>
        <stp/>
        <stp>OPEN_INT</stp>
        <stp>.SPY150619C215</stp>
        <tr r="F327" s="1"/>
      </tp>
      <tp t="s">
        <v>N/A</v>
        <stp/>
        <stp>OPEN_INT</stp>
        <stp>.SPY160617C218</stp>
        <tr r="F711" s="1"/>
      </tp>
      <tp>
        <v>3511</v>
        <stp/>
        <stp>OPEN_INT</stp>
        <stp>.SPY150619P214</stp>
        <tr r="Q325" s="1"/>
      </tp>
      <tp t="s">
        <v>N/A</v>
        <stp/>
        <stp>OPEN_INT</stp>
        <stp>.SPY160617P219</stp>
        <tr r="Q713" s="1"/>
      </tp>
      <tp>
        <v>28969</v>
        <stp/>
        <stp>OPEN_INT</stp>
        <stp>.SPY150619C214</stp>
        <tr r="F325" s="1"/>
      </tp>
      <tp t="s">
        <v>N/A</v>
        <stp/>
        <stp>OPEN_INT</stp>
        <stp>.SPY160617C219</stp>
        <tr r="F713" s="1"/>
      </tp>
      <tp>
        <v>1717</v>
        <stp/>
        <stp>OPEN_INT</stp>
        <stp>.SPY150619P217</stp>
        <tr r="Q331" s="1"/>
      </tp>
      <tp>
        <v>42109</v>
        <stp/>
        <stp>OPEN_INT</stp>
        <stp>.SPY150619C217</stp>
        <tr r="F331" s="1"/>
      </tp>
      <tp>
        <v>1837</v>
        <stp/>
        <stp>OPEN_INT</stp>
        <stp>.SPY150619P216</stp>
        <tr r="Q329" s="1"/>
      </tp>
      <tp>
        <v>25316</v>
        <stp/>
        <stp>OPEN_INT</stp>
        <stp>.SPY150619C216</stp>
        <tr r="F329" s="1"/>
      </tp>
      <tp>
        <v>13666</v>
        <stp/>
        <stp>OPEN_INT</stp>
        <stp>.SPY150619P211</stp>
        <tr r="Q319" s="1"/>
      </tp>
      <tp>
        <v>16853</v>
        <stp/>
        <stp>OPEN_INT</stp>
        <stp>.SPY150619C211</stp>
        <tr r="F319" s="1"/>
      </tp>
      <tp>
        <v>100629</v>
        <stp/>
        <stp>OPEN_INT</stp>
        <stp>.SPY150619P210</stp>
        <tr r="Q317" s="1"/>
      </tp>
      <tp>
        <v>87303</v>
        <stp/>
        <stp>OPEN_INT</stp>
        <stp>.SPY150619C210</stp>
        <tr r="F317" s="1"/>
      </tp>
      <tp>
        <v>2852</v>
        <stp/>
        <stp>OPEN_INT</stp>
        <stp>.SPY150619P213</stp>
        <tr r="Q323" s="1"/>
      </tp>
      <tp>
        <v>30769</v>
        <stp/>
        <stp>OPEN_INT</stp>
        <stp>.SPY150619C213</stp>
        <tr r="F323" s="1"/>
      </tp>
      <tp>
        <v>5430</v>
        <stp/>
        <stp>OPEN_INT</stp>
        <stp>.SPY150619P212</stp>
        <tr r="Q321" s="1"/>
      </tp>
      <tp>
        <v>28854</v>
        <stp/>
        <stp>OPEN_INT</stp>
        <stp>.SPY150619C212</stp>
        <tr r="F321" s="1"/>
      </tp>
      <tp>
        <v>0</v>
        <stp/>
        <stp>ASK_SIZE</stp>
        <stp>.SPY150424P218</stp>
        <tr r="M81" s="1"/>
      </tp>
      <tp>
        <v>0</v>
        <stp/>
        <stp>ASK_SIZE</stp>
        <stp>.SPY150424C218</stp>
        <tr r="B81" s="1"/>
      </tp>
      <tp>
        <v>0</v>
        <stp/>
        <stp>ASK_SIZE</stp>
        <stp>.SPY150424P219</stp>
        <tr r="M83" s="1"/>
      </tp>
      <tp>
        <v>0</v>
        <stp/>
        <stp>ASK_SIZE</stp>
        <stp>.SPY150424C219</stp>
        <tr r="B83" s="1"/>
      </tp>
      <tp>
        <v>0</v>
        <stp/>
        <stp>ASK_SIZE</stp>
        <stp>.SPY150424P212</stp>
        <tr r="M69" s="1"/>
      </tp>
      <tp>
        <v>0</v>
        <stp/>
        <stp>ASK_SIZE</stp>
        <stp>.SPY150424C212</stp>
        <tr r="B69" s="1"/>
      </tp>
      <tp>
        <v>0</v>
        <stp/>
        <stp>ASK_SIZE</stp>
        <stp>.SPY150424P213</stp>
        <tr r="M71" s="1"/>
      </tp>
      <tp>
        <v>0</v>
        <stp/>
        <stp>ASK_SIZE</stp>
        <stp>.SPY150424C213</stp>
        <tr r="B71" s="1"/>
      </tp>
      <tp>
        <v>0</v>
        <stp/>
        <stp>ASK_SIZE</stp>
        <stp>.SPY150424P210</stp>
        <tr r="M65" s="1"/>
      </tp>
      <tp>
        <v>0</v>
        <stp/>
        <stp>ASK_SIZE</stp>
        <stp>.SPY150424C210</stp>
        <tr r="B65" s="1"/>
      </tp>
      <tp>
        <v>0</v>
        <stp/>
        <stp>ASK_SIZE</stp>
        <stp>.SPY150424P211</stp>
        <tr r="M67" s="1"/>
      </tp>
      <tp>
        <v>0</v>
        <stp/>
        <stp>ASK_SIZE</stp>
        <stp>.SPY150424C211</stp>
        <tr r="B67" s="1"/>
      </tp>
      <tp>
        <v>0</v>
        <stp/>
        <stp>ASK_SIZE</stp>
        <stp>.SPY150424P216</stp>
        <tr r="M77" s="1"/>
      </tp>
      <tp>
        <v>0</v>
        <stp/>
        <stp>ASK_SIZE</stp>
        <stp>.SPY150424C216</stp>
        <tr r="B77" s="1"/>
      </tp>
      <tp>
        <v>0</v>
        <stp/>
        <stp>ASK_SIZE</stp>
        <stp>.SPY150424P217</stp>
        <tr r="M79" s="1"/>
      </tp>
      <tp>
        <v>0</v>
        <stp/>
        <stp>ASK_SIZE</stp>
        <stp>.SPY150424C217</stp>
        <tr r="B79" s="1"/>
      </tp>
      <tp>
        <v>0</v>
        <stp/>
        <stp>ASK_SIZE</stp>
        <stp>.SPY150424P214</stp>
        <tr r="M73" s="1"/>
      </tp>
      <tp>
        <v>0</v>
        <stp/>
        <stp>ASK_SIZE</stp>
        <stp>.SPY150424C214</stp>
        <tr r="B73" s="1"/>
      </tp>
      <tp>
        <v>0</v>
        <stp/>
        <stp>ASK_SIZE</stp>
        <stp>.SPY150424P215</stp>
        <tr r="M75" s="1"/>
      </tp>
      <tp>
        <v>0</v>
        <stp/>
        <stp>ASK_SIZE</stp>
        <stp>.SPY150424C215</stp>
        <tr r="B75" s="1"/>
      </tp>
      <tp>
        <v>13514</v>
        <stp/>
        <stp>OPEN_INT</stp>
        <stp>.SPY150630P204</stp>
        <tr r="Q347" s="1"/>
      </tp>
      <tp>
        <v>557</v>
        <stp/>
        <stp>OPEN_INT</stp>
        <stp>.SPY150630C204</stp>
        <tr r="F347" s="1"/>
      </tp>
      <tp>
        <v>21329</v>
        <stp/>
        <stp>OPEN_INT</stp>
        <stp>.SPY150630P205</stp>
        <tr r="Q349" s="1"/>
      </tp>
      <tp>
        <v>3753</v>
        <stp/>
        <stp>OPEN_INT</stp>
        <stp>.SPY150630C205</stp>
        <tr r="F349" s="1"/>
      </tp>
      <tp>
        <v>21897</v>
        <stp/>
        <stp>OPEN_INT</stp>
        <stp>.SPY150630P206</stp>
        <tr r="Q351" s="1"/>
      </tp>
      <tp>
        <v>1839</v>
        <stp/>
        <stp>OPEN_INT</stp>
        <stp>.SPY150630C206</stp>
        <tr r="F351" s="1"/>
      </tp>
      <tp>
        <v>5875</v>
        <stp/>
        <stp>OPEN_INT</stp>
        <stp>.SPY150630P207</stp>
        <tr r="Q353" s="1"/>
      </tp>
      <tp>
        <v>1433</v>
        <stp/>
        <stp>OPEN_INT</stp>
        <stp>.SPY150630C207</stp>
        <tr r="F353" s="1"/>
      </tp>
      <tp>
        <v>77418</v>
        <stp/>
        <stp>OPEN_INT</stp>
        <stp>.SPY150630P200</stp>
        <tr r="Q339" s="1"/>
      </tp>
      <tp>
        <v>2958</v>
        <stp/>
        <stp>OPEN_INT</stp>
        <stp>.SPY150630C200</stp>
        <tr r="F339" s="1"/>
      </tp>
      <tp>
        <v>1886</v>
        <stp/>
        <stp>OPEN_INT</stp>
        <stp>.SPY150630P201</stp>
        <tr r="Q341" s="1"/>
      </tp>
      <tp>
        <v>493</v>
        <stp/>
        <stp>OPEN_INT</stp>
        <stp>.SPY150630C201</stp>
        <tr r="F341" s="1"/>
      </tp>
      <tp>
        <v>5133</v>
        <stp/>
        <stp>OPEN_INT</stp>
        <stp>.SPY150630P202</stp>
        <tr r="Q343" s="1"/>
      </tp>
      <tp>
        <v>889</v>
        <stp/>
        <stp>OPEN_INT</stp>
        <stp>.SPY150630C202</stp>
        <tr r="F343" s="1"/>
      </tp>
      <tp>
        <v>2764</v>
        <stp/>
        <stp>OPEN_INT</stp>
        <stp>.SPY150630P203</stp>
        <tr r="Q345" s="1"/>
      </tp>
      <tp>
        <v>1033</v>
        <stp/>
        <stp>OPEN_INT</stp>
        <stp>.SPY150630C203</stp>
        <tr r="F345" s="1"/>
      </tp>
      <tp>
        <v>9219</v>
        <stp/>
        <stp>OPEN_INT</stp>
        <stp>.SPY150630P208</stp>
        <tr r="Q355" s="1"/>
      </tp>
      <tp>
        <v>1005</v>
        <stp/>
        <stp>OPEN_INT</stp>
        <stp>.SPY150630C208</stp>
        <tr r="F355" s="1"/>
      </tp>
      <tp>
        <v>8387</v>
        <stp/>
        <stp>OPEN_INT</stp>
        <stp>.SPY150630P209</stp>
        <tr r="Q357" s="1"/>
      </tp>
      <tp>
        <v>2111</v>
        <stp/>
        <stp>OPEN_INT</stp>
        <stp>.SPY150630C209</stp>
        <tr r="F357" s="1"/>
      </tp>
      <tp>
        <v>0</v>
        <stp/>
        <stp>ASK_SIZE</stp>
        <stp>.SPY150417P219</stp>
        <tr r="M41" s="1"/>
      </tp>
      <tp>
        <v>0</v>
        <stp/>
        <stp>ASK_SIZE</stp>
        <stp>.SPY150417C219</stp>
        <tr r="B41" s="1"/>
      </tp>
      <tp>
        <v>0</v>
        <stp/>
        <stp>ASK_SIZE</stp>
        <stp>.SPY150417P218</stp>
        <tr r="M39" s="1"/>
      </tp>
      <tp>
        <v>0</v>
        <stp/>
        <stp>ASK_SIZE</stp>
        <stp>.SPY150417C218</stp>
        <tr r="B39" s="1"/>
      </tp>
      <tp>
        <v>0</v>
        <stp/>
        <stp>ASK_SIZE</stp>
        <stp>.SPY150417P211</stp>
        <tr r="M25" s="1"/>
      </tp>
      <tp>
        <v>0</v>
        <stp/>
        <stp>ASK_SIZE</stp>
        <stp>.SPY150417C211</stp>
        <tr r="B25" s="1"/>
      </tp>
      <tp>
        <v>0</v>
        <stp/>
        <stp>ASK_SIZE</stp>
        <stp>.SPY150417P210</stp>
        <tr r="M23" s="1"/>
      </tp>
      <tp>
        <v>0</v>
        <stp/>
        <stp>ASK_SIZE</stp>
        <stp>.SPY150417C210</stp>
        <tr r="B23" s="1"/>
      </tp>
      <tp>
        <v>0</v>
        <stp/>
        <stp>ASK_SIZE</stp>
        <stp>.SPY150417P213</stp>
        <tr r="M29" s="1"/>
      </tp>
      <tp>
        <v>0</v>
        <stp/>
        <stp>ASK_SIZE</stp>
        <stp>.SPY150417C213</stp>
        <tr r="B29" s="1"/>
      </tp>
      <tp>
        <v>0</v>
        <stp/>
        <stp>ASK_SIZE</stp>
        <stp>.SPY150417P212</stp>
        <tr r="M27" s="1"/>
      </tp>
      <tp>
        <v>0</v>
        <stp/>
        <stp>ASK_SIZE</stp>
        <stp>.SPY150417C212</stp>
        <tr r="B27" s="1"/>
      </tp>
      <tp>
        <v>0</v>
        <stp/>
        <stp>ASK_SIZE</stp>
        <stp>.SPY150417P215</stp>
        <tr r="M33" s="1"/>
      </tp>
      <tp>
        <v>0</v>
        <stp/>
        <stp>ASK_SIZE</stp>
        <stp>.SPY150417C215</stp>
        <tr r="B33" s="1"/>
      </tp>
      <tp>
        <v>0</v>
        <stp/>
        <stp>ASK_SIZE</stp>
        <stp>.SPY150417P214</stp>
        <tr r="M31" s="1"/>
      </tp>
      <tp>
        <v>0</v>
        <stp/>
        <stp>ASK_SIZE</stp>
        <stp>.SPY150417C214</stp>
        <tr r="B31" s="1"/>
      </tp>
      <tp>
        <v>0</v>
        <stp/>
        <stp>ASK_SIZE</stp>
        <stp>.SPY150417P217</stp>
        <tr r="M37" s="1"/>
      </tp>
      <tp>
        <v>0</v>
        <stp/>
        <stp>ASK_SIZE</stp>
        <stp>.SPY150417C217</stp>
        <tr r="B37" s="1"/>
      </tp>
      <tp>
        <v>0</v>
        <stp/>
        <stp>ASK_SIZE</stp>
        <stp>.SPY150417P216</stp>
        <tr r="M35" s="1"/>
      </tp>
      <tp>
        <v>0</v>
        <stp/>
        <stp>ASK_SIZE</stp>
        <stp>.SPY150417C216</stp>
        <tr r="B35" s="1"/>
      </tp>
      <tp>
        <v>72</v>
        <stp/>
        <stp>OPEN_INT</stp>
        <stp>.SPY150630P214</stp>
        <tr r="Q367" s="1"/>
      </tp>
      <tp>
        <v>1511</v>
        <stp/>
        <stp>OPEN_INT</stp>
        <stp>.SPY150630C214</stp>
        <tr r="F367" s="1"/>
      </tp>
      <tp>
        <v>613</v>
        <stp/>
        <stp>OPEN_INT</stp>
        <stp>.SPY150630P215</stp>
        <tr r="Q369" s="1"/>
      </tp>
      <tp>
        <v>60276</v>
        <stp/>
        <stp>OPEN_INT</stp>
        <stp>.SPY150630C215</stp>
        <tr r="F369" s="1"/>
      </tp>
      <tp>
        <v>428</v>
        <stp/>
        <stp>OPEN_INT</stp>
        <stp>.SPY150630P216</stp>
        <tr r="Q371" s="1"/>
      </tp>
      <tp>
        <v>3941</v>
        <stp/>
        <stp>OPEN_INT</stp>
        <stp>.SPY150630C216</stp>
        <tr r="F371" s="1"/>
      </tp>
      <tp>
        <v>221</v>
        <stp/>
        <stp>OPEN_INT</stp>
        <stp>.SPY150630P217</stp>
        <tr r="Q373" s="1"/>
      </tp>
      <tp>
        <v>4158</v>
        <stp/>
        <stp>OPEN_INT</stp>
        <stp>.SPY150630C217</stp>
        <tr r="F373" s="1"/>
      </tp>
      <tp>
        <v>12927</v>
        <stp/>
        <stp>OPEN_INT</stp>
        <stp>.SPY150630P210</stp>
        <tr r="Q359" s="1"/>
      </tp>
      <tp>
        <v>26029</v>
        <stp/>
        <stp>OPEN_INT</stp>
        <stp>.SPY150630C210</stp>
        <tr r="F359" s="1"/>
      </tp>
      <tp>
        <v>1043</v>
        <stp/>
        <stp>OPEN_INT</stp>
        <stp>.SPY150630P211</stp>
        <tr r="Q361" s="1"/>
      </tp>
      <tp>
        <v>3512</v>
        <stp/>
        <stp>OPEN_INT</stp>
        <stp>.SPY150630C211</stp>
        <tr r="F361" s="1"/>
      </tp>
      <tp>
        <v>482</v>
        <stp/>
        <stp>OPEN_INT</stp>
        <stp>.SPY150630P212</stp>
        <tr r="Q363" s="1"/>
      </tp>
      <tp>
        <v>2049</v>
        <stp/>
        <stp>OPEN_INT</stp>
        <stp>.SPY150630C212</stp>
        <tr r="F363" s="1"/>
      </tp>
      <tp>
        <v>165</v>
        <stp/>
        <stp>OPEN_INT</stp>
        <stp>.SPY150630P213</stp>
        <tr r="Q365" s="1"/>
      </tp>
      <tp>
        <v>2687</v>
        <stp/>
        <stp>OPEN_INT</stp>
        <stp>.SPY150630C213</stp>
        <tr r="F365" s="1"/>
      </tp>
      <tp>
        <v>179</v>
        <stp/>
        <stp>OPEN_INT</stp>
        <stp>.SPY150630P218</stp>
        <tr r="Q375" s="1"/>
      </tp>
      <tp>
        <v>3360</v>
        <stp/>
        <stp>OPEN_INT</stp>
        <stp>.SPY150630C218</stp>
        <tr r="F375" s="1"/>
      </tp>
      <tp>
        <v>314</v>
        <stp/>
        <stp>OPEN_INT</stp>
        <stp>.SPY150630P219</stp>
        <tr r="Q377" s="1"/>
      </tp>
      <tp>
        <v>7535</v>
        <stp/>
        <stp>OPEN_INT</stp>
        <stp>.SPY150630C219</stp>
        <tr r="F377" s="1"/>
      </tp>
      <tp>
        <v>0</v>
        <stp/>
        <stp>ASK_SIZE</stp>
        <stp>.SPY150417P209</stp>
        <tr r="M21" s="1"/>
      </tp>
      <tp>
        <v>0</v>
        <stp/>
        <stp>ASK_SIZE</stp>
        <stp>.SPY150417C209</stp>
        <tr r="B21" s="1"/>
      </tp>
      <tp>
        <v>0</v>
        <stp/>
        <stp>ASK_SIZE</stp>
        <stp>.SPY150417P208</stp>
        <tr r="M19" s="1"/>
      </tp>
      <tp>
        <v>0</v>
        <stp/>
        <stp>ASK_SIZE</stp>
        <stp>.SPY150417C208</stp>
        <tr r="B19" s="1"/>
      </tp>
      <tp>
        <v>0</v>
        <stp/>
        <stp>ASK_SIZE</stp>
        <stp>.SPY150417P201</stp>
        <tr r="M5" s="1"/>
      </tp>
      <tp>
        <v>0</v>
        <stp/>
        <stp>ASK_SIZE</stp>
        <stp>.SPY150417C201</stp>
        <tr r="B5" s="1"/>
      </tp>
      <tp>
        <v>0</v>
        <stp/>
        <stp>ASK_SIZE</stp>
        <stp>.SPY150417P200</stp>
        <tr r="M3" s="1"/>
      </tp>
      <tp>
        <v>0</v>
        <stp/>
        <stp>ASK_SIZE</stp>
        <stp>.SPY150417C200</stp>
        <tr r="B3" s="1"/>
      </tp>
      <tp>
        <v>0</v>
        <stp/>
        <stp>ASK_SIZE</stp>
        <stp>.SPY150417P203</stp>
        <tr r="M9" s="1"/>
      </tp>
      <tp>
        <v>0</v>
        <stp/>
        <stp>ASK_SIZE</stp>
        <stp>.SPY150417C203</stp>
        <tr r="B9" s="1"/>
      </tp>
      <tp>
        <v>0</v>
        <stp/>
        <stp>ASK_SIZE</stp>
        <stp>.SPY150417P202</stp>
        <tr r="M7" s="1"/>
      </tp>
      <tp>
        <v>0</v>
        <stp/>
        <stp>ASK_SIZE</stp>
        <stp>.SPY150417C202</stp>
        <tr r="B7" s="1"/>
      </tp>
      <tp>
        <v>0</v>
        <stp/>
        <stp>ASK_SIZE</stp>
        <stp>.SPY150417P205</stp>
        <tr r="M13" s="1"/>
      </tp>
      <tp>
        <v>0</v>
        <stp/>
        <stp>ASK_SIZE</stp>
        <stp>.SPY150417C205</stp>
        <tr r="B13" s="1"/>
      </tp>
      <tp>
        <v>0</v>
        <stp/>
        <stp>ASK_SIZE</stp>
        <stp>.SPY150417P204</stp>
        <tr r="M11" s="1"/>
      </tp>
      <tp>
        <v>0</v>
        <stp/>
        <stp>ASK_SIZE</stp>
        <stp>.SPY150417C204</stp>
        <tr r="B11" s="1"/>
      </tp>
      <tp>
        <v>0</v>
        <stp/>
        <stp>ASK_SIZE</stp>
        <stp>.SPY150417P207</stp>
        <tr r="M17" s="1"/>
      </tp>
      <tp>
        <v>0</v>
        <stp/>
        <stp>ASK_SIZE</stp>
        <stp>.SPY150417C207</stp>
        <tr r="B17" s="1"/>
      </tp>
      <tp>
        <v>0</v>
        <stp/>
        <stp>ASK_SIZE</stp>
        <stp>.SPY150417P206</stp>
        <tr r="M15" s="1"/>
      </tp>
      <tp>
        <v>0</v>
        <stp/>
        <stp>ASK_SIZE</stp>
        <stp>.SPY150417C206</stp>
        <tr r="B15" s="1"/>
      </tp>
      <tp t="s">
        <v>N/A</v>
        <stp/>
        <stp>ASK_SIZE</stp>
        <stp>.SPY151231C217.5</stp>
        <tr r="B584" s="1"/>
      </tp>
      <tp t="s">
        <v>N/A</v>
        <stp/>
        <stp>ASK_SIZE</stp>
        <stp>.SPY151231C207.5</stp>
        <tr r="B564" s="1"/>
      </tp>
      <tp t="s">
        <v>N/A</v>
        <stp/>
        <stp>ASK_SIZE</stp>
        <stp>.SPY161216C213.5</stp>
        <tr r="B786" s="1"/>
      </tp>
      <tp t="s">
        <v>N/A</v>
        <stp/>
        <stp>ASK_SIZE</stp>
        <stp>.SPY171215C211.5</stp>
        <tr r="B908" s="1"/>
      </tp>
      <tp t="s">
        <v>N/A</v>
        <stp/>
        <stp>ASK_SIZE</stp>
        <stp>.SPY161216C203.5</stp>
        <tr r="B766" s="1"/>
      </tp>
      <tp t="s">
        <v>N/A</v>
        <stp/>
        <stp>ASK_SIZE</stp>
        <stp>.SPY171215C201.5</stp>
        <tr r="B888" s="1"/>
      </tp>
      <tp t="s">
        <v>N/A</v>
        <stp/>
        <stp>BID_SIZE</stp>
        <stp>.SPY151219C210.5</stp>
        <tr r="D528" s="1"/>
      </tp>
      <tp t="s">
        <v>N/A</v>
        <stp/>
        <stp>BID_SIZE</stp>
        <stp>.SPY151219C200.5</stp>
        <tr r="D508" s="1"/>
      </tp>
      <tp t="s">
        <v>N/A</v>
        <stp/>
        <stp>BID_SIZE</stp>
        <stp>.SPY151231C218.5</stp>
        <tr r="D586" s="1"/>
      </tp>
      <tp t="s">
        <v>N/A</v>
        <stp/>
        <stp>BID_SIZE</stp>
        <stp>.SPY151231C208.5</stp>
        <tr r="D566" s="1"/>
      </tp>
      <tp t="s">
        <v>N/A</v>
        <stp/>
        <stp>ASK_SIZE</stp>
        <stp>.SPY150717C211.5</stp>
        <tr r="B404" s="1"/>
      </tp>
      <tp t="s">
        <v>N/A</v>
        <stp/>
        <stp>ASK_SIZE</stp>
        <stp>.SPY150717C201.5</stp>
        <tr r="B384" s="1"/>
      </tp>
      <tp>
        <v>0</v>
        <stp/>
        <stp>BID_SIZE</stp>
        <stp>.SPY150501C208.5</stp>
        <tr r="D104" s="1"/>
      </tp>
      <tp>
        <v>31</v>
        <stp/>
        <stp>BID_SIZE</stp>
        <stp>.SPY150508C201.5</stp>
        <tr r="D132" s="1"/>
      </tp>
      <tp>
        <v>0</v>
        <stp/>
        <stp>BID_SIZE</stp>
        <stp>.SPY150501C218.5</stp>
        <tr r="D124" s="1"/>
      </tp>
      <tp>
        <v>140</v>
        <stp/>
        <stp>BID_SIZE</stp>
        <stp>.SPY150508C211.5</stp>
        <tr r="D152" s="1"/>
      </tp>
      <tp>
        <v>131</v>
        <stp/>
        <stp>BID_SIZE</stp>
        <stp>.SPY150529C200.5</stp>
        <tr r="D256" s="1"/>
      </tp>
      <tp>
        <v>510</v>
        <stp/>
        <stp>BID_SIZE</stp>
        <stp>.SPY150529C210.5</stp>
        <tr r="D276" s="1"/>
      </tp>
      <tp t="s">
        <v>N/A</v>
        <stp/>
        <stp>ASK_SIZE</stp>
        <stp>.SPY150630C216.5</stp>
        <tr r="B372" s="1"/>
      </tp>
      <tp t="s">
        <v>N/A</v>
        <stp/>
        <stp>ASK_SIZE</stp>
        <stp>.SPY150630C206.5</stp>
        <tr r="B352" s="1"/>
      </tp>
      <tp t="s">
        <v>N/A</v>
        <stp/>
        <stp>ASK_SIZE</stp>
        <stp>.SPY160617C212.5</stp>
        <tr r="B700" s="1"/>
      </tp>
      <tp t="s">
        <v>N/A</v>
        <stp/>
        <stp>ASK_SIZE</stp>
        <stp>.SPY160617C202.5</stp>
        <tr r="B680" s="1"/>
      </tp>
      <tp t="s">
        <v>N/A</v>
        <stp/>
        <stp>BID_SIZE</stp>
        <stp>.SPY150619C210.5</stp>
        <tr r="D318" s="1"/>
      </tp>
      <tp t="s">
        <v>N/A</v>
        <stp/>
        <stp>BID_SIZE</stp>
        <stp>.SPY150619C200.5</stp>
        <tr r="D298" s="1"/>
      </tp>
      <tp t="s">
        <v>N/A</v>
        <stp/>
        <stp>BID_SIZE</stp>
        <stp>.SPY150630C219.5</stp>
        <tr r="D378" s="1"/>
      </tp>
      <tp t="s">
        <v>N/A</v>
        <stp/>
        <stp>BID_SIZE</stp>
        <stp>.SPY150630C209.5</stp>
        <tr r="D358" s="1"/>
      </tp>
      <tp>
        <v>199</v>
        <stp/>
        <stp>ASK_SIZE</stp>
        <stp>.SPY150522C204.5</stp>
        <tr r="B222" s="1"/>
      </tp>
      <tp>
        <v>349</v>
        <stp/>
        <stp>ASK_SIZE</stp>
        <stp>.SPY150522C214.5</stp>
        <tr r="B242" s="1"/>
      </tp>
      <tp>
        <v>0</v>
        <stp/>
        <stp>ASK_SIZE</stp>
        <stp>.SPY150501C207.5</stp>
        <tr r="B102" s="1"/>
      </tp>
      <tp>
        <v>487</v>
        <stp/>
        <stp>ASK_SIZE</stp>
        <stp>.SPY150515C213.5</stp>
        <tr r="B198" s="1"/>
      </tp>
      <tp>
        <v>0</v>
        <stp/>
        <stp>ASK_SIZE</stp>
        <stp>.SPY150501C217.5</stp>
        <tr r="B122" s="1"/>
      </tp>
      <tp>
        <v>350</v>
        <stp/>
        <stp>ASK_SIZE</stp>
        <stp>.SPY150515C203.5</stp>
        <tr r="B178" s="1"/>
      </tp>
      <tp>
        <v>0</v>
        <stp/>
        <stp>ASK_SIZE</stp>
        <stp>.SPY150424C202.5</stp>
        <tr r="B50" s="1"/>
      </tp>
      <tp>
        <v>0</v>
        <stp/>
        <stp>ASK_SIZE</stp>
        <stp>.SPY150424C212.5</stp>
        <tr r="B70" s="1"/>
      </tp>
      <tp>
        <v>0</v>
        <stp/>
        <stp>ASK_SIZE</stp>
        <stp>.SPY150417C211.5</stp>
        <tr r="B26" s="1"/>
      </tp>
      <tp>
        <v>0</v>
        <stp/>
        <stp>ASK_SIZE</stp>
        <stp>.SPY150417C201.5</stp>
        <tr r="B6" s="1"/>
      </tp>
      <tp t="s">
        <v>N/A</v>
        <stp/>
        <stp>ASK_SIZE</stp>
        <stp>.SPY170317C213.5</stp>
        <tr r="B870" s="1"/>
      </tp>
      <tp t="s">
        <v>N/A</v>
        <stp/>
        <stp>ASK_SIZE</stp>
        <stp>.SPY170317C203.5</stp>
        <tr r="B850" s="1"/>
      </tp>
      <tp t="s">
        <v>N/A</v>
        <stp/>
        <stp>ASK_SIZE</stp>
        <stp>.SPY170120C204.5</stp>
        <tr r="B810" s="1"/>
      </tp>
      <tp t="s">
        <v>N/A</v>
        <stp/>
        <stp>ASK_SIZE</stp>
        <stp>.SPY170120C214.5</stp>
        <tr r="B830" s="1"/>
      </tp>
      <tp t="s">
        <v>N/A</v>
        <stp/>
        <stp>ASK_SIZE</stp>
        <stp>.SPY160115C210.5</stp>
        <tr r="B612" s="1"/>
      </tp>
      <tp t="s">
        <v>N/A</v>
        <stp/>
        <stp>ASK_SIZE</stp>
        <stp>.SPY160115C200.5</stp>
        <tr r="B592" s="1"/>
      </tp>
      <tp t="s">
        <v>N/A</v>
        <stp/>
        <stp>BID_SIZE</stp>
        <stp>.SPY160318C212.5</stp>
        <tr r="D658" s="1"/>
      </tp>
      <tp t="s">
        <v>N/A</v>
        <stp/>
        <stp>BID_SIZE</stp>
        <stp>.SPY160318C202.5</stp>
        <tr r="D638" s="1"/>
      </tp>
      <tp t="s">
        <v>N/A</v>
        <stp/>
        <stp>BID_SIZE</stp>
        <stp>.SPY150918C211.5</stp>
        <tr r="D446" s="1"/>
      </tp>
      <tp t="s">
        <v>N/A</v>
        <stp/>
        <stp>BID_SIZE</stp>
        <stp>.SPY150918C201.5</stp>
        <tr r="D426" s="1"/>
      </tp>
      <tp t="s">
        <v>N/A</v>
        <stp/>
        <stp>BID_SIZE</stp>
        <stp>.SPY150930C219.5</stp>
        <tr r="D504" s="1"/>
      </tp>
      <tp t="s">
        <v>N/A</v>
        <stp/>
        <stp>BID_SIZE</stp>
        <stp>.SPY150930C209.5</stp>
        <tr r="D484" s="1"/>
      </tp>
      <tp t="s">
        <v>N/A</v>
        <stp/>
        <stp>ASK_SIZE</stp>
        <stp>.SPY150930C216.5</stp>
        <tr r="B498" s="1"/>
      </tp>
      <tp t="s">
        <v>N/A</v>
        <stp/>
        <stp>ASK_SIZE</stp>
        <stp>.SPY150930C206.5</stp>
        <tr r="B478" s="1"/>
      </tp>
      <tp t="s">
        <v>N/A</v>
        <stp/>
        <stp>ASK_SIZE</stp>
        <stp>.SPY160916C213.5</stp>
        <tr r="B744" s="1"/>
      </tp>
      <tp t="s">
        <v>N/A</v>
        <stp/>
        <stp>ASK_SIZE</stp>
        <stp>.SPY160916C203.5</stp>
        <tr r="B724" s="1"/>
      </tp>
      <tp>
        <v>150</v>
        <stp/>
        <stp>BID_SIZE</stp>
        <stp>.SPY150619P218</stp>
        <tr r="O333" s="1"/>
      </tp>
      <tp>
        <v>201</v>
        <stp/>
        <stp>BID_SIZE</stp>
        <stp>.SPY160617P215</stp>
        <tr r="O705" s="1"/>
      </tp>
      <tp>
        <v>2103</v>
        <stp/>
        <stp>BID_SIZE</stp>
        <stp>.SPY150619C218</stp>
        <tr r="D333" s="1"/>
      </tp>
      <tp>
        <v>1718</v>
        <stp/>
        <stp>BID_SIZE</stp>
        <stp>.SPY160617C215</stp>
        <tr r="D705" s="1"/>
      </tp>
      <tp>
        <v>249</v>
        <stp/>
        <stp>BID_SIZE</stp>
        <stp>.SPY150619P219</stp>
        <tr r="O335" s="1"/>
      </tp>
      <tp t="s">
        <v>N/A</v>
        <stp/>
        <stp>BID_SIZE</stp>
        <stp>.SPY160617P214</stp>
        <tr r="O703" s="1"/>
      </tp>
      <tp>
        <v>240</v>
        <stp/>
        <stp>BID_SIZE</stp>
        <stp>.SPY150619C219</stp>
        <tr r="D335" s="1"/>
      </tp>
      <tp t="s">
        <v>N/A</v>
        <stp/>
        <stp>BID_SIZE</stp>
        <stp>.SPY160617C214</stp>
        <tr r="D703" s="1"/>
      </tp>
      <tp t="s">
        <v>N/A</v>
        <stp/>
        <stp>BID_SIZE</stp>
        <stp>.SPY160617P217</stp>
        <tr r="O709" s="1"/>
      </tp>
      <tp t="s">
        <v>N/A</v>
        <stp/>
        <stp>BID_SIZE</stp>
        <stp>.SPY160617C217</stp>
        <tr r="D709" s="1"/>
      </tp>
      <tp t="s">
        <v>N/A</v>
        <stp/>
        <stp>BID_SIZE</stp>
        <stp>.SPY160617P216</stp>
        <tr r="O707" s="1"/>
      </tp>
      <tp t="s">
        <v>N/A</v>
        <stp/>
        <stp>BID_SIZE</stp>
        <stp>.SPY160617C216</stp>
        <tr r="D707" s="1"/>
      </tp>
      <tp t="s">
        <v>N/A</v>
        <stp/>
        <stp>BID_SIZE</stp>
        <stp>.SPY160617P211</stp>
        <tr r="O697" s="1"/>
      </tp>
      <tp t="s">
        <v>N/A</v>
        <stp/>
        <stp>BID_SIZE</stp>
        <stp>.SPY160617C211</stp>
        <tr r="D697" s="1"/>
      </tp>
      <tp>
        <v>1707</v>
        <stp/>
        <stp>BID_SIZE</stp>
        <stp>.SPY160617P210</stp>
        <tr r="O695" s="1"/>
      </tp>
      <tp>
        <v>14</v>
        <stp/>
        <stp>BID_SIZE</stp>
        <stp>.SPY160617C210</stp>
        <tr r="D695" s="1"/>
      </tp>
      <tp t="s">
        <v>N/A</v>
        <stp/>
        <stp>BID_SIZE</stp>
        <stp>.SPY160617P213</stp>
        <tr r="O701" s="1"/>
      </tp>
      <tp t="s">
        <v>N/A</v>
        <stp/>
        <stp>BID_SIZE</stp>
        <stp>.SPY160617C213</stp>
        <tr r="D701" s="1"/>
      </tp>
      <tp t="s">
        <v>N/A</v>
        <stp/>
        <stp>BID_SIZE</stp>
        <stp>.SPY160617P212</stp>
        <tr r="O699" s="1"/>
      </tp>
      <tp t="s">
        <v>N/A</v>
        <stp/>
        <stp>BID_SIZE</stp>
        <stp>.SPY160617C212</stp>
        <tr r="D699" s="1"/>
      </tp>
      <tp>
        <v>10</v>
        <stp/>
        <stp>BID_SIZE</stp>
        <stp>.SPY150619P210</stp>
        <tr r="O317" s="1"/>
      </tp>
      <tp>
        <v>264</v>
        <stp/>
        <stp>BID_SIZE</stp>
        <stp>.SPY150619C210</stp>
        <tr r="D317" s="1"/>
      </tp>
      <tp>
        <v>241</v>
        <stp/>
        <stp>BID_SIZE</stp>
        <stp>.SPY150619P211</stp>
        <tr r="O319" s="1"/>
      </tp>
      <tp>
        <v>268</v>
        <stp/>
        <stp>BID_SIZE</stp>
        <stp>.SPY150619C211</stp>
        <tr r="D319" s="1"/>
      </tp>
      <tp>
        <v>100</v>
        <stp/>
        <stp>BID_SIZE</stp>
        <stp>.SPY150619P212</stp>
        <tr r="O321" s="1"/>
      </tp>
      <tp>
        <v>195</v>
        <stp/>
        <stp>BID_SIZE</stp>
        <stp>.SPY150619C212</stp>
        <tr r="D321" s="1"/>
      </tp>
      <tp>
        <v>30</v>
        <stp/>
        <stp>BID_SIZE</stp>
        <stp>.SPY150619P213</stp>
        <tr r="O323" s="1"/>
      </tp>
      <tp>
        <v>240</v>
        <stp/>
        <stp>BID_SIZE</stp>
        <stp>.SPY150619C213</stp>
        <tr r="D323" s="1"/>
      </tp>
      <tp>
        <v>190</v>
        <stp/>
        <stp>BID_SIZE</stp>
        <stp>.SPY150619P214</stp>
        <tr r="O325" s="1"/>
      </tp>
      <tp t="s">
        <v>N/A</v>
        <stp/>
        <stp>BID_SIZE</stp>
        <stp>.SPY160617P219</stp>
        <tr r="O713" s="1"/>
      </tp>
      <tp>
        <v>240</v>
        <stp/>
        <stp>BID_SIZE</stp>
        <stp>.SPY150619C214</stp>
        <tr r="D325" s="1"/>
      </tp>
      <tp t="s">
        <v>N/A</v>
        <stp/>
        <stp>BID_SIZE</stp>
        <stp>.SPY160617C219</stp>
        <tr r="D713" s="1"/>
      </tp>
      <tp>
        <v>111</v>
        <stp/>
        <stp>BID_SIZE</stp>
        <stp>.SPY150619P215</stp>
        <tr r="O327" s="1"/>
      </tp>
      <tp t="s">
        <v>N/A</v>
        <stp/>
        <stp>BID_SIZE</stp>
        <stp>.SPY160617P218</stp>
        <tr r="O711" s="1"/>
      </tp>
      <tp>
        <v>240</v>
        <stp/>
        <stp>BID_SIZE</stp>
        <stp>.SPY150619C215</stp>
        <tr r="D327" s="1"/>
      </tp>
      <tp t="s">
        <v>N/A</v>
        <stp/>
        <stp>BID_SIZE</stp>
        <stp>.SPY160617C218</stp>
        <tr r="D711" s="1"/>
      </tp>
      <tp>
        <v>240</v>
        <stp/>
        <stp>BID_SIZE</stp>
        <stp>.SPY150619P216</stp>
        <tr r="O329" s="1"/>
      </tp>
      <tp>
        <v>779</v>
        <stp/>
        <stp>BID_SIZE</stp>
        <stp>.SPY150619C216</stp>
        <tr r="D329" s="1"/>
      </tp>
      <tp>
        <v>190</v>
        <stp/>
        <stp>BID_SIZE</stp>
        <stp>.SPY150619P217</stp>
        <tr r="O331" s="1"/>
      </tp>
      <tp>
        <v>3056</v>
        <stp/>
        <stp>BID_SIZE</stp>
        <stp>.SPY150619C217</stp>
        <tr r="D331" s="1"/>
      </tp>
      <tp>
        <v>261</v>
        <stp/>
        <stp>BID_SIZE</stp>
        <stp>.SPY150619P208</stp>
        <tr r="O313" s="1"/>
      </tp>
      <tp>
        <v>1731</v>
        <stp/>
        <stp>BID_SIZE</stp>
        <stp>.SPY160617P205</stp>
        <tr r="O685" s="1"/>
      </tp>
      <tp>
        <v>261</v>
        <stp/>
        <stp>BID_SIZE</stp>
        <stp>.SPY150619C208</stp>
        <tr r="D313" s="1"/>
      </tp>
      <tp>
        <v>178</v>
        <stp/>
        <stp>BID_SIZE</stp>
        <stp>.SPY160617C205</stp>
        <tr r="D685" s="1"/>
      </tp>
      <tp>
        <v>111</v>
        <stp/>
        <stp>BID_SIZE</stp>
        <stp>.SPY150619P209</stp>
        <tr r="O315" s="1"/>
      </tp>
      <tp t="s">
        <v>N/A</v>
        <stp/>
        <stp>BID_SIZE</stp>
        <stp>.SPY160617P204</stp>
        <tr r="O683" s="1"/>
      </tp>
      <tp>
        <v>240</v>
        <stp/>
        <stp>BID_SIZE</stp>
        <stp>.SPY150619C209</stp>
        <tr r="D315" s="1"/>
      </tp>
      <tp t="s">
        <v>N/A</v>
        <stp/>
        <stp>BID_SIZE</stp>
        <stp>.SPY160617C204</stp>
        <tr r="D683" s="1"/>
      </tp>
      <tp t="s">
        <v>N/A</v>
        <stp/>
        <stp>BID_SIZE</stp>
        <stp>.SPY160617P207</stp>
        <tr r="O689" s="1"/>
      </tp>
      <tp t="s">
        <v>N/A</v>
        <stp/>
        <stp>BID_SIZE</stp>
        <stp>.SPY160617C207</stp>
        <tr r="D689" s="1"/>
      </tp>
      <tp t="s">
        <v>N/A</v>
        <stp/>
        <stp>BID_SIZE</stp>
        <stp>.SPY160617P206</stp>
        <tr r="O687" s="1"/>
      </tp>
      <tp t="s">
        <v>N/A</v>
        <stp/>
        <stp>BID_SIZE</stp>
        <stp>.SPY160617C206</stp>
        <tr r="D687" s="1"/>
      </tp>
      <tp t="s">
        <v>N/A</v>
        <stp/>
        <stp>BID_SIZE</stp>
        <stp>.SPY160617P201</stp>
        <tr r="O677" s="1"/>
      </tp>
      <tp t="s">
        <v>N/A</v>
        <stp/>
        <stp>BID_SIZE</stp>
        <stp>.SPY160617C201</stp>
        <tr r="D677" s="1"/>
      </tp>
      <tp>
        <v>10</v>
        <stp/>
        <stp>BID_SIZE</stp>
        <stp>.SPY160617P200</stp>
        <tr r="O675" s="1"/>
      </tp>
      <tp>
        <v>213</v>
        <stp/>
        <stp>BID_SIZE</stp>
        <stp>.SPY160617C200</stp>
        <tr r="D675" s="1"/>
      </tp>
      <tp t="s">
        <v>N/A</v>
        <stp/>
        <stp>BID_SIZE</stp>
        <stp>.SPY160617P203</stp>
        <tr r="O681" s="1"/>
      </tp>
      <tp t="s">
        <v>N/A</v>
        <stp/>
        <stp>BID_SIZE</stp>
        <stp>.SPY160617C203</stp>
        <tr r="D681" s="1"/>
      </tp>
      <tp t="s">
        <v>N/A</v>
        <stp/>
        <stp>BID_SIZE</stp>
        <stp>.SPY160617P202</stp>
        <tr r="O679" s="1"/>
      </tp>
      <tp t="s">
        <v>N/A</v>
        <stp/>
        <stp>BID_SIZE</stp>
        <stp>.SPY160617C202</stp>
        <tr r="D679" s="1"/>
      </tp>
      <tp>
        <v>316</v>
        <stp/>
        <stp>BID_SIZE</stp>
        <stp>.SPY150619P200</stp>
        <tr r="O297" s="1"/>
      </tp>
      <tp>
        <v>111</v>
        <stp/>
        <stp>BID_SIZE</stp>
        <stp>.SPY150619C200</stp>
        <tr r="D297" s="1"/>
      </tp>
      <tp>
        <v>240</v>
        <stp/>
        <stp>BID_SIZE</stp>
        <stp>.SPY150619P201</stp>
        <tr r="O299" s="1"/>
      </tp>
      <tp>
        <v>99</v>
        <stp/>
        <stp>BID_SIZE</stp>
        <stp>.SPY150619C201</stp>
        <tr r="D299" s="1"/>
      </tp>
      <tp>
        <v>307</v>
        <stp/>
        <stp>BID_SIZE</stp>
        <stp>.SPY150619P202</stp>
        <tr r="O301" s="1"/>
      </tp>
      <tp>
        <v>111</v>
        <stp/>
        <stp>BID_SIZE</stp>
        <stp>.SPY150619C202</stp>
        <tr r="D301" s="1"/>
      </tp>
      <tp>
        <v>164</v>
        <stp/>
        <stp>BID_SIZE</stp>
        <stp>.SPY150619P203</stp>
        <tr r="O303" s="1"/>
      </tp>
      <tp>
        <v>249</v>
        <stp/>
        <stp>BID_SIZE</stp>
        <stp>.SPY150619C203</stp>
        <tr r="D303" s="1"/>
      </tp>
      <tp>
        <v>240</v>
        <stp/>
        <stp>BID_SIZE</stp>
        <stp>.SPY150619P204</stp>
        <tr r="O305" s="1"/>
      </tp>
      <tp t="s">
        <v>N/A</v>
        <stp/>
        <stp>BID_SIZE</stp>
        <stp>.SPY160617P209</stp>
        <tr r="O693" s="1"/>
      </tp>
      <tp>
        <v>151</v>
        <stp/>
        <stp>BID_SIZE</stp>
        <stp>.SPY150619C204</stp>
        <tr r="D305" s="1"/>
      </tp>
      <tp t="s">
        <v>N/A</v>
        <stp/>
        <stp>BID_SIZE</stp>
        <stp>.SPY160617C209</stp>
        <tr r="D693" s="1"/>
      </tp>
      <tp>
        <v>240</v>
        <stp/>
        <stp>BID_SIZE</stp>
        <stp>.SPY150619P205</stp>
        <tr r="O307" s="1"/>
      </tp>
      <tp t="s">
        <v>N/A</v>
        <stp/>
        <stp>BID_SIZE</stp>
        <stp>.SPY160617P208</stp>
        <tr r="O691" s="1"/>
      </tp>
      <tp>
        <v>249</v>
        <stp/>
        <stp>BID_SIZE</stp>
        <stp>.SPY150619C205</stp>
        <tr r="D307" s="1"/>
      </tp>
      <tp t="s">
        <v>N/A</v>
        <stp/>
        <stp>BID_SIZE</stp>
        <stp>.SPY160617C208</stp>
        <tr r="D691" s="1"/>
      </tp>
      <tp>
        <v>260</v>
        <stp/>
        <stp>BID_SIZE</stp>
        <stp>.SPY150619P206</stp>
        <tr r="O309" s="1"/>
      </tp>
      <tp>
        <v>336</v>
        <stp/>
        <stp>BID_SIZE</stp>
        <stp>.SPY150619C206</stp>
        <tr r="D309" s="1"/>
      </tp>
      <tp>
        <v>155</v>
        <stp/>
        <stp>BID_SIZE</stp>
        <stp>.SPY150619P207</stp>
        <tr r="O311" s="1"/>
      </tp>
      <tp>
        <v>273</v>
        <stp/>
        <stp>BID_SIZE</stp>
        <stp>.SPY150619C207</stp>
        <tr r="D311" s="1"/>
      </tp>
      <tp>
        <v>249</v>
        <stp/>
        <stp>BID_SIZE</stp>
        <stp>.SPY150630P211</stp>
        <tr r="O361" s="1"/>
      </tp>
      <tp>
        <v>236</v>
        <stp/>
        <stp>BID_SIZE</stp>
        <stp>.SPY150630C211</stp>
        <tr r="D361" s="1"/>
      </tp>
      <tp>
        <v>283</v>
        <stp/>
        <stp>BID_SIZE</stp>
        <stp>.SPY150630P210</stp>
        <tr r="O359" s="1"/>
      </tp>
      <tp>
        <v>2730</v>
        <stp/>
        <stp>BID_SIZE</stp>
        <stp>.SPY150630C210</stp>
        <tr r="D359" s="1"/>
      </tp>
      <tp>
        <v>240</v>
        <stp/>
        <stp>BID_SIZE</stp>
        <stp>.SPY150630P213</stp>
        <tr r="O365" s="1"/>
      </tp>
      <tp>
        <v>283</v>
        <stp/>
        <stp>BID_SIZE</stp>
        <stp>.SPY150630C213</stp>
        <tr r="D365" s="1"/>
      </tp>
      <tp>
        <v>457</v>
        <stp/>
        <stp>BID_SIZE</stp>
        <stp>.SPY150630P212</stp>
        <tr r="O363" s="1"/>
      </tp>
      <tp>
        <v>256</v>
        <stp/>
        <stp>BID_SIZE</stp>
        <stp>.SPY150630C212</stp>
        <tr r="D363" s="1"/>
      </tp>
      <tp>
        <v>240</v>
        <stp/>
        <stp>BID_SIZE</stp>
        <stp>.SPY150630P215</stp>
        <tr r="O369" s="1"/>
      </tp>
      <tp>
        <v>150</v>
        <stp/>
        <stp>BID_SIZE</stp>
        <stp>.SPY150630C215</stp>
        <tr r="D369" s="1"/>
      </tp>
      <tp>
        <v>240</v>
        <stp/>
        <stp>BID_SIZE</stp>
        <stp>.SPY150630P214</stp>
        <tr r="O367" s="1"/>
      </tp>
      <tp>
        <v>492</v>
        <stp/>
        <stp>BID_SIZE</stp>
        <stp>.SPY150630C214</stp>
        <tr r="D367" s="1"/>
      </tp>
      <tp>
        <v>261</v>
        <stp/>
        <stp>BID_SIZE</stp>
        <stp>.SPY150630P217</stp>
        <tr r="O373" s="1"/>
      </tp>
      <tp>
        <v>460</v>
        <stp/>
        <stp>BID_SIZE</stp>
        <stp>.SPY150630C217</stp>
        <tr r="D373" s="1"/>
      </tp>
      <tp>
        <v>240</v>
        <stp/>
        <stp>BID_SIZE</stp>
        <stp>.SPY150630P216</stp>
        <tr r="O371" s="1"/>
      </tp>
      <tp>
        <v>150</v>
        <stp/>
        <stp>BID_SIZE</stp>
        <stp>.SPY150630C216</stp>
        <tr r="D371" s="1"/>
      </tp>
      <tp>
        <v>240</v>
        <stp/>
        <stp>BID_SIZE</stp>
        <stp>.SPY150630P219</stp>
        <tr r="O377" s="1"/>
      </tp>
      <tp>
        <v>2722</v>
        <stp/>
        <stp>BID_SIZE</stp>
        <stp>.SPY150630C219</stp>
        <tr r="D377" s="1"/>
      </tp>
      <tp>
        <v>240</v>
        <stp/>
        <stp>BID_SIZE</stp>
        <stp>.SPY150630P218</stp>
        <tr r="O375" s="1"/>
      </tp>
      <tp>
        <v>2576</v>
        <stp/>
        <stp>BID_SIZE</stp>
        <stp>.SPY150630C218</stp>
        <tr r="D375" s="1"/>
      </tp>
      <tp t="s">
        <v>N/A</v>
        <stp/>
        <stp>ASK_SIZE</stp>
        <stp>.SPY150717P210.5</stp>
        <tr r="M402" s="1"/>
      </tp>
      <tp t="s">
        <v>N/A</v>
        <stp/>
        <stp>ASK_SIZE</stp>
        <stp>.SPY150717P200.5</stp>
        <tr r="M382" s="1"/>
      </tp>
      <tp>
        <v>0</v>
        <stp/>
        <stp>BID_SIZE</stp>
        <stp>.SPY150501P209.5</stp>
        <tr r="O106" s="1"/>
      </tp>
      <tp>
        <v>1200</v>
        <stp/>
        <stp>BID_SIZE</stp>
        <stp>.SPY150508P200.5</stp>
        <tr r="O130" s="1"/>
      </tp>
      <tp>
        <v>0</v>
        <stp/>
        <stp>BID_SIZE</stp>
        <stp>.SPY150501P219.5</stp>
        <tr r="O126" s="1"/>
      </tp>
      <tp>
        <v>215</v>
        <stp/>
        <stp>BID_SIZE</stp>
        <stp>.SPY150508P210.5</stp>
        <tr r="O150" s="1"/>
      </tp>
      <tp>
        <v>240</v>
        <stp/>
        <stp>BID_SIZE</stp>
        <stp>.SPY150529P201.5</stp>
        <tr r="O258" s="1"/>
      </tp>
      <tp>
        <v>2311</v>
        <stp/>
        <stp>BID_SIZE</stp>
        <stp>.SPY150529P211.5</stp>
        <tr r="O278" s="1"/>
      </tp>
      <tp t="s">
        <v>N/A</v>
        <stp/>
        <stp>ASK_SIZE</stp>
        <stp>.SPY150630P217.5</stp>
        <tr r="M374" s="1"/>
      </tp>
      <tp t="s">
        <v>N/A</v>
        <stp/>
        <stp>ASK_SIZE</stp>
        <stp>.SPY150630P207.5</stp>
        <tr r="M354" s="1"/>
      </tp>
      <tp t="s">
        <v>N/A</v>
        <stp/>
        <stp>ASK_SIZE</stp>
        <stp>.SPY160617P213.5</stp>
        <tr r="M702" s="1"/>
      </tp>
      <tp t="s">
        <v>N/A</v>
        <stp/>
        <stp>ASK_SIZE</stp>
        <stp>.SPY160617P203.5</stp>
        <tr r="M682" s="1"/>
      </tp>
      <tp t="s">
        <v>N/A</v>
        <stp/>
        <stp>BID_SIZE</stp>
        <stp>.SPY150619P211.5</stp>
        <tr r="O320" s="1"/>
      </tp>
      <tp t="s">
        <v>N/A</v>
        <stp/>
        <stp>BID_SIZE</stp>
        <stp>.SPY150619P201.5</stp>
        <tr r="O300" s="1"/>
      </tp>
      <tp t="s">
        <v>N/A</v>
        <stp/>
        <stp>BID_SIZE</stp>
        <stp>.SPY150630P218.5</stp>
        <tr r="O376" s="1"/>
      </tp>
      <tp t="s">
        <v>N/A</v>
        <stp/>
        <stp>BID_SIZE</stp>
        <stp>.SPY150630P208.5</stp>
        <tr r="O356" s="1"/>
      </tp>
      <tp>
        <v>233</v>
        <stp/>
        <stp>ASK_SIZE</stp>
        <stp>.SPY150522P205.5</stp>
        <tr r="M224" s="1"/>
      </tp>
      <tp>
        <v>199</v>
        <stp/>
        <stp>ASK_SIZE</stp>
        <stp>.SPY150522P215.5</stp>
        <tr r="M244" s="1"/>
      </tp>
      <tp>
        <v>0</v>
        <stp/>
        <stp>ASK_SIZE</stp>
        <stp>.SPY150501P206.5</stp>
        <tr r="M100" s="1"/>
      </tp>
      <tp>
        <v>1300</v>
        <stp/>
        <stp>ASK_SIZE</stp>
        <stp>.SPY150515P212.5</stp>
        <tr r="M196" s="1"/>
      </tp>
      <tp>
        <v>0</v>
        <stp/>
        <stp>ASK_SIZE</stp>
        <stp>.SPY150501P216.5</stp>
        <tr r="M120" s="1"/>
      </tp>
      <tp>
        <v>3093</v>
        <stp/>
        <stp>ASK_SIZE</stp>
        <stp>.SPY150515P202.5</stp>
        <tr r="M176" s="1"/>
      </tp>
      <tp>
        <v>0</v>
        <stp/>
        <stp>ASK_SIZE</stp>
        <stp>.SPY150424P203.5</stp>
        <tr r="M52" s="1"/>
      </tp>
      <tp>
        <v>0</v>
        <stp/>
        <stp>ASK_SIZE</stp>
        <stp>.SPY150424P213.5</stp>
        <tr r="M72" s="1"/>
      </tp>
      <tp>
        <v>0</v>
        <stp/>
        <stp>ASK_SIZE</stp>
        <stp>.SPY150417P210.5</stp>
        <tr r="M24" s="1"/>
      </tp>
      <tp>
        <v>0</v>
        <stp/>
        <stp>ASK_SIZE</stp>
        <stp>.SPY150417P200.5</stp>
        <tr r="M4" s="1"/>
      </tp>
      <tp t="s">
        <v>N/A</v>
        <stp/>
        <stp>ASK_SIZE</stp>
        <stp>.SPY170317P212.5</stp>
        <tr r="M868" s="1"/>
      </tp>
      <tp t="s">
        <v>N/A</v>
        <stp/>
        <stp>ASK_SIZE</stp>
        <stp>.SPY170317P202.5</stp>
        <tr r="M848" s="1"/>
      </tp>
      <tp t="s">
        <v>N/A</v>
        <stp/>
        <stp>ASK_SIZE</stp>
        <stp>.SPY170120P205.5</stp>
        <tr r="M812" s="1"/>
      </tp>
      <tp t="s">
        <v>N/A</v>
        <stp/>
        <stp>ASK_SIZE</stp>
        <stp>.SPY170120P215.5</stp>
        <tr r="M832" s="1"/>
      </tp>
      <tp t="s">
        <v>N/A</v>
        <stp/>
        <stp>ASK_SIZE</stp>
        <stp>.SPY160115P211.5</stp>
        <tr r="M614" s="1"/>
      </tp>
      <tp t="s">
        <v>N/A</v>
        <stp/>
        <stp>ASK_SIZE</stp>
        <stp>.SPY160115P201.5</stp>
        <tr r="M594" s="1"/>
      </tp>
      <tp t="s">
        <v>N/A</v>
        <stp/>
        <stp>BID_SIZE</stp>
        <stp>.SPY160318P213.5</stp>
        <tr r="O660" s="1"/>
      </tp>
      <tp t="s">
        <v>N/A</v>
        <stp/>
        <stp>BID_SIZE</stp>
        <stp>.SPY160318P203.5</stp>
        <tr r="O640" s="1"/>
      </tp>
      <tp t="s">
        <v>N/A</v>
        <stp/>
        <stp>BID_SIZE</stp>
        <stp>.SPY150918P210.5</stp>
        <tr r="O444" s="1"/>
      </tp>
      <tp t="s">
        <v>N/A</v>
        <stp/>
        <stp>BID_SIZE</stp>
        <stp>.SPY150918P200.5</stp>
        <tr r="O424" s="1"/>
      </tp>
      <tp t="s">
        <v>N/A</v>
        <stp/>
        <stp>BID_SIZE</stp>
        <stp>.SPY150930P218.5</stp>
        <tr r="O502" s="1"/>
      </tp>
      <tp t="s">
        <v>N/A</v>
        <stp/>
        <stp>BID_SIZE</stp>
        <stp>.SPY150930P208.5</stp>
        <tr r="O482" s="1"/>
      </tp>
      <tp t="s">
        <v>N/A</v>
        <stp/>
        <stp>ASK_SIZE</stp>
        <stp>.SPY150930P217.5</stp>
        <tr r="M500" s="1"/>
      </tp>
      <tp t="s">
        <v>N/A</v>
        <stp/>
        <stp>ASK_SIZE</stp>
        <stp>.SPY150930P207.5</stp>
        <tr r="M480" s="1"/>
      </tp>
      <tp t="s">
        <v>N/A</v>
        <stp/>
        <stp>ASK_SIZE</stp>
        <stp>.SPY160916P212.5</stp>
        <tr r="M742" s="1"/>
      </tp>
      <tp t="s">
        <v>N/A</v>
        <stp/>
        <stp>ASK_SIZE</stp>
        <stp>.SPY160916P202.5</stp>
        <tr r="M722" s="1"/>
      </tp>
      <tp>
        <v>240</v>
        <stp/>
        <stp>BID_SIZE</stp>
        <stp>.SPY150630P201</stp>
        <tr r="O341" s="1"/>
      </tp>
      <tp>
        <v>111</v>
        <stp/>
        <stp>BID_SIZE</stp>
        <stp>.SPY150630C201</stp>
        <tr r="D341" s="1"/>
      </tp>
      <tp>
        <v>250</v>
        <stp/>
        <stp>BID_SIZE</stp>
        <stp>.SPY150630P200</stp>
        <tr r="O339" s="1"/>
      </tp>
      <tp>
        <v>111</v>
        <stp/>
        <stp>BID_SIZE</stp>
        <stp>.SPY150630C200</stp>
        <tr r="D339" s="1"/>
      </tp>
      <tp>
        <v>250</v>
        <stp/>
        <stp>BID_SIZE</stp>
        <stp>.SPY150630P203</stp>
        <tr r="O345" s="1"/>
      </tp>
      <tp>
        <v>111</v>
        <stp/>
        <stp>BID_SIZE</stp>
        <stp>.SPY150630C203</stp>
        <tr r="D345" s="1"/>
      </tp>
      <tp>
        <v>254</v>
        <stp/>
        <stp>BID_SIZE</stp>
        <stp>.SPY150630P202</stp>
        <tr r="O343" s="1"/>
      </tp>
      <tp>
        <v>111</v>
        <stp/>
        <stp>BID_SIZE</stp>
        <stp>.SPY150630C202</stp>
        <tr r="D343" s="1"/>
      </tp>
      <tp>
        <v>249</v>
        <stp/>
        <stp>BID_SIZE</stp>
        <stp>.SPY150630P205</stp>
        <tr r="O349" s="1"/>
      </tp>
      <tp>
        <v>261</v>
        <stp/>
        <stp>BID_SIZE</stp>
        <stp>.SPY150630C205</stp>
        <tr r="D349" s="1"/>
      </tp>
      <tp>
        <v>259</v>
        <stp/>
        <stp>BID_SIZE</stp>
        <stp>.SPY150630P204</stp>
        <tr r="O347" s="1"/>
      </tp>
      <tp>
        <v>250</v>
        <stp/>
        <stp>BID_SIZE</stp>
        <stp>.SPY150630C204</stp>
        <tr r="D347" s="1"/>
      </tp>
      <tp>
        <v>240</v>
        <stp/>
        <stp>BID_SIZE</stp>
        <stp>.SPY150630P207</stp>
        <tr r="O353" s="1"/>
      </tp>
      <tp>
        <v>271</v>
        <stp/>
        <stp>BID_SIZE</stp>
        <stp>.SPY150630C207</stp>
        <tr r="D353" s="1"/>
      </tp>
      <tp>
        <v>414</v>
        <stp/>
        <stp>BID_SIZE</stp>
        <stp>.SPY150630P206</stp>
        <tr r="O351" s="1"/>
      </tp>
      <tp>
        <v>280</v>
        <stp/>
        <stp>BID_SIZE</stp>
        <stp>.SPY150630C206</stp>
        <tr r="D351" s="1"/>
      </tp>
      <tp>
        <v>364</v>
        <stp/>
        <stp>BID_SIZE</stp>
        <stp>.SPY150630P209</stp>
        <tr r="O357" s="1"/>
      </tp>
      <tp>
        <v>250</v>
        <stp/>
        <stp>BID_SIZE</stp>
        <stp>.SPY150630C209</stp>
        <tr r="D357" s="1"/>
      </tp>
      <tp>
        <v>302</v>
        <stp/>
        <stp>BID_SIZE</stp>
        <stp>.SPY150630P208</stp>
        <tr r="O355" s="1"/>
      </tp>
      <tp>
        <v>249</v>
        <stp/>
        <stp>BID_SIZE</stp>
        <stp>.SPY150630C208</stp>
        <tr r="D355" s="1"/>
      </tp>
      <tp t="s">
        <v>N/A</v>
        <stp/>
        <stp>ASK_SIZE</stp>
        <stp>.SPY151231P216.5</stp>
        <tr r="M582" s="1"/>
      </tp>
      <tp t="s">
        <v>N/A</v>
        <stp/>
        <stp>ASK_SIZE</stp>
        <stp>.SPY151231P206.5</stp>
        <tr r="M562" s="1"/>
      </tp>
      <tp t="s">
        <v>N/A</v>
        <stp/>
        <stp>ASK_SIZE</stp>
        <stp>.SPY161216P212.5</stp>
        <tr r="M784" s="1"/>
      </tp>
      <tp t="s">
        <v>N/A</v>
        <stp/>
        <stp>ASK_SIZE</stp>
        <stp>.SPY171215P210.5</stp>
        <tr r="M906" s="1"/>
      </tp>
      <tp t="s">
        <v>N/A</v>
        <stp/>
        <stp>ASK_SIZE</stp>
        <stp>.SPY161216P202.5</stp>
        <tr r="M764" s="1"/>
      </tp>
      <tp t="s">
        <v>N/A</v>
        <stp/>
        <stp>ASK_SIZE</stp>
        <stp>.SPY171215P200.5</stp>
        <tr r="M886" s="1"/>
      </tp>
      <tp t="s">
        <v>N/A</v>
        <stp/>
        <stp>BID_SIZE</stp>
        <stp>.SPY151219P211.5</stp>
        <tr r="O530" s="1"/>
      </tp>
      <tp t="s">
        <v>N/A</v>
        <stp/>
        <stp>BID_SIZE</stp>
        <stp>.SPY151219P201.5</stp>
        <tr r="O510" s="1"/>
      </tp>
      <tp t="s">
        <v>N/A</v>
        <stp/>
        <stp>BID_SIZE</stp>
        <stp>.SPY151231P219.5</stp>
        <tr r="O588" s="1"/>
      </tp>
      <tp t="s">
        <v>N/A</v>
        <stp/>
        <stp>BID_SIZE</stp>
        <stp>.SPY151231P209.5</stp>
        <tr r="O568" s="1"/>
      </tp>
      <tp>
        <v>3320</v>
        <stp/>
        <stp>OPEN_INT</stp>
        <stp>.SPY150717P203</stp>
        <tr r="Q387" s="1"/>
      </tp>
      <tp>
        <v>3959</v>
        <stp/>
        <stp>OPEN_INT</stp>
        <stp>.SPY150717C203</stp>
        <tr r="F387" s="1"/>
      </tp>
      <tp>
        <v>9821</v>
        <stp/>
        <stp>OPEN_INT</stp>
        <stp>.SPY150717P202</stp>
        <tr r="Q385" s="1"/>
      </tp>
      <tp>
        <v>1015</v>
        <stp/>
        <stp>OPEN_INT</stp>
        <stp>.SPY150717C202</stp>
        <tr r="F385" s="1"/>
      </tp>
      <tp>
        <v>9813</v>
        <stp/>
        <stp>OPEN_INT</stp>
        <stp>.SPY150717P201</stp>
        <tr r="Q383" s="1"/>
      </tp>
      <tp>
        <v>784</v>
        <stp/>
        <stp>OPEN_INT</stp>
        <stp>.SPY150717C201</stp>
        <tr r="F383" s="1"/>
      </tp>
      <tp>
        <v>81718</v>
        <stp/>
        <stp>OPEN_INT</stp>
        <stp>.SPY150717P200</stp>
        <tr r="Q381" s="1"/>
      </tp>
      <tp>
        <v>807</v>
        <stp/>
        <stp>OPEN_INT</stp>
        <stp>.SPY150717C200</stp>
        <tr r="F381" s="1"/>
      </tp>
      <tp>
        <v>7415</v>
        <stp/>
        <stp>OPEN_INT</stp>
        <stp>.SPY150717P207</stp>
        <tr r="Q395" s="1"/>
      </tp>
      <tp>
        <v>2416</v>
        <stp/>
        <stp>OPEN_INT</stp>
        <stp>.SPY150717C207</stp>
        <tr r="F395" s="1"/>
      </tp>
      <tp>
        <v>14029</v>
        <stp/>
        <stp>OPEN_INT</stp>
        <stp>.SPY150717P206</stp>
        <tr r="Q393" s="1"/>
      </tp>
      <tp>
        <v>2274</v>
        <stp/>
        <stp>OPEN_INT</stp>
        <stp>.SPY150717C206</stp>
        <tr r="F393" s="1"/>
      </tp>
      <tp>
        <v>25850</v>
        <stp/>
        <stp>OPEN_INT</stp>
        <stp>.SPY150717P205</stp>
        <tr r="Q391" s="1"/>
      </tp>
      <tp>
        <v>2770</v>
        <stp/>
        <stp>OPEN_INT</stp>
        <stp>.SPY150717C205</stp>
        <tr r="F391" s="1"/>
      </tp>
      <tp>
        <v>7862</v>
        <stp/>
        <stp>OPEN_INT</stp>
        <stp>.SPY150717P204</stp>
        <tr r="Q389" s="1"/>
      </tp>
      <tp>
        <v>1451</v>
        <stp/>
        <stp>OPEN_INT</stp>
        <stp>.SPY150717C204</stp>
        <tr r="F389" s="1"/>
      </tp>
      <tp>
        <v>14376</v>
        <stp/>
        <stp>OPEN_INT</stp>
        <stp>.SPY150717P209</stp>
        <tr r="Q399" s="1"/>
      </tp>
      <tp>
        <v>5161</v>
        <stp/>
        <stp>OPEN_INT</stp>
        <stp>.SPY150717C209</stp>
        <tr r="F399" s="1"/>
      </tp>
      <tp>
        <v>16456</v>
        <stp/>
        <stp>OPEN_INT</stp>
        <stp>.SPY150717P208</stp>
        <tr r="Q397" s="1"/>
      </tp>
      <tp>
        <v>7526</v>
        <stp/>
        <stp>OPEN_INT</stp>
        <stp>.SPY150717C208</stp>
        <tr r="F397" s="1"/>
      </tp>
      <tp>
        <v>1113</v>
        <stp/>
        <stp>ASK_SIZE</stp>
        <stp>.SPY150529P207</stp>
        <tr r="M269" s="1"/>
      </tp>
      <tp>
        <v>243</v>
        <stp/>
        <stp>ASK_SIZE</stp>
        <stp>.SPY150529C207</stp>
        <tr r="B269" s="1"/>
      </tp>
      <tp>
        <v>1093</v>
        <stp/>
        <stp>ASK_SIZE</stp>
        <stp>.SPY150529P206</stp>
        <tr r="M267" s="1"/>
      </tp>
      <tp>
        <v>250</v>
        <stp/>
        <stp>ASK_SIZE</stp>
        <stp>.SPY150529C206</stp>
        <tr r="B267" s="1"/>
      </tp>
      <tp>
        <v>240</v>
        <stp/>
        <stp>ASK_SIZE</stp>
        <stp>.SPY150529P205</stp>
        <tr r="M265" s="1"/>
      </tp>
      <tp>
        <v>240</v>
        <stp/>
        <stp>ASK_SIZE</stp>
        <stp>.SPY150529C205</stp>
        <tr r="B265" s="1"/>
      </tp>
      <tp>
        <v>512</v>
        <stp/>
        <stp>ASK_SIZE</stp>
        <stp>.SPY150529P204</stp>
        <tr r="M263" s="1"/>
      </tp>
      <tp>
        <v>150</v>
        <stp/>
        <stp>ASK_SIZE</stp>
        <stp>.SPY150529C204</stp>
        <tr r="B263" s="1"/>
      </tp>
      <tp>
        <v>320</v>
        <stp/>
        <stp>ASK_SIZE</stp>
        <stp>.SPY150522P208</stp>
        <tr r="M229" s="1"/>
      </tp>
      <tp>
        <v>224</v>
        <stp/>
        <stp>ASK_SIZE</stp>
        <stp>.SPY150529P203</stp>
        <tr r="M261" s="1"/>
      </tp>
      <tp>
        <v>160</v>
        <stp/>
        <stp>ASK_SIZE</stp>
        <stp>.SPY150522C208</stp>
        <tr r="B229" s="1"/>
      </tp>
      <tp>
        <v>240</v>
        <stp/>
        <stp>ASK_SIZE</stp>
        <stp>.SPY150529C203</stp>
        <tr r="B261" s="1"/>
      </tp>
      <tp>
        <v>526</v>
        <stp/>
        <stp>ASK_SIZE</stp>
        <stp>.SPY150522P209</stp>
        <tr r="M231" s="1"/>
      </tp>
      <tp>
        <v>250</v>
        <stp/>
        <stp>ASK_SIZE</stp>
        <stp>.SPY150529P202</stp>
        <tr r="M259" s="1"/>
      </tp>
      <tp>
        <v>199</v>
        <stp/>
        <stp>ASK_SIZE</stp>
        <stp>.SPY150522C209</stp>
        <tr r="B231" s="1"/>
      </tp>
      <tp>
        <v>111</v>
        <stp/>
        <stp>ASK_SIZE</stp>
        <stp>.SPY150529C202</stp>
        <tr r="B259" s="1"/>
      </tp>
      <tp>
        <v>1030</v>
        <stp/>
        <stp>ASK_SIZE</stp>
        <stp>.SPY150529P201</stp>
        <tr r="M257" s="1"/>
      </tp>
      <tp>
        <v>130</v>
        <stp/>
        <stp>ASK_SIZE</stp>
        <stp>.SPY150529C201</stp>
        <tr r="B257" s="1"/>
      </tp>
      <tp>
        <v>250</v>
        <stp/>
        <stp>ASK_SIZE</stp>
        <stp>.SPY150529P200</stp>
        <tr r="M255" s="1"/>
      </tp>
      <tp>
        <v>141</v>
        <stp/>
        <stp>ASK_SIZE</stp>
        <stp>.SPY150529C200</stp>
        <tr r="B255" s="1"/>
      </tp>
      <tp>
        <v>281</v>
        <stp/>
        <stp>ASK_SIZE</stp>
        <stp>.SPY150522P204</stp>
        <tr r="M221" s="1"/>
      </tp>
      <tp>
        <v>161</v>
        <stp/>
        <stp>ASK_SIZE</stp>
        <stp>.SPY150522C204</stp>
        <tr r="B221" s="1"/>
      </tp>
      <tp>
        <v>248</v>
        <stp/>
        <stp>ASK_SIZE</stp>
        <stp>.SPY150522P205</stp>
        <tr r="M223" s="1"/>
      </tp>
      <tp>
        <v>160</v>
        <stp/>
        <stp>ASK_SIZE</stp>
        <stp>.SPY150522C205</stp>
        <tr r="B223" s="1"/>
      </tp>
      <tp>
        <v>219</v>
        <stp/>
        <stp>ASK_SIZE</stp>
        <stp>.SPY150522P206</stp>
        <tr r="M225" s="1"/>
      </tp>
      <tp>
        <v>160</v>
        <stp/>
        <stp>ASK_SIZE</stp>
        <stp>.SPY150522C206</stp>
        <tr r="B225" s="1"/>
      </tp>
      <tp>
        <v>197</v>
        <stp/>
        <stp>ASK_SIZE</stp>
        <stp>.SPY150522P207</stp>
        <tr r="M227" s="1"/>
      </tp>
      <tp>
        <v>199</v>
        <stp/>
        <stp>ASK_SIZE</stp>
        <stp>.SPY150522C207</stp>
        <tr r="B227" s="1"/>
      </tp>
      <tp>
        <v>488</v>
        <stp/>
        <stp>ASK_SIZE</stp>
        <stp>.SPY150522P200</stp>
        <tr r="M213" s="1"/>
      </tp>
      <tp>
        <v>121</v>
        <stp/>
        <stp>ASK_SIZE</stp>
        <stp>.SPY150522C200</stp>
        <tr r="B213" s="1"/>
      </tp>
      <tp>
        <v>425</v>
        <stp/>
        <stp>ASK_SIZE</stp>
        <stp>.SPY150522P201</stp>
        <tr r="M215" s="1"/>
      </tp>
      <tp>
        <v>111</v>
        <stp/>
        <stp>ASK_SIZE</stp>
        <stp>.SPY150522C201</stp>
        <tr r="B215" s="1"/>
      </tp>
      <tp>
        <v>369</v>
        <stp/>
        <stp>ASK_SIZE</stp>
        <stp>.SPY150522P202</stp>
        <tr r="M217" s="1"/>
      </tp>
      <tp>
        <v>2471</v>
        <stp/>
        <stp>ASK_SIZE</stp>
        <stp>.SPY150529P209</stp>
        <tr r="M273" s="1"/>
      </tp>
      <tp>
        <v>111</v>
        <stp/>
        <stp>ASK_SIZE</stp>
        <stp>.SPY150522C202</stp>
        <tr r="B217" s="1"/>
      </tp>
      <tp>
        <v>199</v>
        <stp/>
        <stp>ASK_SIZE</stp>
        <stp>.SPY150529C209</stp>
        <tr r="B273" s="1"/>
      </tp>
      <tp>
        <v>321</v>
        <stp/>
        <stp>ASK_SIZE</stp>
        <stp>.SPY150522P203</stp>
        <tr r="M219" s="1"/>
      </tp>
      <tp>
        <v>240</v>
        <stp/>
        <stp>ASK_SIZE</stp>
        <stp>.SPY150529P208</stp>
        <tr r="M271" s="1"/>
      </tp>
      <tp>
        <v>200</v>
        <stp/>
        <stp>ASK_SIZE</stp>
        <stp>.SPY150522C203</stp>
        <tr r="B219" s="1"/>
      </tp>
      <tp>
        <v>243</v>
        <stp/>
        <stp>ASK_SIZE</stp>
        <stp>.SPY150529C208</stp>
        <tr r="B271" s="1"/>
      </tp>
      <tp>
        <v>1792</v>
        <stp/>
        <stp>OPEN_INT</stp>
        <stp>.SPY150717P213</stp>
        <tr r="Q407" s="1"/>
      </tp>
      <tp>
        <v>4289</v>
        <stp/>
        <stp>OPEN_INT</stp>
        <stp>.SPY150717C213</stp>
        <tr r="F407" s="1"/>
      </tp>
      <tp>
        <v>3140</v>
        <stp/>
        <stp>OPEN_INT</stp>
        <stp>.SPY150717P212</stp>
        <tr r="Q405" s="1"/>
      </tp>
      <tp>
        <v>4833</v>
        <stp/>
        <stp>OPEN_INT</stp>
        <stp>.SPY150717C212</stp>
        <tr r="F405" s="1"/>
      </tp>
      <tp>
        <v>5678</v>
        <stp/>
        <stp>OPEN_INT</stp>
        <stp>.SPY150717P211</stp>
        <tr r="Q403" s="1"/>
      </tp>
      <tp>
        <v>6800</v>
        <stp/>
        <stp>OPEN_INT</stp>
        <stp>.SPY150717C211</stp>
        <tr r="F403" s="1"/>
      </tp>
      <tp>
        <v>18289</v>
        <stp/>
        <stp>OPEN_INT</stp>
        <stp>.SPY150717P210</stp>
        <tr r="Q401" s="1"/>
      </tp>
      <tp>
        <v>6224</v>
        <stp/>
        <stp>OPEN_INT</stp>
        <stp>.SPY150717C210</stp>
        <tr r="F401" s="1"/>
      </tp>
      <tp>
        <v>638</v>
        <stp/>
        <stp>OPEN_INT</stp>
        <stp>.SPY150717P217</stp>
        <tr r="Q415" s="1"/>
      </tp>
      <tp>
        <v>6415</v>
        <stp/>
        <stp>OPEN_INT</stp>
        <stp>.SPY150717C217</stp>
        <tr r="F415" s="1"/>
      </tp>
      <tp>
        <v>627</v>
        <stp/>
        <stp>OPEN_INT</stp>
        <stp>.SPY150717P216</stp>
        <tr r="Q413" s="1"/>
      </tp>
      <tp>
        <v>5355</v>
        <stp/>
        <stp>OPEN_INT</stp>
        <stp>.SPY150717C216</stp>
        <tr r="F413" s="1"/>
      </tp>
      <tp>
        <v>1915</v>
        <stp/>
        <stp>OPEN_INT</stp>
        <stp>.SPY150717P215</stp>
        <tr r="Q411" s="1"/>
      </tp>
      <tp>
        <v>11285</v>
        <stp/>
        <stp>OPEN_INT</stp>
        <stp>.SPY150717C215</stp>
        <tr r="F411" s="1"/>
      </tp>
      <tp>
        <v>1345</v>
        <stp/>
        <stp>OPEN_INT</stp>
        <stp>.SPY150717P214</stp>
        <tr r="Q409" s="1"/>
      </tp>
      <tp>
        <v>7737</v>
        <stp/>
        <stp>OPEN_INT</stp>
        <stp>.SPY150717C214</stp>
        <tr r="F409" s="1"/>
      </tp>
      <tp>
        <v>442</v>
        <stp/>
        <stp>OPEN_INT</stp>
        <stp>.SPY150717P219</stp>
        <tr r="Q419" s="1"/>
      </tp>
      <tp>
        <v>21112</v>
        <stp/>
        <stp>OPEN_INT</stp>
        <stp>.SPY150717C219</stp>
        <tr r="F419" s="1"/>
      </tp>
      <tp>
        <v>540</v>
        <stp/>
        <stp>OPEN_INT</stp>
        <stp>.SPY150717P218</stp>
        <tr r="Q417" s="1"/>
      </tp>
      <tp>
        <v>6571</v>
        <stp/>
        <stp>OPEN_INT</stp>
        <stp>.SPY150717C218</stp>
        <tr r="F417" s="1"/>
      </tp>
      <tp>
        <v>240</v>
        <stp/>
        <stp>ASK_SIZE</stp>
        <stp>.SPY150529P217</stp>
        <tr r="M289" s="1"/>
      </tp>
      <tp>
        <v>249</v>
        <stp/>
        <stp>ASK_SIZE</stp>
        <stp>.SPY150529C217</stp>
        <tr r="B289" s="1"/>
      </tp>
      <tp>
        <v>249</v>
        <stp/>
        <stp>ASK_SIZE</stp>
        <stp>.SPY150529P216</stp>
        <tr r="M287" s="1"/>
      </tp>
      <tp>
        <v>100</v>
        <stp/>
        <stp>ASK_SIZE</stp>
        <stp>.SPY150529C216</stp>
        <tr r="B287" s="1"/>
      </tp>
      <tp>
        <v>249</v>
        <stp/>
        <stp>ASK_SIZE</stp>
        <stp>.SPY150529P215</stp>
        <tr r="M285" s="1"/>
      </tp>
      <tp>
        <v>158</v>
        <stp/>
        <stp>ASK_SIZE</stp>
        <stp>.SPY150529C215</stp>
        <tr r="B285" s="1"/>
      </tp>
      <tp>
        <v>240</v>
        <stp/>
        <stp>ASK_SIZE</stp>
        <stp>.SPY150529P214</stp>
        <tr r="M283" s="1"/>
      </tp>
      <tp>
        <v>249</v>
        <stp/>
        <stp>ASK_SIZE</stp>
        <stp>.SPY150529C214</stp>
        <tr r="B283" s="1"/>
      </tp>
      <tp>
        <v>100</v>
        <stp/>
        <stp>ASK_SIZE</stp>
        <stp>.SPY150522P218</stp>
        <tr r="M249" s="1"/>
      </tp>
      <tp>
        <v>240</v>
        <stp/>
        <stp>ASK_SIZE</stp>
        <stp>.SPY150529P213</stp>
        <tr r="M281" s="1"/>
      </tp>
      <tp>
        <v>576</v>
        <stp/>
        <stp>ASK_SIZE</stp>
        <stp>.SPY150522C218</stp>
        <tr r="B249" s="1"/>
      </tp>
      <tp>
        <v>249</v>
        <stp/>
        <stp>ASK_SIZE</stp>
        <stp>.SPY150529C213</stp>
        <tr r="B281" s="1"/>
      </tp>
      <tp>
        <v>31</v>
        <stp/>
        <stp>ASK_SIZE</stp>
        <stp>.SPY150522P219</stp>
        <tr r="M251" s="1"/>
      </tp>
      <tp>
        <v>2321</v>
        <stp/>
        <stp>ASK_SIZE</stp>
        <stp>.SPY150529P212</stp>
        <tr r="M279" s="1"/>
      </tp>
      <tp>
        <v>600</v>
        <stp/>
        <stp>ASK_SIZE</stp>
        <stp>.SPY150522C219</stp>
        <tr r="B251" s="1"/>
      </tp>
      <tp>
        <v>249</v>
        <stp/>
        <stp>ASK_SIZE</stp>
        <stp>.SPY150529C212</stp>
        <tr r="B279" s="1"/>
      </tp>
      <tp>
        <v>2311</v>
        <stp/>
        <stp>ASK_SIZE</stp>
        <stp>.SPY150529P211</stp>
        <tr r="M277" s="1"/>
      </tp>
      <tp>
        <v>2994</v>
        <stp/>
        <stp>ASK_SIZE</stp>
        <stp>.SPY150529C211</stp>
        <tr r="B277" s="1"/>
      </tp>
      <tp>
        <v>2469</v>
        <stp/>
        <stp>ASK_SIZE</stp>
        <stp>.SPY150529P210</stp>
        <tr r="M275" s="1"/>
      </tp>
      <tp>
        <v>923</v>
        <stp/>
        <stp>ASK_SIZE</stp>
        <stp>.SPY150529C210</stp>
        <tr r="B275" s="1"/>
      </tp>
      <tp>
        <v>160</v>
        <stp/>
        <stp>ASK_SIZE</stp>
        <stp>.SPY150522P214</stp>
        <tr r="M241" s="1"/>
      </tp>
      <tp>
        <v>200</v>
        <stp/>
        <stp>ASK_SIZE</stp>
        <stp>.SPY150522C214</stp>
        <tr r="B241" s="1"/>
      </tp>
      <tp>
        <v>199</v>
        <stp/>
        <stp>ASK_SIZE</stp>
        <stp>.SPY150522P215</stp>
        <tr r="M243" s="1"/>
      </tp>
      <tp>
        <v>213</v>
        <stp/>
        <stp>ASK_SIZE</stp>
        <stp>.SPY150522C215</stp>
        <tr r="B243" s="1"/>
      </tp>
      <tp>
        <v>160</v>
        <stp/>
        <stp>ASK_SIZE</stp>
        <stp>.SPY150522P216</stp>
        <tr r="M245" s="1"/>
      </tp>
      <tp>
        <v>284</v>
        <stp/>
        <stp>ASK_SIZE</stp>
        <stp>.SPY150522C216</stp>
        <tr r="B245" s="1"/>
      </tp>
      <tp>
        <v>160</v>
        <stp/>
        <stp>ASK_SIZE</stp>
        <stp>.SPY150522P217</stp>
        <tr r="M247" s="1"/>
      </tp>
      <tp>
        <v>399</v>
        <stp/>
        <stp>ASK_SIZE</stp>
        <stp>.SPY150522C217</stp>
        <tr r="B247" s="1"/>
      </tp>
      <tp>
        <v>155</v>
        <stp/>
        <stp>ASK_SIZE</stp>
        <stp>.SPY150522P210</stp>
        <tr r="M233" s="1"/>
      </tp>
      <tp>
        <v>568</v>
        <stp/>
        <stp>ASK_SIZE</stp>
        <stp>.SPY150522C210</stp>
        <tr r="B233" s="1"/>
      </tp>
      <tp>
        <v>99</v>
        <stp/>
        <stp>ASK_SIZE</stp>
        <stp>.SPY150522P211</stp>
        <tr r="M235" s="1"/>
      </tp>
      <tp>
        <v>199</v>
        <stp/>
        <stp>ASK_SIZE</stp>
        <stp>.SPY150522C211</stp>
        <tr r="B235" s="1"/>
      </tp>
      <tp>
        <v>177</v>
        <stp/>
        <stp>ASK_SIZE</stp>
        <stp>.SPY150522P212</stp>
        <tr r="M237" s="1"/>
      </tp>
      <tp>
        <v>150</v>
        <stp/>
        <stp>ASK_SIZE</stp>
        <stp>.SPY150529P219</stp>
        <tr r="M293" s="1"/>
      </tp>
      <tp>
        <v>199</v>
        <stp/>
        <stp>ASK_SIZE</stp>
        <stp>.SPY150522C212</stp>
        <tr r="B237" s="1"/>
      </tp>
      <tp>
        <v>1707</v>
        <stp/>
        <stp>ASK_SIZE</stp>
        <stp>.SPY150529C219</stp>
        <tr r="B293" s="1"/>
      </tp>
      <tp>
        <v>160</v>
        <stp/>
        <stp>ASK_SIZE</stp>
        <stp>.SPY150522P213</stp>
        <tr r="M239" s="1"/>
      </tp>
      <tp>
        <v>240</v>
        <stp/>
        <stp>ASK_SIZE</stp>
        <stp>.SPY150529P218</stp>
        <tr r="M291" s="1"/>
      </tp>
      <tp>
        <v>176</v>
        <stp/>
        <stp>ASK_SIZE</stp>
        <stp>.SPY150522C213</stp>
        <tr r="B239" s="1"/>
      </tp>
      <tp>
        <v>250</v>
        <stp/>
        <stp>ASK_SIZE</stp>
        <stp>.SPY150529C218</stp>
        <tr r="B291" s="1"/>
      </tp>
      <tp>
        <v>932</v>
        <stp/>
        <stp>ASK_SIZE</stp>
        <stp>.SPY150508P206</stp>
        <tr r="M141" s="1"/>
      </tp>
      <tp>
        <v>199</v>
        <stp/>
        <stp>ASK_SIZE</stp>
        <stp>.SPY150508C206</stp>
        <tr r="B141" s="1"/>
      </tp>
      <tp>
        <v>706</v>
        <stp/>
        <stp>ASK_SIZE</stp>
        <stp>.SPY150508P207</stp>
        <tr r="M143" s="1"/>
      </tp>
      <tp>
        <v>160</v>
        <stp/>
        <stp>ASK_SIZE</stp>
        <stp>.SPY150508C207</stp>
        <tr r="B143" s="1"/>
      </tp>
      <tp>
        <v>1200</v>
        <stp/>
        <stp>ASK_SIZE</stp>
        <stp>.SPY150508P204</stp>
        <tr r="M137" s="1"/>
      </tp>
      <tp>
        <v>1</v>
        <stp/>
        <stp>ASK_SIZE</stp>
        <stp>.SPY150515P219</stp>
        <tr r="M209" s="1"/>
      </tp>
      <tp>
        <v>100</v>
        <stp/>
        <stp>ASK_SIZE</stp>
        <stp>.SPY150508C204</stp>
        <tr r="B137" s="1"/>
      </tp>
      <tp>
        <v>3000</v>
        <stp/>
        <stp>ASK_SIZE</stp>
        <stp>.SPY150515C219</stp>
        <tr r="B209" s="1"/>
      </tp>
      <tp>
        <v>1200</v>
        <stp/>
        <stp>ASK_SIZE</stp>
        <stp>.SPY150508P205</stp>
        <tr r="M139" s="1"/>
      </tp>
      <tp>
        <v>250</v>
        <stp/>
        <stp>ASK_SIZE</stp>
        <stp>.SPY150515P218</stp>
        <tr r="M207" s="1"/>
      </tp>
      <tp>
        <v>2</v>
        <stp/>
        <stp>ASK_SIZE</stp>
        <stp>.SPY150508C205</stp>
        <tr r="B139" s="1"/>
      </tp>
      <tp>
        <v>3000</v>
        <stp/>
        <stp>ASK_SIZE</stp>
        <stp>.SPY150515C218</stp>
        <tr r="B207" s="1"/>
      </tp>
      <tp>
        <v>1200</v>
        <stp/>
        <stp>ASK_SIZE</stp>
        <stp>.SPY150508P202</stp>
        <tr r="M133" s="1"/>
      </tp>
      <tp>
        <v>101</v>
        <stp/>
        <stp>ASK_SIZE</stp>
        <stp>.SPY150508C202</stp>
        <tr r="B133" s="1"/>
      </tp>
      <tp>
        <v>1</v>
        <stp/>
        <stp>ASK_SIZE</stp>
        <stp>.SPY150508P203</stp>
        <tr r="M135" s="1"/>
      </tp>
      <tp>
        <v>104</v>
        <stp/>
        <stp>ASK_SIZE</stp>
        <stp>.SPY150508C203</stp>
        <tr r="B135" s="1"/>
      </tp>
      <tp>
        <v>0</v>
        <stp/>
        <stp>ASK_SIZE</stp>
        <stp>.SPY150501P209</stp>
        <tr r="M105" s="1"/>
      </tp>
      <tp>
        <v>1200</v>
        <stp/>
        <stp>ASK_SIZE</stp>
        <stp>.SPY150508P200</stp>
        <tr r="M129" s="1"/>
      </tp>
      <tp>
        <v>0</v>
        <stp/>
        <stp>ASK_SIZE</stp>
        <stp>.SPY150501C209</stp>
        <tr r="B105" s="1"/>
      </tp>
      <tp>
        <v>31</v>
        <stp/>
        <stp>ASK_SIZE</stp>
        <stp>.SPY150508C200</stp>
        <tr r="B129" s="1"/>
      </tp>
      <tp>
        <v>0</v>
        <stp/>
        <stp>ASK_SIZE</stp>
        <stp>.SPY150501P208</stp>
        <tr r="M103" s="1"/>
      </tp>
      <tp>
        <v>1200</v>
        <stp/>
        <stp>ASK_SIZE</stp>
        <stp>.SPY150508P201</stp>
        <tr r="M131" s="1"/>
      </tp>
      <tp>
        <v>0</v>
        <stp/>
        <stp>ASK_SIZE</stp>
        <stp>.SPY150501C208</stp>
        <tr r="B103" s="1"/>
      </tp>
      <tp>
        <v>31</v>
        <stp/>
        <stp>ASK_SIZE</stp>
        <stp>.SPY150508C201</stp>
        <tr r="B131" s="1"/>
      </tp>
      <tp>
        <v>0</v>
        <stp/>
        <stp>ASK_SIZE</stp>
        <stp>.SPY150501P207</stp>
        <tr r="M101" s="1"/>
      </tp>
      <tp>
        <v>349</v>
        <stp/>
        <stp>ASK_SIZE</stp>
        <stp>.SPY150515P213</stp>
        <tr r="M197" s="1"/>
      </tp>
      <tp>
        <v>0</v>
        <stp/>
        <stp>ASK_SIZE</stp>
        <stp>.SPY150501C207</stp>
        <tr r="B101" s="1"/>
      </tp>
      <tp>
        <v>26</v>
        <stp/>
        <stp>ASK_SIZE</stp>
        <stp>.SPY150515C213</stp>
        <tr r="B197" s="1"/>
      </tp>
      <tp>
        <v>0</v>
        <stp/>
        <stp>ASK_SIZE</stp>
        <stp>.SPY150501P206</stp>
        <tr r="M99" s="1"/>
      </tp>
      <tp>
        <v>348</v>
        <stp/>
        <stp>ASK_SIZE</stp>
        <stp>.SPY150515P212</stp>
        <tr r="M195" s="1"/>
      </tp>
      <tp>
        <v>0</v>
        <stp/>
        <stp>ASK_SIZE</stp>
        <stp>.SPY150501C206</stp>
        <tr r="B99" s="1"/>
      </tp>
      <tp>
        <v>755</v>
        <stp/>
        <stp>ASK_SIZE</stp>
        <stp>.SPY150515C212</stp>
        <tr r="B195" s="1"/>
      </tp>
      <tp>
        <v>0</v>
        <stp/>
        <stp>ASK_SIZE</stp>
        <stp>.SPY150501P205</stp>
        <tr r="M97" s="1"/>
      </tp>
      <tp>
        <v>250</v>
        <stp/>
        <stp>ASK_SIZE</stp>
        <stp>.SPY150515P211</stp>
        <tr r="M193" s="1"/>
      </tp>
      <tp>
        <v>0</v>
        <stp/>
        <stp>ASK_SIZE</stp>
        <stp>.SPY150501C205</stp>
        <tr r="B97" s="1"/>
      </tp>
      <tp>
        <v>350</v>
        <stp/>
        <stp>ASK_SIZE</stp>
        <stp>.SPY150515C211</stp>
        <tr r="B193" s="1"/>
      </tp>
      <tp>
        <v>0</v>
        <stp/>
        <stp>ASK_SIZE</stp>
        <stp>.SPY150501P204</stp>
        <tr r="M95" s="1"/>
      </tp>
      <tp>
        <v>793</v>
        <stp/>
        <stp>ASK_SIZE</stp>
        <stp>.SPY150515P210</stp>
        <tr r="M191" s="1"/>
      </tp>
      <tp>
        <v>0</v>
        <stp/>
        <stp>ASK_SIZE</stp>
        <stp>.SPY150501C204</stp>
        <tr r="B95" s="1"/>
      </tp>
      <tp>
        <v>349</v>
        <stp/>
        <stp>ASK_SIZE</stp>
        <stp>.SPY150515C210</stp>
        <tr r="B191" s="1"/>
      </tp>
      <tp>
        <v>0</v>
        <stp/>
        <stp>ASK_SIZE</stp>
        <stp>.SPY150501P203</stp>
        <tr r="M93" s="1"/>
      </tp>
      <tp>
        <v>250</v>
        <stp/>
        <stp>ASK_SIZE</stp>
        <stp>.SPY150515P217</stp>
        <tr r="M205" s="1"/>
      </tp>
      <tp>
        <v>0</v>
        <stp/>
        <stp>ASK_SIZE</stp>
        <stp>.SPY150501C203</stp>
        <tr r="B93" s="1"/>
      </tp>
      <tp>
        <v>3000</v>
        <stp/>
        <stp>ASK_SIZE</stp>
        <stp>.SPY150515C217</stp>
        <tr r="B205" s="1"/>
      </tp>
      <tp>
        <v>0</v>
        <stp/>
        <stp>ASK_SIZE</stp>
        <stp>.SPY150501P202</stp>
        <tr r="M91" s="1"/>
      </tp>
      <tp>
        <v>111</v>
        <stp/>
        <stp>ASK_SIZE</stp>
        <stp>.SPY150515P216</stp>
        <tr r="M203" s="1"/>
      </tp>
      <tp>
        <v>0</v>
        <stp/>
        <stp>ASK_SIZE</stp>
        <stp>.SPY150501C202</stp>
        <tr r="B91" s="1"/>
      </tp>
      <tp>
        <v>2158</v>
        <stp/>
        <stp>ASK_SIZE</stp>
        <stp>.SPY150515C216</stp>
        <tr r="B203" s="1"/>
      </tp>
      <tp>
        <v>0</v>
        <stp/>
        <stp>ASK_SIZE</stp>
        <stp>.SPY150501P201</stp>
        <tr r="M89" s="1"/>
      </tp>
      <tp>
        <v>538</v>
        <stp/>
        <stp>ASK_SIZE</stp>
        <stp>.SPY150508P208</stp>
        <tr r="M145" s="1"/>
      </tp>
      <tp>
        <v>160</v>
        <stp/>
        <stp>ASK_SIZE</stp>
        <stp>.SPY150515P215</stp>
        <tr r="M201" s="1"/>
      </tp>
      <tp>
        <v>0</v>
        <stp/>
        <stp>ASK_SIZE</stp>
        <stp>.SPY150501C201</stp>
        <tr r="B89" s="1"/>
      </tp>
      <tp>
        <v>199</v>
        <stp/>
        <stp>ASK_SIZE</stp>
        <stp>.SPY150508C208</stp>
        <tr r="B145" s="1"/>
      </tp>
      <tp>
        <v>1360</v>
        <stp/>
        <stp>ASK_SIZE</stp>
        <stp>.SPY150515C215</stp>
        <tr r="B201" s="1"/>
      </tp>
      <tp>
        <v>0</v>
        <stp/>
        <stp>ASK_SIZE</stp>
        <stp>.SPY150501P200</stp>
        <tr r="M87" s="1"/>
      </tp>
      <tp>
        <v>418</v>
        <stp/>
        <stp>ASK_SIZE</stp>
        <stp>.SPY150508P209</stp>
        <tr r="M147" s="1"/>
      </tp>
      <tp>
        <v>349</v>
        <stp/>
        <stp>ASK_SIZE</stp>
        <stp>.SPY150515P214</stp>
        <tr r="M199" s="1"/>
      </tp>
      <tp>
        <v>0</v>
        <stp/>
        <stp>ASK_SIZE</stp>
        <stp>.SPY150501C200</stp>
        <tr r="B87" s="1"/>
      </tp>
      <tp>
        <v>357</v>
        <stp/>
        <stp>ASK_SIZE</stp>
        <stp>.SPY150508C209</stp>
        <tr r="B147" s="1"/>
      </tp>
      <tp>
        <v>12</v>
        <stp/>
        <stp>ASK_SIZE</stp>
        <stp>.SPY150515C214</stp>
        <tr r="B199" s="1"/>
      </tp>
      <tp>
        <v>100</v>
        <stp/>
        <stp>ASK_SIZE</stp>
        <stp>.SPY150508P216</stp>
        <tr r="M161" s="1"/>
      </tp>
      <tp>
        <v>1200</v>
        <stp/>
        <stp>ASK_SIZE</stp>
        <stp>.SPY150508C216</stp>
        <tr r="B161" s="1"/>
      </tp>
      <tp>
        <v>10</v>
        <stp/>
        <stp>ASK_SIZE</stp>
        <stp>.SPY150508P217</stp>
        <tr r="M163" s="1"/>
      </tp>
      <tp>
        <v>1200</v>
        <stp/>
        <stp>ASK_SIZE</stp>
        <stp>.SPY150508C217</stp>
        <tr r="B163" s="1"/>
      </tp>
      <tp>
        <v>121</v>
        <stp/>
        <stp>ASK_SIZE</stp>
        <stp>.SPY150508P214</stp>
        <tr r="M157" s="1"/>
      </tp>
      <tp>
        <v>250</v>
        <stp/>
        <stp>ASK_SIZE</stp>
        <stp>.SPY150515P209</stp>
        <tr r="M189" s="1"/>
      </tp>
      <tp>
        <v>3</v>
        <stp/>
        <stp>ASK_SIZE</stp>
        <stp>.SPY150508C214</stp>
        <tr r="B157" s="1"/>
      </tp>
      <tp>
        <v>350</v>
        <stp/>
        <stp>ASK_SIZE</stp>
        <stp>.SPY150515C209</stp>
        <tr r="B189" s="1"/>
      </tp>
      <tp>
        <v>21</v>
        <stp/>
        <stp>ASK_SIZE</stp>
        <stp>.SPY150508P215</stp>
        <tr r="M159" s="1"/>
      </tp>
      <tp>
        <v>250</v>
        <stp/>
        <stp>ASK_SIZE</stp>
        <stp>.SPY150515P208</stp>
        <tr r="M187" s="1"/>
      </tp>
      <tp>
        <v>1200</v>
        <stp/>
        <stp>ASK_SIZE</stp>
        <stp>.SPY150508C215</stp>
        <tr r="B159" s="1"/>
      </tp>
      <tp>
        <v>361</v>
        <stp/>
        <stp>ASK_SIZE</stp>
        <stp>.SPY150515C208</stp>
        <tr r="B187" s="1"/>
      </tp>
      <tp>
        <v>663</v>
        <stp/>
        <stp>ASK_SIZE</stp>
        <stp>.SPY150508P212</stp>
        <tr r="M153" s="1"/>
      </tp>
      <tp>
        <v>5</v>
        <stp/>
        <stp>ASK_SIZE</stp>
        <stp>.SPY150508C212</stp>
        <tr r="B153" s="1"/>
      </tp>
      <tp>
        <v>270</v>
        <stp/>
        <stp>ASK_SIZE</stp>
        <stp>.SPY150508P213</stp>
        <tr r="M155" s="1"/>
      </tp>
      <tp>
        <v>1</v>
        <stp/>
        <stp>ASK_SIZE</stp>
        <stp>.SPY150508C213</stp>
        <tr r="B155" s="1"/>
      </tp>
      <tp>
        <v>0</v>
        <stp/>
        <stp>ASK_SIZE</stp>
        <stp>.SPY150501P219</stp>
        <tr r="M125" s="1"/>
      </tp>
      <tp>
        <v>342</v>
        <stp/>
        <stp>ASK_SIZE</stp>
        <stp>.SPY150508P210</stp>
        <tr r="M149" s="1"/>
      </tp>
      <tp>
        <v>0</v>
        <stp/>
        <stp>ASK_SIZE</stp>
        <stp>.SPY150501C219</stp>
        <tr r="B125" s="1"/>
      </tp>
      <tp>
        <v>201</v>
        <stp/>
        <stp>ASK_SIZE</stp>
        <stp>.SPY150508C210</stp>
        <tr r="B149" s="1"/>
      </tp>
      <tp>
        <v>0</v>
        <stp/>
        <stp>ASK_SIZE</stp>
        <stp>.SPY150501P218</stp>
        <tr r="M123" s="1"/>
      </tp>
      <tp>
        <v>304</v>
        <stp/>
        <stp>ASK_SIZE</stp>
        <stp>.SPY150508P211</stp>
        <tr r="M151" s="1"/>
      </tp>
      <tp>
        <v>0</v>
        <stp/>
        <stp>ASK_SIZE</stp>
        <stp>.SPY150501C218</stp>
        <tr r="B123" s="1"/>
      </tp>
      <tp>
        <v>10</v>
        <stp/>
        <stp>ASK_SIZE</stp>
        <stp>.SPY150508C211</stp>
        <tr r="B151" s="1"/>
      </tp>
      <tp>
        <v>0</v>
        <stp/>
        <stp>ASK_SIZE</stp>
        <stp>.SPY150501P217</stp>
        <tr r="M121" s="1"/>
      </tp>
      <tp>
        <v>2185</v>
        <stp/>
        <stp>ASK_SIZE</stp>
        <stp>.SPY150515P203</stp>
        <tr r="M177" s="1"/>
      </tp>
      <tp>
        <v>0</v>
        <stp/>
        <stp>ASK_SIZE</stp>
        <stp>.SPY150501C217</stp>
        <tr r="B121" s="1"/>
      </tp>
      <tp>
        <v>349</v>
        <stp/>
        <stp>ASK_SIZE</stp>
        <stp>.SPY150515C203</stp>
        <tr r="B177" s="1"/>
      </tp>
      <tp>
        <v>0</v>
        <stp/>
        <stp>ASK_SIZE</stp>
        <stp>.SPY150501P216</stp>
        <tr r="M119" s="1"/>
      </tp>
      <tp>
        <v>2901</v>
        <stp/>
        <stp>ASK_SIZE</stp>
        <stp>.SPY150515P202</stp>
        <tr r="M175" s="1"/>
      </tp>
      <tp>
        <v>0</v>
        <stp/>
        <stp>ASK_SIZE</stp>
        <stp>.SPY150501C216</stp>
        <tr r="B119" s="1"/>
      </tp>
      <tp>
        <v>350</v>
        <stp/>
        <stp>ASK_SIZE</stp>
        <stp>.SPY150515C202</stp>
        <tr r="B175" s="1"/>
      </tp>
      <tp>
        <v>0</v>
        <stp/>
        <stp>ASK_SIZE</stp>
        <stp>.SPY150501P215</stp>
        <tr r="M117" s="1"/>
      </tp>
      <tp>
        <v>3000</v>
        <stp/>
        <stp>ASK_SIZE</stp>
        <stp>.SPY150515P201</stp>
        <tr r="M173" s="1"/>
      </tp>
      <tp>
        <v>0</v>
        <stp/>
        <stp>ASK_SIZE</stp>
        <stp>.SPY150501C215</stp>
        <tr r="B117" s="1"/>
      </tp>
      <tp>
        <v>111</v>
        <stp/>
        <stp>ASK_SIZE</stp>
        <stp>.SPY150515C201</stp>
        <tr r="B173" s="1"/>
      </tp>
      <tp>
        <v>0</v>
        <stp/>
        <stp>ASK_SIZE</stp>
        <stp>.SPY150501P214</stp>
        <tr r="M115" s="1"/>
      </tp>
      <tp>
        <v>3000</v>
        <stp/>
        <stp>ASK_SIZE</stp>
        <stp>.SPY150515P200</stp>
        <tr r="M171" s="1"/>
      </tp>
      <tp>
        <v>0</v>
        <stp/>
        <stp>ASK_SIZE</stp>
        <stp>.SPY150501C214</stp>
        <tr r="B115" s="1"/>
      </tp>
      <tp>
        <v>31</v>
        <stp/>
        <stp>ASK_SIZE</stp>
        <stp>.SPY150515C200</stp>
        <tr r="B171" s="1"/>
      </tp>
      <tp>
        <v>0</v>
        <stp/>
        <stp>ASK_SIZE</stp>
        <stp>.SPY150501P213</stp>
        <tr r="M113" s="1"/>
      </tp>
      <tp>
        <v>1125</v>
        <stp/>
        <stp>ASK_SIZE</stp>
        <stp>.SPY150515P207</stp>
        <tr r="M185" s="1"/>
      </tp>
      <tp>
        <v>0</v>
        <stp/>
        <stp>ASK_SIZE</stp>
        <stp>.SPY150501C213</stp>
        <tr r="B113" s="1"/>
      </tp>
      <tp>
        <v>342</v>
        <stp/>
        <stp>ASK_SIZE</stp>
        <stp>.SPY150515C207</stp>
        <tr r="B185" s="1"/>
      </tp>
      <tp>
        <v>0</v>
        <stp/>
        <stp>ASK_SIZE</stp>
        <stp>.SPY150501P212</stp>
        <tr r="M111" s="1"/>
      </tp>
      <tp>
        <v>1318</v>
        <stp/>
        <stp>ASK_SIZE</stp>
        <stp>.SPY150515P206</stp>
        <tr r="M183" s="1"/>
      </tp>
      <tp>
        <v>0</v>
        <stp/>
        <stp>ASK_SIZE</stp>
        <stp>.SPY150501C212</stp>
        <tr r="B111" s="1"/>
      </tp>
      <tp>
        <v>350</v>
        <stp/>
        <stp>ASK_SIZE</stp>
        <stp>.SPY150515C206</stp>
        <tr r="B183" s="1"/>
      </tp>
      <tp>
        <v>0</v>
        <stp/>
        <stp>ASK_SIZE</stp>
        <stp>.SPY150501P211</stp>
        <tr r="M109" s="1"/>
      </tp>
      <tp>
        <v>10</v>
        <stp/>
        <stp>ASK_SIZE</stp>
        <stp>.SPY150508P218</stp>
        <tr r="M165" s="1"/>
      </tp>
      <tp>
        <v>1558</v>
        <stp/>
        <stp>ASK_SIZE</stp>
        <stp>.SPY150515P205</stp>
        <tr r="M181" s="1"/>
      </tp>
      <tp>
        <v>0</v>
        <stp/>
        <stp>ASK_SIZE</stp>
        <stp>.SPY150501C211</stp>
        <tr r="B109" s="1"/>
      </tp>
      <tp>
        <v>1200</v>
        <stp/>
        <stp>ASK_SIZE</stp>
        <stp>.SPY150508C218</stp>
        <tr r="B165" s="1"/>
      </tp>
      <tp>
        <v>350</v>
        <stp/>
        <stp>ASK_SIZE</stp>
        <stp>.SPY150515C205</stp>
        <tr r="B181" s="1"/>
      </tp>
      <tp>
        <v>0</v>
        <stp/>
        <stp>ASK_SIZE</stp>
        <stp>.SPY150501P210</stp>
        <tr r="M107" s="1"/>
      </tp>
      <tp>
        <v>100</v>
        <stp/>
        <stp>ASK_SIZE</stp>
        <stp>.SPY150508P219</stp>
        <tr r="M167" s="1"/>
      </tp>
      <tp>
        <v>1838</v>
        <stp/>
        <stp>ASK_SIZE</stp>
        <stp>.SPY150515P204</stp>
        <tr r="M179" s="1"/>
      </tp>
      <tp>
        <v>0</v>
        <stp/>
        <stp>ASK_SIZE</stp>
        <stp>.SPY150501C210</stp>
        <tr r="B107" s="1"/>
      </tp>
      <tp>
        <v>1200</v>
        <stp/>
        <stp>ASK_SIZE</stp>
        <stp>.SPY150508C219</stp>
        <tr r="B167" s="1"/>
      </tp>
      <tp>
        <v>350</v>
        <stp/>
        <stp>ASK_SIZE</stp>
        <stp>.SPY150515C204</stp>
        <tr r="B179" s="1"/>
      </tp>
      <tp t="s">
        <v>N/A</v>
        <stp/>
        <stp>ASK_SIZE</stp>
        <stp>.SPY151231C216.5</stp>
        <tr r="B582" s="1"/>
      </tp>
      <tp t="s">
        <v>N/A</v>
        <stp/>
        <stp>ASK_SIZE</stp>
        <stp>.SPY151231C206.5</stp>
        <tr r="B562" s="1"/>
      </tp>
      <tp t="s">
        <v>N/A</v>
        <stp/>
        <stp>ASK_SIZE</stp>
        <stp>.SPY161216C212.5</stp>
        <tr r="B784" s="1"/>
      </tp>
      <tp t="s">
        <v>N/A</v>
        <stp/>
        <stp>ASK_SIZE</stp>
        <stp>.SPY171215C210.5</stp>
        <tr r="B906" s="1"/>
      </tp>
      <tp t="s">
        <v>N/A</v>
        <stp/>
        <stp>ASK_SIZE</stp>
        <stp>.SPY161216C202.5</stp>
        <tr r="B764" s="1"/>
      </tp>
      <tp t="s">
        <v>N/A</v>
        <stp/>
        <stp>ASK_SIZE</stp>
        <stp>.SPY171215C200.5</stp>
        <tr r="B886" s="1"/>
      </tp>
      <tp t="s">
        <v>N/A</v>
        <stp/>
        <stp>BID_SIZE</stp>
        <stp>.SPY151219C211.5</stp>
        <tr r="D530" s="1"/>
      </tp>
      <tp t="s">
        <v>N/A</v>
        <stp/>
        <stp>BID_SIZE</stp>
        <stp>.SPY151219C201.5</stp>
        <tr r="D510" s="1"/>
      </tp>
      <tp t="s">
        <v>N/A</v>
        <stp/>
        <stp>BID_SIZE</stp>
        <stp>.SPY151231C219.5</stp>
        <tr r="D588" s="1"/>
      </tp>
      <tp t="s">
        <v>N/A</v>
        <stp/>
        <stp>BID_SIZE</stp>
        <stp>.SPY151231C209.5</stp>
        <tr r="D568" s="1"/>
      </tp>
      <tp t="s">
        <v>N/A</v>
        <stp/>
        <stp>ASK_SIZE</stp>
        <stp>.SPY150717C210.5</stp>
        <tr r="B402" s="1"/>
      </tp>
      <tp t="s">
        <v>N/A</v>
        <stp/>
        <stp>ASK_SIZE</stp>
        <stp>.SPY150717C200.5</stp>
        <tr r="B382" s="1"/>
      </tp>
      <tp>
        <v>0</v>
        <stp/>
        <stp>BID_SIZE</stp>
        <stp>.SPY150501C209.5</stp>
        <tr r="D106" s="1"/>
      </tp>
      <tp>
        <v>31</v>
        <stp/>
        <stp>BID_SIZE</stp>
        <stp>.SPY150508C200.5</stp>
        <tr r="D130" s="1"/>
      </tp>
      <tp>
        <v>0</v>
        <stp/>
        <stp>BID_SIZE</stp>
        <stp>.SPY150501C219.5</stp>
        <tr r="D126" s="1"/>
      </tp>
      <tp>
        <v>160</v>
        <stp/>
        <stp>BID_SIZE</stp>
        <stp>.SPY150508C210.5</stp>
        <tr r="D150" s="1"/>
      </tp>
      <tp>
        <v>111</v>
        <stp/>
        <stp>BID_SIZE</stp>
        <stp>.SPY150529C201.5</stp>
        <tr r="D258" s="1"/>
      </tp>
      <tp>
        <v>2461</v>
        <stp/>
        <stp>BID_SIZE</stp>
        <stp>.SPY150529C211.5</stp>
        <tr r="D278" s="1"/>
      </tp>
      <tp t="s">
        <v>N/A</v>
        <stp/>
        <stp>ASK_SIZE</stp>
        <stp>.SPY150630C217.5</stp>
        <tr r="B374" s="1"/>
      </tp>
      <tp t="s">
        <v>N/A</v>
        <stp/>
        <stp>ASK_SIZE</stp>
        <stp>.SPY150630C207.5</stp>
        <tr r="B354" s="1"/>
      </tp>
      <tp t="s">
        <v>N/A</v>
        <stp/>
        <stp>ASK_SIZE</stp>
        <stp>.SPY160617C213.5</stp>
        <tr r="B702" s="1"/>
      </tp>
      <tp t="s">
        <v>N/A</v>
        <stp/>
        <stp>ASK_SIZE</stp>
        <stp>.SPY160617C203.5</stp>
        <tr r="B682" s="1"/>
      </tp>
      <tp t="s">
        <v>N/A</v>
        <stp/>
        <stp>BID_SIZE</stp>
        <stp>.SPY150619C211.5</stp>
        <tr r="D320" s="1"/>
      </tp>
      <tp t="s">
        <v>N/A</v>
        <stp/>
        <stp>BID_SIZE</stp>
        <stp>.SPY150619C201.5</stp>
        <tr r="D300" s="1"/>
      </tp>
      <tp t="s">
        <v>N/A</v>
        <stp/>
        <stp>BID_SIZE</stp>
        <stp>.SPY150630C218.5</stp>
        <tr r="D376" s="1"/>
      </tp>
      <tp t="s">
        <v>N/A</v>
        <stp/>
        <stp>BID_SIZE</stp>
        <stp>.SPY150630C208.5</stp>
        <tr r="D356" s="1"/>
      </tp>
      <tp>
        <v>199</v>
        <stp/>
        <stp>ASK_SIZE</stp>
        <stp>.SPY150522C205.5</stp>
        <tr r="B224" s="1"/>
      </tp>
      <tp>
        <v>243</v>
        <stp/>
        <stp>ASK_SIZE</stp>
        <stp>.SPY150522C215.5</stp>
        <tr r="B244" s="1"/>
      </tp>
      <tp>
        <v>0</v>
        <stp/>
        <stp>ASK_SIZE</stp>
        <stp>.SPY150501C206.5</stp>
        <tr r="B100" s="1"/>
      </tp>
      <tp>
        <v>350</v>
        <stp/>
        <stp>ASK_SIZE</stp>
        <stp>.SPY150515C212.5</stp>
        <tr r="B196" s="1"/>
      </tp>
      <tp>
        <v>0</v>
        <stp/>
        <stp>ASK_SIZE</stp>
        <stp>.SPY150501C216.5</stp>
        <tr r="B120" s="1"/>
      </tp>
      <tp>
        <v>350</v>
        <stp/>
        <stp>ASK_SIZE</stp>
        <stp>.SPY150515C202.5</stp>
        <tr r="B176" s="1"/>
      </tp>
      <tp>
        <v>0</v>
        <stp/>
        <stp>ASK_SIZE</stp>
        <stp>.SPY150424C203.5</stp>
        <tr r="B52" s="1"/>
      </tp>
      <tp>
        <v>0</v>
        <stp/>
        <stp>ASK_SIZE</stp>
        <stp>.SPY150424C213.5</stp>
        <tr r="B72" s="1"/>
      </tp>
      <tp>
        <v>0</v>
        <stp/>
        <stp>ASK_SIZE</stp>
        <stp>.SPY150417C210.5</stp>
        <tr r="B24" s="1"/>
      </tp>
      <tp>
        <v>0</v>
        <stp/>
        <stp>ASK_SIZE</stp>
        <stp>.SPY150417C200.5</stp>
        <tr r="B4" s="1"/>
      </tp>
      <tp t="s">
        <v>N/A</v>
        <stp/>
        <stp>ASK_SIZE</stp>
        <stp>.SPY170317C212.5</stp>
        <tr r="B868" s="1"/>
      </tp>
      <tp t="s">
        <v>N/A</v>
        <stp/>
        <stp>ASK_SIZE</stp>
        <stp>.SPY170317C202.5</stp>
        <tr r="B848" s="1"/>
      </tp>
      <tp t="s">
        <v>N/A</v>
        <stp/>
        <stp>ASK_SIZE</stp>
        <stp>.SPY170120C205.5</stp>
        <tr r="B812" s="1"/>
      </tp>
      <tp t="s">
        <v>N/A</v>
        <stp/>
        <stp>ASK_SIZE</stp>
        <stp>.SPY170120C215.5</stp>
        <tr r="B832" s="1"/>
      </tp>
      <tp t="s">
        <v>N/A</v>
        <stp/>
        <stp>ASK_SIZE</stp>
        <stp>.SPY160115C211.5</stp>
        <tr r="B614" s="1"/>
      </tp>
      <tp t="s">
        <v>N/A</v>
        <stp/>
        <stp>ASK_SIZE</stp>
        <stp>.SPY160115C201.5</stp>
        <tr r="B594" s="1"/>
      </tp>
      <tp t="s">
        <v>N/A</v>
        <stp/>
        <stp>BID_SIZE</stp>
        <stp>.SPY160318C213.5</stp>
        <tr r="D660" s="1"/>
      </tp>
      <tp t="s">
        <v>N/A</v>
        <stp/>
        <stp>BID_SIZE</stp>
        <stp>.SPY160318C203.5</stp>
        <tr r="D640" s="1"/>
      </tp>
      <tp t="s">
        <v>N/A</v>
        <stp/>
        <stp>BID_SIZE</stp>
        <stp>.SPY150918C210.5</stp>
        <tr r="D444" s="1"/>
      </tp>
      <tp t="s">
        <v>N/A</v>
        <stp/>
        <stp>BID_SIZE</stp>
        <stp>.SPY150918C200.5</stp>
        <tr r="D424" s="1"/>
      </tp>
      <tp t="s">
        <v>N/A</v>
        <stp/>
        <stp>BID_SIZE</stp>
        <stp>.SPY150930C218.5</stp>
        <tr r="D502" s="1"/>
      </tp>
      <tp t="s">
        <v>N/A</v>
        <stp/>
        <stp>BID_SIZE</stp>
        <stp>.SPY150930C208.5</stp>
        <tr r="D482" s="1"/>
      </tp>
      <tp t="s">
        <v>N/A</v>
        <stp/>
        <stp>ASK_SIZE</stp>
        <stp>.SPY150930C217.5</stp>
        <tr r="B500" s="1"/>
      </tp>
      <tp t="s">
        <v>N/A</v>
        <stp/>
        <stp>ASK_SIZE</stp>
        <stp>.SPY150930C207.5</stp>
        <tr r="B480" s="1"/>
      </tp>
      <tp t="s">
        <v>N/A</v>
        <stp/>
        <stp>ASK_SIZE</stp>
        <stp>.SPY160916C212.5</stp>
        <tr r="B742" s="1"/>
      </tp>
      <tp t="s">
        <v>N/A</v>
        <stp/>
        <stp>ASK_SIZE</stp>
        <stp>.SPY160916C202.5</stp>
        <tr r="B722" s="1"/>
      </tp>
      <tp t="s">
        <v>N/A</v>
        <stp/>
        <stp>ASK</stp>
        <stp>.SPY160916C207</stp>
        <tr r="A731" s="1"/>
      </tp>
      <tp t="s">
        <v>N/A</v>
        <stp/>
        <stp>ASK</stp>
        <stp>.SPY160916P207</stp>
        <tr r="L731" s="1"/>
      </tp>
      <tp t="s">
        <v>N/A</v>
        <stp/>
        <stp>ASK</stp>
        <stp>.SPY160916C206</stp>
        <tr r="A729" s="1"/>
      </tp>
      <tp t="s">
        <v>N/A</v>
        <stp/>
        <stp>ASK</stp>
        <stp>.SPY160916P206</stp>
        <tr r="L729" s="1"/>
      </tp>
      <tp>
        <v>8.85</v>
        <stp/>
        <stp>ASK</stp>
        <stp>.SPY150918C208</stp>
        <tr r="A439" s="1"/>
      </tp>
      <tp>
        <v>19.13</v>
        <stp/>
        <stp>ASK</stp>
        <stp>.SPY160916C205</stp>
        <tr r="A727" s="1"/>
      </tp>
      <tp>
        <v>6.62</v>
        <stp/>
        <stp>ASK</stp>
        <stp>.SPY150918P208</stp>
        <tr r="L439" s="1"/>
      </tp>
      <tp>
        <v>16.05</v>
        <stp/>
        <stp>ASK</stp>
        <stp>.SPY160916P205</stp>
        <tr r="L727" s="1"/>
      </tp>
      <tp>
        <v>8.17</v>
        <stp/>
        <stp>ASK</stp>
        <stp>.SPY150918C209</stp>
        <tr r="A441" s="1"/>
      </tp>
      <tp t="s">
        <v>N/A</v>
        <stp/>
        <stp>ASK</stp>
        <stp>.SPY160916C204</stp>
        <tr r="A725" s="1"/>
      </tp>
      <tp>
        <v>6.98</v>
        <stp/>
        <stp>ASK</stp>
        <stp>.SPY150918P209</stp>
        <tr r="L441" s="1"/>
      </tp>
      <tp t="s">
        <v>N/A</v>
        <stp/>
        <stp>ASK</stp>
        <stp>.SPY160916P204</stp>
        <tr r="L725" s="1"/>
      </tp>
      <tp t="s">
        <v>N/A</v>
        <stp/>
        <stp>ASK</stp>
        <stp>.SPY160916C203</stp>
        <tr r="A723" s="1"/>
      </tp>
      <tp t="s">
        <v>N/A</v>
        <stp/>
        <stp>ASK</stp>
        <stp>.SPY160916P203</stp>
        <tr r="L723" s="1"/>
      </tp>
      <tp t="s">
        <v>N/A</v>
        <stp/>
        <stp>ASK</stp>
        <stp>.SPY160916C202</stp>
        <tr r="A721" s="1"/>
      </tp>
      <tp t="s">
        <v>N/A</v>
        <stp/>
        <stp>ASK</stp>
        <stp>.SPY160916P202</stp>
        <tr r="L721" s="1"/>
      </tp>
      <tp t="s">
        <v>N/A</v>
        <stp/>
        <stp>ASK</stp>
        <stp>.SPY160916C201</stp>
        <tr r="A719" s="1"/>
      </tp>
      <tp t="s">
        <v>N/A</v>
        <stp/>
        <stp>ASK</stp>
        <stp>.SPY160916P201</stp>
        <tr r="L719" s="1"/>
      </tp>
      <tp>
        <v>22.36</v>
        <stp/>
        <stp>ASK</stp>
        <stp>.SPY160916C200</stp>
        <tr r="A717" s="1"/>
      </tp>
      <tp>
        <v>14.22</v>
        <stp/>
        <stp>ASK</stp>
        <stp>.SPY160916P200</stp>
        <tr r="L717" s="1"/>
      </tp>
      <tp>
        <v>13.23</v>
        <stp/>
        <stp>ASK</stp>
        <stp>.SPY150918C202</stp>
        <tr r="A427" s="1"/>
      </tp>
      <tp>
        <v>4.83</v>
        <stp/>
        <stp>ASK</stp>
        <stp>.SPY150918P202</stp>
        <tr r="L427" s="1"/>
      </tp>
      <tp>
        <v>12.58</v>
        <stp/>
        <stp>ASK</stp>
        <stp>.SPY150918C203</stp>
        <tr r="A429" s="1"/>
      </tp>
      <tp>
        <v>5.08</v>
        <stp/>
        <stp>ASK</stp>
        <stp>.SPY150918P203</stp>
        <tr r="L429" s="1"/>
      </tp>
      <tp>
        <v>14.93</v>
        <stp/>
        <stp>ASK</stp>
        <stp>.SPY150918C200</stp>
        <tr r="A423" s="1"/>
      </tp>
      <tp>
        <v>4.3499999999999996</v>
        <stp/>
        <stp>ASK</stp>
        <stp>.SPY150918P200</stp>
        <tr r="L423" s="1"/>
      </tp>
      <tp>
        <v>14.01</v>
        <stp/>
        <stp>ASK</stp>
        <stp>.SPY150918C201</stp>
        <tr r="A425" s="1"/>
      </tp>
      <tp>
        <v>4.58</v>
        <stp/>
        <stp>ASK</stp>
        <stp>.SPY150918P201</stp>
        <tr r="L425" s="1"/>
      </tp>
      <tp>
        <v>10.25</v>
        <stp/>
        <stp>ASK</stp>
        <stp>.SPY150918C206</stp>
        <tr r="A435" s="1"/>
      </tp>
      <tp>
        <v>5.95</v>
        <stp/>
        <stp>ASK</stp>
        <stp>.SPY150918P206</stp>
        <tr r="L435" s="1"/>
      </tp>
      <tp>
        <v>9.52</v>
        <stp/>
        <stp>ASK</stp>
        <stp>.SPY150918C207</stp>
        <tr r="A437" s="1"/>
      </tp>
      <tp>
        <v>6.28</v>
        <stp/>
        <stp>ASK</stp>
        <stp>.SPY150918P207</stp>
        <tr r="L437" s="1"/>
      </tp>
      <tp>
        <v>11.71</v>
        <stp/>
        <stp>ASK</stp>
        <stp>.SPY150918C204</stp>
        <tr r="A431" s="1"/>
      </tp>
      <tp t="s">
        <v>N/A</v>
        <stp/>
        <stp>ASK</stp>
        <stp>.SPY160916C209</stp>
        <tr r="A735" s="1"/>
      </tp>
      <tp>
        <v>5.35</v>
        <stp/>
        <stp>ASK</stp>
        <stp>.SPY150918P204</stp>
        <tr r="L431" s="1"/>
      </tp>
      <tp t="s">
        <v>N/A</v>
        <stp/>
        <stp>ASK</stp>
        <stp>.SPY160916P209</stp>
        <tr r="L735" s="1"/>
      </tp>
      <tp>
        <v>10.97</v>
        <stp/>
        <stp>ASK</stp>
        <stp>.SPY150918C205</stp>
        <tr r="A433" s="1"/>
      </tp>
      <tp t="s">
        <v>N/A</v>
        <stp/>
        <stp>ASK</stp>
        <stp>.SPY160916C208</stp>
        <tr r="A733" s="1"/>
      </tp>
      <tp>
        <v>5.63</v>
        <stp/>
        <stp>ASK</stp>
        <stp>.SPY150918P205</stp>
        <tr r="L433" s="1"/>
      </tp>
      <tp t="s">
        <v>N/A</v>
        <stp/>
        <stp>ASK</stp>
        <stp>.SPY160916P208</stp>
        <tr r="L733" s="1"/>
      </tp>
      <tp t="s">
        <v>N/A</v>
        <stp/>
        <stp>BID</stp>
        <stp>.SPY150930C218</stp>
        <tr r="C501" s="1"/>
      </tp>
      <tp t="s">
        <v>N/A</v>
        <stp/>
        <stp>BID</stp>
        <stp>.SPY150930P218</stp>
        <tr r="N501" s="1"/>
      </tp>
      <tp t="s">
        <v>N/A</v>
        <stp/>
        <stp>BID</stp>
        <stp>.SPY150930C219</stp>
        <tr r="C503" s="1"/>
      </tp>
      <tp t="s">
        <v>N/A</v>
        <stp/>
        <stp>BID</stp>
        <stp>.SPY150930P219</stp>
        <tr r="N503" s="1"/>
      </tp>
      <tp>
        <v>7.73</v>
        <stp/>
        <stp>BID</stp>
        <stp>.SPY150930C210</stp>
        <tr r="C485" s="1"/>
      </tp>
      <tp>
        <v>7.58</v>
        <stp/>
        <stp>BID</stp>
        <stp>.SPY150930P210</stp>
        <tr r="N485" s="1"/>
      </tp>
      <tp>
        <v>7.11</v>
        <stp/>
        <stp>BID</stp>
        <stp>.SPY150930C211</stp>
        <tr r="C487" s="1"/>
      </tp>
      <tp>
        <v>7.97</v>
        <stp/>
        <stp>BID</stp>
        <stp>.SPY150930P211</stp>
        <tr r="N487" s="1"/>
      </tp>
      <tp>
        <v>6.48</v>
        <stp/>
        <stp>BID</stp>
        <stp>.SPY150930C212</stp>
        <tr r="C489" s="1"/>
      </tp>
      <tp>
        <v>8.3699999999999992</v>
        <stp/>
        <stp>BID</stp>
        <stp>.SPY150930P212</stp>
        <tr r="N489" s="1"/>
      </tp>
      <tp>
        <v>5.9</v>
        <stp/>
        <stp>BID</stp>
        <stp>.SPY150930C213</stp>
        <tr r="C491" s="1"/>
      </tp>
      <tp>
        <v>8.8000000000000007</v>
        <stp/>
        <stp>BID</stp>
        <stp>.SPY150930P213</stp>
        <tr r="N491" s="1"/>
      </tp>
      <tp>
        <v>5.35</v>
        <stp/>
        <stp>BID</stp>
        <stp>.SPY150930C214</stp>
        <tr r="C493" s="1"/>
      </tp>
      <tp>
        <v>9.26</v>
        <stp/>
        <stp>BID</stp>
        <stp>.SPY150930P214</stp>
        <tr r="N493" s="1"/>
      </tp>
      <tp>
        <v>4.84</v>
        <stp/>
        <stp>BID</stp>
        <stp>.SPY150930C215</stp>
        <tr r="C495" s="1"/>
      </tp>
      <tp>
        <v>9.67</v>
        <stp/>
        <stp>BID</stp>
        <stp>.SPY150930P215</stp>
        <tr r="N495" s="1"/>
      </tp>
      <tp t="s">
        <v>N/A</v>
        <stp/>
        <stp>BID</stp>
        <stp>.SPY150930C216</stp>
        <tr r="C497" s="1"/>
      </tp>
      <tp t="s">
        <v>N/A</v>
        <stp/>
        <stp>BID</stp>
        <stp>.SPY150930P216</stp>
        <tr r="N497" s="1"/>
      </tp>
      <tp t="s">
        <v>N/A</v>
        <stp/>
        <stp>BID</stp>
        <stp>.SPY150930C217</stp>
        <tr r="C499" s="1"/>
      </tp>
      <tp t="s">
        <v>N/A</v>
        <stp/>
        <stp>BID</stp>
        <stp>.SPY150930P217</stp>
        <tr r="N499" s="1"/>
      </tp>
      <tp t="s">
        <v>N/A</v>
        <stp/>
        <stp>ASK</stp>
        <stp>.SPY160916C217</stp>
        <tr r="A751" s="1"/>
      </tp>
      <tp t="s">
        <v>N/A</v>
        <stp/>
        <stp>ASK</stp>
        <stp>.SPY160916P217</stp>
        <tr r="L751" s="1"/>
      </tp>
      <tp t="s">
        <v>N/A</v>
        <stp/>
        <stp>ASK</stp>
        <stp>.SPY160916C216</stp>
        <tr r="A749" s="1"/>
      </tp>
      <tp t="s">
        <v>N/A</v>
        <stp/>
        <stp>ASK</stp>
        <stp>.SPY160916P216</stp>
        <tr r="L749" s="1"/>
      </tp>
      <tp>
        <v>3.16</v>
        <stp/>
        <stp>ASK</stp>
        <stp>.SPY150918C218</stp>
        <tr r="A459" s="1"/>
      </tp>
      <tp>
        <v>13.33</v>
        <stp/>
        <stp>ASK</stp>
        <stp>.SPY160916C215</stp>
        <tr r="A747" s="1"/>
      </tp>
      <tp>
        <v>11.31</v>
        <stp/>
        <stp>ASK</stp>
        <stp>.SPY150918P218</stp>
        <tr r="L459" s="1"/>
      </tp>
      <tp>
        <v>20.3</v>
        <stp/>
        <stp>ASK</stp>
        <stp>.SPY160916P215</stp>
        <tr r="L747" s="1"/>
      </tp>
      <tp>
        <v>2.75</v>
        <stp/>
        <stp>ASK</stp>
        <stp>.SPY150918C219</stp>
        <tr r="A461" s="1"/>
      </tp>
      <tp t="s">
        <v>N/A</v>
        <stp/>
        <stp>ASK</stp>
        <stp>.SPY160916C214</stp>
        <tr r="A745" s="1"/>
      </tp>
      <tp>
        <v>11.92</v>
        <stp/>
        <stp>ASK</stp>
        <stp>.SPY150918P219</stp>
        <tr r="L461" s="1"/>
      </tp>
      <tp t="s">
        <v>N/A</v>
        <stp/>
        <stp>ASK</stp>
        <stp>.SPY160916P214</stp>
        <tr r="L745" s="1"/>
      </tp>
      <tp t="s">
        <v>N/A</v>
        <stp/>
        <stp>ASK</stp>
        <stp>.SPY160916C213</stp>
        <tr r="A743" s="1"/>
      </tp>
      <tp t="s">
        <v>N/A</v>
        <stp/>
        <stp>ASK</stp>
        <stp>.SPY160916P213</stp>
        <tr r="L743" s="1"/>
      </tp>
      <tp t="s">
        <v>N/A</v>
        <stp/>
        <stp>ASK</stp>
        <stp>.SPY160916C212</stp>
        <tr r="A741" s="1"/>
      </tp>
      <tp t="s">
        <v>N/A</v>
        <stp/>
        <stp>ASK</stp>
        <stp>.SPY160916P212</stp>
        <tr r="L741" s="1"/>
      </tp>
      <tp t="s">
        <v>N/A</v>
        <stp/>
        <stp>ASK</stp>
        <stp>.SPY160916C211</stp>
        <tr r="A739" s="1"/>
      </tp>
      <tp t="s">
        <v>N/A</v>
        <stp/>
        <stp>ASK</stp>
        <stp>.SPY160916P211</stp>
        <tr r="L739" s="1"/>
      </tp>
      <tp>
        <v>16.11</v>
        <stp/>
        <stp>ASK</stp>
        <stp>.SPY160916C210</stp>
        <tr r="A737" s="1"/>
      </tp>
      <tp>
        <v>18.059999999999999</v>
        <stp/>
        <stp>ASK</stp>
        <stp>.SPY160916P210</stp>
        <tr r="L737" s="1"/>
      </tp>
      <tp>
        <v>6.26</v>
        <stp/>
        <stp>ASK</stp>
        <stp>.SPY150918C212</stp>
        <tr r="A447" s="1"/>
      </tp>
      <tp>
        <v>8.17</v>
        <stp/>
        <stp>ASK</stp>
        <stp>.SPY150918P212</stp>
        <tr r="L447" s="1"/>
      </tp>
      <tp>
        <v>5.67</v>
        <stp/>
        <stp>ASK</stp>
        <stp>.SPY150918C213</stp>
        <tr r="A449" s="1"/>
      </tp>
      <tp>
        <v>8.6199999999999992</v>
        <stp/>
        <stp>ASK</stp>
        <stp>.SPY150918P213</stp>
        <tr r="L449" s="1"/>
      </tp>
      <tp>
        <v>7.52</v>
        <stp/>
        <stp>ASK</stp>
        <stp>.SPY150918C210</stp>
        <tr r="A443" s="1"/>
      </tp>
      <tp>
        <v>7.34</v>
        <stp/>
        <stp>ASK</stp>
        <stp>.SPY150918P210</stp>
        <tr r="L443" s="1"/>
      </tp>
      <tp>
        <v>6.88</v>
        <stp/>
        <stp>ASK</stp>
        <stp>.SPY150918C211</stp>
        <tr r="A445" s="1"/>
      </tp>
      <tp>
        <v>7.74</v>
        <stp/>
        <stp>ASK</stp>
        <stp>.SPY150918P211</stp>
        <tr r="L445" s="1"/>
      </tp>
      <tp>
        <v>4.08</v>
        <stp/>
        <stp>ASK</stp>
        <stp>.SPY150918C216</stp>
        <tr r="A455" s="1"/>
      </tp>
      <tp>
        <v>10.16</v>
        <stp/>
        <stp>ASK</stp>
        <stp>.SPY150918P216</stp>
        <tr r="L455" s="1"/>
      </tp>
      <tp>
        <v>3.6</v>
        <stp/>
        <stp>ASK</stp>
        <stp>.SPY150918C217</stp>
        <tr r="A457" s="1"/>
      </tp>
      <tp>
        <v>10.71</v>
        <stp/>
        <stp>ASK</stp>
        <stp>.SPY150918P217</stp>
        <tr r="L457" s="1"/>
      </tp>
      <tp>
        <v>5.13</v>
        <stp/>
        <stp>ASK</stp>
        <stp>.SPY150918C214</stp>
        <tr r="A451" s="1"/>
      </tp>
      <tp t="s">
        <v>N/A</v>
        <stp/>
        <stp>ASK</stp>
        <stp>.SPY160916C219</stp>
        <tr r="A755" s="1"/>
      </tp>
      <tp>
        <v>9.09</v>
        <stp/>
        <stp>ASK</stp>
        <stp>.SPY150918P214</stp>
        <tr r="L451" s="1"/>
      </tp>
      <tp t="s">
        <v>N/A</v>
        <stp/>
        <stp>ASK</stp>
        <stp>.SPY160916P219</stp>
        <tr r="L755" s="1"/>
      </tp>
      <tp>
        <v>4.58</v>
        <stp/>
        <stp>ASK</stp>
        <stp>.SPY150918C215</stp>
        <tr r="A453" s="1"/>
      </tp>
      <tp t="s">
        <v>N/A</v>
        <stp/>
        <stp>ASK</stp>
        <stp>.SPY160916C218</stp>
        <tr r="A753" s="1"/>
      </tp>
      <tp>
        <v>9.6300000000000008</v>
        <stp/>
        <stp>ASK</stp>
        <stp>.SPY150918P215</stp>
        <tr r="L453" s="1"/>
      </tp>
      <tp t="s">
        <v>N/A</v>
        <stp/>
        <stp>ASK</stp>
        <stp>.SPY160916P218</stp>
        <tr r="L753" s="1"/>
      </tp>
      <tp>
        <v>9.0299999999999994</v>
        <stp/>
        <stp>BID</stp>
        <stp>.SPY150930C208</stp>
        <tr r="C481" s="1"/>
      </tp>
      <tp>
        <v>6.86</v>
        <stp/>
        <stp>BID</stp>
        <stp>.SPY150930P208</stp>
        <tr r="N481" s="1"/>
      </tp>
      <tp>
        <v>8.36</v>
        <stp/>
        <stp>BID</stp>
        <stp>.SPY150930C209</stp>
        <tr r="C483" s="1"/>
      </tp>
      <tp>
        <v>7.21</v>
        <stp/>
        <stp>BID</stp>
        <stp>.SPY150930P209</stp>
        <tr r="N483" s="1"/>
      </tp>
      <tp>
        <v>14.78</v>
        <stp/>
        <stp>BID</stp>
        <stp>.SPY150930C200</stp>
        <tr r="C465" s="1"/>
      </tp>
      <tp>
        <v>4.63</v>
        <stp/>
        <stp>BID</stp>
        <stp>.SPY150930P200</stp>
        <tr r="N465" s="1"/>
      </tp>
      <tp>
        <v>14.01</v>
        <stp/>
        <stp>BID</stp>
        <stp>.SPY150930C201</stp>
        <tr r="C467" s="1"/>
      </tp>
      <tp>
        <v>4.8600000000000003</v>
        <stp/>
        <stp>BID</stp>
        <stp>.SPY150930P201</stp>
        <tr r="N467" s="1"/>
      </tp>
      <tp>
        <v>13.24</v>
        <stp/>
        <stp>BID</stp>
        <stp>.SPY150930C202</stp>
        <tr r="C469" s="1"/>
      </tp>
      <tp>
        <v>5.1100000000000003</v>
        <stp/>
        <stp>BID</stp>
        <stp>.SPY150930P202</stp>
        <tr r="N469" s="1"/>
      </tp>
      <tp>
        <v>12.48</v>
        <stp/>
        <stp>BID</stp>
        <stp>.SPY150930C203</stp>
        <tr r="C471" s="1"/>
      </tp>
      <tp>
        <v>5.37</v>
        <stp/>
        <stp>BID</stp>
        <stp>.SPY150930P203</stp>
        <tr r="N471" s="1"/>
      </tp>
      <tp>
        <v>11.75</v>
        <stp/>
        <stp>BID</stp>
        <stp>.SPY150930C204</stp>
        <tr r="C473" s="1"/>
      </tp>
      <tp>
        <v>5.64</v>
        <stp/>
        <stp>BID</stp>
        <stp>.SPY150930P204</stp>
        <tr r="N473" s="1"/>
      </tp>
      <tp>
        <v>11.02</v>
        <stp/>
        <stp>BID</stp>
        <stp>.SPY150930C205</stp>
        <tr r="C475" s="1"/>
      </tp>
      <tp>
        <v>5.92</v>
        <stp/>
        <stp>BID</stp>
        <stp>.SPY150930P205</stp>
        <tr r="N475" s="1"/>
      </tp>
      <tp>
        <v>10.41</v>
        <stp/>
        <stp>BID</stp>
        <stp>.SPY150930C206</stp>
        <tr r="C477" s="1"/>
      </tp>
      <tp>
        <v>6.22</v>
        <stp/>
        <stp>BID</stp>
        <stp>.SPY150930P206</stp>
        <tr r="N477" s="1"/>
      </tp>
      <tp>
        <v>9.6999999999999993</v>
        <stp/>
        <stp>BID</stp>
        <stp>.SPY150930C207</stp>
        <tr r="C479" s="1"/>
      </tp>
      <tp>
        <v>6.53</v>
        <stp/>
        <stp>BID</stp>
        <stp>.SPY150930P207</stp>
        <tr r="N479" s="1"/>
      </tp>
      <tp>
        <v>13.48</v>
        <stp/>
        <stp>ASK</stp>
        <stp>.SPY150930C202</stp>
        <tr r="A469" s="1"/>
      </tp>
      <tp>
        <v>5.23</v>
        <stp/>
        <stp>ASK</stp>
        <stp>.SPY150930P202</stp>
        <tr r="L469" s="1"/>
      </tp>
      <tp>
        <v>12.72</v>
        <stp/>
        <stp>ASK</stp>
        <stp>.SPY150930C203</stp>
        <tr r="A471" s="1"/>
      </tp>
      <tp>
        <v>5.48</v>
        <stp/>
        <stp>ASK</stp>
        <stp>.SPY150930P203</stp>
        <tr r="L471" s="1"/>
      </tp>
      <tp>
        <v>15.04</v>
        <stp/>
        <stp>ASK</stp>
        <stp>.SPY150930C200</stp>
        <tr r="A465" s="1"/>
      </tp>
      <tp>
        <v>4.74</v>
        <stp/>
        <stp>ASK</stp>
        <stp>.SPY150930P200</stp>
        <tr r="L465" s="1"/>
      </tp>
      <tp>
        <v>14.25</v>
        <stp/>
        <stp>ASK</stp>
        <stp>.SPY150930C201</stp>
        <tr r="A467" s="1"/>
      </tp>
      <tp>
        <v>4.9800000000000004</v>
        <stp/>
        <stp>ASK</stp>
        <stp>.SPY150930P201</stp>
        <tr r="L467" s="1"/>
      </tp>
      <tp>
        <v>10.52</v>
        <stp/>
        <stp>ASK</stp>
        <stp>.SPY150930C206</stp>
        <tr r="A477" s="1"/>
      </tp>
      <tp>
        <v>6.35</v>
        <stp/>
        <stp>ASK</stp>
        <stp>.SPY150930P206</stp>
        <tr r="L477" s="1"/>
      </tp>
      <tp>
        <v>9.8000000000000007</v>
        <stp/>
        <stp>ASK</stp>
        <stp>.SPY150930C207</stp>
        <tr r="A479" s="1"/>
      </tp>
      <tp>
        <v>6.67</v>
        <stp/>
        <stp>ASK</stp>
        <stp>.SPY150930P207</stp>
        <tr r="L479" s="1"/>
      </tp>
      <tp>
        <v>11.97</v>
        <stp/>
        <stp>ASK</stp>
        <stp>.SPY150930C204</stp>
        <tr r="A473" s="1"/>
      </tp>
      <tp>
        <v>5.76</v>
        <stp/>
        <stp>ASK</stp>
        <stp>.SPY150930P204</stp>
        <tr r="L473" s="1"/>
      </tp>
      <tp>
        <v>11.24</v>
        <stp/>
        <stp>ASK</stp>
        <stp>.SPY150930C205</stp>
        <tr r="A475" s="1"/>
      </tp>
      <tp>
        <v>6.05</v>
        <stp/>
        <stp>ASK</stp>
        <stp>.SPY150930P205</stp>
        <tr r="L475" s="1"/>
      </tp>
      <tp>
        <v>9.11</v>
        <stp/>
        <stp>ASK</stp>
        <stp>.SPY150930C208</stp>
        <tr r="A481" s="1"/>
      </tp>
      <tp>
        <v>7.01</v>
        <stp/>
        <stp>ASK</stp>
        <stp>.SPY150930P208</stp>
        <tr r="L481" s="1"/>
      </tp>
      <tp>
        <v>8.44</v>
        <stp/>
        <stp>ASK</stp>
        <stp>.SPY150930C209</stp>
        <tr r="A483" s="1"/>
      </tp>
      <tp>
        <v>7.36</v>
        <stp/>
        <stp>ASK</stp>
        <stp>.SPY150930P209</stp>
        <tr r="L483" s="1"/>
      </tp>
      <tp>
        <v>7.4</v>
        <stp/>
        <stp>BID</stp>
        <stp>.SPY150918C210</stp>
        <tr r="C443" s="1"/>
      </tp>
      <tp>
        <v>7.16</v>
        <stp/>
        <stp>BID</stp>
        <stp>.SPY150918P210</stp>
        <tr r="N443" s="1"/>
      </tp>
      <tp>
        <v>6.77</v>
        <stp/>
        <stp>BID</stp>
        <stp>.SPY150918C211</stp>
        <tr r="C445" s="1"/>
      </tp>
      <tp>
        <v>7.6</v>
        <stp/>
        <stp>BID</stp>
        <stp>.SPY150918P211</stp>
        <tr r="N445" s="1"/>
      </tp>
      <tp>
        <v>6.17</v>
        <stp/>
        <stp>BID</stp>
        <stp>.SPY150918C212</stp>
        <tr r="C447" s="1"/>
      </tp>
      <tp>
        <v>7.98</v>
        <stp/>
        <stp>BID</stp>
        <stp>.SPY150918P212</stp>
        <tr r="N447" s="1"/>
      </tp>
      <tp>
        <v>5.59</v>
        <stp/>
        <stp>BID</stp>
        <stp>.SPY150918C213</stp>
        <tr r="C449" s="1"/>
      </tp>
      <tp>
        <v>8.3800000000000008</v>
        <stp/>
        <stp>BID</stp>
        <stp>.SPY150918P213</stp>
        <tr r="N449" s="1"/>
      </tp>
      <tp>
        <v>5.03</v>
        <stp/>
        <stp>BID</stp>
        <stp>.SPY150918C214</stp>
        <tr r="C451" s="1"/>
      </tp>
      <tp t="s">
        <v>N/A</v>
        <stp/>
        <stp>BID</stp>
        <stp>.SPY160916C219</stp>
        <tr r="C755" s="1"/>
      </tp>
      <tp>
        <v>8.84</v>
        <stp/>
        <stp>BID</stp>
        <stp>.SPY150918P214</stp>
        <tr r="N451" s="1"/>
      </tp>
      <tp t="s">
        <v>N/A</v>
        <stp/>
        <stp>BID</stp>
        <stp>.SPY160916P219</stp>
        <tr r="N755" s="1"/>
      </tp>
      <tp>
        <v>4.5</v>
        <stp/>
        <stp>BID</stp>
        <stp>.SPY150918C215</stp>
        <tr r="C453" s="1"/>
      </tp>
      <tp t="s">
        <v>N/A</v>
        <stp/>
        <stp>BID</stp>
        <stp>.SPY160916C218</stp>
        <tr r="C753" s="1"/>
      </tp>
      <tp>
        <v>9.41</v>
        <stp/>
        <stp>BID</stp>
        <stp>.SPY150918P215</stp>
        <tr r="N453" s="1"/>
      </tp>
      <tp t="s">
        <v>N/A</v>
        <stp/>
        <stp>BID</stp>
        <stp>.SPY160916P218</stp>
        <tr r="N753" s="1"/>
      </tp>
      <tp>
        <v>4.03</v>
        <stp/>
        <stp>BID</stp>
        <stp>.SPY150918C216</stp>
        <tr r="C455" s="1"/>
      </tp>
      <tp>
        <v>9.83</v>
        <stp/>
        <stp>BID</stp>
        <stp>.SPY150918P216</stp>
        <tr r="N455" s="1"/>
      </tp>
      <tp>
        <v>3.55</v>
        <stp/>
        <stp>BID</stp>
        <stp>.SPY150918C217</stp>
        <tr r="C457" s="1"/>
      </tp>
      <tp>
        <v>10.38</v>
        <stp/>
        <stp>BID</stp>
        <stp>.SPY150918P217</stp>
        <tr r="N457" s="1"/>
      </tp>
      <tp>
        <v>3.11</v>
        <stp/>
        <stp>BID</stp>
        <stp>.SPY150918C218</stp>
        <tr r="C459" s="1"/>
      </tp>
      <tp>
        <v>12.75</v>
        <stp/>
        <stp>BID</stp>
        <stp>.SPY160916C215</stp>
        <tr r="C747" s="1"/>
      </tp>
      <tp>
        <v>10.96</v>
        <stp/>
        <stp>BID</stp>
        <stp>.SPY150918P218</stp>
        <tr r="N459" s="1"/>
      </tp>
      <tp>
        <v>19.8</v>
        <stp/>
        <stp>BID</stp>
        <stp>.SPY160916P215</stp>
        <tr r="N747" s="1"/>
      </tp>
      <tp>
        <v>2.7</v>
        <stp/>
        <stp>BID</stp>
        <stp>.SPY150918C219</stp>
        <tr r="C461" s="1"/>
      </tp>
      <tp t="s">
        <v>N/A</v>
        <stp/>
        <stp>BID</stp>
        <stp>.SPY160916C214</stp>
        <tr r="C745" s="1"/>
      </tp>
      <tp>
        <v>11.58</v>
        <stp/>
        <stp>BID</stp>
        <stp>.SPY150918P219</stp>
        <tr r="N461" s="1"/>
      </tp>
      <tp t="s">
        <v>N/A</v>
        <stp/>
        <stp>BID</stp>
        <stp>.SPY160916P214</stp>
        <tr r="N745" s="1"/>
      </tp>
      <tp t="s">
        <v>N/A</v>
        <stp/>
        <stp>BID</stp>
        <stp>.SPY160916C217</stp>
        <tr r="C751" s="1"/>
      </tp>
      <tp t="s">
        <v>N/A</v>
        <stp/>
        <stp>BID</stp>
        <stp>.SPY160916P217</stp>
        <tr r="N751" s="1"/>
      </tp>
      <tp t="s">
        <v>N/A</v>
        <stp/>
        <stp>BID</stp>
        <stp>.SPY160916C216</stp>
        <tr r="C749" s="1"/>
      </tp>
      <tp t="s">
        <v>N/A</v>
        <stp/>
        <stp>BID</stp>
        <stp>.SPY160916P216</stp>
        <tr r="N749" s="1"/>
      </tp>
      <tp t="s">
        <v>N/A</v>
        <stp/>
        <stp>BID</stp>
        <stp>.SPY160916C211</stp>
        <tr r="C739" s="1"/>
      </tp>
      <tp t="s">
        <v>N/A</v>
        <stp/>
        <stp>BID</stp>
        <stp>.SPY160916P211</stp>
        <tr r="N739" s="1"/>
      </tp>
      <tp>
        <v>15.67</v>
        <stp/>
        <stp>BID</stp>
        <stp>.SPY160916C210</stp>
        <tr r="C737" s="1"/>
      </tp>
      <tp>
        <v>17.53</v>
        <stp/>
        <stp>BID</stp>
        <stp>.SPY160916P210</stp>
        <tr r="N737" s="1"/>
      </tp>
      <tp t="s">
        <v>N/A</v>
        <stp/>
        <stp>BID</stp>
        <stp>.SPY160916C213</stp>
        <tr r="C743" s="1"/>
      </tp>
      <tp t="s">
        <v>N/A</v>
        <stp/>
        <stp>BID</stp>
        <stp>.SPY160916P213</stp>
        <tr r="N743" s="1"/>
      </tp>
      <tp t="s">
        <v>N/A</v>
        <stp/>
        <stp>BID</stp>
        <stp>.SPY160916C212</stp>
        <tr r="C741" s="1"/>
      </tp>
      <tp t="s">
        <v>N/A</v>
        <stp/>
        <stp>BID</stp>
        <stp>.SPY160916P212</stp>
        <tr r="N741" s="1"/>
      </tp>
      <tp>
        <v>6.59</v>
        <stp/>
        <stp>ASK</stp>
        <stp>.SPY150930C212</stp>
        <tr r="A489" s="1"/>
      </tp>
      <tp>
        <v>8.5500000000000007</v>
        <stp/>
        <stp>ASK</stp>
        <stp>.SPY150930P212</stp>
        <tr r="L489" s="1"/>
      </tp>
      <tp>
        <v>6.02</v>
        <stp/>
        <stp>ASK</stp>
        <stp>.SPY150930C213</stp>
        <tr r="A491" s="1"/>
      </tp>
      <tp>
        <v>8.99</v>
        <stp/>
        <stp>ASK</stp>
        <stp>.SPY150930P213</stp>
        <tr r="L491" s="1"/>
      </tp>
      <tp>
        <v>7.79</v>
        <stp/>
        <stp>ASK</stp>
        <stp>.SPY150930C210</stp>
        <tr r="A485" s="1"/>
      </tp>
      <tp>
        <v>7.74</v>
        <stp/>
        <stp>ASK</stp>
        <stp>.SPY150930P210</stp>
        <tr r="L485" s="1"/>
      </tp>
      <tp>
        <v>7.16</v>
        <stp/>
        <stp>ASK</stp>
        <stp>.SPY150930C211</stp>
        <tr r="A487" s="1"/>
      </tp>
      <tp>
        <v>8.14</v>
        <stp/>
        <stp>ASK</stp>
        <stp>.SPY150930P211</stp>
        <tr r="L487" s="1"/>
      </tp>
      <tp t="s">
        <v>N/A</v>
        <stp/>
        <stp>ASK</stp>
        <stp>.SPY150930C216</stp>
        <tr r="A497" s="1"/>
      </tp>
      <tp t="s">
        <v>N/A</v>
        <stp/>
        <stp>ASK</stp>
        <stp>.SPY150930P216</stp>
        <tr r="L497" s="1"/>
      </tp>
      <tp t="s">
        <v>N/A</v>
        <stp/>
        <stp>ASK</stp>
        <stp>.SPY150930C217</stp>
        <tr r="A499" s="1"/>
      </tp>
      <tp t="s">
        <v>N/A</v>
        <stp/>
        <stp>ASK</stp>
        <stp>.SPY150930P217</stp>
        <tr r="L499" s="1"/>
      </tp>
      <tp>
        <v>5.42</v>
        <stp/>
        <stp>ASK</stp>
        <stp>.SPY150930C214</stp>
        <tr r="A493" s="1"/>
      </tp>
      <tp>
        <v>9.4700000000000006</v>
        <stp/>
        <stp>ASK</stp>
        <stp>.SPY150930P214</stp>
        <tr r="L493" s="1"/>
      </tp>
      <tp>
        <v>4.88</v>
        <stp/>
        <stp>ASK</stp>
        <stp>.SPY150930C215</stp>
        <tr r="A495" s="1"/>
      </tp>
      <tp>
        <v>10.029999999999999</v>
        <stp/>
        <stp>ASK</stp>
        <stp>.SPY150930P215</stp>
        <tr r="L495" s="1"/>
      </tp>
      <tp t="s">
        <v>N/A</v>
        <stp/>
        <stp>ASK</stp>
        <stp>.SPY150930C218</stp>
        <tr r="A501" s="1"/>
      </tp>
      <tp t="s">
        <v>N/A</v>
        <stp/>
        <stp>ASK</stp>
        <stp>.SPY150930P218</stp>
        <tr r="L501" s="1"/>
      </tp>
      <tp t="s">
        <v>N/A</v>
        <stp/>
        <stp>ASK</stp>
        <stp>.SPY150930C219</stp>
        <tr r="A503" s="1"/>
      </tp>
      <tp t="s">
        <v>N/A</v>
        <stp/>
        <stp>ASK</stp>
        <stp>.SPY150930P219</stp>
        <tr r="L503" s="1"/>
      </tp>
      <tp>
        <v>14.56</v>
        <stp/>
        <stp>BID</stp>
        <stp>.SPY150918C200</stp>
        <tr r="C423" s="1"/>
      </tp>
      <tp>
        <v>4.28</v>
        <stp/>
        <stp>BID</stp>
        <stp>.SPY150918P200</stp>
        <tr r="N423" s="1"/>
      </tp>
      <tp>
        <v>13.77</v>
        <stp/>
        <stp>BID</stp>
        <stp>.SPY150918C201</stp>
        <tr r="C425" s="1"/>
      </tp>
      <tp>
        <v>4.5199999999999996</v>
        <stp/>
        <stp>BID</stp>
        <stp>.SPY150918P201</stp>
        <tr r="N425" s="1"/>
      </tp>
      <tp>
        <v>13.02</v>
        <stp/>
        <stp>BID</stp>
        <stp>.SPY150918C202</stp>
        <tr r="C427" s="1"/>
      </tp>
      <tp>
        <v>4.75</v>
        <stp/>
        <stp>BID</stp>
        <stp>.SPY150918P202</stp>
        <tr r="N427" s="1"/>
      </tp>
      <tp>
        <v>12.24</v>
        <stp/>
        <stp>BID</stp>
        <stp>.SPY150918C203</stp>
        <tr r="C429" s="1"/>
      </tp>
      <tp>
        <v>5</v>
        <stp/>
        <stp>BID</stp>
        <stp>.SPY150918P203</stp>
        <tr r="N429" s="1"/>
      </tp>
      <tp>
        <v>11.48</v>
        <stp/>
        <stp>BID</stp>
        <stp>.SPY150918C204</stp>
        <tr r="C431" s="1"/>
      </tp>
      <tp t="s">
        <v>N/A</v>
        <stp/>
        <stp>BID</stp>
        <stp>.SPY160916C209</stp>
        <tr r="C735" s="1"/>
      </tp>
      <tp>
        <v>5.26</v>
        <stp/>
        <stp>BID</stp>
        <stp>.SPY150918P204</stp>
        <tr r="N431" s="1"/>
      </tp>
      <tp t="s">
        <v>N/A</v>
        <stp/>
        <stp>BID</stp>
        <stp>.SPY160916P209</stp>
        <tr r="N735" s="1"/>
      </tp>
      <tp>
        <v>10.74</v>
        <stp/>
        <stp>BID</stp>
        <stp>.SPY150918C205</stp>
        <tr r="C433" s="1"/>
      </tp>
      <tp t="s">
        <v>N/A</v>
        <stp/>
        <stp>BID</stp>
        <stp>.SPY160916C208</stp>
        <tr r="C733" s="1"/>
      </tp>
      <tp>
        <v>5.55</v>
        <stp/>
        <stp>BID</stp>
        <stp>.SPY150918P205</stp>
        <tr r="N433" s="1"/>
      </tp>
      <tp t="s">
        <v>N/A</v>
        <stp/>
        <stp>BID</stp>
        <stp>.SPY160916P208</stp>
        <tr r="N733" s="1"/>
      </tp>
      <tp>
        <v>10.029999999999999</v>
        <stp/>
        <stp>BID</stp>
        <stp>.SPY150918C206</stp>
        <tr r="C435" s="1"/>
      </tp>
      <tp>
        <v>5.82</v>
        <stp/>
        <stp>BID</stp>
        <stp>.SPY150918P206</stp>
        <tr r="N435" s="1"/>
      </tp>
      <tp>
        <v>9.41</v>
        <stp/>
        <stp>BID</stp>
        <stp>.SPY150918C207</stp>
        <tr r="C437" s="1"/>
      </tp>
      <tp>
        <v>6.13</v>
        <stp/>
        <stp>BID</stp>
        <stp>.SPY150918P207</stp>
        <tr r="N437" s="1"/>
      </tp>
      <tp>
        <v>8.7200000000000006</v>
        <stp/>
        <stp>BID</stp>
        <stp>.SPY150918C208</stp>
        <tr r="C439" s="1"/>
      </tp>
      <tp>
        <v>18.61</v>
        <stp/>
        <stp>BID</stp>
        <stp>.SPY160916C205</stp>
        <tr r="C727" s="1"/>
      </tp>
      <tp>
        <v>6.45</v>
        <stp/>
        <stp>BID</stp>
        <stp>.SPY150918P208</stp>
        <tr r="N439" s="1"/>
      </tp>
      <tp>
        <v>15.51</v>
        <stp/>
        <stp>BID</stp>
        <stp>.SPY160916P205</stp>
        <tr r="N727" s="1"/>
      </tp>
      <tp>
        <v>8.0500000000000007</v>
        <stp/>
        <stp>BID</stp>
        <stp>.SPY150918C209</stp>
        <tr r="C441" s="1"/>
      </tp>
      <tp t="s">
        <v>N/A</v>
        <stp/>
        <stp>BID</stp>
        <stp>.SPY160916C204</stp>
        <tr r="C725" s="1"/>
      </tp>
      <tp>
        <v>6.79</v>
        <stp/>
        <stp>BID</stp>
        <stp>.SPY150918P209</stp>
        <tr r="N441" s="1"/>
      </tp>
      <tp t="s">
        <v>N/A</v>
        <stp/>
        <stp>BID</stp>
        <stp>.SPY160916P204</stp>
        <tr r="N725" s="1"/>
      </tp>
      <tp t="s">
        <v>N/A</v>
        <stp/>
        <stp>BID</stp>
        <stp>.SPY160916C207</stp>
        <tr r="C731" s="1"/>
      </tp>
      <tp t="s">
        <v>N/A</v>
        <stp/>
        <stp>BID</stp>
        <stp>.SPY160916P207</stp>
        <tr r="N731" s="1"/>
      </tp>
      <tp t="s">
        <v>N/A</v>
        <stp/>
        <stp>BID</stp>
        <stp>.SPY160916C206</stp>
        <tr r="C729" s="1"/>
      </tp>
      <tp t="s">
        <v>N/A</v>
        <stp/>
        <stp>BID</stp>
        <stp>.SPY160916P206</stp>
        <tr r="N729" s="1"/>
      </tp>
      <tp t="s">
        <v>N/A</v>
        <stp/>
        <stp>BID</stp>
        <stp>.SPY160916C201</stp>
        <tr r="C719" s="1"/>
      </tp>
      <tp t="s">
        <v>N/A</v>
        <stp/>
        <stp>BID</stp>
        <stp>.SPY160916P201</stp>
        <tr r="N719" s="1"/>
      </tp>
      <tp>
        <v>21.86</v>
        <stp/>
        <stp>BID</stp>
        <stp>.SPY160916C200</stp>
        <tr r="C717" s="1"/>
      </tp>
      <tp>
        <v>13.71</v>
        <stp/>
        <stp>BID</stp>
        <stp>.SPY160916P200</stp>
        <tr r="N717" s="1"/>
      </tp>
      <tp t="s">
        <v>N/A</v>
        <stp/>
        <stp>BID</stp>
        <stp>.SPY160916C203</stp>
        <tr r="C723" s="1"/>
      </tp>
      <tp t="s">
        <v>N/A</v>
        <stp/>
        <stp>BID</stp>
        <stp>.SPY160916P203</stp>
        <tr r="N723" s="1"/>
      </tp>
      <tp t="s">
        <v>N/A</v>
        <stp/>
        <stp>BID</stp>
        <stp>.SPY160916C202</stp>
        <tr r="C721" s="1"/>
      </tp>
      <tp t="s">
        <v>N/A</v>
        <stp/>
        <stp>BID</stp>
        <stp>.SPY160916P202</stp>
        <tr r="N721" s="1"/>
      </tp>
      <tp t="s">
        <v>N/A</v>
        <stp/>
        <stp>RHO</stp>
        <stp>.SPY150930C219</stp>
        <tr r="K503" s="1"/>
      </tp>
      <tp t="s">
        <v>N/A</v>
        <stp/>
        <stp>RHO</stp>
        <stp>.SPY150930P219</stp>
        <tr r="V503" s="1"/>
      </tp>
      <tp t="s">
        <v>N/A</v>
        <stp/>
        <stp>RHO</stp>
        <stp>.SPY150930C218</stp>
        <tr r="K501" s="1"/>
      </tp>
      <tp t="s">
        <v>N/A</v>
        <stp/>
        <stp>RHO</stp>
        <stp>.SPY150930P218</stp>
        <tr r="V501" s="1"/>
      </tp>
      <tp>
        <v>0.36682999999999999</v>
        <stp/>
        <stp>RHO</stp>
        <stp>.SPY150930C211</stp>
        <tr r="K487" s="1"/>
      </tp>
      <tp>
        <v>-0.46295999999999998</v>
        <stp/>
        <stp>RHO</stp>
        <stp>.SPY150930P211</stp>
        <tr r="V487" s="1"/>
      </tp>
      <tp>
        <v>0.37841999999999998</v>
        <stp/>
        <stp>RHO</stp>
        <stp>.SPY150930C210</stp>
        <tr r="K485" s="1"/>
      </tp>
      <tp>
        <v>-0.44312000000000001</v>
        <stp/>
        <stp>RHO</stp>
        <stp>.SPY150930P210</stp>
        <tr r="V485" s="1"/>
      </tp>
      <tp>
        <v>0.34083000000000002</v>
        <stp/>
        <stp>RHO</stp>
        <stp>.SPY150930C213</stp>
        <tr r="K491" s="1"/>
      </tp>
      <tp>
        <v>-0.50444</v>
        <stp/>
        <stp>RHO</stp>
        <stp>.SPY150930P213</stp>
        <tr r="V491" s="1"/>
      </tp>
      <tp>
        <v>0.3543</v>
        <stp/>
        <stp>RHO</stp>
        <stp>.SPY150930C212</stp>
        <tr r="K489" s="1"/>
      </tp>
      <tp>
        <v>-0.4834</v>
        <stp/>
        <stp>RHO</stp>
        <stp>.SPY150930P212</stp>
        <tr r="V489" s="1"/>
      </tp>
      <tp>
        <v>0.31081999999999999</v>
        <stp/>
        <stp>RHO</stp>
        <stp>.SPY150930C215</stp>
        <tr r="K495" s="1"/>
      </tp>
      <tp>
        <v>-0.54806999999999995</v>
        <stp/>
        <stp>RHO</stp>
        <stp>.SPY150930P215</stp>
        <tr r="V495" s="1"/>
      </tp>
      <tp>
        <v>0.32617000000000002</v>
        <stp/>
        <stp>RHO</stp>
        <stp>.SPY150930C214</stp>
        <tr r="K493" s="1"/>
      </tp>
      <tp>
        <v>-0.52598</v>
        <stp/>
        <stp>RHO</stp>
        <stp>.SPY150930P214</stp>
        <tr r="V493" s="1"/>
      </tp>
      <tp t="s">
        <v>N/A</v>
        <stp/>
        <stp>RHO</stp>
        <stp>.SPY150930C217</stp>
        <tr r="K499" s="1"/>
      </tp>
      <tp t="s">
        <v>N/A</v>
        <stp/>
        <stp>RHO</stp>
        <stp>.SPY150930P217</stp>
        <tr r="V499" s="1"/>
      </tp>
      <tp t="s">
        <v>N/A</v>
        <stp/>
        <stp>RHO</stp>
        <stp>.SPY150930C216</stp>
        <tr r="K497" s="1"/>
      </tp>
      <tp t="s">
        <v>N/A</v>
        <stp/>
        <stp>RHO</stp>
        <stp>.SPY150930P216</stp>
        <tr r="V497" s="1"/>
      </tp>
      <tp>
        <v>0.38896999999999998</v>
        <stp/>
        <stp>RHO</stp>
        <stp>.SPY150930C209</stp>
        <tr r="K483" s="1"/>
      </tp>
      <tp>
        <v>-0.42393999999999998</v>
        <stp/>
        <stp>RHO</stp>
        <stp>.SPY150930P209</stp>
        <tr r="V483" s="1"/>
      </tp>
      <tp>
        <v>0.39845999999999998</v>
        <stp/>
        <stp>RHO</stp>
        <stp>.SPY150930C208</stp>
        <tr r="K481" s="1"/>
      </tp>
      <tp>
        <v>-0.40548000000000001</v>
        <stp/>
        <stp>RHO</stp>
        <stp>.SPY150930P208</stp>
        <tr r="V481" s="1"/>
      </tp>
      <tp>
        <v>0.43742999999999999</v>
        <stp/>
        <stp>RHO</stp>
        <stp>.SPY150930C201</stp>
        <tr r="K467" s="1"/>
      </tp>
      <tp>
        <v>-0.29461999999999999</v>
        <stp/>
        <stp>RHO</stp>
        <stp>.SPY150930P201</stp>
        <tr r="V467" s="1"/>
      </tp>
      <tp>
        <v>0.43924999999999997</v>
        <stp/>
        <stp>RHO</stp>
        <stp>.SPY150930C200</stp>
        <tr r="K465" s="1"/>
      </tp>
      <tp>
        <v>-0.28122999999999998</v>
        <stp/>
        <stp>RHO</stp>
        <stp>.SPY150930P200</stp>
        <tr r="V465" s="1"/>
      </tp>
      <tp>
        <v>0.43109999999999998</v>
        <stp/>
        <stp>RHO</stp>
        <stp>.SPY150930C203</stp>
        <tr r="K471" s="1"/>
      </tp>
      <tp>
        <v>-0.32314999999999999</v>
        <stp/>
        <stp>RHO</stp>
        <stp>.SPY150930P203</stp>
        <tr r="V471" s="1"/>
      </tp>
      <tp>
        <v>0.43472</v>
        <stp/>
        <stp>RHO</stp>
        <stp>.SPY150930C202</stp>
        <tr r="K469" s="1"/>
      </tp>
      <tp>
        <v>-0.30864999999999998</v>
        <stp/>
        <stp>RHO</stp>
        <stp>.SPY150930P202</stp>
        <tr r="V469" s="1"/>
      </tp>
      <tp>
        <v>0.42099999999999999</v>
        <stp/>
        <stp>RHO</stp>
        <stp>.SPY150930C205</stp>
        <tr r="K475" s="1"/>
      </tp>
      <tp>
        <v>-0.35415999999999997</v>
        <stp/>
        <stp>RHO</stp>
        <stp>.SPY150930P205</stp>
        <tr r="V475" s="1"/>
      </tp>
      <tp>
        <v>0.42653000000000002</v>
        <stp/>
        <stp>RHO</stp>
        <stp>.SPY150930C204</stp>
        <tr r="K473" s="1"/>
      </tp>
      <tp>
        <v>-0.33835999999999999</v>
        <stp/>
        <stp>RHO</stp>
        <stp>.SPY150930P204</stp>
        <tr r="V473" s="1"/>
      </tp>
      <tp>
        <v>0.40694999999999998</v>
        <stp/>
        <stp>RHO</stp>
        <stp>.SPY150930C207</stp>
        <tr r="K479" s="1"/>
      </tp>
      <tp>
        <v>-0.38767000000000001</v>
        <stp/>
        <stp>RHO</stp>
        <stp>.SPY150930P207</stp>
        <tr r="V479" s="1"/>
      </tp>
      <tp>
        <v>0.41439999999999999</v>
        <stp/>
        <stp>RHO</stp>
        <stp>.SPY150930C206</stp>
        <tr r="K477" s="1"/>
      </tp>
      <tp>
        <v>-0.37057000000000001</v>
        <stp/>
        <stp>RHO</stp>
        <stp>.SPY150930P206</stp>
        <tr r="V477" s="1"/>
      </tp>
      <tp>
        <v>0.34011999999999998</v>
        <stp/>
        <stp>RHO</stp>
        <stp>.SPY150918C211</stp>
        <tr r="K445" s="1"/>
      </tp>
      <tp>
        <v>-0.42420000000000002</v>
        <stp/>
        <stp>RHO</stp>
        <stp>.SPY150918P211</stp>
        <tr r="V445" s="1"/>
      </tp>
      <tp>
        <v>0.35145999999999999</v>
        <stp/>
        <stp>RHO</stp>
        <stp>.SPY150918C210</stp>
        <tr r="K443" s="1"/>
      </tp>
      <tp>
        <v>-0.40515000000000001</v>
        <stp/>
        <stp>RHO</stp>
        <stp>.SPY150918P210</stp>
        <tr r="V443" s="1"/>
      </tp>
      <tp>
        <v>0.31446000000000002</v>
        <stp/>
        <stp>RHO</stp>
        <stp>.SPY150918C213</stp>
        <tr r="K449" s="1"/>
      </tp>
      <tp>
        <v>-0.46400000000000002</v>
        <stp/>
        <stp>RHO</stp>
        <stp>.SPY150918P213</stp>
        <tr r="V449" s="1"/>
      </tp>
      <tp>
        <v>0.32779000000000003</v>
        <stp/>
        <stp>RHO</stp>
        <stp>.SPY150918C212</stp>
        <tr r="K447" s="1"/>
      </tp>
      <tp>
        <v>-0.44378000000000001</v>
        <stp/>
        <stp>RHO</stp>
        <stp>.SPY150918P212</stp>
        <tr r="V447" s="1"/>
      </tp>
      <tp>
        <v>0.28492000000000001</v>
        <stp/>
        <stp>RHO</stp>
        <stp>.SPY150918C215</stp>
        <tr r="K453" s="1"/>
      </tp>
      <tp t="s">
        <v>N/A</v>
        <stp/>
        <stp>RHO</stp>
        <stp>.SPY160916C218</stp>
        <tr r="K753" s="1"/>
      </tp>
      <tp>
        <v>-0.50527999999999995</v>
        <stp/>
        <stp>RHO</stp>
        <stp>.SPY150918P215</stp>
        <tr r="V453" s="1"/>
      </tp>
      <tp t="s">
        <v>N/A</v>
        <stp/>
        <stp>RHO</stp>
        <stp>.SPY160916P218</stp>
        <tr r="V753" s="1"/>
      </tp>
      <tp>
        <v>0.30020999999999998</v>
        <stp/>
        <stp>RHO</stp>
        <stp>.SPY150918C214</stp>
        <tr r="K451" s="1"/>
      </tp>
      <tp t="s">
        <v>N/A</v>
        <stp/>
        <stp>RHO</stp>
        <stp>.SPY160916C219</stp>
        <tr r="K755" s="1"/>
      </tp>
      <tp>
        <v>-0.48475000000000001</v>
        <stp/>
        <stp>RHO</stp>
        <stp>.SPY150918P214</stp>
        <tr r="V451" s="1"/>
      </tp>
      <tp t="s">
        <v>N/A</v>
        <stp/>
        <stp>RHO</stp>
        <stp>.SPY160916P219</stp>
        <tr r="V755" s="1"/>
      </tp>
      <tp>
        <v>0.25219999999999998</v>
        <stp/>
        <stp>RHO</stp>
        <stp>.SPY150918C217</stp>
        <tr r="K457" s="1"/>
      </tp>
      <tp>
        <v>-0.54918</v>
        <stp/>
        <stp>RHO</stp>
        <stp>.SPY150918P217</stp>
        <tr r="V457" s="1"/>
      </tp>
      <tp>
        <v>0.26910000000000001</v>
        <stp/>
        <stp>RHO</stp>
        <stp>.SPY150918C216</stp>
        <tr r="K455" s="1"/>
      </tp>
      <tp>
        <v>-0.52732000000000001</v>
        <stp/>
        <stp>RHO</stp>
        <stp>.SPY150918P216</stp>
        <tr r="V455" s="1"/>
      </tp>
      <tp>
        <v>0.21690999999999999</v>
        <stp/>
        <stp>RHO</stp>
        <stp>.SPY150918C219</stp>
        <tr r="K461" s="1"/>
      </tp>
      <tp t="s">
        <v>N/A</v>
        <stp/>
        <stp>RHO</stp>
        <stp>.SPY160916C214</stp>
        <tr r="K745" s="1"/>
      </tp>
      <tp>
        <v>-0.59270999999999996</v>
        <stp/>
        <stp>RHO</stp>
        <stp>.SPY150918P219</stp>
        <tr r="V461" s="1"/>
      </tp>
      <tp t="s">
        <v>N/A</v>
        <stp/>
        <stp>RHO</stp>
        <stp>.SPY160916P214</stp>
        <tr r="V745" s="1"/>
      </tp>
      <tp>
        <v>0.23480000000000001</v>
        <stp/>
        <stp>RHO</stp>
        <stp>.SPY150918C218</stp>
        <tr r="K459" s="1"/>
      </tp>
      <tp>
        <v>1.00945</v>
        <stp/>
        <stp>RHO</stp>
        <stp>.SPY160916C215</stp>
        <tr r="K747" s="1"/>
      </tp>
      <tp>
        <v>-0.57088000000000005</v>
        <stp/>
        <stp>RHO</stp>
        <stp>.SPY150918P218</stp>
        <tr r="V459" s="1"/>
      </tp>
      <tp>
        <v>-1.80586</v>
        <stp/>
        <stp>RHO</stp>
        <stp>.SPY160916P215</stp>
        <tr r="V747" s="1"/>
      </tp>
      <tp t="s">
        <v>N/A</v>
        <stp/>
        <stp>RHO</stp>
        <stp>.SPY160916C216</stp>
        <tr r="K749" s="1"/>
      </tp>
      <tp t="s">
        <v>N/A</v>
        <stp/>
        <stp>RHO</stp>
        <stp>.SPY160916P216</stp>
        <tr r="V749" s="1"/>
      </tp>
      <tp t="s">
        <v>N/A</v>
        <stp/>
        <stp>RHO</stp>
        <stp>.SPY160916C217</stp>
        <tr r="K751" s="1"/>
      </tp>
      <tp t="s">
        <v>N/A</v>
        <stp/>
        <stp>RHO</stp>
        <stp>.SPY160916P217</stp>
        <tr r="V751" s="1"/>
      </tp>
      <tp>
        <v>1.07745</v>
        <stp/>
        <stp>RHO</stp>
        <stp>.SPY160916C210</stp>
        <tr r="K737" s="1"/>
      </tp>
      <tp>
        <v>-1.6259999999999999</v>
        <stp/>
        <stp>RHO</stp>
        <stp>.SPY160916P210</stp>
        <tr r="V737" s="1"/>
      </tp>
      <tp t="s">
        <v>N/A</v>
        <stp/>
        <stp>RHO</stp>
        <stp>.SPY160916C211</stp>
        <tr r="K739" s="1"/>
      </tp>
      <tp t="s">
        <v>N/A</v>
        <stp/>
        <stp>RHO</stp>
        <stp>.SPY160916P211</stp>
        <tr r="V739" s="1"/>
      </tp>
      <tp t="s">
        <v>N/A</v>
        <stp/>
        <stp>RHO</stp>
        <stp>.SPY160916C212</stp>
        <tr r="K741" s="1"/>
      </tp>
      <tp t="s">
        <v>N/A</v>
        <stp/>
        <stp>RHO</stp>
        <stp>.SPY160916P212</stp>
        <tr r="V741" s="1"/>
      </tp>
      <tp t="s">
        <v>N/A</v>
        <stp/>
        <stp>RHO</stp>
        <stp>.SPY160916C213</stp>
        <tr r="K743" s="1"/>
      </tp>
      <tp t="s">
        <v>N/A</v>
        <stp/>
        <stp>RHO</stp>
        <stp>.SPY160916P213</stp>
        <tr r="V743" s="1"/>
      </tp>
      <tp>
        <v>0.40783000000000003</v>
        <stp/>
        <stp>RHO</stp>
        <stp>.SPY150918C201</stp>
        <tr r="K425" s="1"/>
      </tp>
      <tp>
        <v>-0.26390000000000002</v>
        <stp/>
        <stp>RHO</stp>
        <stp>.SPY150918P201</stp>
        <tr r="V425" s="1"/>
      </tp>
      <tp>
        <v>0.40934999999999999</v>
        <stp/>
        <stp>RHO</stp>
        <stp>.SPY150918C200</stp>
        <tr r="K423" s="1"/>
      </tp>
      <tp>
        <v>-0.25117</v>
        <stp/>
        <stp>RHO</stp>
        <stp>.SPY150918P200</stp>
        <tr r="V423" s="1"/>
      </tp>
      <tp>
        <v>0.40193000000000001</v>
        <stp/>
        <stp>RHO</stp>
        <stp>.SPY150918C203</stp>
        <tr r="K429" s="1"/>
      </tp>
      <tp>
        <v>-0.29076999999999997</v>
        <stp/>
        <stp>RHO</stp>
        <stp>.SPY150918P203</stp>
        <tr r="V429" s="1"/>
      </tp>
      <tp>
        <v>0.40538999999999997</v>
        <stp/>
        <stp>RHO</stp>
        <stp>.SPY150918C202</stp>
        <tr r="K427" s="1"/>
      </tp>
      <tp>
        <v>-0.27705999999999997</v>
        <stp/>
        <stp>RHO</stp>
        <stp>.SPY150918P202</stp>
        <tr r="V427" s="1"/>
      </tp>
      <tp>
        <v>0.3926</v>
        <stp/>
        <stp>RHO</stp>
        <stp>.SPY150918C205</stp>
        <tr r="K433" s="1"/>
      </tp>
      <tp t="s">
        <v>N/A</v>
        <stp/>
        <stp>RHO</stp>
        <stp>.SPY160916C208</stp>
        <tr r="K733" s="1"/>
      </tp>
      <tp>
        <v>-0.32018999999999997</v>
        <stp/>
        <stp>RHO</stp>
        <stp>.SPY150918P205</stp>
        <tr r="V433" s="1"/>
      </tp>
      <tp t="s">
        <v>N/A</v>
        <stp/>
        <stp>RHO</stp>
        <stp>.SPY160916P208</stp>
        <tr r="V733" s="1"/>
      </tp>
      <tp>
        <v>0.39782000000000001</v>
        <stp/>
        <stp>RHO</stp>
        <stp>.SPY150918C204</stp>
        <tr r="K431" s="1"/>
      </tp>
      <tp t="s">
        <v>N/A</v>
        <stp/>
        <stp>RHO</stp>
        <stp>.SPY160916C209</stp>
        <tr r="K735" s="1"/>
      </tp>
      <tp>
        <v>-0.30513000000000001</v>
        <stp/>
        <stp>RHO</stp>
        <stp>.SPY150918P204</stp>
        <tr r="V431" s="1"/>
      </tp>
      <tp t="s">
        <v>N/A</v>
        <stp/>
        <stp>RHO</stp>
        <stp>.SPY160916P209</stp>
        <tr r="V735" s="1"/>
      </tp>
      <tp>
        <v>0.37913000000000002</v>
        <stp/>
        <stp>RHO</stp>
        <stp>.SPY150918C207</stp>
        <tr r="K437" s="1"/>
      </tp>
      <tp>
        <v>-0.35217999999999999</v>
        <stp/>
        <stp>RHO</stp>
        <stp>.SPY150918P207</stp>
        <tr r="V437" s="1"/>
      </tp>
      <tp>
        <v>0.38639000000000001</v>
        <stp/>
        <stp>RHO</stp>
        <stp>.SPY150918C206</stp>
        <tr r="K435" s="1"/>
      </tp>
      <tp>
        <v>-0.33583000000000002</v>
        <stp/>
        <stp>RHO</stp>
        <stp>.SPY150918P206</stp>
        <tr r="V435" s="1"/>
      </tp>
      <tp>
        <v>0.36173</v>
        <stp/>
        <stp>RHO</stp>
        <stp>.SPY150918C209</stp>
        <tr r="K441" s="1"/>
      </tp>
      <tp t="s">
        <v>N/A</v>
        <stp/>
        <stp>RHO</stp>
        <stp>.SPY160916C204</stp>
        <tr r="K725" s="1"/>
      </tp>
      <tp>
        <v>-0.38682</v>
        <stp/>
        <stp>RHO</stp>
        <stp>.SPY150918P209</stp>
        <tr r="V441" s="1"/>
      </tp>
      <tp t="s">
        <v>N/A</v>
        <stp/>
        <stp>RHO</stp>
        <stp>.SPY160916P204</stp>
        <tr r="V725" s="1"/>
      </tp>
      <tp>
        <v>0.37092999999999998</v>
        <stp/>
        <stp>RHO</stp>
        <stp>.SPY150918C208</stp>
        <tr r="K439" s="1"/>
      </tp>
      <tp>
        <v>1.12791</v>
        <stp/>
        <stp>RHO</stp>
        <stp>.SPY160916C205</stp>
        <tr r="K727" s="1"/>
      </tp>
      <tp>
        <v>-0.36914999999999998</v>
        <stp/>
        <stp>RHO</stp>
        <stp>.SPY150918P208</stp>
        <tr r="V439" s="1"/>
      </tp>
      <tp>
        <v>-1.4584699999999999</v>
        <stp/>
        <stp>RHO</stp>
        <stp>.SPY160916P205</stp>
        <tr r="V727" s="1"/>
      </tp>
      <tp t="s">
        <v>N/A</v>
        <stp/>
        <stp>RHO</stp>
        <stp>.SPY160916C206</stp>
        <tr r="K729" s="1"/>
      </tp>
      <tp t="s">
        <v>N/A</v>
        <stp/>
        <stp>RHO</stp>
        <stp>.SPY160916P206</stp>
        <tr r="V729" s="1"/>
      </tp>
      <tp t="s">
        <v>N/A</v>
        <stp/>
        <stp>RHO</stp>
        <stp>.SPY160916C207</stp>
        <tr r="K731" s="1"/>
      </tp>
      <tp t="s">
        <v>N/A</v>
        <stp/>
        <stp>RHO</stp>
        <stp>.SPY160916P207</stp>
        <tr r="V731" s="1"/>
      </tp>
      <tp>
        <v>1.1608000000000001</v>
        <stp/>
        <stp>RHO</stp>
        <stp>.SPY160916C200</stp>
        <tr r="K717" s="1"/>
      </tp>
      <tp>
        <v>-1.3036099999999999</v>
        <stp/>
        <stp>RHO</stp>
        <stp>.SPY160916P200</stp>
        <tr r="V717" s="1"/>
      </tp>
      <tp t="s">
        <v>N/A</v>
        <stp/>
        <stp>RHO</stp>
        <stp>.SPY160916C201</stp>
        <tr r="K719" s="1"/>
      </tp>
      <tp t="s">
        <v>N/A</v>
        <stp/>
        <stp>RHO</stp>
        <stp>.SPY160916P201</stp>
        <tr r="V719" s="1"/>
      </tp>
      <tp t="s">
        <v>N/A</v>
        <stp/>
        <stp>RHO</stp>
        <stp>.SPY160916C202</stp>
        <tr r="K721" s="1"/>
      </tp>
      <tp t="s">
        <v>N/A</v>
        <stp/>
        <stp>RHO</stp>
        <stp>.SPY160916P202</stp>
        <tr r="V721" s="1"/>
      </tp>
      <tp t="s">
        <v>N/A</v>
        <stp/>
        <stp>RHO</stp>
        <stp>.SPY160916C203</stp>
        <tr r="K723" s="1"/>
      </tp>
      <tp t="s">
        <v>N/A</v>
        <stp/>
        <stp>RHO</stp>
        <stp>.SPY160916P203</stp>
        <tr r="V723" s="1"/>
      </tp>
      <tp>
        <v>0</v>
        <stp/>
        <stp>BID_SIZE</stp>
        <stp>.SPY150501P200</stp>
        <tr r="O87" s="1"/>
      </tp>
      <tp>
        <v>10</v>
        <stp/>
        <stp>BID_SIZE</stp>
        <stp>.SPY150508P209</stp>
        <tr r="O147" s="1"/>
      </tp>
      <tp>
        <v>349</v>
        <stp/>
        <stp>BID_SIZE</stp>
        <stp>.SPY150515P214</stp>
        <tr r="O199" s="1"/>
      </tp>
      <tp>
        <v>0</v>
        <stp/>
        <stp>BID_SIZE</stp>
        <stp>.SPY150501C200</stp>
        <tr r="D87" s="1"/>
      </tp>
      <tp>
        <v>269</v>
        <stp/>
        <stp>BID_SIZE</stp>
        <stp>.SPY150508C209</stp>
        <tr r="D147" s="1"/>
      </tp>
      <tp>
        <v>988</v>
        <stp/>
        <stp>BID_SIZE</stp>
        <stp>.SPY150515C214</stp>
        <tr r="D199" s="1"/>
      </tp>
      <tp>
        <v>0</v>
        <stp/>
        <stp>BID_SIZE</stp>
        <stp>.SPY150501P201</stp>
        <tr r="O89" s="1"/>
      </tp>
      <tp>
        <v>183</v>
        <stp/>
        <stp>BID_SIZE</stp>
        <stp>.SPY150508P208</stp>
        <tr r="O145" s="1"/>
      </tp>
      <tp>
        <v>368</v>
        <stp/>
        <stp>BID_SIZE</stp>
        <stp>.SPY150515P215</stp>
        <tr r="O201" s="1"/>
      </tp>
      <tp>
        <v>0</v>
        <stp/>
        <stp>BID_SIZE</stp>
        <stp>.SPY150501C201</stp>
        <tr r="D89" s="1"/>
      </tp>
      <tp>
        <v>137</v>
        <stp/>
        <stp>BID_SIZE</stp>
        <stp>.SPY150508C208</stp>
        <tr r="D145" s="1"/>
      </tp>
      <tp>
        <v>349</v>
        <stp/>
        <stp>BID_SIZE</stp>
        <stp>.SPY150515C215</stp>
        <tr r="D201" s="1"/>
      </tp>
      <tp>
        <v>0</v>
        <stp/>
        <stp>BID_SIZE</stp>
        <stp>.SPY150501P202</stp>
        <tr r="O91" s="1"/>
      </tp>
      <tp>
        <v>349</v>
        <stp/>
        <stp>BID_SIZE</stp>
        <stp>.SPY150515P216</stp>
        <tr r="O203" s="1"/>
      </tp>
      <tp>
        <v>0</v>
        <stp/>
        <stp>BID_SIZE</stp>
        <stp>.SPY150501C202</stp>
        <tr r="D91" s="1"/>
      </tp>
      <tp>
        <v>349</v>
        <stp/>
        <stp>BID_SIZE</stp>
        <stp>.SPY150515C216</stp>
        <tr r="D203" s="1"/>
      </tp>
      <tp>
        <v>0</v>
        <stp/>
        <stp>BID_SIZE</stp>
        <stp>.SPY150501P203</stp>
        <tr r="O93" s="1"/>
      </tp>
      <tp>
        <v>250</v>
        <stp/>
        <stp>BID_SIZE</stp>
        <stp>.SPY150515P217</stp>
        <tr r="O205" s="1"/>
      </tp>
      <tp>
        <v>0</v>
        <stp/>
        <stp>BID_SIZE</stp>
        <stp>.SPY150501C203</stp>
        <tr r="D93" s="1"/>
      </tp>
      <tp>
        <v>245</v>
        <stp/>
        <stp>BID_SIZE</stp>
        <stp>.SPY150515C217</stp>
        <tr r="D205" s="1"/>
      </tp>
      <tp>
        <v>0</v>
        <stp/>
        <stp>BID_SIZE</stp>
        <stp>.SPY150501P204</stp>
        <tr r="O95" s="1"/>
      </tp>
      <tp>
        <v>11</v>
        <stp/>
        <stp>BID_SIZE</stp>
        <stp>.SPY150515P210</stp>
        <tr r="O191" s="1"/>
      </tp>
      <tp>
        <v>0</v>
        <stp/>
        <stp>BID_SIZE</stp>
        <stp>.SPY150501C204</stp>
        <tr r="D95" s="1"/>
      </tp>
      <tp>
        <v>951</v>
        <stp/>
        <stp>BID_SIZE</stp>
        <stp>.SPY150515C210</stp>
        <tr r="D191" s="1"/>
      </tp>
      <tp>
        <v>0</v>
        <stp/>
        <stp>BID_SIZE</stp>
        <stp>.SPY150501P205</stp>
        <tr r="O97" s="1"/>
      </tp>
      <tp>
        <v>306</v>
        <stp/>
        <stp>BID_SIZE</stp>
        <stp>.SPY150515P211</stp>
        <tr r="O193" s="1"/>
      </tp>
      <tp>
        <v>0</v>
        <stp/>
        <stp>BID_SIZE</stp>
        <stp>.SPY150501C205</stp>
        <tr r="D97" s="1"/>
      </tp>
      <tp>
        <v>349</v>
        <stp/>
        <stp>BID_SIZE</stp>
        <stp>.SPY150515C211</stp>
        <tr r="D193" s="1"/>
      </tp>
      <tp>
        <v>0</v>
        <stp/>
        <stp>BID_SIZE</stp>
        <stp>.SPY150501P206</stp>
        <tr r="O99" s="1"/>
      </tp>
      <tp>
        <v>350</v>
        <stp/>
        <stp>BID_SIZE</stp>
        <stp>.SPY150515P212</stp>
        <tr r="O195" s="1"/>
      </tp>
      <tp>
        <v>0</v>
        <stp/>
        <stp>BID_SIZE</stp>
        <stp>.SPY150501C206</stp>
        <tr r="D99" s="1"/>
      </tp>
      <tp>
        <v>350</v>
        <stp/>
        <stp>BID_SIZE</stp>
        <stp>.SPY150515C212</stp>
        <tr r="D195" s="1"/>
      </tp>
      <tp>
        <v>0</v>
        <stp/>
        <stp>BID_SIZE</stp>
        <stp>.SPY150501P207</stp>
        <tr r="O101" s="1"/>
      </tp>
      <tp>
        <v>6</v>
        <stp/>
        <stp>BID_SIZE</stp>
        <stp>.SPY150515P213</stp>
        <tr r="O197" s="1"/>
      </tp>
      <tp>
        <v>0</v>
        <stp/>
        <stp>BID_SIZE</stp>
        <stp>.SPY150501C207</stp>
        <tr r="D101" s="1"/>
      </tp>
      <tp>
        <v>349</v>
        <stp/>
        <stp>BID_SIZE</stp>
        <stp>.SPY150515C213</stp>
        <tr r="D197" s="1"/>
      </tp>
      <tp>
        <v>0</v>
        <stp/>
        <stp>BID_SIZE</stp>
        <stp>.SPY150501P208</stp>
        <tr r="O103" s="1"/>
      </tp>
      <tp>
        <v>1200</v>
        <stp/>
        <stp>BID_SIZE</stp>
        <stp>.SPY150508P201</stp>
        <tr r="O131" s="1"/>
      </tp>
      <tp>
        <v>0</v>
        <stp/>
        <stp>BID_SIZE</stp>
        <stp>.SPY150501C208</stp>
        <tr r="D103" s="1"/>
      </tp>
      <tp>
        <v>31</v>
        <stp/>
        <stp>BID_SIZE</stp>
        <stp>.SPY150508C201</stp>
        <tr r="D131" s="1"/>
      </tp>
      <tp>
        <v>0</v>
        <stp/>
        <stp>BID_SIZE</stp>
        <stp>.SPY150501P209</stp>
        <tr r="O105" s="1"/>
      </tp>
      <tp>
        <v>1200</v>
        <stp/>
        <stp>BID_SIZE</stp>
        <stp>.SPY150508P200</stp>
        <tr r="O129" s="1"/>
      </tp>
      <tp>
        <v>0</v>
        <stp/>
        <stp>BID_SIZE</stp>
        <stp>.SPY150501C209</stp>
        <tr r="D105" s="1"/>
      </tp>
      <tp>
        <v>31</v>
        <stp/>
        <stp>BID_SIZE</stp>
        <stp>.SPY150508C200</stp>
        <tr r="D129" s="1"/>
      </tp>
      <tp>
        <v>1300</v>
        <stp/>
        <stp>BID_SIZE</stp>
        <stp>.SPY150508P203</stp>
        <tr r="O135" s="1"/>
      </tp>
      <tp>
        <v>100</v>
        <stp/>
        <stp>BID_SIZE</stp>
        <stp>.SPY150508C203</stp>
        <tr r="D135" s="1"/>
      </tp>
      <tp>
        <v>1200</v>
        <stp/>
        <stp>BID_SIZE</stp>
        <stp>.SPY150508P202</stp>
        <tr r="O133" s="1"/>
      </tp>
      <tp>
        <v>100</v>
        <stp/>
        <stp>BID_SIZE</stp>
        <stp>.SPY150508C202</stp>
        <tr r="D133" s="1"/>
      </tp>
      <tp>
        <v>1200</v>
        <stp/>
        <stp>BID_SIZE</stp>
        <stp>.SPY150508P205</stp>
        <tr r="O139" s="1"/>
      </tp>
      <tp>
        <v>11</v>
        <stp/>
        <stp>BID_SIZE</stp>
        <stp>.SPY150515P218</stp>
        <tr r="O207" s="1"/>
      </tp>
      <tp>
        <v>160</v>
        <stp/>
        <stp>BID_SIZE</stp>
        <stp>.SPY150508C205</stp>
        <tr r="D139" s="1"/>
      </tp>
      <tp>
        <v>3000</v>
        <stp/>
        <stp>BID_SIZE</stp>
        <stp>.SPY150515C218</stp>
        <tr r="D207" s="1"/>
      </tp>
      <tp>
        <v>1200</v>
        <stp/>
        <stp>BID_SIZE</stp>
        <stp>.SPY150508P204</stp>
        <tr r="O137" s="1"/>
      </tp>
      <tp>
        <v>251</v>
        <stp/>
        <stp>BID_SIZE</stp>
        <stp>.SPY150515P219</stp>
        <tr r="O209" s="1"/>
      </tp>
      <tp>
        <v>100</v>
        <stp/>
        <stp>BID_SIZE</stp>
        <stp>.SPY150508C204</stp>
        <tr r="D137" s="1"/>
      </tp>
      <tp>
        <v>50</v>
        <stp/>
        <stp>BID_SIZE</stp>
        <stp>.SPY150515C219</stp>
        <tr r="D209" s="1"/>
      </tp>
      <tp>
        <v>2376</v>
        <stp/>
        <stp>BID_SIZE</stp>
        <stp>.SPY150508P207</stp>
        <tr r="O143" s="1"/>
      </tp>
      <tp>
        <v>160</v>
        <stp/>
        <stp>BID_SIZE</stp>
        <stp>.SPY150508C207</stp>
        <tr r="D143" s="1"/>
      </tp>
      <tp>
        <v>101</v>
        <stp/>
        <stp>BID_SIZE</stp>
        <stp>.SPY150508P206</stp>
        <tr r="O141" s="1"/>
      </tp>
      <tp>
        <v>199</v>
        <stp/>
        <stp>BID_SIZE</stp>
        <stp>.SPY150508C206</stp>
        <tr r="D141" s="1"/>
      </tp>
      <tp>
        <v>0</v>
        <stp/>
        <stp>BID_SIZE</stp>
        <stp>.SPY150501P210</stp>
        <tr r="O107" s="1"/>
      </tp>
      <tp>
        <v>100</v>
        <stp/>
        <stp>BID_SIZE</stp>
        <stp>.SPY150508P219</stp>
        <tr r="O167" s="1"/>
      </tp>
      <tp>
        <v>1850</v>
        <stp/>
        <stp>BID_SIZE</stp>
        <stp>.SPY150515P204</stp>
        <tr r="O179" s="1"/>
      </tp>
      <tp>
        <v>0</v>
        <stp/>
        <stp>BID_SIZE</stp>
        <stp>.SPY150501C210</stp>
        <tr r="D107" s="1"/>
      </tp>
      <tp>
        <v>0</v>
        <stp/>
        <stp>BID_SIZE</stp>
        <stp>.SPY150508C219</stp>
        <tr r="D167" s="1"/>
      </tp>
      <tp>
        <v>349</v>
        <stp/>
        <stp>BID_SIZE</stp>
        <stp>.SPY150515C204</stp>
        <tr r="D179" s="1"/>
      </tp>
      <tp>
        <v>0</v>
        <stp/>
        <stp>BID_SIZE</stp>
        <stp>.SPY150501P211</stp>
        <tr r="O109" s="1"/>
      </tp>
      <tp>
        <v>103</v>
        <stp/>
        <stp>BID_SIZE</stp>
        <stp>.SPY150508P218</stp>
        <tr r="O165" s="1"/>
      </tp>
      <tp>
        <v>947</v>
        <stp/>
        <stp>BID_SIZE</stp>
        <stp>.SPY150515P205</stp>
        <tr r="O181" s="1"/>
      </tp>
      <tp>
        <v>0</v>
        <stp/>
        <stp>BID_SIZE</stp>
        <stp>.SPY150501C211</stp>
        <tr r="D109" s="1"/>
      </tp>
      <tp>
        <v>0</v>
        <stp/>
        <stp>BID_SIZE</stp>
        <stp>.SPY150508C218</stp>
        <tr r="D165" s="1"/>
      </tp>
      <tp>
        <v>349</v>
        <stp/>
        <stp>BID_SIZE</stp>
        <stp>.SPY150515C205</stp>
        <tr r="D181" s="1"/>
      </tp>
      <tp>
        <v>0</v>
        <stp/>
        <stp>BID_SIZE</stp>
        <stp>.SPY150501P212</stp>
        <tr r="O111" s="1"/>
      </tp>
      <tp>
        <v>1390</v>
        <stp/>
        <stp>BID_SIZE</stp>
        <stp>.SPY150515P206</stp>
        <tr r="O183" s="1"/>
      </tp>
      <tp>
        <v>0</v>
        <stp/>
        <stp>BID_SIZE</stp>
        <stp>.SPY150501C212</stp>
        <tr r="D111" s="1"/>
      </tp>
      <tp>
        <v>349</v>
        <stp/>
        <stp>BID_SIZE</stp>
        <stp>.SPY150515C206</stp>
        <tr r="D183" s="1"/>
      </tp>
      <tp>
        <v>0</v>
        <stp/>
        <stp>BID_SIZE</stp>
        <stp>.SPY150501P213</stp>
        <tr r="O113" s="1"/>
      </tp>
      <tp>
        <v>2395</v>
        <stp/>
        <stp>BID_SIZE</stp>
        <stp>.SPY150515P207</stp>
        <tr r="O185" s="1"/>
      </tp>
      <tp>
        <v>0</v>
        <stp/>
        <stp>BID_SIZE</stp>
        <stp>.SPY150501C213</stp>
        <tr r="D113" s="1"/>
      </tp>
      <tp>
        <v>349</v>
        <stp/>
        <stp>BID_SIZE</stp>
        <stp>.SPY150515C207</stp>
        <tr r="D185" s="1"/>
      </tp>
      <tp>
        <v>0</v>
        <stp/>
        <stp>BID_SIZE</stp>
        <stp>.SPY150501P214</stp>
        <tr r="O115" s="1"/>
      </tp>
      <tp>
        <v>3000</v>
        <stp/>
        <stp>BID_SIZE</stp>
        <stp>.SPY150515P200</stp>
        <tr r="O171" s="1"/>
      </tp>
      <tp>
        <v>0</v>
        <stp/>
        <stp>BID_SIZE</stp>
        <stp>.SPY150501C214</stp>
        <tr r="D115" s="1"/>
      </tp>
      <tp>
        <v>31</v>
        <stp/>
        <stp>BID_SIZE</stp>
        <stp>.SPY150515C200</stp>
        <tr r="D171" s="1"/>
      </tp>
      <tp>
        <v>0</v>
        <stp/>
        <stp>BID_SIZE</stp>
        <stp>.SPY150501P215</stp>
        <tr r="O117" s="1"/>
      </tp>
      <tp>
        <v>3000</v>
        <stp/>
        <stp>BID_SIZE</stp>
        <stp>.SPY150515P201</stp>
        <tr r="O173" s="1"/>
      </tp>
      <tp>
        <v>0</v>
        <stp/>
        <stp>BID_SIZE</stp>
        <stp>.SPY150501C215</stp>
        <tr r="D117" s="1"/>
      </tp>
      <tp>
        <v>111</v>
        <stp/>
        <stp>BID_SIZE</stp>
        <stp>.SPY150515C201</stp>
        <tr r="D173" s="1"/>
      </tp>
      <tp>
        <v>0</v>
        <stp/>
        <stp>BID_SIZE</stp>
        <stp>.SPY150501P216</stp>
        <tr r="O119" s="1"/>
      </tp>
      <tp>
        <v>2590</v>
        <stp/>
        <stp>BID_SIZE</stp>
        <stp>.SPY150515P202</stp>
        <tr r="O175" s="1"/>
      </tp>
      <tp>
        <v>0</v>
        <stp/>
        <stp>BID_SIZE</stp>
        <stp>.SPY150501C216</stp>
        <tr r="D119" s="1"/>
      </tp>
      <tp>
        <v>349</v>
        <stp/>
        <stp>BID_SIZE</stp>
        <stp>.SPY150515C202</stp>
        <tr r="D175" s="1"/>
      </tp>
      <tp>
        <v>0</v>
        <stp/>
        <stp>BID_SIZE</stp>
        <stp>.SPY150501P217</stp>
        <tr r="O121" s="1"/>
      </tp>
      <tp>
        <v>2305</v>
        <stp/>
        <stp>BID_SIZE</stp>
        <stp>.SPY150515P203</stp>
        <tr r="O177" s="1"/>
      </tp>
      <tp>
        <v>0</v>
        <stp/>
        <stp>BID_SIZE</stp>
        <stp>.SPY150501C217</stp>
        <tr r="D121" s="1"/>
      </tp>
      <tp>
        <v>349</v>
        <stp/>
        <stp>BID_SIZE</stp>
        <stp>.SPY150515C203</stp>
        <tr r="D177" s="1"/>
      </tp>
      <tp>
        <v>0</v>
        <stp/>
        <stp>BID_SIZE</stp>
        <stp>.SPY150501P218</stp>
        <tr r="O123" s="1"/>
      </tp>
      <tp>
        <v>5</v>
        <stp/>
        <stp>BID_SIZE</stp>
        <stp>.SPY150508P211</stp>
        <tr r="O151" s="1"/>
      </tp>
      <tp>
        <v>0</v>
        <stp/>
        <stp>BID_SIZE</stp>
        <stp>.SPY150501C218</stp>
        <tr r="D123" s="1"/>
      </tp>
      <tp>
        <v>140</v>
        <stp/>
        <stp>BID_SIZE</stp>
        <stp>.SPY150508C211</stp>
        <tr r="D151" s="1"/>
      </tp>
      <tp>
        <v>0</v>
        <stp/>
        <stp>BID_SIZE</stp>
        <stp>.SPY150501P219</stp>
        <tr r="O125" s="1"/>
      </tp>
      <tp>
        <v>100</v>
        <stp/>
        <stp>BID_SIZE</stp>
        <stp>.SPY150508P210</stp>
        <tr r="O149" s="1"/>
      </tp>
      <tp>
        <v>0</v>
        <stp/>
        <stp>BID_SIZE</stp>
        <stp>.SPY150501C219</stp>
        <tr r="D125" s="1"/>
      </tp>
      <tp>
        <v>199</v>
        <stp/>
        <stp>BID_SIZE</stp>
        <stp>.SPY150508C210</stp>
        <tr r="D149" s="1"/>
      </tp>
      <tp>
        <v>200</v>
        <stp/>
        <stp>BID_SIZE</stp>
        <stp>.SPY150508P213</stp>
        <tr r="O155" s="1"/>
      </tp>
      <tp>
        <v>1406</v>
        <stp/>
        <stp>BID_SIZE</stp>
        <stp>.SPY150508C213</stp>
        <tr r="D155" s="1"/>
      </tp>
      <tp>
        <v>100</v>
        <stp/>
        <stp>BID_SIZE</stp>
        <stp>.SPY150508P212</stp>
        <tr r="O153" s="1"/>
      </tp>
      <tp>
        <v>200</v>
        <stp/>
        <stp>BID_SIZE</stp>
        <stp>.SPY150508C212</stp>
        <tr r="D153" s="1"/>
      </tp>
      <tp>
        <v>1</v>
        <stp/>
        <stp>BID_SIZE</stp>
        <stp>.SPY150508P215</stp>
        <tr r="O159" s="1"/>
      </tp>
      <tp>
        <v>349</v>
        <stp/>
        <stp>BID_SIZE</stp>
        <stp>.SPY150515P208</stp>
        <tr r="O187" s="1"/>
      </tp>
      <tp>
        <v>1960</v>
        <stp/>
        <stp>BID_SIZE</stp>
        <stp>.SPY150508C215</stp>
        <tr r="D159" s="1"/>
      </tp>
      <tp>
        <v>349</v>
        <stp/>
        <stp>BID_SIZE</stp>
        <stp>.SPY150515C208</stp>
        <tr r="D187" s="1"/>
      </tp>
      <tp>
        <v>5</v>
        <stp/>
        <stp>BID_SIZE</stp>
        <stp>.SPY150508P214</stp>
        <tr r="O157" s="1"/>
      </tp>
      <tp>
        <v>444</v>
        <stp/>
        <stp>BID_SIZE</stp>
        <stp>.SPY150515P209</stp>
        <tr r="O189" s="1"/>
      </tp>
      <tp>
        <v>678</v>
        <stp/>
        <stp>BID_SIZE</stp>
        <stp>.SPY150508C214</stp>
        <tr r="D157" s="1"/>
      </tp>
      <tp>
        <v>621</v>
        <stp/>
        <stp>BID_SIZE</stp>
        <stp>.SPY150515C209</stp>
        <tr r="D189" s="1"/>
      </tp>
      <tp>
        <v>103</v>
        <stp/>
        <stp>BID_SIZE</stp>
        <stp>.SPY150508P217</stp>
        <tr r="O163" s="1"/>
      </tp>
      <tp>
        <v>100</v>
        <stp/>
        <stp>BID_SIZE</stp>
        <stp>.SPY150508C217</stp>
        <tr r="D163" s="1"/>
      </tp>
      <tp>
        <v>101</v>
        <stp/>
        <stp>BID_SIZE</stp>
        <stp>.SPY150508P216</stp>
        <tr r="O161" s="1"/>
      </tp>
      <tp>
        <v>2010</v>
        <stp/>
        <stp>BID_SIZE</stp>
        <stp>.SPY150508C216</stp>
        <tr r="D161" s="1"/>
      </tp>
      <tp>
        <v>210</v>
        <stp/>
        <stp>BID_SIZE</stp>
        <stp>.SPY150522P203</stp>
        <tr r="O219" s="1"/>
      </tp>
      <tp>
        <v>249</v>
        <stp/>
        <stp>BID_SIZE</stp>
        <stp>.SPY150529P208</stp>
        <tr r="O271" s="1"/>
      </tp>
      <tp>
        <v>199</v>
        <stp/>
        <stp>BID_SIZE</stp>
        <stp>.SPY150522C203</stp>
        <tr r="D219" s="1"/>
      </tp>
      <tp>
        <v>240</v>
        <stp/>
        <stp>BID_SIZE</stp>
        <stp>.SPY150529C208</stp>
        <tr r="D271" s="1"/>
      </tp>
      <tp>
        <v>99</v>
        <stp/>
        <stp>BID_SIZE</stp>
        <stp>.SPY150522P202</stp>
        <tr r="O217" s="1"/>
      </tp>
      <tp>
        <v>216</v>
        <stp/>
        <stp>BID_SIZE</stp>
        <stp>.SPY150529P209</stp>
        <tr r="O273" s="1"/>
      </tp>
      <tp>
        <v>111</v>
        <stp/>
        <stp>BID_SIZE</stp>
        <stp>.SPY150522C202</stp>
        <tr r="D217" s="1"/>
      </tp>
      <tp>
        <v>249</v>
        <stp/>
        <stp>BID_SIZE</stp>
        <stp>.SPY150529C209</stp>
        <tr r="D273" s="1"/>
      </tp>
      <tp>
        <v>423</v>
        <stp/>
        <stp>BID_SIZE</stp>
        <stp>.SPY150522P201</stp>
        <tr r="O215" s="1"/>
      </tp>
      <tp>
        <v>111</v>
        <stp/>
        <stp>BID_SIZE</stp>
        <stp>.SPY150522C201</stp>
        <tr r="D215" s="1"/>
      </tp>
      <tp>
        <v>483</v>
        <stp/>
        <stp>BID_SIZE</stp>
        <stp>.SPY150522P200</stp>
        <tr r="O213" s="1"/>
      </tp>
      <tp>
        <v>111</v>
        <stp/>
        <stp>BID_SIZE</stp>
        <stp>.SPY150522C200</stp>
        <tr r="D213" s="1"/>
      </tp>
      <tp>
        <v>111</v>
        <stp/>
        <stp>BID_SIZE</stp>
        <stp>.SPY150522P207</stp>
        <tr r="O227" s="1"/>
      </tp>
      <tp>
        <v>199</v>
        <stp/>
        <stp>BID_SIZE</stp>
        <stp>.SPY150522C207</stp>
        <tr r="D227" s="1"/>
      </tp>
      <tp>
        <v>129</v>
        <stp/>
        <stp>BID_SIZE</stp>
        <stp>.SPY150522P206</stp>
        <tr r="O225" s="1"/>
      </tp>
      <tp>
        <v>199</v>
        <stp/>
        <stp>BID_SIZE</stp>
        <stp>.SPY150522C206</stp>
        <tr r="D225" s="1"/>
      </tp>
      <tp>
        <v>2294</v>
        <stp/>
        <stp>BID_SIZE</stp>
        <stp>.SPY150522P205</stp>
        <tr r="O223" s="1"/>
      </tp>
      <tp>
        <v>199</v>
        <stp/>
        <stp>BID_SIZE</stp>
        <stp>.SPY150522C205</stp>
        <tr r="D223" s="1"/>
      </tp>
      <tp>
        <v>111</v>
        <stp/>
        <stp>BID_SIZE</stp>
        <stp>.SPY150522P204</stp>
        <tr r="O221" s="1"/>
      </tp>
      <tp>
        <v>140</v>
        <stp/>
        <stp>BID_SIZE</stp>
        <stp>.SPY150522C204</stp>
        <tr r="D221" s="1"/>
      </tp>
      <tp>
        <v>240</v>
        <stp/>
        <stp>BID_SIZE</stp>
        <stp>.SPY150529P200</stp>
        <tr r="O255" s="1"/>
      </tp>
      <tp>
        <v>131</v>
        <stp/>
        <stp>BID_SIZE</stp>
        <stp>.SPY150529C200</stp>
        <tr r="D255" s="1"/>
      </tp>
      <tp>
        <v>2500</v>
        <stp/>
        <stp>BID_SIZE</stp>
        <stp>.SPY150529P201</stp>
        <tr r="O257" s="1"/>
      </tp>
      <tp>
        <v>120</v>
        <stp/>
        <stp>BID_SIZE</stp>
        <stp>.SPY150529C201</stp>
        <tr r="D257" s="1"/>
      </tp>
      <tp>
        <v>2433</v>
        <stp/>
        <stp>BID_SIZE</stp>
        <stp>.SPY150522P209</stp>
        <tr r="O231" s="1"/>
      </tp>
      <tp>
        <v>2321</v>
        <stp/>
        <stp>BID_SIZE</stp>
        <stp>.SPY150529P202</stp>
        <tr r="O259" s="1"/>
      </tp>
      <tp>
        <v>199</v>
        <stp/>
        <stp>BID_SIZE</stp>
        <stp>.SPY150522C209</stp>
        <tr r="D231" s="1"/>
      </tp>
      <tp>
        <v>111</v>
        <stp/>
        <stp>BID_SIZE</stp>
        <stp>.SPY150529C202</stp>
        <tr r="D259" s="1"/>
      </tp>
      <tp>
        <v>2650</v>
        <stp/>
        <stp>BID_SIZE</stp>
        <stp>.SPY150522P208</stp>
        <tr r="O229" s="1"/>
      </tp>
      <tp>
        <v>240</v>
        <stp/>
        <stp>BID_SIZE</stp>
        <stp>.SPY150529P203</stp>
        <tr r="O261" s="1"/>
      </tp>
      <tp>
        <v>199</v>
        <stp/>
        <stp>BID_SIZE</stp>
        <stp>.SPY150522C208</stp>
        <tr r="D229" s="1"/>
      </tp>
      <tp>
        <v>249</v>
        <stp/>
        <stp>BID_SIZE</stp>
        <stp>.SPY150529C203</stp>
        <tr r="D261" s="1"/>
      </tp>
      <tp>
        <v>150</v>
        <stp/>
        <stp>BID_SIZE</stp>
        <stp>.SPY150529P204</stp>
        <tr r="O263" s="1"/>
      </tp>
      <tp>
        <v>249</v>
        <stp/>
        <stp>BID_SIZE</stp>
        <stp>.SPY150529C204</stp>
        <tr r="D263" s="1"/>
      </tp>
      <tp>
        <v>240</v>
        <stp/>
        <stp>BID_SIZE</stp>
        <stp>.SPY150529P205</stp>
        <tr r="O265" s="1"/>
      </tp>
      <tp>
        <v>240</v>
        <stp/>
        <stp>BID_SIZE</stp>
        <stp>.SPY150529C205</stp>
        <tr r="D265" s="1"/>
      </tp>
      <tp>
        <v>222</v>
        <stp/>
        <stp>BID_SIZE</stp>
        <stp>.SPY150529P206</stp>
        <tr r="O267" s="1"/>
      </tp>
      <tp>
        <v>249</v>
        <stp/>
        <stp>BID_SIZE</stp>
        <stp>.SPY150529C206</stp>
        <tr r="D267" s="1"/>
      </tp>
      <tp>
        <v>240</v>
        <stp/>
        <stp>BID_SIZE</stp>
        <stp>.SPY150529P207</stp>
        <tr r="O269" s="1"/>
      </tp>
      <tp>
        <v>249</v>
        <stp/>
        <stp>BID_SIZE</stp>
        <stp>.SPY150529C207</stp>
        <tr r="D269" s="1"/>
      </tp>
      <tp t="s">
        <v>N/A</v>
        <stp/>
        <stp>ASK_SIZE</stp>
        <stp>.SPY150717P213.5</stp>
        <tr r="M408" s="1"/>
      </tp>
      <tp t="s">
        <v>N/A</v>
        <stp/>
        <stp>ASK_SIZE</stp>
        <stp>.SPY150717P203.5</stp>
        <tr r="M388" s="1"/>
      </tp>
      <tp>
        <v>1200</v>
        <stp/>
        <stp>BID_SIZE</stp>
        <stp>.SPY150508P203.5</stp>
        <tr r="O136" s="1"/>
      </tp>
      <tp>
        <v>137</v>
        <stp/>
        <stp>BID_SIZE</stp>
        <stp>.SPY150508P213.5</stp>
        <tr r="O156" s="1"/>
      </tp>
      <tp>
        <v>200</v>
        <stp/>
        <stp>BID_SIZE</stp>
        <stp>.SPY150522P209.5</stp>
        <tr r="O232" s="1"/>
      </tp>
      <tp>
        <v>316</v>
        <stp/>
        <stp>BID_SIZE</stp>
        <stp>.SPY150529P202.5</stp>
        <tr r="O260" s="1"/>
      </tp>
      <tp>
        <v>100</v>
        <stp/>
        <stp>BID_SIZE</stp>
        <stp>.SPY150522P219.5</stp>
        <tr r="O252" s="1"/>
      </tp>
      <tp>
        <v>249</v>
        <stp/>
        <stp>BID_SIZE</stp>
        <stp>.SPY150529P212.5</stp>
        <tr r="O280" s="1"/>
      </tp>
      <tp t="s">
        <v>N/A</v>
        <stp/>
        <stp>ASK_SIZE</stp>
        <stp>.SPY150630P214.5</stp>
        <tr r="M368" s="1"/>
      </tp>
      <tp t="s">
        <v>N/A</v>
        <stp/>
        <stp>ASK_SIZE</stp>
        <stp>.SPY150630P204.5</stp>
        <tr r="M348" s="1"/>
      </tp>
      <tp t="s">
        <v>N/A</v>
        <stp/>
        <stp>ASK_SIZE</stp>
        <stp>.SPY160617P210.5</stp>
        <tr r="M696" s="1"/>
      </tp>
      <tp t="s">
        <v>N/A</v>
        <stp/>
        <stp>ASK_SIZE</stp>
        <stp>.SPY160617P200.5</stp>
        <tr r="M676" s="1"/>
      </tp>
      <tp t="s">
        <v>N/A</v>
        <stp/>
        <stp>BID_SIZE</stp>
        <stp>.SPY150619P212.5</stp>
        <tr r="O322" s="1"/>
      </tp>
      <tp t="s">
        <v>N/A</v>
        <stp/>
        <stp>BID_SIZE</stp>
        <stp>.SPY150619P202.5</stp>
        <tr r="O302" s="1"/>
      </tp>
      <tp>
        <v>207</v>
        <stp/>
        <stp>ASK_SIZE</stp>
        <stp>.SPY150522P206.5</stp>
        <tr r="M226" s="1"/>
      </tp>
      <tp>
        <v>111</v>
        <stp/>
        <stp>ASK_SIZE</stp>
        <stp>.SPY150522P216.5</stp>
        <tr r="M246" s="1"/>
      </tp>
      <tp>
        <v>0</v>
        <stp/>
        <stp>ASK_SIZE</stp>
        <stp>.SPY150501P205.5</stp>
        <tr r="M98" s="1"/>
      </tp>
      <tp>
        <v>250</v>
        <stp/>
        <stp>ASK_SIZE</stp>
        <stp>.SPY150515P211.5</stp>
        <tr r="M194" s="1"/>
      </tp>
      <tp>
        <v>0</v>
        <stp/>
        <stp>ASK_SIZE</stp>
        <stp>.SPY150501P215.5</stp>
        <tr r="M118" s="1"/>
      </tp>
      <tp>
        <v>2858</v>
        <stp/>
        <stp>ASK_SIZE</stp>
        <stp>.SPY150515P201.5</stp>
        <tr r="M174" s="1"/>
      </tp>
      <tp>
        <v>0</v>
        <stp/>
        <stp>ASK_SIZE</stp>
        <stp>.SPY150424P200.5</stp>
        <tr r="M46" s="1"/>
      </tp>
      <tp>
        <v>0</v>
        <stp/>
        <stp>ASK_SIZE</stp>
        <stp>.SPY150424P210.5</stp>
        <tr r="M66" s="1"/>
      </tp>
      <tp>
        <v>0</v>
        <stp/>
        <stp>ASK_SIZE</stp>
        <stp>.SPY150417P213.5</stp>
        <tr r="M30" s="1"/>
      </tp>
      <tp>
        <v>0</v>
        <stp/>
        <stp>ASK_SIZE</stp>
        <stp>.SPY150417P203.5</stp>
        <tr r="M10" s="1"/>
      </tp>
      <tp t="s">
        <v>N/A</v>
        <stp/>
        <stp>ASK_SIZE</stp>
        <stp>.SPY170317P211.5</stp>
        <tr r="M866" s="1"/>
      </tp>
      <tp t="s">
        <v>N/A</v>
        <stp/>
        <stp>ASK_SIZE</stp>
        <stp>.SPY170317P201.5</stp>
        <tr r="M846" s="1"/>
      </tp>
      <tp t="s">
        <v>N/A</v>
        <stp/>
        <stp>BID_SIZE</stp>
        <stp>.SPY170120P209.5</stp>
        <tr r="O820" s="1"/>
      </tp>
      <tp t="s">
        <v>N/A</v>
        <stp/>
        <stp>BID_SIZE</stp>
        <stp>.SPY170120P219.5</stp>
        <tr r="O840" s="1"/>
      </tp>
      <tp t="s">
        <v>N/A</v>
        <stp/>
        <stp>ASK_SIZE</stp>
        <stp>.SPY170120P206.5</stp>
        <tr r="M814" s="1"/>
      </tp>
      <tp t="s">
        <v>N/A</v>
        <stp/>
        <stp>ASK_SIZE</stp>
        <stp>.SPY170120P216.5</stp>
        <tr r="M834" s="1"/>
      </tp>
      <tp t="s">
        <v>N/A</v>
        <stp/>
        <stp>ASK_SIZE</stp>
        <stp>.SPY160115P212.5</stp>
        <tr r="M616" s="1"/>
      </tp>
      <tp t="s">
        <v>N/A</v>
        <stp/>
        <stp>ASK_SIZE</stp>
        <stp>.SPY160115P202.5</stp>
        <tr r="M596" s="1"/>
      </tp>
      <tp t="s">
        <v>N/A</v>
        <stp/>
        <stp>BID_SIZE</stp>
        <stp>.SPY160318P210.5</stp>
        <tr r="O654" s="1"/>
      </tp>
      <tp t="s">
        <v>N/A</v>
        <stp/>
        <stp>BID_SIZE</stp>
        <stp>.SPY160318P200.5</stp>
        <tr r="O634" s="1"/>
      </tp>
      <tp t="s">
        <v>N/A</v>
        <stp/>
        <stp>BID_SIZE</stp>
        <stp>.SPY150918P213.5</stp>
        <tr r="O450" s="1"/>
      </tp>
      <tp t="s">
        <v>N/A</v>
        <stp/>
        <stp>BID_SIZE</stp>
        <stp>.SPY150918P203.5</stp>
        <tr r="O430" s="1"/>
      </tp>
      <tp t="s">
        <v>N/A</v>
        <stp/>
        <stp>ASK_SIZE</stp>
        <stp>.SPY150930P214.5</stp>
        <tr r="M494" s="1"/>
      </tp>
      <tp t="s">
        <v>N/A</v>
        <stp/>
        <stp>ASK_SIZE</stp>
        <stp>.SPY150930P204.5</stp>
        <tr r="M474" s="1"/>
      </tp>
      <tp t="s">
        <v>N/A</v>
        <stp/>
        <stp>ASK_SIZE</stp>
        <stp>.SPY160916P211.5</stp>
        <tr r="M740" s="1"/>
      </tp>
      <tp t="s">
        <v>N/A</v>
        <stp/>
        <stp>ASK_SIZE</stp>
        <stp>.SPY160916P201.5</stp>
        <tr r="M720" s="1"/>
      </tp>
      <tp>
        <v>174</v>
        <stp/>
        <stp>BID_SIZE</stp>
        <stp>.SPY150522P213</stp>
        <tr r="O239" s="1"/>
      </tp>
      <tp>
        <v>240</v>
        <stp/>
        <stp>BID_SIZE</stp>
        <stp>.SPY150529P218</stp>
        <tr r="O291" s="1"/>
      </tp>
      <tp>
        <v>199</v>
        <stp/>
        <stp>BID_SIZE</stp>
        <stp>.SPY150522C213</stp>
        <tr r="D239" s="1"/>
      </tp>
      <tp>
        <v>250</v>
        <stp/>
        <stp>BID_SIZE</stp>
        <stp>.SPY150529C218</stp>
        <tr r="D291" s="1"/>
      </tp>
      <tp>
        <v>498</v>
        <stp/>
        <stp>BID_SIZE</stp>
        <stp>.SPY150522P212</stp>
        <tr r="O237" s="1"/>
      </tp>
      <tp>
        <v>150</v>
        <stp/>
        <stp>BID_SIZE</stp>
        <stp>.SPY150529P219</stp>
        <tr r="O293" s="1"/>
      </tp>
      <tp>
        <v>151</v>
        <stp/>
        <stp>BID_SIZE</stp>
        <stp>.SPY150522C212</stp>
        <tr r="D237" s="1"/>
      </tp>
      <tp>
        <v>399</v>
        <stp/>
        <stp>BID_SIZE</stp>
        <stp>.SPY150529C219</stp>
        <tr r="D293" s="1"/>
      </tp>
      <tp>
        <v>211</v>
        <stp/>
        <stp>BID_SIZE</stp>
        <stp>.SPY150522P211</stp>
        <tr r="O235" s="1"/>
      </tp>
      <tp>
        <v>110</v>
        <stp/>
        <stp>BID_SIZE</stp>
        <stp>.SPY150522C211</stp>
        <tr r="D235" s="1"/>
      </tp>
      <tp>
        <v>199</v>
        <stp/>
        <stp>BID_SIZE</stp>
        <stp>.SPY150522P210</stp>
        <tr r="O233" s="1"/>
      </tp>
      <tp>
        <v>482</v>
        <stp/>
        <stp>BID_SIZE</stp>
        <stp>.SPY150522C210</stp>
        <tr r="D233" s="1"/>
      </tp>
      <tp>
        <v>160</v>
        <stp/>
        <stp>BID_SIZE</stp>
        <stp>.SPY150522P217</stp>
        <tr r="O247" s="1"/>
      </tp>
      <tp>
        <v>161</v>
        <stp/>
        <stp>BID_SIZE</stp>
        <stp>.SPY150522C217</stp>
        <tr r="D247" s="1"/>
      </tp>
      <tp>
        <v>199</v>
        <stp/>
        <stp>BID_SIZE</stp>
        <stp>.SPY150522P216</stp>
        <tr r="O245" s="1"/>
      </tp>
      <tp>
        <v>2294</v>
        <stp/>
        <stp>BID_SIZE</stp>
        <stp>.SPY150522C216</stp>
        <tr r="D245" s="1"/>
      </tp>
      <tp>
        <v>199</v>
        <stp/>
        <stp>BID_SIZE</stp>
        <stp>.SPY150522P215</stp>
        <tr r="O243" s="1"/>
      </tp>
      <tp>
        <v>200</v>
        <stp/>
        <stp>BID_SIZE</stp>
        <stp>.SPY150522C215</stp>
        <tr r="D243" s="1"/>
      </tp>
      <tp>
        <v>199</v>
        <stp/>
        <stp>BID_SIZE</stp>
        <stp>.SPY150522P214</stp>
        <tr r="O241" s="1"/>
      </tp>
      <tp>
        <v>207</v>
        <stp/>
        <stp>BID_SIZE</stp>
        <stp>.SPY150522C214</stp>
        <tr r="D241" s="1"/>
      </tp>
      <tp>
        <v>2</v>
        <stp/>
        <stp>BID_SIZE</stp>
        <stp>.SPY150529P210</stp>
        <tr r="O275" s="1"/>
      </tp>
      <tp>
        <v>404</v>
        <stp/>
        <stp>BID_SIZE</stp>
        <stp>.SPY150529C210</stp>
        <tr r="D275" s="1"/>
      </tp>
      <tp>
        <v>647</v>
        <stp/>
        <stp>BID_SIZE</stp>
        <stp>.SPY150529P211</stp>
        <tr r="O277" s="1"/>
      </tp>
      <tp>
        <v>2510</v>
        <stp/>
        <stp>BID_SIZE</stp>
        <stp>.SPY150529C211</stp>
        <tr r="D277" s="1"/>
      </tp>
      <tp>
        <v>100</v>
        <stp/>
        <stp>BID_SIZE</stp>
        <stp>.SPY150522P219</stp>
        <tr r="O251" s="1"/>
      </tp>
      <tp>
        <v>2321</v>
        <stp/>
        <stp>BID_SIZE</stp>
        <stp>.SPY150529P212</stp>
        <tr r="O279" s="1"/>
      </tp>
      <tp>
        <v>600</v>
        <stp/>
        <stp>BID_SIZE</stp>
        <stp>.SPY150522C219</stp>
        <tr r="D251" s="1"/>
      </tp>
      <tp>
        <v>480</v>
        <stp/>
        <stp>BID_SIZE</stp>
        <stp>.SPY150529C212</stp>
        <tr r="D279" s="1"/>
      </tp>
      <tp>
        <v>100</v>
        <stp/>
        <stp>BID_SIZE</stp>
        <stp>.SPY150522P218</stp>
        <tr r="O249" s="1"/>
      </tp>
      <tp>
        <v>240</v>
        <stp/>
        <stp>BID_SIZE</stp>
        <stp>.SPY150529P213</stp>
        <tr r="O281" s="1"/>
      </tp>
      <tp>
        <v>582</v>
        <stp/>
        <stp>BID_SIZE</stp>
        <stp>.SPY150522C218</stp>
        <tr r="D249" s="1"/>
      </tp>
      <tp>
        <v>240</v>
        <stp/>
        <stp>BID_SIZE</stp>
        <stp>.SPY150529C213</stp>
        <tr r="D281" s="1"/>
      </tp>
      <tp>
        <v>240</v>
        <stp/>
        <stp>BID_SIZE</stp>
        <stp>.SPY150529P214</stp>
        <tr r="O283" s="1"/>
      </tp>
      <tp>
        <v>345</v>
        <stp/>
        <stp>BID_SIZE</stp>
        <stp>.SPY150529C214</stp>
        <tr r="D283" s="1"/>
      </tp>
      <tp>
        <v>240</v>
        <stp/>
        <stp>BID_SIZE</stp>
        <stp>.SPY150529P215</stp>
        <tr r="O285" s="1"/>
      </tp>
      <tp>
        <v>333</v>
        <stp/>
        <stp>BID_SIZE</stp>
        <stp>.SPY150529C215</stp>
        <tr r="D285" s="1"/>
      </tp>
      <tp>
        <v>249</v>
        <stp/>
        <stp>BID_SIZE</stp>
        <stp>.SPY150529P216</stp>
        <tr r="O287" s="1"/>
      </tp>
      <tp>
        <v>415</v>
        <stp/>
        <stp>BID_SIZE</stp>
        <stp>.SPY150529C216</stp>
        <tr r="D287" s="1"/>
      </tp>
      <tp>
        <v>240</v>
        <stp/>
        <stp>BID_SIZE</stp>
        <stp>.SPY150529P217</stp>
        <tr r="O289" s="1"/>
      </tp>
      <tp>
        <v>249</v>
        <stp/>
        <stp>BID_SIZE</stp>
        <stp>.SPY150529C217</stp>
        <tr r="D289" s="1"/>
      </tp>
      <tp t="s">
        <v>N/A</v>
        <stp/>
        <stp>ASK_SIZE</stp>
        <stp>.SPY151231P215.5</stp>
        <tr r="M580" s="1"/>
      </tp>
      <tp t="s">
        <v>N/A</v>
        <stp/>
        <stp>ASK_SIZE</stp>
        <stp>.SPY151231P205.5</stp>
        <tr r="M560" s="1"/>
      </tp>
      <tp t="s">
        <v>N/A</v>
        <stp/>
        <stp>ASK_SIZE</stp>
        <stp>.SPY161216P211.5</stp>
        <tr r="M782" s="1"/>
      </tp>
      <tp t="s">
        <v>N/A</v>
        <stp/>
        <stp>ASK_SIZE</stp>
        <stp>.SPY171215P213.5</stp>
        <tr r="M912" s="1"/>
      </tp>
      <tp t="s">
        <v>N/A</v>
        <stp/>
        <stp>ASK_SIZE</stp>
        <stp>.SPY161216P201.5</stp>
        <tr r="M762" s="1"/>
      </tp>
      <tp t="s">
        <v>N/A</v>
        <stp/>
        <stp>ASK_SIZE</stp>
        <stp>.SPY171215P203.5</stp>
        <tr r="M892" s="1"/>
      </tp>
      <tp t="s">
        <v>N/A</v>
        <stp/>
        <stp>BID_SIZE</stp>
        <stp>.SPY151219P212.5</stp>
        <tr r="O532" s="1"/>
      </tp>
      <tp t="s">
        <v>N/A</v>
        <stp/>
        <stp>BID_SIZE</stp>
        <stp>.SPY151219P202.5</stp>
        <tr r="O512" s="1"/>
      </tp>
      <tp>
        <v>81343</v>
        <stp/>
        <stp>OPEN_INT</stp>
        <stp>.SPY150417P203</stp>
        <tr r="Q9" s="1"/>
      </tp>
      <tp>
        <v>0</v>
        <stp/>
        <stp>OPEN_INT</stp>
        <stp>.SPY150417C203</stp>
        <tr r="F9" s="1"/>
      </tp>
      <tp>
        <v>84817</v>
        <stp/>
        <stp>OPEN_INT</stp>
        <stp>.SPY150417P202</stp>
        <tr r="Q7" s="1"/>
      </tp>
      <tp>
        <v>0</v>
        <stp/>
        <stp>OPEN_INT</stp>
        <stp>.SPY150417C202</stp>
        <tr r="F7" s="1"/>
      </tp>
      <tp>
        <v>55076</v>
        <stp/>
        <stp>OPEN_INT</stp>
        <stp>.SPY150417P201</stp>
        <tr r="Q5" s="1"/>
      </tp>
      <tp>
        <v>0</v>
        <stp/>
        <stp>OPEN_INT</stp>
        <stp>.SPY150417C201</stp>
        <tr r="F5" s="1"/>
      </tp>
      <tp>
        <v>143670</v>
        <stp/>
        <stp>OPEN_INT</stp>
        <stp>.SPY150417P200</stp>
        <tr r="Q3" s="1"/>
      </tp>
      <tp>
        <v>0</v>
        <stp/>
        <stp>OPEN_INT</stp>
        <stp>.SPY150417C200</stp>
        <tr r="F3" s="1"/>
      </tp>
      <tp>
        <v>90198</v>
        <stp/>
        <stp>OPEN_INT</stp>
        <stp>.SPY150417P207</stp>
        <tr r="Q17" s="1"/>
      </tp>
      <tp>
        <v>0</v>
        <stp/>
        <stp>OPEN_INT</stp>
        <stp>.SPY150417C207</stp>
        <tr r="F17" s="1"/>
      </tp>
      <tp>
        <v>114485</v>
        <stp/>
        <stp>OPEN_INT</stp>
        <stp>.SPY150417P206</stp>
        <tr r="Q15" s="1"/>
      </tp>
      <tp>
        <v>0</v>
        <stp/>
        <stp>OPEN_INT</stp>
        <stp>.SPY150417C206</stp>
        <tr r="F15" s="1"/>
      </tp>
      <tp>
        <v>161563</v>
        <stp/>
        <stp>OPEN_INT</stp>
        <stp>.SPY150417P205</stp>
        <tr r="Q13" s="1"/>
      </tp>
      <tp>
        <v>0</v>
        <stp/>
        <stp>OPEN_INT</stp>
        <stp>.SPY150417C205</stp>
        <tr r="F13" s="1"/>
      </tp>
      <tp>
        <v>100332</v>
        <stp/>
        <stp>OPEN_INT</stp>
        <stp>.SPY150417P204</stp>
        <tr r="Q11" s="1"/>
      </tp>
      <tp>
        <v>0</v>
        <stp/>
        <stp>OPEN_INT</stp>
        <stp>.SPY150417C204</stp>
        <tr r="F11" s="1"/>
      </tp>
      <tp>
        <v>10</v>
        <stp/>
        <stp>OPEN_INT</stp>
        <stp>.SPY150417P209</stp>
        <tr r="Q21" s="1"/>
      </tp>
      <tp>
        <v>44198</v>
        <stp/>
        <stp>OPEN_INT</stp>
        <stp>.SPY150417C209</stp>
        <tr r="F21" s="1"/>
      </tp>
      <tp>
        <v>26003</v>
        <stp/>
        <stp>OPEN_INT</stp>
        <stp>.SPY150417P208</stp>
        <tr r="Q19" s="1"/>
      </tp>
      <tp>
        <v>2651</v>
        <stp/>
        <stp>OPEN_INT</stp>
        <stp>.SPY150417C208</stp>
        <tr r="F19" s="1"/>
      </tp>
      <tp>
        <v>249</v>
        <stp/>
        <stp>ASK_SIZE</stp>
        <stp>.SPY150630P218</stp>
        <tr r="M375" s="1"/>
      </tp>
      <tp>
        <v>2119</v>
        <stp/>
        <stp>ASK_SIZE</stp>
        <stp>.SPY150630C218</stp>
        <tr r="B375" s="1"/>
      </tp>
      <tp>
        <v>190</v>
        <stp/>
        <stp>ASK_SIZE</stp>
        <stp>.SPY150630P219</stp>
        <tr r="M377" s="1"/>
      </tp>
      <tp>
        <v>2514</v>
        <stp/>
        <stp>ASK_SIZE</stp>
        <stp>.SPY150630C219</stp>
        <tr r="B377" s="1"/>
      </tp>
      <tp>
        <v>240</v>
        <stp/>
        <stp>ASK_SIZE</stp>
        <stp>.SPY150630P216</stp>
        <tr r="M371" s="1"/>
      </tp>
      <tp>
        <v>2139</v>
        <stp/>
        <stp>ASK_SIZE</stp>
        <stp>.SPY150630C216</stp>
        <tr r="B371" s="1"/>
      </tp>
      <tp>
        <v>190</v>
        <stp/>
        <stp>ASK_SIZE</stp>
        <stp>.SPY150630P217</stp>
        <tr r="M373" s="1"/>
      </tp>
      <tp>
        <v>1832</v>
        <stp/>
        <stp>ASK_SIZE</stp>
        <stp>.SPY150630C217</stp>
        <tr r="B373" s="1"/>
      </tp>
      <tp>
        <v>249</v>
        <stp/>
        <stp>ASK_SIZE</stp>
        <stp>.SPY150630P214</stp>
        <tr r="M367" s="1"/>
      </tp>
      <tp>
        <v>111</v>
        <stp/>
        <stp>ASK_SIZE</stp>
        <stp>.SPY150630C214</stp>
        <tr r="B367" s="1"/>
      </tp>
      <tp>
        <v>249</v>
        <stp/>
        <stp>ASK_SIZE</stp>
        <stp>.SPY150630P215</stp>
        <tr r="M369" s="1"/>
      </tp>
      <tp>
        <v>100</v>
        <stp/>
        <stp>ASK_SIZE</stp>
        <stp>.SPY150630C215</stp>
        <tr r="B369" s="1"/>
      </tp>
      <tp>
        <v>329</v>
        <stp/>
        <stp>ASK_SIZE</stp>
        <stp>.SPY150630P212</stp>
        <tr r="M363" s="1"/>
      </tp>
      <tp>
        <v>2567</v>
        <stp/>
        <stp>ASK_SIZE</stp>
        <stp>.SPY150630C212</stp>
        <tr r="B363" s="1"/>
      </tp>
      <tp>
        <v>249</v>
        <stp/>
        <stp>ASK_SIZE</stp>
        <stp>.SPY150630P213</stp>
        <tr r="M365" s="1"/>
      </tp>
      <tp>
        <v>2466</v>
        <stp/>
        <stp>ASK_SIZE</stp>
        <stp>.SPY150630C213</stp>
        <tr r="B365" s="1"/>
      </tp>
      <tp>
        <v>1830</v>
        <stp/>
        <stp>ASK_SIZE</stp>
        <stp>.SPY150630P210</stp>
        <tr r="M359" s="1"/>
      </tp>
      <tp>
        <v>249</v>
        <stp/>
        <stp>ASK_SIZE</stp>
        <stp>.SPY150630C210</stp>
        <tr r="B359" s="1"/>
      </tp>
      <tp>
        <v>1712</v>
        <stp/>
        <stp>ASK_SIZE</stp>
        <stp>.SPY150630P211</stp>
        <tr r="M361" s="1"/>
      </tp>
      <tp>
        <v>2671</v>
        <stp/>
        <stp>ASK_SIZE</stp>
        <stp>.SPY150630C211</stp>
        <tr r="B361" s="1"/>
      </tp>
      <tp>
        <v>0</v>
        <stp/>
        <stp>OPEN_INT</stp>
        <stp>.SPY150417P213</stp>
        <tr r="Q29" s="1"/>
      </tp>
      <tp>
        <v>92030</v>
        <stp/>
        <stp>OPEN_INT</stp>
        <stp>.SPY150417C213</stp>
        <tr r="F29" s="1"/>
      </tp>
      <tp>
        <v>0</v>
        <stp/>
        <stp>OPEN_INT</stp>
        <stp>.SPY150417P212</stp>
        <tr r="Q27" s="1"/>
      </tp>
      <tp>
        <v>95308</v>
        <stp/>
        <stp>OPEN_INT</stp>
        <stp>.SPY150417C212</stp>
        <tr r="F27" s="1"/>
      </tp>
      <tp>
        <v>0</v>
        <stp/>
        <stp>OPEN_INT</stp>
        <stp>.SPY150417P211</stp>
        <tr r="Q25" s="1"/>
      </tp>
      <tp>
        <v>106603</v>
        <stp/>
        <stp>OPEN_INT</stp>
        <stp>.SPY150417C211</stp>
        <tr r="F25" s="1"/>
      </tp>
      <tp>
        <v>0</v>
        <stp/>
        <stp>OPEN_INT</stp>
        <stp>.SPY150417P210</stp>
        <tr r="Q23" s="1"/>
      </tp>
      <tp>
        <v>132449</v>
        <stp/>
        <stp>OPEN_INT</stp>
        <stp>.SPY150417C210</stp>
        <tr r="F23" s="1"/>
      </tp>
      <tp>
        <v>0</v>
        <stp/>
        <stp>OPEN_INT</stp>
        <stp>.SPY150417P217</stp>
        <tr r="Q37" s="1"/>
      </tp>
      <tp>
        <v>154422</v>
        <stp/>
        <stp>OPEN_INT</stp>
        <stp>.SPY150417C217</stp>
        <tr r="F37" s="1"/>
      </tp>
      <tp>
        <v>0</v>
        <stp/>
        <stp>OPEN_INT</stp>
        <stp>.SPY150417P216</stp>
        <tr r="Q35" s="1"/>
      </tp>
      <tp>
        <v>40746</v>
        <stp/>
        <stp>OPEN_INT</stp>
        <stp>.SPY150417C216</stp>
        <tr r="F35" s="1"/>
      </tp>
      <tp>
        <v>0</v>
        <stp/>
        <stp>OPEN_INT</stp>
        <stp>.SPY150417P215</stp>
        <tr r="Q33" s="1"/>
      </tp>
      <tp>
        <v>154187</v>
        <stp/>
        <stp>OPEN_INT</stp>
        <stp>.SPY150417C215</stp>
        <tr r="F33" s="1"/>
      </tp>
      <tp>
        <v>0</v>
        <stp/>
        <stp>OPEN_INT</stp>
        <stp>.SPY150417P214</stp>
        <tr r="Q31" s="1"/>
      </tp>
      <tp>
        <v>65394</v>
        <stp/>
        <stp>OPEN_INT</stp>
        <stp>.SPY150417C214</stp>
        <tr r="F31" s="1"/>
      </tp>
      <tp>
        <v>0</v>
        <stp/>
        <stp>OPEN_INT</stp>
        <stp>.SPY150417P219</stp>
        <tr r="Q41" s="1"/>
      </tp>
      <tp>
        <v>29198</v>
        <stp/>
        <stp>OPEN_INT</stp>
        <stp>.SPY150417C219</stp>
        <tr r="F41" s="1"/>
      </tp>
      <tp>
        <v>0</v>
        <stp/>
        <stp>OPEN_INT</stp>
        <stp>.SPY150417P218</stp>
        <tr r="Q39" s="1"/>
      </tp>
      <tp>
        <v>204372</v>
        <stp/>
        <stp>OPEN_INT</stp>
        <stp>.SPY150417C218</stp>
        <tr r="F39" s="1"/>
      </tp>
      <tp>
        <v>150</v>
        <stp/>
        <stp>ASK_SIZE</stp>
        <stp>.SPY150630P208</stp>
        <tr r="M355" s="1"/>
      </tp>
      <tp>
        <v>190</v>
        <stp/>
        <stp>ASK_SIZE</stp>
        <stp>.SPY150630C208</stp>
        <tr r="B355" s="1"/>
      </tp>
      <tp>
        <v>1621</v>
        <stp/>
        <stp>ASK_SIZE</stp>
        <stp>.SPY150630P209</stp>
        <tr r="M357" s="1"/>
      </tp>
      <tp>
        <v>240</v>
        <stp/>
        <stp>ASK_SIZE</stp>
        <stp>.SPY150630C209</stp>
        <tr r="B357" s="1"/>
      </tp>
      <tp>
        <v>340</v>
        <stp/>
        <stp>ASK_SIZE</stp>
        <stp>.SPY150630P206</stp>
        <tr r="M351" s="1"/>
      </tp>
      <tp>
        <v>240</v>
        <stp/>
        <stp>ASK_SIZE</stp>
        <stp>.SPY150630C206</stp>
        <tr r="B351" s="1"/>
      </tp>
      <tp>
        <v>1715</v>
        <stp/>
        <stp>ASK_SIZE</stp>
        <stp>.SPY150630P207</stp>
        <tr r="M353" s="1"/>
      </tp>
      <tp>
        <v>240</v>
        <stp/>
        <stp>ASK_SIZE</stp>
        <stp>.SPY150630C207</stp>
        <tr r="B353" s="1"/>
      </tp>
      <tp>
        <v>1759</v>
        <stp/>
        <stp>ASK_SIZE</stp>
        <stp>.SPY150630P204</stp>
        <tr r="M347" s="1"/>
      </tp>
      <tp>
        <v>151</v>
        <stp/>
        <stp>ASK_SIZE</stp>
        <stp>.SPY150630C204</stp>
        <tr r="B347" s="1"/>
      </tp>
      <tp>
        <v>150</v>
        <stp/>
        <stp>ASK_SIZE</stp>
        <stp>.SPY150630P205</stp>
        <tr r="M349" s="1"/>
      </tp>
      <tp>
        <v>240</v>
        <stp/>
        <stp>ASK_SIZE</stp>
        <stp>.SPY150630C205</stp>
        <tr r="B349" s="1"/>
      </tp>
      <tp>
        <v>400</v>
        <stp/>
        <stp>ASK_SIZE</stp>
        <stp>.SPY150630P202</stp>
        <tr r="M343" s="1"/>
      </tp>
      <tp>
        <v>31</v>
        <stp/>
        <stp>ASK_SIZE</stp>
        <stp>.SPY150630C202</stp>
        <tr r="B343" s="1"/>
      </tp>
      <tp>
        <v>383</v>
        <stp/>
        <stp>ASK_SIZE</stp>
        <stp>.SPY150630P203</stp>
        <tr r="M345" s="1"/>
      </tp>
      <tp>
        <v>131</v>
        <stp/>
        <stp>ASK_SIZE</stp>
        <stp>.SPY150630C203</stp>
        <tr r="B345" s="1"/>
      </tp>
      <tp>
        <v>443</v>
        <stp/>
        <stp>ASK_SIZE</stp>
        <stp>.SPY150630P200</stp>
        <tr r="M339" s="1"/>
      </tp>
      <tp>
        <v>111</v>
        <stp/>
        <stp>ASK_SIZE</stp>
        <stp>.SPY150630C200</stp>
        <tr r="B339" s="1"/>
      </tp>
      <tp>
        <v>1610</v>
        <stp/>
        <stp>ASK_SIZE</stp>
        <stp>.SPY150630P201</stp>
        <tr r="M341" s="1"/>
      </tp>
      <tp>
        <v>131</v>
        <stp/>
        <stp>ASK_SIZE</stp>
        <stp>.SPY150630C201</stp>
        <tr r="B341" s="1"/>
      </tp>
      <tp>
        <v>44714</v>
        <stp/>
        <stp>OPEN_INT</stp>
        <stp>.SPY150424P210</stp>
        <tr r="Q65" s="1"/>
      </tp>
      <tp>
        <v>0</v>
        <stp/>
        <stp>OPEN_INT</stp>
        <stp>.SPY150424C210</stp>
        <tr r="F65" s="1"/>
      </tp>
      <tp>
        <v>32913</v>
        <stp/>
        <stp>OPEN_INT</stp>
        <stp>.SPY150424P211</stp>
        <tr r="Q67" s="1"/>
      </tp>
      <tp>
        <v>0</v>
        <stp/>
        <stp>OPEN_INT</stp>
        <stp>.SPY150424C211</stp>
        <tr r="F67" s="1"/>
      </tp>
      <tp>
        <v>0</v>
        <stp/>
        <stp>OPEN_INT</stp>
        <stp>.SPY150424P212</stp>
        <tr r="Q69" s="1"/>
      </tp>
      <tp>
        <v>32471</v>
        <stp/>
        <stp>OPEN_INT</stp>
        <stp>.SPY150424C212</stp>
        <tr r="F69" s="1"/>
      </tp>
      <tp>
        <v>0</v>
        <stp/>
        <stp>OPEN_INT</stp>
        <stp>.SPY150424P213</stp>
        <tr r="Q71" s="1"/>
      </tp>
      <tp>
        <v>38591</v>
        <stp/>
        <stp>OPEN_INT</stp>
        <stp>.SPY150424C213</stp>
        <tr r="F71" s="1"/>
      </tp>
      <tp>
        <v>0</v>
        <stp/>
        <stp>OPEN_INT</stp>
        <stp>.SPY150424P214</stp>
        <tr r="Q73" s="1"/>
      </tp>
      <tp>
        <v>33824</v>
        <stp/>
        <stp>OPEN_INT</stp>
        <stp>.SPY150424C214</stp>
        <tr r="F73" s="1"/>
      </tp>
      <tp>
        <v>0</v>
        <stp/>
        <stp>OPEN_INT</stp>
        <stp>.SPY150424P215</stp>
        <tr r="Q75" s="1"/>
      </tp>
      <tp>
        <v>42961</v>
        <stp/>
        <stp>OPEN_INT</stp>
        <stp>.SPY150424C215</stp>
        <tr r="F75" s="1"/>
      </tp>
      <tp>
        <v>0</v>
        <stp/>
        <stp>OPEN_INT</stp>
        <stp>.SPY150424P216</stp>
        <tr r="Q77" s="1"/>
      </tp>
      <tp>
        <v>2750</v>
        <stp/>
        <stp>OPEN_INT</stp>
        <stp>.SPY150424C216</stp>
        <tr r="F77" s="1"/>
      </tp>
      <tp>
        <v>0</v>
        <stp/>
        <stp>OPEN_INT</stp>
        <stp>.SPY150424P217</stp>
        <tr r="Q79" s="1"/>
      </tp>
      <tp>
        <v>3228</v>
        <stp/>
        <stp>OPEN_INT</stp>
        <stp>.SPY150424C217</stp>
        <tr r="F79" s="1"/>
      </tp>
      <tp>
        <v>0</v>
        <stp/>
        <stp>OPEN_INT</stp>
        <stp>.SPY150424P218</stp>
        <tr r="Q81" s="1"/>
      </tp>
      <tp>
        <v>1464</v>
        <stp/>
        <stp>OPEN_INT</stp>
        <stp>.SPY150424C218</stp>
        <tr r="F81" s="1"/>
      </tp>
      <tp>
        <v>0</v>
        <stp/>
        <stp>OPEN_INT</stp>
        <stp>.SPY150424P219</stp>
        <tr r="Q83" s="1"/>
      </tp>
      <tp>
        <v>436</v>
        <stp/>
        <stp>OPEN_INT</stp>
        <stp>.SPY150424C219</stp>
        <tr r="F83" s="1"/>
      </tp>
      <tp>
        <v>240</v>
        <stp/>
        <stp>ASK_SIZE</stp>
        <stp>.SPY150619P217</stp>
        <tr r="M331" s="1"/>
      </tp>
      <tp>
        <v>502</v>
        <stp/>
        <stp>ASK_SIZE</stp>
        <stp>.SPY150619C217</stp>
        <tr r="B331" s="1"/>
      </tp>
      <tp>
        <v>249</v>
        <stp/>
        <stp>ASK_SIZE</stp>
        <stp>.SPY150619P216</stp>
        <tr r="M329" s="1"/>
      </tp>
      <tp>
        <v>447</v>
        <stp/>
        <stp>ASK_SIZE</stp>
        <stp>.SPY150619C216</stp>
        <tr r="B329" s="1"/>
      </tp>
      <tp>
        <v>249</v>
        <stp/>
        <stp>ASK_SIZE</stp>
        <stp>.SPY150619P215</stp>
        <tr r="M327" s="1"/>
      </tp>
      <tp t="s">
        <v>N/A</v>
        <stp/>
        <stp>ASK_SIZE</stp>
        <stp>.SPY160617P218</stp>
        <tr r="M711" s="1"/>
      </tp>
      <tp>
        <v>413</v>
        <stp/>
        <stp>ASK_SIZE</stp>
        <stp>.SPY150619C215</stp>
        <tr r="B327" s="1"/>
      </tp>
      <tp t="s">
        <v>N/A</v>
        <stp/>
        <stp>ASK_SIZE</stp>
        <stp>.SPY160617C218</stp>
        <tr r="B711" s="1"/>
      </tp>
      <tp>
        <v>240</v>
        <stp/>
        <stp>ASK_SIZE</stp>
        <stp>.SPY150619P214</stp>
        <tr r="M325" s="1"/>
      </tp>
      <tp t="s">
        <v>N/A</v>
        <stp/>
        <stp>ASK_SIZE</stp>
        <stp>.SPY160617P219</stp>
        <tr r="M713" s="1"/>
      </tp>
      <tp>
        <v>1</v>
        <stp/>
        <stp>ASK_SIZE</stp>
        <stp>.SPY150619C214</stp>
        <tr r="B325" s="1"/>
      </tp>
      <tp t="s">
        <v>N/A</v>
        <stp/>
        <stp>ASK_SIZE</stp>
        <stp>.SPY160617C219</stp>
        <tr r="B713" s="1"/>
      </tp>
      <tp>
        <v>240</v>
        <stp/>
        <stp>ASK_SIZE</stp>
        <stp>.SPY150619P213</stp>
        <tr r="M323" s="1"/>
      </tp>
      <tp>
        <v>1</v>
        <stp/>
        <stp>ASK_SIZE</stp>
        <stp>.SPY150619C213</stp>
        <tr r="B323" s="1"/>
      </tp>
      <tp>
        <v>359</v>
        <stp/>
        <stp>ASK_SIZE</stp>
        <stp>.SPY150619P212</stp>
        <tr r="M321" s="1"/>
      </tp>
      <tp>
        <v>111</v>
        <stp/>
        <stp>ASK_SIZE</stp>
        <stp>.SPY150619C212</stp>
        <tr r="B321" s="1"/>
      </tp>
      <tp>
        <v>1709</v>
        <stp/>
        <stp>ASK_SIZE</stp>
        <stp>.SPY150619P211</stp>
        <tr r="M319" s="1"/>
      </tp>
      <tp>
        <v>2902</v>
        <stp/>
        <stp>ASK_SIZE</stp>
        <stp>.SPY150619C211</stp>
        <tr r="B319" s="1"/>
      </tp>
      <tp>
        <v>150</v>
        <stp/>
        <stp>ASK_SIZE</stp>
        <stp>.SPY150619P210</stp>
        <tr r="M317" s="1"/>
      </tp>
      <tp>
        <v>111</v>
        <stp/>
        <stp>ASK_SIZE</stp>
        <stp>.SPY150619C210</stp>
        <tr r="B317" s="1"/>
      </tp>
      <tp t="s">
        <v>N/A</v>
        <stp/>
        <stp>ASK_SIZE</stp>
        <stp>.SPY160617P212</stp>
        <tr r="M699" s="1"/>
      </tp>
      <tp t="s">
        <v>N/A</v>
        <stp/>
        <stp>ASK_SIZE</stp>
        <stp>.SPY160617C212</stp>
        <tr r="B699" s="1"/>
      </tp>
      <tp t="s">
        <v>N/A</v>
        <stp/>
        <stp>ASK_SIZE</stp>
        <stp>.SPY160617P213</stp>
        <tr r="M701" s="1"/>
      </tp>
      <tp t="s">
        <v>N/A</v>
        <stp/>
        <stp>ASK_SIZE</stp>
        <stp>.SPY160617C213</stp>
        <tr r="B701" s="1"/>
      </tp>
      <tp>
        <v>2033</v>
        <stp/>
        <stp>ASK_SIZE</stp>
        <stp>.SPY160617P210</stp>
        <tr r="M695" s="1"/>
      </tp>
      <tp>
        <v>1791</v>
        <stp/>
        <stp>ASK_SIZE</stp>
        <stp>.SPY160617C210</stp>
        <tr r="B695" s="1"/>
      </tp>
      <tp t="s">
        <v>N/A</v>
        <stp/>
        <stp>ASK_SIZE</stp>
        <stp>.SPY160617P211</stp>
        <tr r="M697" s="1"/>
      </tp>
      <tp t="s">
        <v>N/A</v>
        <stp/>
        <stp>ASK_SIZE</stp>
        <stp>.SPY160617C211</stp>
        <tr r="B697" s="1"/>
      </tp>
      <tp t="s">
        <v>N/A</v>
        <stp/>
        <stp>ASK_SIZE</stp>
        <stp>.SPY160617P216</stp>
        <tr r="M707" s="1"/>
      </tp>
      <tp t="s">
        <v>N/A</v>
        <stp/>
        <stp>ASK_SIZE</stp>
        <stp>.SPY160617C216</stp>
        <tr r="B707" s="1"/>
      </tp>
      <tp t="s">
        <v>N/A</v>
        <stp/>
        <stp>ASK_SIZE</stp>
        <stp>.SPY160617P217</stp>
        <tr r="M709" s="1"/>
      </tp>
      <tp t="s">
        <v>N/A</v>
        <stp/>
        <stp>ASK_SIZE</stp>
        <stp>.SPY160617C217</stp>
        <tr r="B709" s="1"/>
      </tp>
      <tp>
        <v>190</v>
        <stp/>
        <stp>ASK_SIZE</stp>
        <stp>.SPY150619P219</stp>
        <tr r="M335" s="1"/>
      </tp>
      <tp t="s">
        <v>N/A</v>
        <stp/>
        <stp>ASK_SIZE</stp>
        <stp>.SPY160617P214</stp>
        <tr r="M703" s="1"/>
      </tp>
      <tp>
        <v>656</v>
        <stp/>
        <stp>ASK_SIZE</stp>
        <stp>.SPY150619C219</stp>
        <tr r="B335" s="1"/>
      </tp>
      <tp t="s">
        <v>N/A</v>
        <stp/>
        <stp>ASK_SIZE</stp>
        <stp>.SPY160617C214</stp>
        <tr r="B703" s="1"/>
      </tp>
      <tp>
        <v>249</v>
        <stp/>
        <stp>ASK_SIZE</stp>
        <stp>.SPY150619P218</stp>
        <tr r="M333" s="1"/>
      </tp>
      <tp>
        <v>358</v>
        <stp/>
        <stp>ASK_SIZE</stp>
        <stp>.SPY160617P215</stp>
        <tr r="M705" s="1"/>
      </tp>
      <tp>
        <v>584</v>
        <stp/>
        <stp>ASK_SIZE</stp>
        <stp>.SPY150619C218</stp>
        <tr r="B333" s="1"/>
      </tp>
      <tp>
        <v>1785</v>
        <stp/>
        <stp>ASK_SIZE</stp>
        <stp>.SPY160617C215</stp>
        <tr r="B705" s="1"/>
      </tp>
      <tp>
        <v>21883</v>
        <stp/>
        <stp>OPEN_INT</stp>
        <stp>.SPY150424P200</stp>
        <tr r="Q45" s="1"/>
      </tp>
      <tp>
        <v>0</v>
        <stp/>
        <stp>OPEN_INT</stp>
        <stp>.SPY150424C200</stp>
        <tr r="F45" s="1"/>
      </tp>
      <tp>
        <v>11464</v>
        <stp/>
        <stp>OPEN_INT</stp>
        <stp>.SPY150424P201</stp>
        <tr r="Q47" s="1"/>
      </tp>
      <tp>
        <v>0</v>
        <stp/>
        <stp>OPEN_INT</stp>
        <stp>.SPY150424C201</stp>
        <tr r="F47" s="1"/>
      </tp>
      <tp>
        <v>18740</v>
        <stp/>
        <stp>OPEN_INT</stp>
        <stp>.SPY150424P202</stp>
        <tr r="Q49" s="1"/>
      </tp>
      <tp>
        <v>0</v>
        <stp/>
        <stp>OPEN_INT</stp>
        <stp>.SPY150424C202</stp>
        <tr r="F49" s="1"/>
      </tp>
      <tp>
        <v>43922</v>
        <stp/>
        <stp>OPEN_INT</stp>
        <stp>.SPY150424P203</stp>
        <tr r="Q51" s="1"/>
      </tp>
      <tp>
        <v>0</v>
        <stp/>
        <stp>OPEN_INT</stp>
        <stp>.SPY150424C203</stp>
        <tr r="F51" s="1"/>
      </tp>
      <tp>
        <v>16082</v>
        <stp/>
        <stp>OPEN_INT</stp>
        <stp>.SPY150424P204</stp>
        <tr r="Q53" s="1"/>
      </tp>
      <tp>
        <v>0</v>
        <stp/>
        <stp>OPEN_INT</stp>
        <stp>.SPY150424C204</stp>
        <tr r="F53" s="1"/>
      </tp>
      <tp>
        <v>39807</v>
        <stp/>
        <stp>OPEN_INT</stp>
        <stp>.SPY150424P205</stp>
        <tr r="Q55" s="1"/>
      </tp>
      <tp>
        <v>0</v>
        <stp/>
        <stp>OPEN_INT</stp>
        <stp>.SPY150424C205</stp>
        <tr r="F55" s="1"/>
      </tp>
      <tp>
        <v>32009</v>
        <stp/>
        <stp>OPEN_INT</stp>
        <stp>.SPY150424P206</stp>
        <tr r="Q57" s="1"/>
      </tp>
      <tp>
        <v>0</v>
        <stp/>
        <stp>OPEN_INT</stp>
        <stp>.SPY150424C206</stp>
        <tr r="F57" s="1"/>
      </tp>
      <tp>
        <v>48559</v>
        <stp/>
        <stp>OPEN_INT</stp>
        <stp>.SPY150424P207</stp>
        <tr r="Q59" s="1"/>
      </tp>
      <tp>
        <v>0</v>
        <stp/>
        <stp>OPEN_INT</stp>
        <stp>.SPY150424C207</stp>
        <tr r="F59" s="1"/>
      </tp>
      <tp>
        <v>49190</v>
        <stp/>
        <stp>OPEN_INT</stp>
        <stp>.SPY150424P208</stp>
        <tr r="Q61" s="1"/>
      </tp>
      <tp>
        <v>0</v>
        <stp/>
        <stp>OPEN_INT</stp>
        <stp>.SPY150424C208</stp>
        <tr r="F61" s="1"/>
      </tp>
      <tp>
        <v>61753</v>
        <stp/>
        <stp>OPEN_INT</stp>
        <stp>.SPY150424P209</stp>
        <tr r="Q63" s="1"/>
      </tp>
      <tp>
        <v>0</v>
        <stp/>
        <stp>OPEN_INT</stp>
        <stp>.SPY150424C209</stp>
        <tr r="F63" s="1"/>
      </tp>
      <tp>
        <v>401</v>
        <stp/>
        <stp>ASK_SIZE</stp>
        <stp>.SPY150619P207</stp>
        <tr r="M311" s="1"/>
      </tp>
      <tp>
        <v>111</v>
        <stp/>
        <stp>ASK_SIZE</stp>
        <stp>.SPY150619C207</stp>
        <tr r="B311" s="1"/>
      </tp>
      <tp>
        <v>416</v>
        <stp/>
        <stp>ASK_SIZE</stp>
        <stp>.SPY150619P206</stp>
        <tr r="M309" s="1"/>
      </tp>
      <tp>
        <v>249</v>
        <stp/>
        <stp>ASK_SIZE</stp>
        <stp>.SPY150619C206</stp>
        <tr r="B309" s="1"/>
      </tp>
      <tp>
        <v>434</v>
        <stp/>
        <stp>ASK_SIZE</stp>
        <stp>.SPY150619P205</stp>
        <tr r="M307" s="1"/>
      </tp>
      <tp t="s">
        <v>N/A</v>
        <stp/>
        <stp>ASK_SIZE</stp>
        <stp>.SPY160617P208</stp>
        <tr r="M691" s="1"/>
      </tp>
      <tp>
        <v>111</v>
        <stp/>
        <stp>ASK_SIZE</stp>
        <stp>.SPY150619C205</stp>
        <tr r="B307" s="1"/>
      </tp>
      <tp t="s">
        <v>N/A</v>
        <stp/>
        <stp>ASK_SIZE</stp>
        <stp>.SPY160617C208</stp>
        <tr r="B691" s="1"/>
      </tp>
      <tp>
        <v>455</v>
        <stp/>
        <stp>ASK_SIZE</stp>
        <stp>.SPY150619P204</stp>
        <tr r="M305" s="1"/>
      </tp>
      <tp t="s">
        <v>N/A</v>
        <stp/>
        <stp>ASK_SIZE</stp>
        <stp>.SPY160617P209</stp>
        <tr r="M693" s="1"/>
      </tp>
      <tp>
        <v>111</v>
        <stp/>
        <stp>ASK_SIZE</stp>
        <stp>.SPY150619C204</stp>
        <tr r="B305" s="1"/>
      </tp>
      <tp t="s">
        <v>N/A</v>
        <stp/>
        <stp>ASK_SIZE</stp>
        <stp>.SPY160617C209</stp>
        <tr r="B693" s="1"/>
      </tp>
      <tp>
        <v>479</v>
        <stp/>
        <stp>ASK_SIZE</stp>
        <stp>.SPY150619P203</stp>
        <tr r="M303" s="1"/>
      </tp>
      <tp>
        <v>249</v>
        <stp/>
        <stp>ASK_SIZE</stp>
        <stp>.SPY150619C203</stp>
        <tr r="B303" s="1"/>
      </tp>
      <tp>
        <v>506</v>
        <stp/>
        <stp>ASK_SIZE</stp>
        <stp>.SPY150619P202</stp>
        <tr r="M301" s="1"/>
      </tp>
      <tp>
        <v>131</v>
        <stp/>
        <stp>ASK_SIZE</stp>
        <stp>.SPY150619C202</stp>
        <tr r="B301" s="1"/>
      </tp>
      <tp>
        <v>537</v>
        <stp/>
        <stp>ASK_SIZE</stp>
        <stp>.SPY150619P201</stp>
        <tr r="M299" s="1"/>
      </tp>
      <tp>
        <v>99</v>
        <stp/>
        <stp>ASK_SIZE</stp>
        <stp>.SPY150619C201</stp>
        <tr r="B299" s="1"/>
      </tp>
      <tp>
        <v>573</v>
        <stp/>
        <stp>ASK_SIZE</stp>
        <stp>.SPY150619P200</stp>
        <tr r="M297" s="1"/>
      </tp>
      <tp>
        <v>99</v>
        <stp/>
        <stp>ASK_SIZE</stp>
        <stp>.SPY150619C200</stp>
        <tr r="B297" s="1"/>
      </tp>
      <tp t="s">
        <v>N/A</v>
        <stp/>
        <stp>ASK_SIZE</stp>
        <stp>.SPY160617P202</stp>
        <tr r="M679" s="1"/>
      </tp>
      <tp t="s">
        <v>N/A</v>
        <stp/>
        <stp>ASK_SIZE</stp>
        <stp>.SPY160617C202</stp>
        <tr r="B679" s="1"/>
      </tp>
      <tp t="s">
        <v>N/A</v>
        <stp/>
        <stp>ASK_SIZE</stp>
        <stp>.SPY160617P203</stp>
        <tr r="M681" s="1"/>
      </tp>
      <tp t="s">
        <v>N/A</v>
        <stp/>
        <stp>ASK_SIZE</stp>
        <stp>.SPY160617C203</stp>
        <tr r="B681" s="1"/>
      </tp>
      <tp>
        <v>1808</v>
        <stp/>
        <stp>ASK_SIZE</stp>
        <stp>.SPY160617P200</stp>
        <tr r="M675" s="1"/>
      </tp>
      <tp>
        <v>284</v>
        <stp/>
        <stp>ASK_SIZE</stp>
        <stp>.SPY160617C200</stp>
        <tr r="B675" s="1"/>
      </tp>
      <tp t="s">
        <v>N/A</v>
        <stp/>
        <stp>ASK_SIZE</stp>
        <stp>.SPY160617P201</stp>
        <tr r="M677" s="1"/>
      </tp>
      <tp t="s">
        <v>N/A</v>
        <stp/>
        <stp>ASK_SIZE</stp>
        <stp>.SPY160617C201</stp>
        <tr r="B677" s="1"/>
      </tp>
      <tp t="s">
        <v>N/A</v>
        <stp/>
        <stp>ASK_SIZE</stp>
        <stp>.SPY160617P206</stp>
        <tr r="M687" s="1"/>
      </tp>
      <tp t="s">
        <v>N/A</v>
        <stp/>
        <stp>ASK_SIZE</stp>
        <stp>.SPY160617C206</stp>
        <tr r="B687" s="1"/>
      </tp>
      <tp t="s">
        <v>N/A</v>
        <stp/>
        <stp>ASK_SIZE</stp>
        <stp>.SPY160617P207</stp>
        <tr r="M689" s="1"/>
      </tp>
      <tp t="s">
        <v>N/A</v>
        <stp/>
        <stp>ASK_SIZE</stp>
        <stp>.SPY160617C207</stp>
        <tr r="B689" s="1"/>
      </tp>
      <tp>
        <v>1842</v>
        <stp/>
        <stp>ASK_SIZE</stp>
        <stp>.SPY150619P209</stp>
        <tr r="M315" s="1"/>
      </tp>
      <tp t="s">
        <v>N/A</v>
        <stp/>
        <stp>ASK_SIZE</stp>
        <stp>.SPY160617P204</stp>
        <tr r="M683" s="1"/>
      </tp>
      <tp>
        <v>1</v>
        <stp/>
        <stp>ASK_SIZE</stp>
        <stp>.SPY150619C209</stp>
        <tr r="B315" s="1"/>
      </tp>
      <tp t="s">
        <v>N/A</v>
        <stp/>
        <stp>ASK_SIZE</stp>
        <stp>.SPY160617C204</stp>
        <tr r="B683" s="1"/>
      </tp>
      <tp>
        <v>150</v>
        <stp/>
        <stp>ASK_SIZE</stp>
        <stp>.SPY150619P208</stp>
        <tr r="M313" s="1"/>
      </tp>
      <tp>
        <v>1787</v>
        <stp/>
        <stp>ASK_SIZE</stp>
        <stp>.SPY160617P205</stp>
        <tr r="M685" s="1"/>
      </tp>
      <tp>
        <v>249</v>
        <stp/>
        <stp>ASK_SIZE</stp>
        <stp>.SPY150619C208</stp>
        <tr r="B313" s="1"/>
      </tp>
      <tp>
        <v>355</v>
        <stp/>
        <stp>ASK_SIZE</stp>
        <stp>.SPY160617C205</stp>
        <tr r="B685" s="1"/>
      </tp>
      <tp t="s">
        <v>N/A</v>
        <stp/>
        <stp>ASK_SIZE</stp>
        <stp>.SPY151231C215.5</stp>
        <tr r="B580" s="1"/>
      </tp>
      <tp t="s">
        <v>N/A</v>
        <stp/>
        <stp>ASK_SIZE</stp>
        <stp>.SPY151231C205.5</stp>
        <tr r="B560" s="1"/>
      </tp>
      <tp t="s">
        <v>N/A</v>
        <stp/>
        <stp>ASK_SIZE</stp>
        <stp>.SPY161216C211.5</stp>
        <tr r="B782" s="1"/>
      </tp>
      <tp t="s">
        <v>N/A</v>
        <stp/>
        <stp>ASK_SIZE</stp>
        <stp>.SPY171215C213.5</stp>
        <tr r="B912" s="1"/>
      </tp>
      <tp t="s">
        <v>N/A</v>
        <stp/>
        <stp>ASK_SIZE</stp>
        <stp>.SPY161216C201.5</stp>
        <tr r="B762" s="1"/>
      </tp>
      <tp t="s">
        <v>N/A</v>
        <stp/>
        <stp>ASK_SIZE</stp>
        <stp>.SPY171215C203.5</stp>
        <tr r="B892" s="1"/>
      </tp>
      <tp t="s">
        <v>N/A</v>
        <stp/>
        <stp>BID_SIZE</stp>
        <stp>.SPY151219C212.5</stp>
        <tr r="D532" s="1"/>
      </tp>
      <tp t="s">
        <v>N/A</v>
        <stp/>
        <stp>BID_SIZE</stp>
        <stp>.SPY151219C202.5</stp>
        <tr r="D512" s="1"/>
      </tp>
      <tp t="s">
        <v>N/A</v>
        <stp/>
        <stp>ASK_SIZE</stp>
        <stp>.SPY150717C213.5</stp>
        <tr r="B408" s="1"/>
      </tp>
      <tp t="s">
        <v>N/A</v>
        <stp/>
        <stp>ASK_SIZE</stp>
        <stp>.SPY150717C203.5</stp>
        <tr r="B388" s="1"/>
      </tp>
      <tp>
        <v>100</v>
        <stp/>
        <stp>BID_SIZE</stp>
        <stp>.SPY150508C203.5</stp>
        <tr r="D136" s="1"/>
      </tp>
      <tp>
        <v>498</v>
        <stp/>
        <stp>BID_SIZE</stp>
        <stp>.SPY150508C213.5</stp>
        <tr r="D156" s="1"/>
      </tp>
      <tp>
        <v>160</v>
        <stp/>
        <stp>BID_SIZE</stp>
        <stp>.SPY150522C209.5</stp>
        <tr r="D232" s="1"/>
      </tp>
      <tp>
        <v>249</v>
        <stp/>
        <stp>BID_SIZE</stp>
        <stp>.SPY150529C202.5</stp>
        <tr r="D260" s="1"/>
      </tp>
      <tp>
        <v>600</v>
        <stp/>
        <stp>BID_SIZE</stp>
        <stp>.SPY150522C219.5</stp>
        <tr r="D252" s="1"/>
      </tp>
      <tp>
        <v>240</v>
        <stp/>
        <stp>BID_SIZE</stp>
        <stp>.SPY150529C212.5</stp>
        <tr r="D280" s="1"/>
      </tp>
      <tp t="s">
        <v>N/A</v>
        <stp/>
        <stp>ASK_SIZE</stp>
        <stp>.SPY150630C214.5</stp>
        <tr r="B368" s="1"/>
      </tp>
      <tp t="s">
        <v>N/A</v>
        <stp/>
        <stp>ASK_SIZE</stp>
        <stp>.SPY150630C204.5</stp>
        <tr r="B348" s="1"/>
      </tp>
      <tp t="s">
        <v>N/A</v>
        <stp/>
        <stp>ASK_SIZE</stp>
        <stp>.SPY160617C210.5</stp>
        <tr r="B696" s="1"/>
      </tp>
      <tp t="s">
        <v>N/A</v>
        <stp/>
        <stp>ASK_SIZE</stp>
        <stp>.SPY160617C200.5</stp>
        <tr r="B676" s="1"/>
      </tp>
      <tp t="s">
        <v>N/A</v>
        <stp/>
        <stp>BID_SIZE</stp>
        <stp>.SPY150619C212.5</stp>
        <tr r="D322" s="1"/>
      </tp>
      <tp t="s">
        <v>N/A</v>
        <stp/>
        <stp>BID_SIZE</stp>
        <stp>.SPY150619C202.5</stp>
        <tr r="D302" s="1"/>
      </tp>
      <tp>
        <v>160</v>
        <stp/>
        <stp>ASK_SIZE</stp>
        <stp>.SPY150522C206.5</stp>
        <tr r="B226" s="1"/>
      </tp>
      <tp>
        <v>338</v>
        <stp/>
        <stp>ASK_SIZE</stp>
        <stp>.SPY150522C216.5</stp>
        <tr r="B246" s="1"/>
      </tp>
      <tp>
        <v>0</v>
        <stp/>
        <stp>ASK_SIZE</stp>
        <stp>.SPY150501C205.5</stp>
        <tr r="B98" s="1"/>
      </tp>
      <tp>
        <v>350</v>
        <stp/>
        <stp>ASK_SIZE</stp>
        <stp>.SPY150515C211.5</stp>
        <tr r="B194" s="1"/>
      </tp>
      <tp>
        <v>0</v>
        <stp/>
        <stp>ASK_SIZE</stp>
        <stp>.SPY150501C215.5</stp>
        <tr r="B118" s="1"/>
      </tp>
      <tp>
        <v>121</v>
        <stp/>
        <stp>ASK_SIZE</stp>
        <stp>.SPY150515C201.5</stp>
        <tr r="B174" s="1"/>
      </tp>
      <tp>
        <v>0</v>
        <stp/>
        <stp>ASK_SIZE</stp>
        <stp>.SPY150424C200.5</stp>
        <tr r="B46" s="1"/>
      </tp>
      <tp>
        <v>0</v>
        <stp/>
        <stp>ASK_SIZE</stp>
        <stp>.SPY150424C210.5</stp>
        <tr r="B66" s="1"/>
      </tp>
      <tp>
        <v>0</v>
        <stp/>
        <stp>ASK_SIZE</stp>
        <stp>.SPY150417C213.5</stp>
        <tr r="B30" s="1"/>
      </tp>
      <tp>
        <v>0</v>
        <stp/>
        <stp>ASK_SIZE</stp>
        <stp>.SPY150417C203.5</stp>
        <tr r="B10" s="1"/>
      </tp>
      <tp t="s">
        <v>N/A</v>
        <stp/>
        <stp>ASK_SIZE</stp>
        <stp>.SPY170317C211.5</stp>
        <tr r="B866" s="1"/>
      </tp>
      <tp t="s">
        <v>N/A</v>
        <stp/>
        <stp>ASK_SIZE</stp>
        <stp>.SPY170317C201.5</stp>
        <tr r="B846" s="1"/>
      </tp>
      <tp t="s">
        <v>N/A</v>
        <stp/>
        <stp>BID_SIZE</stp>
        <stp>.SPY170120C209.5</stp>
        <tr r="D820" s="1"/>
      </tp>
      <tp t="s">
        <v>N/A</v>
        <stp/>
        <stp>BID_SIZE</stp>
        <stp>.SPY170120C219.5</stp>
        <tr r="D840" s="1"/>
      </tp>
      <tp t="s">
        <v>N/A</v>
        <stp/>
        <stp>ASK_SIZE</stp>
        <stp>.SPY170120C206.5</stp>
        <tr r="B814" s="1"/>
      </tp>
      <tp t="s">
        <v>N/A</v>
        <stp/>
        <stp>ASK_SIZE</stp>
        <stp>.SPY170120C216.5</stp>
        <tr r="B834" s="1"/>
      </tp>
      <tp t="s">
        <v>N/A</v>
        <stp/>
        <stp>ASK_SIZE</stp>
        <stp>.SPY160115C212.5</stp>
        <tr r="B616" s="1"/>
      </tp>
      <tp t="s">
        <v>N/A</v>
        <stp/>
        <stp>ASK_SIZE</stp>
        <stp>.SPY160115C202.5</stp>
        <tr r="B596" s="1"/>
      </tp>
      <tp t="s">
        <v>N/A</v>
        <stp/>
        <stp>BID_SIZE</stp>
        <stp>.SPY160318C210.5</stp>
        <tr r="D654" s="1"/>
      </tp>
      <tp t="s">
        <v>N/A</v>
        <stp/>
        <stp>BID_SIZE</stp>
        <stp>.SPY160318C200.5</stp>
        <tr r="D634" s="1"/>
      </tp>
      <tp t="s">
        <v>N/A</v>
        <stp/>
        <stp>BID_SIZE</stp>
        <stp>.SPY150918C213.5</stp>
        <tr r="D450" s="1"/>
      </tp>
      <tp t="s">
        <v>N/A</v>
        <stp/>
        <stp>BID_SIZE</stp>
        <stp>.SPY150918C203.5</stp>
        <tr r="D430" s="1"/>
      </tp>
      <tp t="s">
        <v>N/A</v>
        <stp/>
        <stp>ASK_SIZE</stp>
        <stp>.SPY150930C214.5</stp>
        <tr r="B494" s="1"/>
      </tp>
      <tp t="s">
        <v>N/A</v>
        <stp/>
        <stp>ASK_SIZE</stp>
        <stp>.SPY150930C204.5</stp>
        <tr r="B474" s="1"/>
      </tp>
      <tp t="s">
        <v>N/A</v>
        <stp/>
        <stp>ASK_SIZE</stp>
        <stp>.SPY160916C211.5</stp>
        <tr r="B740" s="1"/>
      </tp>
      <tp t="s">
        <v>N/A</v>
        <stp/>
        <stp>ASK_SIZE</stp>
        <stp>.SPY160916C201.5</stp>
        <tr r="B720" s="1"/>
      </tp>
      <tp>
        <v>0</v>
        <stp/>
        <stp>BID_SIZE</stp>
        <stp>.SPY150417P216</stp>
        <tr r="O35" s="1"/>
      </tp>
      <tp>
        <v>0</v>
        <stp/>
        <stp>BID_SIZE</stp>
        <stp>.SPY150417C216</stp>
        <tr r="D35" s="1"/>
      </tp>
      <tp>
        <v>0</v>
        <stp/>
        <stp>BID_SIZE</stp>
        <stp>.SPY150417P217</stp>
        <tr r="O37" s="1"/>
      </tp>
      <tp>
        <v>0</v>
        <stp/>
        <stp>BID_SIZE</stp>
        <stp>.SPY150417C217</stp>
        <tr r="D37" s="1"/>
      </tp>
      <tp>
        <v>0</v>
        <stp/>
        <stp>BID_SIZE</stp>
        <stp>.SPY150417P214</stp>
        <tr r="O31" s="1"/>
      </tp>
      <tp>
        <v>0</v>
        <stp/>
        <stp>BID_SIZE</stp>
        <stp>.SPY150417C214</stp>
        <tr r="D31" s="1"/>
      </tp>
      <tp>
        <v>0</v>
        <stp/>
        <stp>BID_SIZE</stp>
        <stp>.SPY150417P215</stp>
        <tr r="O33" s="1"/>
      </tp>
      <tp>
        <v>0</v>
        <stp/>
        <stp>BID_SIZE</stp>
        <stp>.SPY150417C215</stp>
        <tr r="D33" s="1"/>
      </tp>
      <tp>
        <v>0</v>
        <stp/>
        <stp>BID_SIZE</stp>
        <stp>.SPY150417P212</stp>
        <tr r="O27" s="1"/>
      </tp>
      <tp>
        <v>0</v>
        <stp/>
        <stp>BID_SIZE</stp>
        <stp>.SPY150417C212</stp>
        <tr r="D27" s="1"/>
      </tp>
      <tp>
        <v>0</v>
        <stp/>
        <stp>BID_SIZE</stp>
        <stp>.SPY150417P213</stp>
        <tr r="O29" s="1"/>
      </tp>
      <tp>
        <v>0</v>
        <stp/>
        <stp>BID_SIZE</stp>
        <stp>.SPY150417C213</stp>
        <tr r="D29" s="1"/>
      </tp>
      <tp>
        <v>0</v>
        <stp/>
        <stp>BID_SIZE</stp>
        <stp>.SPY150417P210</stp>
        <tr r="O23" s="1"/>
      </tp>
      <tp>
        <v>0</v>
        <stp/>
        <stp>BID_SIZE</stp>
        <stp>.SPY150417C210</stp>
        <tr r="D23" s="1"/>
      </tp>
      <tp>
        <v>0</v>
        <stp/>
        <stp>BID_SIZE</stp>
        <stp>.SPY150417P211</stp>
        <tr r="O25" s="1"/>
      </tp>
      <tp>
        <v>0</v>
        <stp/>
        <stp>BID_SIZE</stp>
        <stp>.SPY150417C211</stp>
        <tr r="D25" s="1"/>
      </tp>
      <tp>
        <v>0</v>
        <stp/>
        <stp>BID_SIZE</stp>
        <stp>.SPY150417P218</stp>
        <tr r="O39" s="1"/>
      </tp>
      <tp>
        <v>0</v>
        <stp/>
        <stp>BID_SIZE</stp>
        <stp>.SPY150417C218</stp>
        <tr r="D39" s="1"/>
      </tp>
      <tp>
        <v>0</v>
        <stp/>
        <stp>BID_SIZE</stp>
        <stp>.SPY150417P219</stp>
        <tr r="O41" s="1"/>
      </tp>
      <tp>
        <v>0</v>
        <stp/>
        <stp>BID_SIZE</stp>
        <stp>.SPY150417C219</stp>
        <tr r="D41" s="1"/>
      </tp>
      <tp>
        <v>0</v>
        <stp/>
        <stp>BID_SIZE</stp>
        <stp>.SPY150417P206</stp>
        <tr r="O15" s="1"/>
      </tp>
      <tp>
        <v>0</v>
        <stp/>
        <stp>BID_SIZE</stp>
        <stp>.SPY150417C206</stp>
        <tr r="D15" s="1"/>
      </tp>
      <tp>
        <v>0</v>
        <stp/>
        <stp>BID_SIZE</stp>
        <stp>.SPY150417P207</stp>
        <tr r="O17" s="1"/>
      </tp>
      <tp>
        <v>0</v>
        <stp/>
        <stp>BID_SIZE</stp>
        <stp>.SPY150417C207</stp>
        <tr r="D17" s="1"/>
      </tp>
      <tp>
        <v>0</v>
        <stp/>
        <stp>BID_SIZE</stp>
        <stp>.SPY150417P204</stp>
        <tr r="O11" s="1"/>
      </tp>
      <tp>
        <v>0</v>
        <stp/>
        <stp>BID_SIZE</stp>
        <stp>.SPY150417C204</stp>
        <tr r="D11" s="1"/>
      </tp>
      <tp>
        <v>0</v>
        <stp/>
        <stp>BID_SIZE</stp>
        <stp>.SPY150417P205</stp>
        <tr r="O13" s="1"/>
      </tp>
      <tp>
        <v>0</v>
        <stp/>
        <stp>BID_SIZE</stp>
        <stp>.SPY150417C205</stp>
        <tr r="D13" s="1"/>
      </tp>
      <tp>
        <v>0</v>
        <stp/>
        <stp>BID_SIZE</stp>
        <stp>.SPY150417P202</stp>
        <tr r="O7" s="1"/>
      </tp>
      <tp>
        <v>0</v>
        <stp/>
        <stp>BID_SIZE</stp>
        <stp>.SPY150417C202</stp>
        <tr r="D7" s="1"/>
      </tp>
      <tp>
        <v>0</v>
        <stp/>
        <stp>BID_SIZE</stp>
        <stp>.SPY150417P203</stp>
        <tr r="O9" s="1"/>
      </tp>
      <tp>
        <v>0</v>
        <stp/>
        <stp>BID_SIZE</stp>
        <stp>.SPY150417C203</stp>
        <tr r="D9" s="1"/>
      </tp>
      <tp>
        <v>0</v>
        <stp/>
        <stp>BID_SIZE</stp>
        <stp>.SPY150417P200</stp>
        <tr r="O3" s="1"/>
      </tp>
      <tp>
        <v>0</v>
        <stp/>
        <stp>BID_SIZE</stp>
        <stp>.SPY150417C200</stp>
        <tr r="D3" s="1"/>
      </tp>
      <tp>
        <v>0</v>
        <stp/>
        <stp>BID_SIZE</stp>
        <stp>.SPY150417P201</stp>
        <tr r="O5" s="1"/>
      </tp>
      <tp>
        <v>0</v>
        <stp/>
        <stp>BID_SIZE</stp>
        <stp>.SPY150417C201</stp>
        <tr r="D5" s="1"/>
      </tp>
      <tp>
        <v>0</v>
        <stp/>
        <stp>BID_SIZE</stp>
        <stp>.SPY150417P208</stp>
        <tr r="O19" s="1"/>
      </tp>
      <tp>
        <v>0</v>
        <stp/>
        <stp>BID_SIZE</stp>
        <stp>.SPY150417C208</stp>
        <tr r="D19" s="1"/>
      </tp>
      <tp>
        <v>0</v>
        <stp/>
        <stp>BID_SIZE</stp>
        <stp>.SPY150417P209</stp>
        <tr r="O21" s="1"/>
      </tp>
      <tp>
        <v>0</v>
        <stp/>
        <stp>BID_SIZE</stp>
        <stp>.SPY150417C209</stp>
        <tr r="D21" s="1"/>
      </tp>
      <tp>
        <v>0</v>
        <stp/>
        <stp>BID_SIZE</stp>
        <stp>.SPY150424P205</stp>
        <tr r="O55" s="1"/>
      </tp>
      <tp>
        <v>0</v>
        <stp/>
        <stp>BID_SIZE</stp>
        <stp>.SPY150424C205</stp>
        <tr r="D55" s="1"/>
      </tp>
      <tp>
        <v>0</v>
        <stp/>
        <stp>BID_SIZE</stp>
        <stp>.SPY150424P204</stp>
        <tr r="O53" s="1"/>
      </tp>
      <tp>
        <v>0</v>
        <stp/>
        <stp>BID_SIZE</stp>
        <stp>.SPY150424C204</stp>
        <tr r="D53" s="1"/>
      </tp>
      <tp>
        <v>0</v>
        <stp/>
        <stp>BID_SIZE</stp>
        <stp>.SPY150424P207</stp>
        <tr r="O59" s="1"/>
      </tp>
      <tp>
        <v>0</v>
        <stp/>
        <stp>BID_SIZE</stp>
        <stp>.SPY150424C207</stp>
        <tr r="D59" s="1"/>
      </tp>
      <tp>
        <v>0</v>
        <stp/>
        <stp>BID_SIZE</stp>
        <stp>.SPY150424P206</stp>
        <tr r="O57" s="1"/>
      </tp>
      <tp>
        <v>0</v>
        <stp/>
        <stp>BID_SIZE</stp>
        <stp>.SPY150424C206</stp>
        <tr r="D57" s="1"/>
      </tp>
      <tp>
        <v>0</v>
        <stp/>
        <stp>BID_SIZE</stp>
        <stp>.SPY150424P201</stp>
        <tr r="O47" s="1"/>
      </tp>
      <tp>
        <v>0</v>
        <stp/>
        <stp>BID_SIZE</stp>
        <stp>.SPY150424C201</stp>
        <tr r="D47" s="1"/>
      </tp>
      <tp>
        <v>0</v>
        <stp/>
        <stp>BID_SIZE</stp>
        <stp>.SPY150424P200</stp>
        <tr r="O45" s="1"/>
      </tp>
      <tp>
        <v>0</v>
        <stp/>
        <stp>BID_SIZE</stp>
        <stp>.SPY150424C200</stp>
        <tr r="D45" s="1"/>
      </tp>
      <tp>
        <v>0</v>
        <stp/>
        <stp>BID_SIZE</stp>
        <stp>.SPY150424P203</stp>
        <tr r="O51" s="1"/>
      </tp>
      <tp>
        <v>0</v>
        <stp/>
        <stp>BID_SIZE</stp>
        <stp>.SPY150424C203</stp>
        <tr r="D51" s="1"/>
      </tp>
      <tp>
        <v>0</v>
        <stp/>
        <stp>BID_SIZE</stp>
        <stp>.SPY150424P202</stp>
        <tr r="O49" s="1"/>
      </tp>
      <tp>
        <v>0</v>
        <stp/>
        <stp>BID_SIZE</stp>
        <stp>.SPY150424C202</stp>
        <tr r="D49" s="1"/>
      </tp>
      <tp>
        <v>0</v>
        <stp/>
        <stp>BID_SIZE</stp>
        <stp>.SPY150424P209</stp>
        <tr r="O63" s="1"/>
      </tp>
      <tp>
        <v>0</v>
        <stp/>
        <stp>BID_SIZE</stp>
        <stp>.SPY150424C209</stp>
        <tr r="D63" s="1"/>
      </tp>
      <tp>
        <v>0</v>
        <stp/>
        <stp>BID_SIZE</stp>
        <stp>.SPY150424P208</stp>
        <tr r="O61" s="1"/>
      </tp>
      <tp>
        <v>0</v>
        <stp/>
        <stp>BID_SIZE</stp>
        <stp>.SPY150424C208</stp>
        <tr r="D61" s="1"/>
      </tp>
      <tp t="s">
        <v>N/A</v>
        <stp/>
        <stp>ASK_SIZE</stp>
        <stp>.SPY150717P212.5</stp>
        <tr r="M406" s="1"/>
      </tp>
      <tp t="s">
        <v>N/A</v>
        <stp/>
        <stp>ASK_SIZE</stp>
        <stp>.SPY150717P202.5</stp>
        <tr r="M386" s="1"/>
      </tp>
      <tp>
        <v>1200</v>
        <stp/>
        <stp>BID_SIZE</stp>
        <stp>.SPY150508P202.5</stp>
        <tr r="O134" s="1"/>
      </tp>
      <tp>
        <v>160</v>
        <stp/>
        <stp>BID_SIZE</stp>
        <stp>.SPY150508P212.5</stp>
        <tr r="O154" s="1"/>
      </tp>
      <tp>
        <v>100</v>
        <stp/>
        <stp>BID_SIZE</stp>
        <stp>.SPY150522P208.5</stp>
        <tr r="O230" s="1"/>
      </tp>
      <tp>
        <v>241</v>
        <stp/>
        <stp>BID_SIZE</stp>
        <stp>.SPY150529P203.5</stp>
        <tr r="O262" s="1"/>
      </tp>
      <tp>
        <v>100</v>
        <stp/>
        <stp>BID_SIZE</stp>
        <stp>.SPY150522P218.5</stp>
        <tr r="O250" s="1"/>
      </tp>
      <tp>
        <v>249</v>
        <stp/>
        <stp>BID_SIZE</stp>
        <stp>.SPY150529P213.5</stp>
        <tr r="O282" s="1"/>
      </tp>
      <tp t="s">
        <v>N/A</v>
        <stp/>
        <stp>ASK_SIZE</stp>
        <stp>.SPY150630P215.5</stp>
        <tr r="M370" s="1"/>
      </tp>
      <tp t="s">
        <v>N/A</v>
        <stp/>
        <stp>ASK_SIZE</stp>
        <stp>.SPY150630P205.5</stp>
        <tr r="M350" s="1"/>
      </tp>
      <tp t="s">
        <v>N/A</v>
        <stp/>
        <stp>ASK_SIZE</stp>
        <stp>.SPY160617P211.5</stp>
        <tr r="M698" s="1"/>
      </tp>
      <tp t="s">
        <v>N/A</v>
        <stp/>
        <stp>ASK_SIZE</stp>
        <stp>.SPY160617P201.5</stp>
        <tr r="M678" s="1"/>
      </tp>
      <tp t="s">
        <v>N/A</v>
        <stp/>
        <stp>BID_SIZE</stp>
        <stp>.SPY150619P213.5</stp>
        <tr r="O324" s="1"/>
      </tp>
      <tp t="s">
        <v>N/A</v>
        <stp/>
        <stp>BID_SIZE</stp>
        <stp>.SPY150619P203.5</stp>
        <tr r="O304" s="1"/>
      </tp>
      <tp>
        <v>188</v>
        <stp/>
        <stp>ASK_SIZE</stp>
        <stp>.SPY150522P207.5</stp>
        <tr r="M228" s="1"/>
      </tp>
      <tp>
        <v>100</v>
        <stp/>
        <stp>ASK_SIZE</stp>
        <stp>.SPY150522P217.5</stp>
        <tr r="M248" s="1"/>
      </tp>
      <tp>
        <v>0</v>
        <stp/>
        <stp>ASK_SIZE</stp>
        <stp>.SPY150501P204.5</stp>
        <tr r="M96" s="1"/>
      </tp>
      <tp>
        <v>262</v>
        <stp/>
        <stp>ASK_SIZE</stp>
        <stp>.SPY150515P210.5</stp>
        <tr r="M192" s="1"/>
      </tp>
      <tp>
        <v>0</v>
        <stp/>
        <stp>ASK_SIZE</stp>
        <stp>.SPY150501P214.5</stp>
        <tr r="M116" s="1"/>
      </tp>
      <tp>
        <v>3000</v>
        <stp/>
        <stp>ASK_SIZE</stp>
        <stp>.SPY150515P200.5</stp>
        <tr r="M172" s="1"/>
      </tp>
      <tp>
        <v>0</v>
        <stp/>
        <stp>ASK_SIZE</stp>
        <stp>.SPY150424P201.5</stp>
        <tr r="M48" s="1"/>
      </tp>
      <tp>
        <v>0</v>
        <stp/>
        <stp>ASK_SIZE</stp>
        <stp>.SPY150424P211.5</stp>
        <tr r="M68" s="1"/>
      </tp>
      <tp>
        <v>0</v>
        <stp/>
        <stp>ASK_SIZE</stp>
        <stp>.SPY150417P212.5</stp>
        <tr r="M28" s="1"/>
      </tp>
      <tp>
        <v>0</v>
        <stp/>
        <stp>ASK_SIZE</stp>
        <stp>.SPY150417P202.5</stp>
        <tr r="M8" s="1"/>
      </tp>
      <tp t="s">
        <v>N/A</v>
        <stp/>
        <stp>ASK_SIZE</stp>
        <stp>.SPY170317P210.5</stp>
        <tr r="M864" s="1"/>
      </tp>
      <tp t="s">
        <v>N/A</v>
        <stp/>
        <stp>ASK_SIZE</stp>
        <stp>.SPY170317P200.5</stp>
        <tr r="M844" s="1"/>
      </tp>
      <tp t="s">
        <v>N/A</v>
        <stp/>
        <stp>BID_SIZE</stp>
        <stp>.SPY170120P208.5</stp>
        <tr r="O818" s="1"/>
      </tp>
      <tp t="s">
        <v>N/A</v>
        <stp/>
        <stp>BID_SIZE</stp>
        <stp>.SPY170120P218.5</stp>
        <tr r="O838" s="1"/>
      </tp>
      <tp t="s">
        <v>N/A</v>
        <stp/>
        <stp>ASK_SIZE</stp>
        <stp>.SPY170120P207.5</stp>
        <tr r="M816" s="1"/>
      </tp>
      <tp t="s">
        <v>N/A</v>
        <stp/>
        <stp>ASK_SIZE</stp>
        <stp>.SPY170120P217.5</stp>
        <tr r="M836" s="1"/>
      </tp>
      <tp t="s">
        <v>N/A</v>
        <stp/>
        <stp>ASK_SIZE</stp>
        <stp>.SPY160115P213.5</stp>
        <tr r="M618" s="1"/>
      </tp>
      <tp t="s">
        <v>N/A</v>
        <stp/>
        <stp>ASK_SIZE</stp>
        <stp>.SPY160115P203.5</stp>
        <tr r="M598" s="1"/>
      </tp>
      <tp t="s">
        <v>N/A</v>
        <stp/>
        <stp>BID_SIZE</stp>
        <stp>.SPY160318P211.5</stp>
        <tr r="O656" s="1"/>
      </tp>
      <tp t="s">
        <v>N/A</v>
        <stp/>
        <stp>BID_SIZE</stp>
        <stp>.SPY160318P201.5</stp>
        <tr r="O636" s="1"/>
      </tp>
      <tp t="s">
        <v>N/A</v>
        <stp/>
        <stp>BID_SIZE</stp>
        <stp>.SPY150918P212.5</stp>
        <tr r="O448" s="1"/>
      </tp>
      <tp t="s">
        <v>N/A</v>
        <stp/>
        <stp>BID_SIZE</stp>
        <stp>.SPY150918P202.5</stp>
        <tr r="O428" s="1"/>
      </tp>
      <tp t="s">
        <v>N/A</v>
        <stp/>
        <stp>ASK_SIZE</stp>
        <stp>.SPY150930P215.5</stp>
        <tr r="M496" s="1"/>
      </tp>
      <tp t="s">
        <v>N/A</v>
        <stp/>
        <stp>ASK_SIZE</stp>
        <stp>.SPY150930P205.5</stp>
        <tr r="M476" s="1"/>
      </tp>
      <tp t="s">
        <v>N/A</v>
        <stp/>
        <stp>ASK_SIZE</stp>
        <stp>.SPY160916P210.5</stp>
        <tr r="M738" s="1"/>
      </tp>
      <tp t="s">
        <v>N/A</v>
        <stp/>
        <stp>ASK_SIZE</stp>
        <stp>.SPY160916P200.5</stp>
        <tr r="M718" s="1"/>
      </tp>
      <tp>
        <v>0</v>
        <stp/>
        <stp>BID_SIZE</stp>
        <stp>.SPY150424P215</stp>
        <tr r="O75" s="1"/>
      </tp>
      <tp>
        <v>0</v>
        <stp/>
        <stp>BID_SIZE</stp>
        <stp>.SPY150424C215</stp>
        <tr r="D75" s="1"/>
      </tp>
      <tp>
        <v>0</v>
        <stp/>
        <stp>BID_SIZE</stp>
        <stp>.SPY150424P214</stp>
        <tr r="O73" s="1"/>
      </tp>
      <tp>
        <v>0</v>
        <stp/>
        <stp>BID_SIZE</stp>
        <stp>.SPY150424C214</stp>
        <tr r="D73" s="1"/>
      </tp>
      <tp>
        <v>0</v>
        <stp/>
        <stp>BID_SIZE</stp>
        <stp>.SPY150424P217</stp>
        <tr r="O79" s="1"/>
      </tp>
      <tp>
        <v>0</v>
        <stp/>
        <stp>BID_SIZE</stp>
        <stp>.SPY150424C217</stp>
        <tr r="D79" s="1"/>
      </tp>
      <tp>
        <v>0</v>
        <stp/>
        <stp>BID_SIZE</stp>
        <stp>.SPY150424P216</stp>
        <tr r="O77" s="1"/>
      </tp>
      <tp>
        <v>0</v>
        <stp/>
        <stp>BID_SIZE</stp>
        <stp>.SPY150424C216</stp>
        <tr r="D77" s="1"/>
      </tp>
      <tp>
        <v>0</v>
        <stp/>
        <stp>BID_SIZE</stp>
        <stp>.SPY150424P211</stp>
        <tr r="O67" s="1"/>
      </tp>
      <tp>
        <v>0</v>
        <stp/>
        <stp>BID_SIZE</stp>
        <stp>.SPY150424C211</stp>
        <tr r="D67" s="1"/>
      </tp>
      <tp>
        <v>0</v>
        <stp/>
        <stp>BID_SIZE</stp>
        <stp>.SPY150424P210</stp>
        <tr r="O65" s="1"/>
      </tp>
      <tp>
        <v>0</v>
        <stp/>
        <stp>BID_SIZE</stp>
        <stp>.SPY150424C210</stp>
        <tr r="D65" s="1"/>
      </tp>
      <tp>
        <v>0</v>
        <stp/>
        <stp>BID_SIZE</stp>
        <stp>.SPY150424P213</stp>
        <tr r="O71" s="1"/>
      </tp>
      <tp>
        <v>0</v>
        <stp/>
        <stp>BID_SIZE</stp>
        <stp>.SPY150424C213</stp>
        <tr r="D71" s="1"/>
      </tp>
      <tp>
        <v>0</v>
        <stp/>
        <stp>BID_SIZE</stp>
        <stp>.SPY150424P212</stp>
        <tr r="O69" s="1"/>
      </tp>
      <tp>
        <v>0</v>
        <stp/>
        <stp>BID_SIZE</stp>
        <stp>.SPY150424C212</stp>
        <tr r="D69" s="1"/>
      </tp>
      <tp>
        <v>0</v>
        <stp/>
        <stp>BID_SIZE</stp>
        <stp>.SPY150424P219</stp>
        <tr r="O83" s="1"/>
      </tp>
      <tp>
        <v>0</v>
        <stp/>
        <stp>BID_SIZE</stp>
        <stp>.SPY150424C219</stp>
        <tr r="D83" s="1"/>
      </tp>
      <tp>
        <v>0</v>
        <stp/>
        <stp>BID_SIZE</stp>
        <stp>.SPY150424P218</stp>
        <tr r="O81" s="1"/>
      </tp>
      <tp>
        <v>0</v>
        <stp/>
        <stp>BID_SIZE</stp>
        <stp>.SPY150424C218</stp>
        <tr r="D81" s="1"/>
      </tp>
      <tp t="s">
        <v>N/A</v>
        <stp/>
        <stp>ASK_SIZE</stp>
        <stp>.SPY151231P214.5</stp>
        <tr r="M578" s="1"/>
      </tp>
      <tp t="s">
        <v>N/A</v>
        <stp/>
        <stp>ASK_SIZE</stp>
        <stp>.SPY151231P204.5</stp>
        <tr r="M558" s="1"/>
      </tp>
      <tp t="s">
        <v>N/A</v>
        <stp/>
        <stp>ASK_SIZE</stp>
        <stp>.SPY161216P210.5</stp>
        <tr r="M780" s="1"/>
      </tp>
      <tp t="s">
        <v>N/A</v>
        <stp/>
        <stp>ASK_SIZE</stp>
        <stp>.SPY171215P212.5</stp>
        <tr r="M910" s="1"/>
      </tp>
      <tp t="s">
        <v>N/A</v>
        <stp/>
        <stp>ASK_SIZE</stp>
        <stp>.SPY161216P200.5</stp>
        <tr r="M760" s="1"/>
      </tp>
      <tp t="s">
        <v>N/A</v>
        <stp/>
        <stp>ASK_SIZE</stp>
        <stp>.SPY171215P202.5</stp>
        <tr r="M890" s="1"/>
      </tp>
      <tp t="s">
        <v>N/A</v>
        <stp/>
        <stp>BID_SIZE</stp>
        <stp>.SPY151219P213.5</stp>
        <tr r="O534" s="1"/>
      </tp>
      <tp t="s">
        <v>N/A</v>
        <stp/>
        <stp>BID_SIZE</stp>
        <stp>.SPY151219P203.5</stp>
        <tr r="O514" s="1"/>
      </tp>
      <tp>
        <v>0</v>
        <stp/>
        <stp>OPEN_INT</stp>
        <stp>.SPY150501P215</stp>
        <tr r="Q117" s="1"/>
      </tp>
      <tp>
        <v>57717</v>
        <stp/>
        <stp>OPEN_INT</stp>
        <stp>.SPY150515P201</stp>
        <tr r="Q173" s="1"/>
      </tp>
      <tp>
        <v>93892</v>
        <stp/>
        <stp>OPEN_INT</stp>
        <stp>.SPY150501C215</stp>
        <tr r="F117" s="1"/>
      </tp>
      <tp>
        <v>2879</v>
        <stp/>
        <stp>OPEN_INT</stp>
        <stp>.SPY150515C201</stp>
        <tr r="F173" s="1"/>
      </tp>
      <tp>
        <v>0</v>
        <stp/>
        <stp>OPEN_INT</stp>
        <stp>.SPY150501P214</stp>
        <tr r="Q115" s="1"/>
      </tp>
      <tp>
        <v>203049</v>
        <stp/>
        <stp>OPEN_INT</stp>
        <stp>.SPY150515P200</stp>
        <tr r="Q171" s="1"/>
      </tp>
      <tp>
        <v>59429</v>
        <stp/>
        <stp>OPEN_INT</stp>
        <stp>.SPY150501C214</stp>
        <tr r="F115" s="1"/>
      </tp>
      <tp>
        <v>4397</v>
        <stp/>
        <stp>OPEN_INT</stp>
        <stp>.SPY150515C200</stp>
        <tr r="F171" s="1"/>
      </tp>
      <tp>
        <v>0</v>
        <stp/>
        <stp>OPEN_INT</stp>
        <stp>.SPY150501P217</stp>
        <tr r="Q121" s="1"/>
      </tp>
      <tp>
        <v>53825</v>
        <stp/>
        <stp>OPEN_INT</stp>
        <stp>.SPY150515P203</stp>
        <tr r="Q177" s="1"/>
      </tp>
      <tp>
        <v>2637</v>
        <stp/>
        <stp>OPEN_INT</stp>
        <stp>.SPY150501C217</stp>
        <tr r="F121" s="1"/>
      </tp>
      <tp>
        <v>9170</v>
        <stp/>
        <stp>OPEN_INT</stp>
        <stp>.SPY150515C203</stp>
        <tr r="F177" s="1"/>
      </tp>
      <tp>
        <v>0</v>
        <stp/>
        <stp>OPEN_INT</stp>
        <stp>.SPY150501P216</stp>
        <tr r="Q119" s="1"/>
      </tp>
      <tp>
        <v>91740</v>
        <stp/>
        <stp>OPEN_INT</stp>
        <stp>.SPY150515P202</stp>
        <tr r="Q175" s="1"/>
      </tp>
      <tp>
        <v>37210</v>
        <stp/>
        <stp>OPEN_INT</stp>
        <stp>.SPY150501C216</stp>
        <tr r="F119" s="1"/>
      </tp>
      <tp>
        <v>4033</v>
        <stp/>
        <stp>OPEN_INT</stp>
        <stp>.SPY150515C202</stp>
        <tr r="F175" s="1"/>
      </tp>
      <tp>
        <v>0</v>
        <stp/>
        <stp>OPEN_INT</stp>
        <stp>.SPY150501P211</stp>
        <tr r="Q109" s="1"/>
      </tp>
      <tp>
        <v>48</v>
        <stp/>
        <stp>OPEN_INT</stp>
        <stp>.SPY150508P218</stp>
        <tr r="Q165" s="1"/>
      </tp>
      <tp>
        <v>269605</v>
        <stp/>
        <stp>OPEN_INT</stp>
        <stp>.SPY150515P205</stp>
        <tr r="Q181" s="1"/>
      </tp>
      <tp>
        <v>38260</v>
        <stp/>
        <stp>OPEN_INT</stp>
        <stp>.SPY150501C211</stp>
        <tr r="F109" s="1"/>
      </tp>
      <tp>
        <v>1636</v>
        <stp/>
        <stp>OPEN_INT</stp>
        <stp>.SPY150508C218</stp>
        <tr r="F165" s="1"/>
      </tp>
      <tp>
        <v>51484</v>
        <stp/>
        <stp>OPEN_INT</stp>
        <stp>.SPY150515C205</stp>
        <tr r="F181" s="1"/>
      </tp>
      <tp>
        <v>20209</v>
        <stp/>
        <stp>OPEN_INT</stp>
        <stp>.SPY150501P210</stp>
        <tr r="Q107" s="1"/>
      </tp>
      <tp>
        <v>4</v>
        <stp/>
        <stp>OPEN_INT</stp>
        <stp>.SPY150508P219</stp>
        <tr r="Q167" s="1"/>
      </tp>
      <tp>
        <v>151070</v>
        <stp/>
        <stp>OPEN_INT</stp>
        <stp>.SPY150515P204</stp>
        <tr r="Q179" s="1"/>
      </tp>
      <tp>
        <v>0</v>
        <stp/>
        <stp>OPEN_INT</stp>
        <stp>.SPY150501C210</stp>
        <tr r="F107" s="1"/>
      </tp>
      <tp>
        <v>3683</v>
        <stp/>
        <stp>OPEN_INT</stp>
        <stp>.SPY150508C219</stp>
        <tr r="F167" s="1"/>
      </tp>
      <tp>
        <v>5372</v>
        <stp/>
        <stp>OPEN_INT</stp>
        <stp>.SPY150515C204</stp>
        <tr r="F179" s="1"/>
      </tp>
      <tp>
        <v>0</v>
        <stp/>
        <stp>OPEN_INT</stp>
        <stp>.SPY150501P213</stp>
        <tr r="Q113" s="1"/>
      </tp>
      <tp>
        <v>115399</v>
        <stp/>
        <stp>OPEN_INT</stp>
        <stp>.SPY150515P207</stp>
        <tr r="Q185" s="1"/>
      </tp>
      <tp>
        <v>39150</v>
        <stp/>
        <stp>OPEN_INT</stp>
        <stp>.SPY150501C213</stp>
        <tr r="F113" s="1"/>
      </tp>
      <tp>
        <v>36064</v>
        <stp/>
        <stp>OPEN_INT</stp>
        <stp>.SPY150515C207</stp>
        <tr r="F185" s="1"/>
      </tp>
      <tp>
        <v>3</v>
        <stp/>
        <stp>OPEN_INT</stp>
        <stp>.SPY150501P212</stp>
        <tr r="Q111" s="1"/>
      </tp>
      <tp>
        <v>76902</v>
        <stp/>
        <stp>OPEN_INT</stp>
        <stp>.SPY150515P206</stp>
        <tr r="Q183" s="1"/>
      </tp>
      <tp>
        <v>74879</v>
        <stp/>
        <stp>OPEN_INT</stp>
        <stp>.SPY150501C212</stp>
        <tr r="F111" s="1"/>
      </tp>
      <tp>
        <v>17293</v>
        <stp/>
        <stp>OPEN_INT</stp>
        <stp>.SPY150515C206</stp>
        <tr r="F183" s="1"/>
      </tp>
      <tp>
        <v>1749</v>
        <stp/>
        <stp>OPEN_INT</stp>
        <stp>.SPY150508P214</stp>
        <tr r="Q157" s="1"/>
      </tp>
      <tp>
        <v>76410</v>
        <stp/>
        <stp>OPEN_INT</stp>
        <stp>.SPY150515P209</stp>
        <tr r="Q189" s="1"/>
      </tp>
      <tp>
        <v>11807</v>
        <stp/>
        <stp>OPEN_INT</stp>
        <stp>.SPY150508C214</stp>
        <tr r="F157" s="1"/>
      </tp>
      <tp>
        <v>36104</v>
        <stp/>
        <stp>OPEN_INT</stp>
        <stp>.SPY150515C209</stp>
        <tr r="F189" s="1"/>
      </tp>
      <tp>
        <v>230</v>
        <stp/>
        <stp>OPEN_INT</stp>
        <stp>.SPY150508P215</stp>
        <tr r="Q159" s="1"/>
      </tp>
      <tp>
        <v>183914</v>
        <stp/>
        <stp>OPEN_INT</stp>
        <stp>.SPY150515P208</stp>
        <tr r="Q187" s="1"/>
      </tp>
      <tp>
        <v>12018</v>
        <stp/>
        <stp>OPEN_INT</stp>
        <stp>.SPY150508C215</stp>
        <tr r="F159" s="1"/>
      </tp>
      <tp>
        <v>52049</v>
        <stp/>
        <stp>OPEN_INT</stp>
        <stp>.SPY150515C208</stp>
        <tr r="F187" s="1"/>
      </tp>
      <tp>
        <v>51</v>
        <stp/>
        <stp>OPEN_INT</stp>
        <stp>.SPY150508P216</stp>
        <tr r="Q161" s="1"/>
      </tp>
      <tp>
        <v>16790</v>
        <stp/>
        <stp>OPEN_INT</stp>
        <stp>.SPY150508C216</stp>
        <tr r="F161" s="1"/>
      </tp>
      <tp>
        <v>105</v>
        <stp/>
        <stp>OPEN_INT</stp>
        <stp>.SPY150508P217</stp>
        <tr r="Q163" s="1"/>
      </tp>
      <tp>
        <v>6127</v>
        <stp/>
        <stp>OPEN_INT</stp>
        <stp>.SPY150508C217</stp>
        <tr r="F163" s="1"/>
      </tp>
      <tp>
        <v>0</v>
        <stp/>
        <stp>OPEN_INT</stp>
        <stp>.SPY150501P219</stp>
        <tr r="Q125" s="1"/>
      </tp>
      <tp>
        <v>16524</v>
        <stp/>
        <stp>OPEN_INT</stp>
        <stp>.SPY150508P210</stp>
        <tr r="Q149" s="1"/>
      </tp>
      <tp>
        <v>2412</v>
        <stp/>
        <stp>OPEN_INT</stp>
        <stp>.SPY150501C219</stp>
        <tr r="F125" s="1"/>
      </tp>
      <tp>
        <v>16277</v>
        <stp/>
        <stp>OPEN_INT</stp>
        <stp>.SPY150508C210</stp>
        <tr r="F149" s="1"/>
      </tp>
      <tp>
        <v>0</v>
        <stp/>
        <stp>OPEN_INT</stp>
        <stp>.SPY150501P218</stp>
        <tr r="Q123" s="1"/>
      </tp>
      <tp>
        <v>16927</v>
        <stp/>
        <stp>OPEN_INT</stp>
        <stp>.SPY150508P211</stp>
        <tr r="Q151" s="1"/>
      </tp>
      <tp>
        <v>840</v>
        <stp/>
        <stp>OPEN_INT</stp>
        <stp>.SPY150501C218</stp>
        <tr r="F123" s="1"/>
      </tp>
      <tp>
        <v>15645</v>
        <stp/>
        <stp>OPEN_INT</stp>
        <stp>.SPY150508C211</stp>
        <tr r="F151" s="1"/>
      </tp>
      <tp>
        <v>8251</v>
        <stp/>
        <stp>OPEN_INT</stp>
        <stp>.SPY150508P212</stp>
        <tr r="Q153" s="1"/>
      </tp>
      <tp>
        <v>34520</v>
        <stp/>
        <stp>OPEN_INT</stp>
        <stp>.SPY150508C212</stp>
        <tr r="F153" s="1"/>
      </tp>
      <tp>
        <v>1760</v>
        <stp/>
        <stp>OPEN_INT</stp>
        <stp>.SPY150508P213</stp>
        <tr r="Q155" s="1"/>
      </tp>
      <tp>
        <v>16754</v>
        <stp/>
        <stp>OPEN_INT</stp>
        <stp>.SPY150508C213</stp>
        <tr r="F155" s="1"/>
      </tp>
      <tp>
        <v>54605</v>
        <stp/>
        <stp>OPEN_INT</stp>
        <stp>.SPY150501P205</stp>
        <tr r="Q97" s="1"/>
      </tp>
      <tp>
        <v>32801</v>
        <stp/>
        <stp>OPEN_INT</stp>
        <stp>.SPY150515P211</stp>
        <tr r="Q193" s="1"/>
      </tp>
      <tp>
        <v>0</v>
        <stp/>
        <stp>OPEN_INT</stp>
        <stp>.SPY150501C205</stp>
        <tr r="F97" s="1"/>
      </tp>
      <tp>
        <v>68990</v>
        <stp/>
        <stp>OPEN_INT</stp>
        <stp>.SPY150515C211</stp>
        <tr r="F193" s="1"/>
      </tp>
      <tp>
        <v>43996</v>
        <stp/>
        <stp>OPEN_INT</stp>
        <stp>.SPY150501P204</stp>
        <tr r="Q95" s="1"/>
      </tp>
      <tp>
        <v>167618</v>
        <stp/>
        <stp>OPEN_INT</stp>
        <stp>.SPY150515P210</stp>
        <tr r="Q191" s="1"/>
      </tp>
      <tp>
        <v>0</v>
        <stp/>
        <stp>OPEN_INT</stp>
        <stp>.SPY150501C204</stp>
        <tr r="F95" s="1"/>
      </tp>
      <tp>
        <v>140432</v>
        <stp/>
        <stp>OPEN_INT</stp>
        <stp>.SPY150515C210</stp>
        <tr r="F191" s="1"/>
      </tp>
      <tp>
        <v>54170</v>
        <stp/>
        <stp>OPEN_INT</stp>
        <stp>.SPY150501P207</stp>
        <tr r="Q101" s="1"/>
      </tp>
      <tp>
        <v>4845</v>
        <stp/>
        <stp>OPEN_INT</stp>
        <stp>.SPY150515P213</stp>
        <tr r="Q197" s="1"/>
      </tp>
      <tp>
        <v>0</v>
        <stp/>
        <stp>OPEN_INT</stp>
        <stp>.SPY150501C207</stp>
        <tr r="F101" s="1"/>
      </tp>
      <tp>
        <v>60783</v>
        <stp/>
        <stp>OPEN_INT</stp>
        <stp>.SPY150515C213</stp>
        <tr r="F197" s="1"/>
      </tp>
      <tp>
        <v>60789</v>
        <stp/>
        <stp>OPEN_INT</stp>
        <stp>.SPY150501P206</stp>
        <tr r="Q99" s="1"/>
      </tp>
      <tp>
        <v>15627</v>
        <stp/>
        <stp>OPEN_INT</stp>
        <stp>.SPY150515P212</stp>
        <tr r="Q195" s="1"/>
      </tp>
      <tp>
        <v>0</v>
        <stp/>
        <stp>OPEN_INT</stp>
        <stp>.SPY150501C206</stp>
        <tr r="F99" s="1"/>
      </tp>
      <tp>
        <v>43798</v>
        <stp/>
        <stp>OPEN_INT</stp>
        <stp>.SPY150515C212</stp>
        <tr r="F195" s="1"/>
      </tp>
      <tp>
        <v>15062</v>
        <stp/>
        <stp>OPEN_INT</stp>
        <stp>.SPY150501P201</stp>
        <tr r="Q89" s="1"/>
      </tp>
      <tp>
        <v>37262</v>
        <stp/>
        <stp>OPEN_INT</stp>
        <stp>.SPY150508P208</stp>
        <tr r="Q145" s="1"/>
      </tp>
      <tp>
        <v>37703</v>
        <stp/>
        <stp>OPEN_INT</stp>
        <stp>.SPY150515P215</stp>
        <tr r="Q201" s="1"/>
      </tp>
      <tp>
        <v>0</v>
        <stp/>
        <stp>OPEN_INT</stp>
        <stp>.SPY150501C201</stp>
        <tr r="F89" s="1"/>
      </tp>
      <tp>
        <v>4990</v>
        <stp/>
        <stp>OPEN_INT</stp>
        <stp>.SPY150508C208</stp>
        <tr r="F145" s="1"/>
      </tp>
      <tp>
        <v>115308</v>
        <stp/>
        <stp>OPEN_INT</stp>
        <stp>.SPY150515C215</stp>
        <tr r="F201" s="1"/>
      </tp>
      <tp>
        <v>32850</v>
        <stp/>
        <stp>OPEN_INT</stp>
        <stp>.SPY150501P200</stp>
        <tr r="Q87" s="1"/>
      </tp>
      <tp>
        <v>27256</v>
        <stp/>
        <stp>OPEN_INT</stp>
        <stp>.SPY150508P209</stp>
        <tr r="Q147" s="1"/>
      </tp>
      <tp>
        <v>3363</v>
        <stp/>
        <stp>OPEN_INT</stp>
        <stp>.SPY150515P214</stp>
        <tr r="Q199" s="1"/>
      </tp>
      <tp>
        <v>0</v>
        <stp/>
        <stp>OPEN_INT</stp>
        <stp>.SPY150501C200</stp>
        <tr r="F87" s="1"/>
      </tp>
      <tp>
        <v>8710</v>
        <stp/>
        <stp>OPEN_INT</stp>
        <stp>.SPY150508C209</stp>
        <tr r="F147" s="1"/>
      </tp>
      <tp>
        <v>87593</v>
        <stp/>
        <stp>OPEN_INT</stp>
        <stp>.SPY150515C214</stp>
        <tr r="F199" s="1"/>
      </tp>
      <tp>
        <v>25790</v>
        <stp/>
        <stp>OPEN_INT</stp>
        <stp>.SPY150501P203</stp>
        <tr r="Q93" s="1"/>
      </tp>
      <tp>
        <v>1259</v>
        <stp/>
        <stp>OPEN_INT</stp>
        <stp>.SPY150515P217</stp>
        <tr r="Q205" s="1"/>
      </tp>
      <tp>
        <v>0</v>
        <stp/>
        <stp>OPEN_INT</stp>
        <stp>.SPY150501C203</stp>
        <tr r="F93" s="1"/>
      </tp>
      <tp>
        <v>59086</v>
        <stp/>
        <stp>OPEN_INT</stp>
        <stp>.SPY150515C217</stp>
        <tr r="F205" s="1"/>
      </tp>
      <tp>
        <v>8781</v>
        <stp/>
        <stp>OPEN_INT</stp>
        <stp>.SPY150501P202</stp>
        <tr r="Q91" s="1"/>
      </tp>
      <tp>
        <v>1733</v>
        <stp/>
        <stp>OPEN_INT</stp>
        <stp>.SPY150515P216</stp>
        <tr r="Q203" s="1"/>
      </tp>
      <tp>
        <v>0</v>
        <stp/>
        <stp>OPEN_INT</stp>
        <stp>.SPY150501C202</stp>
        <tr r="F91" s="1"/>
      </tp>
      <tp>
        <v>27832</v>
        <stp/>
        <stp>OPEN_INT</stp>
        <stp>.SPY150515C216</stp>
        <tr r="F203" s="1"/>
      </tp>
      <tp>
        <v>13610</v>
        <stp/>
        <stp>OPEN_INT</stp>
        <stp>.SPY150508P204</stp>
        <tr r="Q137" s="1"/>
      </tp>
      <tp>
        <v>771</v>
        <stp/>
        <stp>OPEN_INT</stp>
        <stp>.SPY150515P219</stp>
        <tr r="Q209" s="1"/>
      </tp>
      <tp>
        <v>423</v>
        <stp/>
        <stp>OPEN_INT</stp>
        <stp>.SPY150508C204</stp>
        <tr r="F137" s="1"/>
      </tp>
      <tp>
        <v>61773</v>
        <stp/>
        <stp>OPEN_INT</stp>
        <stp>.SPY150515C219</stp>
        <tr r="F209" s="1"/>
      </tp>
      <tp>
        <v>18251</v>
        <stp/>
        <stp>OPEN_INT</stp>
        <stp>.SPY150508P205</stp>
        <tr r="Q139" s="1"/>
      </tp>
      <tp>
        <v>4983</v>
        <stp/>
        <stp>OPEN_INT</stp>
        <stp>.SPY150515P218</stp>
        <tr r="Q207" s="1"/>
      </tp>
      <tp>
        <v>206</v>
        <stp/>
        <stp>OPEN_INT</stp>
        <stp>.SPY150508C205</stp>
        <tr r="F139" s="1"/>
      </tp>
      <tp>
        <v>46899</v>
        <stp/>
        <stp>OPEN_INT</stp>
        <stp>.SPY150515C218</stp>
        <tr r="F207" s="1"/>
      </tp>
      <tp>
        <v>24952</v>
        <stp/>
        <stp>OPEN_INT</stp>
        <stp>.SPY150508P206</stp>
        <tr r="Q141" s="1"/>
      </tp>
      <tp>
        <v>386</v>
        <stp/>
        <stp>OPEN_INT</stp>
        <stp>.SPY150508C206</stp>
        <tr r="F141" s="1"/>
      </tp>
      <tp>
        <v>24623</v>
        <stp/>
        <stp>OPEN_INT</stp>
        <stp>.SPY150508P207</stp>
        <tr r="Q143" s="1"/>
      </tp>
      <tp>
        <v>1744</v>
        <stp/>
        <stp>OPEN_INT</stp>
        <stp>.SPY150508C207</stp>
        <tr r="F143" s="1"/>
      </tp>
      <tp>
        <v>45345</v>
        <stp/>
        <stp>OPEN_INT</stp>
        <stp>.SPY150501P209</stp>
        <tr r="Q105" s="1"/>
      </tp>
      <tp>
        <v>14015</v>
        <stp/>
        <stp>OPEN_INT</stp>
        <stp>.SPY150508P200</stp>
        <tr r="Q129" s="1"/>
      </tp>
      <tp>
        <v>0</v>
        <stp/>
        <stp>OPEN_INT</stp>
        <stp>.SPY150501C209</stp>
        <tr r="F105" s="1"/>
      </tp>
      <tp>
        <v>76</v>
        <stp/>
        <stp>OPEN_INT</stp>
        <stp>.SPY150508C200</stp>
        <tr r="F129" s="1"/>
      </tp>
      <tp>
        <v>51054</v>
        <stp/>
        <stp>OPEN_INT</stp>
        <stp>.SPY150501P208</stp>
        <tr r="Q103" s="1"/>
      </tp>
      <tp>
        <v>7685</v>
        <stp/>
        <stp>OPEN_INT</stp>
        <stp>.SPY150508P201</stp>
        <tr r="Q131" s="1"/>
      </tp>
      <tp>
        <v>0</v>
        <stp/>
        <stp>OPEN_INT</stp>
        <stp>.SPY150501C208</stp>
        <tr r="F103" s="1"/>
      </tp>
      <tp>
        <v>365</v>
        <stp/>
        <stp>OPEN_INT</stp>
        <stp>.SPY150508C201</stp>
        <tr r="F131" s="1"/>
      </tp>
      <tp>
        <v>13261</v>
        <stp/>
        <stp>OPEN_INT</stp>
        <stp>.SPY150508P202</stp>
        <tr r="Q133" s="1"/>
      </tp>
      <tp>
        <v>146</v>
        <stp/>
        <stp>OPEN_INT</stp>
        <stp>.SPY150508C202</stp>
        <tr r="F133" s="1"/>
      </tp>
      <tp>
        <v>10864</v>
        <stp/>
        <stp>OPEN_INT</stp>
        <stp>.SPY150508P203</stp>
        <tr r="Q135" s="1"/>
      </tp>
      <tp>
        <v>223</v>
        <stp/>
        <stp>OPEN_INT</stp>
        <stp>.SPY150508C203</stp>
        <tr r="F135" s="1"/>
      </tp>
      <tp>
        <v>23</v>
        <stp/>
        <stp>OPEN_INT</stp>
        <stp>.SPY150522P216</stp>
        <tr r="Q245" s="1"/>
      </tp>
      <tp>
        <v>2359</v>
        <stp/>
        <stp>OPEN_INT</stp>
        <stp>.SPY150522C216</stp>
        <tr r="F245" s="1"/>
      </tp>
      <tp>
        <v>46</v>
        <stp/>
        <stp>OPEN_INT</stp>
        <stp>.SPY150522P217</stp>
        <tr r="Q247" s="1"/>
      </tp>
      <tp>
        <v>2335</v>
        <stp/>
        <stp>OPEN_INT</stp>
        <stp>.SPY150522C217</stp>
        <tr r="F247" s="1"/>
      </tp>
      <tp>
        <v>293</v>
        <stp/>
        <stp>OPEN_INT</stp>
        <stp>.SPY150522P214</stp>
        <tr r="Q241" s="1"/>
      </tp>
      <tp>
        <v>6804</v>
        <stp/>
        <stp>OPEN_INT</stp>
        <stp>.SPY150522C214</stp>
        <tr r="F241" s="1"/>
      </tp>
      <tp>
        <v>595</v>
        <stp/>
        <stp>OPEN_INT</stp>
        <stp>.SPY150522P215</stp>
        <tr r="Q243" s="1"/>
      </tp>
      <tp>
        <v>5722</v>
        <stp/>
        <stp>OPEN_INT</stp>
        <stp>.SPY150522C215</stp>
        <tr r="F243" s="1"/>
      </tp>
      <tp>
        <v>1013</v>
        <stp/>
        <stp>OPEN_INT</stp>
        <stp>.SPY150522P212</stp>
        <tr r="Q237" s="1"/>
      </tp>
      <tp>
        <v>0</v>
        <stp/>
        <stp>OPEN_INT</stp>
        <stp>.SPY150529P219</stp>
        <tr r="Q293" s="1"/>
      </tp>
      <tp>
        <v>1502</v>
        <stp/>
        <stp>OPEN_INT</stp>
        <stp>.SPY150522C212</stp>
        <tr r="F237" s="1"/>
      </tp>
      <tp>
        <v>2925</v>
        <stp/>
        <stp>OPEN_INT</stp>
        <stp>.SPY150529C219</stp>
        <tr r="F293" s="1"/>
      </tp>
      <tp>
        <v>278</v>
        <stp/>
        <stp>OPEN_INT</stp>
        <stp>.SPY150522P213</stp>
        <tr r="Q239" s="1"/>
      </tp>
      <tp>
        <v>0</v>
        <stp/>
        <stp>OPEN_INT</stp>
        <stp>.SPY150529P218</stp>
        <tr r="Q291" s="1"/>
      </tp>
      <tp>
        <v>1207</v>
        <stp/>
        <stp>OPEN_INT</stp>
        <stp>.SPY150522C213</stp>
        <tr r="F239" s="1"/>
      </tp>
      <tp>
        <v>195</v>
        <stp/>
        <stp>OPEN_INT</stp>
        <stp>.SPY150529C218</stp>
        <tr r="F291" s="1"/>
      </tp>
      <tp>
        <v>11151</v>
        <stp/>
        <stp>OPEN_INT</stp>
        <stp>.SPY150522P210</stp>
        <tr r="Q233" s="1"/>
      </tp>
      <tp>
        <v>3482</v>
        <stp/>
        <stp>OPEN_INT</stp>
        <stp>.SPY150522C210</stp>
        <tr r="F233" s="1"/>
      </tp>
      <tp>
        <v>3248</v>
        <stp/>
        <stp>OPEN_INT</stp>
        <stp>.SPY150522P211</stp>
        <tr r="Q235" s="1"/>
      </tp>
      <tp>
        <v>2522</v>
        <stp/>
        <stp>OPEN_INT</stp>
        <stp>.SPY150522C211</stp>
        <tr r="F235" s="1"/>
      </tp>
      <tp>
        <v>502</v>
        <stp/>
        <stp>OPEN_INT</stp>
        <stp>.SPY150529P215</stp>
        <tr r="Q285" s="1"/>
      </tp>
      <tp>
        <v>72257</v>
        <stp/>
        <stp>OPEN_INT</stp>
        <stp>.SPY150529C215</stp>
        <tr r="F285" s="1"/>
      </tp>
      <tp>
        <v>1201</v>
        <stp/>
        <stp>OPEN_INT</stp>
        <stp>.SPY150529P214</stp>
        <tr r="Q283" s="1"/>
      </tp>
      <tp>
        <v>3568</v>
        <stp/>
        <stp>OPEN_INT</stp>
        <stp>.SPY150529C214</stp>
        <tr r="F283" s="1"/>
      </tp>
      <tp>
        <v>0</v>
        <stp/>
        <stp>OPEN_INT</stp>
        <stp>.SPY150529P217</stp>
        <tr r="Q289" s="1"/>
      </tp>
      <tp>
        <v>2484</v>
        <stp/>
        <stp>OPEN_INT</stp>
        <stp>.SPY150529C217</stp>
        <tr r="F289" s="1"/>
      </tp>
      <tp>
        <v>127</v>
        <stp/>
        <stp>OPEN_INT</stp>
        <stp>.SPY150529P216</stp>
        <tr r="Q287" s="1"/>
      </tp>
      <tp>
        <v>6338</v>
        <stp/>
        <stp>OPEN_INT</stp>
        <stp>.SPY150529C216</stp>
        <tr r="F287" s="1"/>
      </tp>
      <tp>
        <v>1673</v>
        <stp/>
        <stp>OPEN_INT</stp>
        <stp>.SPY150529P211</stp>
        <tr r="Q277" s="1"/>
      </tp>
      <tp>
        <v>4308</v>
        <stp/>
        <stp>OPEN_INT</stp>
        <stp>.SPY150529C211</stp>
        <tr r="F277" s="1"/>
      </tp>
      <tp>
        <v>12207</v>
        <stp/>
        <stp>OPEN_INT</stp>
        <stp>.SPY150529P210</stp>
        <tr r="Q275" s="1"/>
      </tp>
      <tp>
        <v>2366</v>
        <stp/>
        <stp>OPEN_INT</stp>
        <stp>.SPY150529C210</stp>
        <tr r="F275" s="1"/>
      </tp>
      <tp>
        <v>12</v>
        <stp/>
        <stp>OPEN_INT</stp>
        <stp>.SPY150522P218</stp>
        <tr r="Q249" s="1"/>
      </tp>
      <tp>
        <v>502</v>
        <stp/>
        <stp>OPEN_INT</stp>
        <stp>.SPY150529P213</stp>
        <tr r="Q281" s="1"/>
      </tp>
      <tp>
        <v>160</v>
        <stp/>
        <stp>OPEN_INT</stp>
        <stp>.SPY150522C218</stp>
        <tr r="F249" s="1"/>
      </tp>
      <tp>
        <v>4835</v>
        <stp/>
        <stp>OPEN_INT</stp>
        <stp>.SPY150529C213</stp>
        <tr r="F281" s="1"/>
      </tp>
      <tp>
        <v>0</v>
        <stp/>
        <stp>OPEN_INT</stp>
        <stp>.SPY150522P219</stp>
        <tr r="Q251" s="1"/>
      </tp>
      <tp>
        <v>3911</v>
        <stp/>
        <stp>OPEN_INT</stp>
        <stp>.SPY150529P212</stp>
        <tr r="Q279" s="1"/>
      </tp>
      <tp>
        <v>36</v>
        <stp/>
        <stp>OPEN_INT</stp>
        <stp>.SPY150522C219</stp>
        <tr r="F251" s="1"/>
      </tp>
      <tp>
        <v>3842</v>
        <stp/>
        <stp>OPEN_INT</stp>
        <stp>.SPY150529C212</stp>
        <tr r="F279" s="1"/>
      </tp>
      <tp>
        <v>150</v>
        <stp/>
        <stp>ASK_SIZE</stp>
        <stp>.SPY150717P219</stp>
        <tr r="M419" s="1"/>
      </tp>
      <tp>
        <v>445</v>
        <stp/>
        <stp>ASK_SIZE</stp>
        <stp>.SPY150717C219</stp>
        <tr r="B419" s="1"/>
      </tp>
      <tp>
        <v>249</v>
        <stp/>
        <stp>ASK_SIZE</stp>
        <stp>.SPY150717P218</stp>
        <tr r="M417" s="1"/>
      </tp>
      <tp>
        <v>404</v>
        <stp/>
        <stp>ASK_SIZE</stp>
        <stp>.SPY150717C218</stp>
        <tr r="B417" s="1"/>
      </tp>
      <tp>
        <v>1856</v>
        <stp/>
        <stp>ASK_SIZE</stp>
        <stp>.SPY150717P211</stp>
        <tr r="M403" s="1"/>
      </tp>
      <tp>
        <v>111</v>
        <stp/>
        <stp>ASK_SIZE</stp>
        <stp>.SPY150717C211</stp>
        <tr r="B403" s="1"/>
      </tp>
      <tp>
        <v>1638</v>
        <stp/>
        <stp>ASK_SIZE</stp>
        <stp>.SPY150717P210</stp>
        <tr r="M401" s="1"/>
      </tp>
      <tp>
        <v>111</v>
        <stp/>
        <stp>ASK_SIZE</stp>
        <stp>.SPY150717C210</stp>
        <tr r="B401" s="1"/>
      </tp>
      <tp>
        <v>240</v>
        <stp/>
        <stp>ASK_SIZE</stp>
        <stp>.SPY150717P213</stp>
        <tr r="M407" s="1"/>
      </tp>
      <tp>
        <v>99</v>
        <stp/>
        <stp>ASK_SIZE</stp>
        <stp>.SPY150717C213</stp>
        <tr r="B407" s="1"/>
      </tp>
      <tp>
        <v>333</v>
        <stp/>
        <stp>ASK_SIZE</stp>
        <stp>.SPY150717P212</stp>
        <tr r="M405" s="1"/>
      </tp>
      <tp>
        <v>132</v>
        <stp/>
        <stp>ASK_SIZE</stp>
        <stp>.SPY150717C212</stp>
        <tr r="B405" s="1"/>
      </tp>
      <tp>
        <v>240</v>
        <stp/>
        <stp>ASK_SIZE</stp>
        <stp>.SPY150717P215</stp>
        <tr r="M411" s="1"/>
      </tp>
      <tp>
        <v>336</v>
        <stp/>
        <stp>ASK_SIZE</stp>
        <stp>.SPY150717C215</stp>
        <tr r="B411" s="1"/>
      </tp>
      <tp>
        <v>240</v>
        <stp/>
        <stp>ASK_SIZE</stp>
        <stp>.SPY150717P214</stp>
        <tr r="M409" s="1"/>
      </tp>
      <tp>
        <v>250</v>
        <stp/>
        <stp>ASK_SIZE</stp>
        <stp>.SPY150717C214</stp>
        <tr r="B409" s="1"/>
      </tp>
      <tp>
        <v>249</v>
        <stp/>
        <stp>ASK_SIZE</stp>
        <stp>.SPY150717P217</stp>
        <tr r="M415" s="1"/>
      </tp>
      <tp>
        <v>374</v>
        <stp/>
        <stp>ASK_SIZE</stp>
        <stp>.SPY150717C217</stp>
        <tr r="B415" s="1"/>
      </tp>
      <tp>
        <v>190</v>
        <stp/>
        <stp>ASK_SIZE</stp>
        <stp>.SPY150717P216</stp>
        <tr r="M413" s="1"/>
      </tp>
      <tp>
        <v>887</v>
        <stp/>
        <stp>ASK_SIZE</stp>
        <stp>.SPY150717C216</stp>
        <tr r="B413" s="1"/>
      </tp>
      <tp>
        <v>2128</v>
        <stp/>
        <stp>OPEN_INT</stp>
        <stp>.SPY150522P206</stp>
        <tr r="Q225" s="1"/>
      </tp>
      <tp>
        <v>311</v>
        <stp/>
        <stp>OPEN_INT</stp>
        <stp>.SPY150522C206</stp>
        <tr r="F225" s="1"/>
      </tp>
      <tp>
        <v>2186</v>
        <stp/>
        <stp>OPEN_INT</stp>
        <stp>.SPY150522P207</stp>
        <tr r="Q227" s="1"/>
      </tp>
      <tp>
        <v>1049</v>
        <stp/>
        <stp>OPEN_INT</stp>
        <stp>.SPY150522C207</stp>
        <tr r="F227" s="1"/>
      </tp>
      <tp>
        <v>1541</v>
        <stp/>
        <stp>OPEN_INT</stp>
        <stp>.SPY150522P204</stp>
        <tr r="Q221" s="1"/>
      </tp>
      <tp>
        <v>6</v>
        <stp/>
        <stp>OPEN_INT</stp>
        <stp>.SPY150522C204</stp>
        <tr r="F221" s="1"/>
      </tp>
      <tp>
        <v>2156</v>
        <stp/>
        <stp>OPEN_INT</stp>
        <stp>.SPY150522P205</stp>
        <tr r="Q223" s="1"/>
      </tp>
      <tp>
        <v>187</v>
        <stp/>
        <stp>OPEN_INT</stp>
        <stp>.SPY150522C205</stp>
        <tr r="F223" s="1"/>
      </tp>
      <tp>
        <v>1672</v>
        <stp/>
        <stp>OPEN_INT</stp>
        <stp>.SPY150522P202</stp>
        <tr r="Q217" s="1"/>
      </tp>
      <tp>
        <v>5116</v>
        <stp/>
        <stp>OPEN_INT</stp>
        <stp>.SPY150529P209</stp>
        <tr r="Q273" s="1"/>
      </tp>
      <tp>
        <v>24</v>
        <stp/>
        <stp>OPEN_INT</stp>
        <stp>.SPY150522C202</stp>
        <tr r="F217" s="1"/>
      </tp>
      <tp>
        <v>1059</v>
        <stp/>
        <stp>OPEN_INT</stp>
        <stp>.SPY150529C209</stp>
        <tr r="F273" s="1"/>
      </tp>
      <tp>
        <v>1214</v>
        <stp/>
        <stp>OPEN_INT</stp>
        <stp>.SPY150522P203</stp>
        <tr r="Q219" s="1"/>
      </tp>
      <tp>
        <v>16887</v>
        <stp/>
        <stp>OPEN_INT</stp>
        <stp>.SPY150529P208</stp>
        <tr r="Q271" s="1"/>
      </tp>
      <tp>
        <v>58</v>
        <stp/>
        <stp>OPEN_INT</stp>
        <stp>.SPY150522C203</stp>
        <tr r="F219" s="1"/>
      </tp>
      <tp>
        <v>15708</v>
        <stp/>
        <stp>OPEN_INT</stp>
        <stp>.SPY150529C208</stp>
        <tr r="F271" s="1"/>
      </tp>
      <tp>
        <v>5021</v>
        <stp/>
        <stp>OPEN_INT</stp>
        <stp>.SPY150522P200</stp>
        <tr r="Q213" s="1"/>
      </tp>
      <tp>
        <v>30</v>
        <stp/>
        <stp>OPEN_INT</stp>
        <stp>.SPY150522C200</stp>
        <tr r="F213" s="1"/>
      </tp>
      <tp>
        <v>2572</v>
        <stp/>
        <stp>OPEN_INT</stp>
        <stp>.SPY150522P201</stp>
        <tr r="Q215" s="1"/>
      </tp>
      <tp>
        <v>37</v>
        <stp/>
        <stp>OPEN_INT</stp>
        <stp>.SPY150522C201</stp>
        <tr r="F215" s="1"/>
      </tp>
      <tp>
        <v>15010</v>
        <stp/>
        <stp>OPEN_INT</stp>
        <stp>.SPY150529P205</stp>
        <tr r="Q265" s="1"/>
      </tp>
      <tp>
        <v>505</v>
        <stp/>
        <stp>OPEN_INT</stp>
        <stp>.SPY150529C205</stp>
        <tr r="F265" s="1"/>
      </tp>
      <tp>
        <v>1907</v>
        <stp/>
        <stp>OPEN_INT</stp>
        <stp>.SPY150529P204</stp>
        <tr r="Q263" s="1"/>
      </tp>
      <tp>
        <v>42</v>
        <stp/>
        <stp>OPEN_INT</stp>
        <stp>.SPY150529C204</stp>
        <tr r="F263" s="1"/>
      </tp>
      <tp>
        <v>4044</v>
        <stp/>
        <stp>OPEN_INT</stp>
        <stp>.SPY150529P207</stp>
        <tr r="Q269" s="1"/>
      </tp>
      <tp>
        <v>390</v>
        <stp/>
        <stp>OPEN_INT</stp>
        <stp>.SPY150529C207</stp>
        <tr r="F269" s="1"/>
      </tp>
      <tp>
        <v>534</v>
        <stp/>
        <stp>OPEN_INT</stp>
        <stp>.SPY150529P206</stp>
        <tr r="Q267" s="1"/>
      </tp>
      <tp>
        <v>88</v>
        <stp/>
        <stp>OPEN_INT</stp>
        <stp>.SPY150529C206</stp>
        <tr r="F267" s="1"/>
      </tp>
      <tp>
        <v>2706</v>
        <stp/>
        <stp>OPEN_INT</stp>
        <stp>.SPY150529P201</stp>
        <tr r="Q257" s="1"/>
      </tp>
      <tp>
        <v>67</v>
        <stp/>
        <stp>OPEN_INT</stp>
        <stp>.SPY150529C201</stp>
        <tr r="F257" s="1"/>
      </tp>
      <tp>
        <v>10597</v>
        <stp/>
        <stp>OPEN_INT</stp>
        <stp>.SPY150529P200</stp>
        <tr r="Q255" s="1"/>
      </tp>
      <tp>
        <v>104</v>
        <stp/>
        <stp>OPEN_INT</stp>
        <stp>.SPY150529C200</stp>
        <tr r="F255" s="1"/>
      </tp>
      <tp>
        <v>5920</v>
        <stp/>
        <stp>OPEN_INT</stp>
        <stp>.SPY150522P208</stp>
        <tr r="Q229" s="1"/>
      </tp>
      <tp>
        <v>2871</v>
        <stp/>
        <stp>OPEN_INT</stp>
        <stp>.SPY150529P203</stp>
        <tr r="Q261" s="1"/>
      </tp>
      <tp>
        <v>1110</v>
        <stp/>
        <stp>OPEN_INT</stp>
        <stp>.SPY150522C208</stp>
        <tr r="F229" s="1"/>
      </tp>
      <tp>
        <v>43</v>
        <stp/>
        <stp>OPEN_INT</stp>
        <stp>.SPY150529C203</stp>
        <tr r="F261" s="1"/>
      </tp>
      <tp>
        <v>2239</v>
        <stp/>
        <stp>OPEN_INT</stp>
        <stp>.SPY150522P209</stp>
        <tr r="Q231" s="1"/>
      </tp>
      <tp>
        <v>3092</v>
        <stp/>
        <stp>OPEN_INT</stp>
        <stp>.SPY150529P202</stp>
        <tr r="Q259" s="1"/>
      </tp>
      <tp>
        <v>833</v>
        <stp/>
        <stp>OPEN_INT</stp>
        <stp>.SPY150522C209</stp>
        <tr r="F231" s="1"/>
      </tp>
      <tp>
        <v>43</v>
        <stp/>
        <stp>OPEN_INT</stp>
        <stp>.SPY150529C202</stp>
        <tr r="F259" s="1"/>
      </tp>
      <tp>
        <v>1766</v>
        <stp/>
        <stp>ASK_SIZE</stp>
        <stp>.SPY150717P209</stp>
        <tr r="M399" s="1"/>
      </tp>
      <tp>
        <v>249</v>
        <stp/>
        <stp>ASK_SIZE</stp>
        <stp>.SPY150717C209</stp>
        <tr r="B399" s="1"/>
      </tp>
      <tp>
        <v>1694</v>
        <stp/>
        <stp>ASK_SIZE</stp>
        <stp>.SPY150717P208</stp>
        <tr r="M397" s="1"/>
      </tp>
      <tp>
        <v>249</v>
        <stp/>
        <stp>ASK_SIZE</stp>
        <stp>.SPY150717C208</stp>
        <tr r="B397" s="1"/>
      </tp>
      <tp>
        <v>1816</v>
        <stp/>
        <stp>ASK_SIZE</stp>
        <stp>.SPY150717P201</stp>
        <tr r="M383" s="1"/>
      </tp>
      <tp>
        <v>161</v>
        <stp/>
        <stp>ASK_SIZE</stp>
        <stp>.SPY150717C201</stp>
        <tr r="B383" s="1"/>
      </tp>
      <tp>
        <v>1700</v>
        <stp/>
        <stp>ASK_SIZE</stp>
        <stp>.SPY150717P200</stp>
        <tr r="M381" s="1"/>
      </tp>
      <tp>
        <v>160</v>
        <stp/>
        <stp>ASK_SIZE</stp>
        <stp>.SPY150717C200</stp>
        <tr r="B381" s="1"/>
      </tp>
      <tp>
        <v>1621</v>
        <stp/>
        <stp>ASK_SIZE</stp>
        <stp>.SPY150717P203</stp>
        <tr r="M387" s="1"/>
      </tp>
      <tp>
        <v>120</v>
        <stp/>
        <stp>ASK_SIZE</stp>
        <stp>.SPY150717C203</stp>
        <tr r="B387" s="1"/>
      </tp>
      <tp>
        <v>1773</v>
        <stp/>
        <stp>ASK_SIZE</stp>
        <stp>.SPY150717P202</stp>
        <tr r="M385" s="1"/>
      </tp>
      <tp>
        <v>120</v>
        <stp/>
        <stp>ASK_SIZE</stp>
        <stp>.SPY150717C202</stp>
        <tr r="B385" s="1"/>
      </tp>
      <tp>
        <v>150</v>
        <stp/>
        <stp>ASK_SIZE</stp>
        <stp>.SPY150717P205</stp>
        <tr r="M391" s="1"/>
      </tp>
      <tp>
        <v>199</v>
        <stp/>
        <stp>ASK_SIZE</stp>
        <stp>.SPY150717C205</stp>
        <tr r="B391" s="1"/>
      </tp>
      <tp>
        <v>1687</v>
        <stp/>
        <stp>ASK_SIZE</stp>
        <stp>.SPY150717P204</stp>
        <tr r="M389" s="1"/>
      </tp>
      <tp>
        <v>249</v>
        <stp/>
        <stp>ASK_SIZE</stp>
        <stp>.SPY150717C204</stp>
        <tr r="B389" s="1"/>
      </tp>
      <tp>
        <v>1689</v>
        <stp/>
        <stp>ASK_SIZE</stp>
        <stp>.SPY150717P207</stp>
        <tr r="M395" s="1"/>
      </tp>
      <tp>
        <v>199</v>
        <stp/>
        <stp>ASK_SIZE</stp>
        <stp>.SPY150717C207</stp>
        <tr r="B395" s="1"/>
      </tp>
      <tp>
        <v>1689</v>
        <stp/>
        <stp>ASK_SIZE</stp>
        <stp>.SPY150717P206</stp>
        <tr r="M393" s="1"/>
      </tp>
      <tp>
        <v>151</v>
        <stp/>
        <stp>ASK_SIZE</stp>
        <stp>.SPY150717C206</stp>
        <tr r="B393" s="1"/>
      </tp>
      <tp t="s">
        <v>N/A</v>
        <stp/>
        <stp>ASK_SIZE</stp>
        <stp>.SPY151231C214.5</stp>
        <tr r="B578" s="1"/>
      </tp>
      <tp t="s">
        <v>N/A</v>
        <stp/>
        <stp>ASK_SIZE</stp>
        <stp>.SPY151231C204.5</stp>
        <tr r="B558" s="1"/>
      </tp>
      <tp t="s">
        <v>N/A</v>
        <stp/>
        <stp>ASK_SIZE</stp>
        <stp>.SPY161216C210.5</stp>
        <tr r="B780" s="1"/>
      </tp>
      <tp t="s">
        <v>N/A</v>
        <stp/>
        <stp>ASK_SIZE</stp>
        <stp>.SPY171215C212.5</stp>
        <tr r="B910" s="1"/>
      </tp>
      <tp t="s">
        <v>N/A</v>
        <stp/>
        <stp>ASK_SIZE</stp>
        <stp>.SPY161216C200.5</stp>
        <tr r="B760" s="1"/>
      </tp>
      <tp t="s">
        <v>N/A</v>
        <stp/>
        <stp>ASK_SIZE</stp>
        <stp>.SPY171215C202.5</stp>
        <tr r="B890" s="1"/>
      </tp>
      <tp t="s">
        <v>N/A</v>
        <stp/>
        <stp>BID_SIZE</stp>
        <stp>.SPY151219C213.5</stp>
        <tr r="D534" s="1"/>
      </tp>
      <tp t="s">
        <v>N/A</v>
        <stp/>
        <stp>BID_SIZE</stp>
        <stp>.SPY151219C203.5</stp>
        <tr r="D514" s="1"/>
      </tp>
      <tp t="s">
        <v>N/A</v>
        <stp/>
        <stp>ASK_SIZE</stp>
        <stp>.SPY150717C212.5</stp>
        <tr r="B406" s="1"/>
      </tp>
      <tp t="s">
        <v>N/A</v>
        <stp/>
        <stp>ASK_SIZE</stp>
        <stp>.SPY150717C202.5</stp>
        <tr r="B386" s="1"/>
      </tp>
      <tp>
        <v>100</v>
        <stp/>
        <stp>BID_SIZE</stp>
        <stp>.SPY150508C202.5</stp>
        <tr r="D134" s="1"/>
      </tp>
      <tp>
        <v>1089</v>
        <stp/>
        <stp>BID_SIZE</stp>
        <stp>.SPY150508C212.5</stp>
        <tr r="D154" s="1"/>
      </tp>
      <tp>
        <v>160</v>
        <stp/>
        <stp>BID_SIZE</stp>
        <stp>.SPY150522C208.5</stp>
        <tr r="D230" s="1"/>
      </tp>
      <tp>
        <v>249</v>
        <stp/>
        <stp>BID_SIZE</stp>
        <stp>.SPY150529C203.5</stp>
        <tr r="D262" s="1"/>
      </tp>
      <tp>
        <v>600</v>
        <stp/>
        <stp>BID_SIZE</stp>
        <stp>.SPY150522C218.5</stp>
        <tr r="D250" s="1"/>
      </tp>
      <tp>
        <v>2311</v>
        <stp/>
        <stp>BID_SIZE</stp>
        <stp>.SPY150529C213.5</stp>
        <tr r="D282" s="1"/>
      </tp>
      <tp t="s">
        <v>N/A</v>
        <stp/>
        <stp>ASK_SIZE</stp>
        <stp>.SPY150630C215.5</stp>
        <tr r="B370" s="1"/>
      </tp>
      <tp t="s">
        <v>N/A</v>
        <stp/>
        <stp>ASK_SIZE</stp>
        <stp>.SPY150630C205.5</stp>
        <tr r="B350" s="1"/>
      </tp>
      <tp t="s">
        <v>N/A</v>
        <stp/>
        <stp>ASK_SIZE</stp>
        <stp>.SPY160617C211.5</stp>
        <tr r="B698" s="1"/>
      </tp>
      <tp t="s">
        <v>N/A</v>
        <stp/>
        <stp>ASK_SIZE</stp>
        <stp>.SPY160617C201.5</stp>
        <tr r="B678" s="1"/>
      </tp>
      <tp t="s">
        <v>N/A</v>
        <stp/>
        <stp>BID_SIZE</stp>
        <stp>.SPY150619C213.5</stp>
        <tr r="D324" s="1"/>
      </tp>
      <tp t="s">
        <v>N/A</v>
        <stp/>
        <stp>BID_SIZE</stp>
        <stp>.SPY150619C203.5</stp>
        <tr r="D304" s="1"/>
      </tp>
      <tp>
        <v>199</v>
        <stp/>
        <stp>ASK_SIZE</stp>
        <stp>.SPY150522C207.5</stp>
        <tr r="B228" s="1"/>
      </tp>
      <tp>
        <v>494</v>
        <stp/>
        <stp>ASK_SIZE</stp>
        <stp>.SPY150522C217.5</stp>
        <tr r="B248" s="1"/>
      </tp>
      <tp>
        <v>0</v>
        <stp/>
        <stp>ASK_SIZE</stp>
        <stp>.SPY150501C204.5</stp>
        <tr r="B96" s="1"/>
      </tp>
      <tp>
        <v>424</v>
        <stp/>
        <stp>ASK_SIZE</stp>
        <stp>.SPY150515C210.5</stp>
        <tr r="B192" s="1"/>
      </tp>
      <tp>
        <v>0</v>
        <stp/>
        <stp>ASK_SIZE</stp>
        <stp>.SPY150501C214.5</stp>
        <tr r="B116" s="1"/>
      </tp>
      <tp>
        <v>121</v>
        <stp/>
        <stp>ASK_SIZE</stp>
        <stp>.SPY150515C200.5</stp>
        <tr r="B172" s="1"/>
      </tp>
      <tp>
        <v>0</v>
        <stp/>
        <stp>ASK_SIZE</stp>
        <stp>.SPY150424C201.5</stp>
        <tr r="B48" s="1"/>
      </tp>
      <tp>
        <v>0</v>
        <stp/>
        <stp>ASK_SIZE</stp>
        <stp>.SPY150424C211.5</stp>
        <tr r="B68" s="1"/>
      </tp>
      <tp>
        <v>0</v>
        <stp/>
        <stp>ASK_SIZE</stp>
        <stp>.SPY150417C212.5</stp>
        <tr r="B28" s="1"/>
      </tp>
      <tp>
        <v>0</v>
        <stp/>
        <stp>ASK_SIZE</stp>
        <stp>.SPY150417C202.5</stp>
        <tr r="B8" s="1"/>
      </tp>
      <tp t="s">
        <v>N/A</v>
        <stp/>
        <stp>ASK_SIZE</stp>
        <stp>.SPY170317C210.5</stp>
        <tr r="B864" s="1"/>
      </tp>
      <tp t="s">
        <v>N/A</v>
        <stp/>
        <stp>ASK_SIZE</stp>
        <stp>.SPY170317C200.5</stp>
        <tr r="B844" s="1"/>
      </tp>
      <tp t="s">
        <v>N/A</v>
        <stp/>
        <stp>BID_SIZE</stp>
        <stp>.SPY170120C208.5</stp>
        <tr r="D818" s="1"/>
      </tp>
      <tp t="s">
        <v>N/A</v>
        <stp/>
        <stp>BID_SIZE</stp>
        <stp>.SPY170120C218.5</stp>
        <tr r="D838" s="1"/>
      </tp>
      <tp t="s">
        <v>N/A</v>
        <stp/>
        <stp>ASK_SIZE</stp>
        <stp>.SPY170120C207.5</stp>
        <tr r="B816" s="1"/>
      </tp>
      <tp t="s">
        <v>N/A</v>
        <stp/>
        <stp>ASK_SIZE</stp>
        <stp>.SPY170120C217.5</stp>
        <tr r="B836" s="1"/>
      </tp>
      <tp t="s">
        <v>N/A</v>
        <stp/>
        <stp>ASK_SIZE</stp>
        <stp>.SPY160115C213.5</stp>
        <tr r="B618" s="1"/>
      </tp>
      <tp t="s">
        <v>N/A</v>
        <stp/>
        <stp>ASK_SIZE</stp>
        <stp>.SPY160115C203.5</stp>
        <tr r="B598" s="1"/>
      </tp>
      <tp t="s">
        <v>N/A</v>
        <stp/>
        <stp>BID_SIZE</stp>
        <stp>.SPY160318C211.5</stp>
        <tr r="D656" s="1"/>
      </tp>
      <tp t="s">
        <v>N/A</v>
        <stp/>
        <stp>BID_SIZE</stp>
        <stp>.SPY160318C201.5</stp>
        <tr r="D636" s="1"/>
      </tp>
      <tp t="s">
        <v>N/A</v>
        <stp/>
        <stp>BID_SIZE</stp>
        <stp>.SPY150918C212.5</stp>
        <tr r="D448" s="1"/>
      </tp>
      <tp t="s">
        <v>N/A</v>
        <stp/>
        <stp>BID_SIZE</stp>
        <stp>.SPY150918C202.5</stp>
        <tr r="D428" s="1"/>
      </tp>
      <tp t="s">
        <v>N/A</v>
        <stp/>
        <stp>ASK_SIZE</stp>
        <stp>.SPY150930C215.5</stp>
        <tr r="B496" s="1"/>
      </tp>
      <tp t="s">
        <v>N/A</v>
        <stp/>
        <stp>ASK_SIZE</stp>
        <stp>.SPY150930C205.5</stp>
        <tr r="B476" s="1"/>
      </tp>
      <tp t="s">
        <v>N/A</v>
        <stp/>
        <stp>ASK_SIZE</stp>
        <stp>.SPY160916C210.5</stp>
        <tr r="B738" s="1"/>
      </tp>
      <tp t="s">
        <v>N/A</v>
        <stp/>
        <stp>ASK_SIZE</stp>
        <stp>.SPY160916C200.5</stp>
        <tr r="B718" s="1"/>
      </tp>
      <tp t="s">
        <v>N/A</v>
        <stp/>
        <stp>BID_SIZE</stp>
        <stp>.SPY170317P214</stp>
        <tr r="O871" s="1"/>
      </tp>
      <tp t="s">
        <v>N/A</v>
        <stp/>
        <stp>BID_SIZE</stp>
        <stp>.SPY170317C214</stp>
        <tr r="D871" s="1"/>
      </tp>
      <tp>
        <v>122</v>
        <stp/>
        <stp>BID_SIZE</stp>
        <stp>.SPY170317P215</stp>
        <tr r="O873" s="1"/>
      </tp>
      <tp>
        <v>196</v>
        <stp/>
        <stp>BID_SIZE</stp>
        <stp>.SPY170317C215</stp>
        <tr r="D873" s="1"/>
      </tp>
      <tp t="s">
        <v>N/A</v>
        <stp/>
        <stp>BID_SIZE</stp>
        <stp>.SPY160318P218</stp>
        <tr r="O669" s="1"/>
      </tp>
      <tp t="s">
        <v>N/A</v>
        <stp/>
        <stp>BID_SIZE</stp>
        <stp>.SPY170317P216</stp>
        <tr r="O875" s="1"/>
      </tp>
      <tp t="s">
        <v>N/A</v>
        <stp/>
        <stp>BID_SIZE</stp>
        <stp>.SPY160318C218</stp>
        <tr r="D669" s="1"/>
      </tp>
      <tp t="s">
        <v>N/A</v>
        <stp/>
        <stp>BID_SIZE</stp>
        <stp>.SPY170317C216</stp>
        <tr r="D875" s="1"/>
      </tp>
      <tp t="s">
        <v>N/A</v>
        <stp/>
        <stp>BID_SIZE</stp>
        <stp>.SPY160318P219</stp>
        <tr r="O671" s="1"/>
      </tp>
      <tp t="s">
        <v>N/A</v>
        <stp/>
        <stp>BID_SIZE</stp>
        <stp>.SPY170317P217</stp>
        <tr r="O877" s="1"/>
      </tp>
      <tp t="s">
        <v>N/A</v>
        <stp/>
        <stp>BID_SIZE</stp>
        <stp>.SPY160318C219</stp>
        <tr r="D671" s="1"/>
      </tp>
      <tp t="s">
        <v>N/A</v>
        <stp/>
        <stp>BID_SIZE</stp>
        <stp>.SPY170317C217</stp>
        <tr r="D877" s="1"/>
      </tp>
      <tp>
        <v>102</v>
        <stp/>
        <stp>BID_SIZE</stp>
        <stp>.SPY170317P210</stp>
        <tr r="O863" s="1"/>
      </tp>
      <tp>
        <v>189</v>
        <stp/>
        <stp>BID_SIZE</stp>
        <stp>.SPY170317C210</stp>
        <tr r="D863" s="1"/>
      </tp>
      <tp t="s">
        <v>N/A</v>
        <stp/>
        <stp>BID_SIZE</stp>
        <stp>.SPY170317P211</stp>
        <tr r="O865" s="1"/>
      </tp>
      <tp t="s">
        <v>N/A</v>
        <stp/>
        <stp>BID_SIZE</stp>
        <stp>.SPY170317C211</stp>
        <tr r="D865" s="1"/>
      </tp>
      <tp t="s">
        <v>N/A</v>
        <stp/>
        <stp>BID_SIZE</stp>
        <stp>.SPY170317P212</stp>
        <tr r="O867" s="1"/>
      </tp>
      <tp t="s">
        <v>N/A</v>
        <stp/>
        <stp>BID_SIZE</stp>
        <stp>.SPY170317C212</stp>
        <tr r="D867" s="1"/>
      </tp>
      <tp t="s">
        <v>N/A</v>
        <stp/>
        <stp>BID_SIZE</stp>
        <stp>.SPY170317P213</stp>
        <tr r="O869" s="1"/>
      </tp>
      <tp t="s">
        <v>N/A</v>
        <stp/>
        <stp>BID_SIZE</stp>
        <stp>.SPY170317C213</stp>
        <tr r="D869" s="1"/>
      </tp>
      <tp t="s">
        <v>N/A</v>
        <stp/>
        <stp>BID_SIZE</stp>
        <stp>.SPY160318P212</stp>
        <tr r="O657" s="1"/>
      </tp>
      <tp t="s">
        <v>N/A</v>
        <stp/>
        <stp>BID_SIZE</stp>
        <stp>.SPY160318C212</stp>
        <tr r="D657" s="1"/>
      </tp>
      <tp t="s">
        <v>N/A</v>
        <stp/>
        <stp>BID_SIZE</stp>
        <stp>.SPY160318P213</stp>
        <tr r="O659" s="1"/>
      </tp>
      <tp t="s">
        <v>N/A</v>
        <stp/>
        <stp>BID_SIZE</stp>
        <stp>.SPY160318C213</stp>
        <tr r="D659" s="1"/>
      </tp>
      <tp>
        <v>1867</v>
        <stp/>
        <stp>BID_SIZE</stp>
        <stp>.SPY160318P210</stp>
        <tr r="O653" s="1"/>
      </tp>
      <tp>
        <v>1686</v>
        <stp/>
        <stp>BID_SIZE</stp>
        <stp>.SPY160318C210</stp>
        <tr r="D653" s="1"/>
      </tp>
      <tp t="s">
        <v>N/A</v>
        <stp/>
        <stp>BID_SIZE</stp>
        <stp>.SPY160318P211</stp>
        <tr r="O655" s="1"/>
      </tp>
      <tp t="s">
        <v>N/A</v>
        <stp/>
        <stp>BID_SIZE</stp>
        <stp>.SPY160318C211</stp>
        <tr r="D655" s="1"/>
      </tp>
      <tp t="s">
        <v>N/A</v>
        <stp/>
        <stp>BID_SIZE</stp>
        <stp>.SPY160318P216</stp>
        <tr r="O665" s="1"/>
      </tp>
      <tp t="s">
        <v>N/A</v>
        <stp/>
        <stp>BID_SIZE</stp>
        <stp>.SPY170317P218</stp>
        <tr r="O879" s="1"/>
      </tp>
      <tp t="s">
        <v>N/A</v>
        <stp/>
        <stp>BID_SIZE</stp>
        <stp>.SPY160318C216</stp>
        <tr r="D665" s="1"/>
      </tp>
      <tp t="s">
        <v>N/A</v>
        <stp/>
        <stp>BID_SIZE</stp>
        <stp>.SPY170317C218</stp>
        <tr r="D879" s="1"/>
      </tp>
      <tp t="s">
        <v>N/A</v>
        <stp/>
        <stp>BID_SIZE</stp>
        <stp>.SPY160318P217</stp>
        <tr r="O667" s="1"/>
      </tp>
      <tp t="s">
        <v>N/A</v>
        <stp/>
        <stp>BID_SIZE</stp>
        <stp>.SPY170317P219</stp>
        <tr r="O881" s="1"/>
      </tp>
      <tp t="s">
        <v>N/A</v>
        <stp/>
        <stp>BID_SIZE</stp>
        <stp>.SPY160318C217</stp>
        <tr r="D667" s="1"/>
      </tp>
      <tp t="s">
        <v>N/A</v>
        <stp/>
        <stp>BID_SIZE</stp>
        <stp>.SPY170317C219</stp>
        <tr r="D881" s="1"/>
      </tp>
      <tp t="s">
        <v>N/A</v>
        <stp/>
        <stp>BID_SIZE</stp>
        <stp>.SPY160318P214</stp>
        <tr r="O661" s="1"/>
      </tp>
      <tp t="s">
        <v>N/A</v>
        <stp/>
        <stp>BID_SIZE</stp>
        <stp>.SPY160318C214</stp>
        <tr r="D661" s="1"/>
      </tp>
      <tp>
        <v>132</v>
        <stp/>
        <stp>BID_SIZE</stp>
        <stp>.SPY160318P215</stp>
        <tr r="O663" s="1"/>
      </tp>
      <tp>
        <v>1827</v>
        <stp/>
        <stp>BID_SIZE</stp>
        <stp>.SPY160318C215</stp>
        <tr r="D663" s="1"/>
      </tp>
      <tp t="s">
        <v>N/A</v>
        <stp/>
        <stp>BID_SIZE</stp>
        <stp>.SPY170317P204</stp>
        <tr r="O851" s="1"/>
      </tp>
      <tp t="s">
        <v>N/A</v>
        <stp/>
        <stp>BID_SIZE</stp>
        <stp>.SPY170317C204</stp>
        <tr r="D851" s="1"/>
      </tp>
      <tp>
        <v>94</v>
        <stp/>
        <stp>BID_SIZE</stp>
        <stp>.SPY170317P205</stp>
        <tr r="O853" s="1"/>
      </tp>
      <tp>
        <v>104</v>
        <stp/>
        <stp>BID_SIZE</stp>
        <stp>.SPY170317C205</stp>
        <tr r="D853" s="1"/>
      </tp>
      <tp t="s">
        <v>N/A</v>
        <stp/>
        <stp>BID_SIZE</stp>
        <stp>.SPY160318P208</stp>
        <tr r="O649" s="1"/>
      </tp>
      <tp t="s">
        <v>N/A</v>
        <stp/>
        <stp>BID_SIZE</stp>
        <stp>.SPY170317P206</stp>
        <tr r="O855" s="1"/>
      </tp>
      <tp t="s">
        <v>N/A</v>
        <stp/>
        <stp>BID_SIZE</stp>
        <stp>.SPY160318C208</stp>
        <tr r="D649" s="1"/>
      </tp>
      <tp t="s">
        <v>N/A</v>
        <stp/>
        <stp>BID_SIZE</stp>
        <stp>.SPY170317C206</stp>
        <tr r="D855" s="1"/>
      </tp>
      <tp t="s">
        <v>N/A</v>
        <stp/>
        <stp>BID_SIZE</stp>
        <stp>.SPY160318P209</stp>
        <tr r="O651" s="1"/>
      </tp>
      <tp t="s">
        <v>N/A</v>
        <stp/>
        <stp>BID_SIZE</stp>
        <stp>.SPY170317P207</stp>
        <tr r="O857" s="1"/>
      </tp>
      <tp t="s">
        <v>N/A</v>
        <stp/>
        <stp>BID_SIZE</stp>
        <stp>.SPY160318C209</stp>
        <tr r="D651" s="1"/>
      </tp>
      <tp t="s">
        <v>N/A</v>
        <stp/>
        <stp>BID_SIZE</stp>
        <stp>.SPY170317C207</stp>
        <tr r="D857" s="1"/>
      </tp>
      <tp>
        <v>169</v>
        <stp/>
        <stp>BID_SIZE</stp>
        <stp>.SPY170317P200</stp>
        <tr r="O843" s="1"/>
      </tp>
      <tp>
        <v>121</v>
        <stp/>
        <stp>BID_SIZE</stp>
        <stp>.SPY170317C200</stp>
        <tr r="D843" s="1"/>
      </tp>
      <tp t="s">
        <v>N/A</v>
        <stp/>
        <stp>BID_SIZE</stp>
        <stp>.SPY170317P201</stp>
        <tr r="O845" s="1"/>
      </tp>
      <tp t="s">
        <v>N/A</v>
        <stp/>
        <stp>BID_SIZE</stp>
        <stp>.SPY170317C201</stp>
        <tr r="D845" s="1"/>
      </tp>
      <tp t="s">
        <v>N/A</v>
        <stp/>
        <stp>BID_SIZE</stp>
        <stp>.SPY170317P202</stp>
        <tr r="O847" s="1"/>
      </tp>
      <tp t="s">
        <v>N/A</v>
        <stp/>
        <stp>BID_SIZE</stp>
        <stp>.SPY170317C202</stp>
        <tr r="D847" s="1"/>
      </tp>
      <tp t="s">
        <v>N/A</v>
        <stp/>
        <stp>BID_SIZE</stp>
        <stp>.SPY170317P203</stp>
        <tr r="O849" s="1"/>
      </tp>
      <tp t="s">
        <v>N/A</v>
        <stp/>
        <stp>BID_SIZE</stp>
        <stp>.SPY170317C203</stp>
        <tr r="D849" s="1"/>
      </tp>
      <tp t="s">
        <v>N/A</v>
        <stp/>
        <stp>BID_SIZE</stp>
        <stp>.SPY160318P202</stp>
        <tr r="O637" s="1"/>
      </tp>
      <tp t="s">
        <v>N/A</v>
        <stp/>
        <stp>BID_SIZE</stp>
        <stp>.SPY160318C202</stp>
        <tr r="D637" s="1"/>
      </tp>
      <tp t="s">
        <v>N/A</v>
        <stp/>
        <stp>BID_SIZE</stp>
        <stp>.SPY160318P203</stp>
        <tr r="O639" s="1"/>
      </tp>
      <tp t="s">
        <v>N/A</v>
        <stp/>
        <stp>BID_SIZE</stp>
        <stp>.SPY160318C203</stp>
        <tr r="D639" s="1"/>
      </tp>
      <tp>
        <v>1813</v>
        <stp/>
        <stp>BID_SIZE</stp>
        <stp>.SPY160318P200</stp>
        <tr r="O633" s="1"/>
      </tp>
      <tp>
        <v>192</v>
        <stp/>
        <stp>BID_SIZE</stp>
        <stp>.SPY160318C200</stp>
        <tr r="D633" s="1"/>
      </tp>
      <tp t="s">
        <v>N/A</v>
        <stp/>
        <stp>BID_SIZE</stp>
        <stp>.SPY160318P201</stp>
        <tr r="O635" s="1"/>
      </tp>
      <tp t="s">
        <v>N/A</v>
        <stp/>
        <stp>BID_SIZE</stp>
        <stp>.SPY160318C201</stp>
        <tr r="D635" s="1"/>
      </tp>
      <tp t="s">
        <v>N/A</v>
        <stp/>
        <stp>BID_SIZE</stp>
        <stp>.SPY160318P206</stp>
        <tr r="O645" s="1"/>
      </tp>
      <tp t="s">
        <v>N/A</v>
        <stp/>
        <stp>BID_SIZE</stp>
        <stp>.SPY170317P208</stp>
        <tr r="O859" s="1"/>
      </tp>
      <tp t="s">
        <v>N/A</v>
        <stp/>
        <stp>BID_SIZE</stp>
        <stp>.SPY160318C206</stp>
        <tr r="D645" s="1"/>
      </tp>
      <tp t="s">
        <v>N/A</v>
        <stp/>
        <stp>BID_SIZE</stp>
        <stp>.SPY170317C208</stp>
        <tr r="D859" s="1"/>
      </tp>
      <tp t="s">
        <v>N/A</v>
        <stp/>
        <stp>BID_SIZE</stp>
        <stp>.SPY160318P207</stp>
        <tr r="O647" s="1"/>
      </tp>
      <tp t="s">
        <v>N/A</v>
        <stp/>
        <stp>BID_SIZE</stp>
        <stp>.SPY170317P209</stp>
        <tr r="O861" s="1"/>
      </tp>
      <tp t="s">
        <v>N/A</v>
        <stp/>
        <stp>BID_SIZE</stp>
        <stp>.SPY160318C207</stp>
        <tr r="D647" s="1"/>
      </tp>
      <tp t="s">
        <v>N/A</v>
        <stp/>
        <stp>BID_SIZE</stp>
        <stp>.SPY170317C209</stp>
        <tr r="D861" s="1"/>
      </tp>
      <tp t="s">
        <v>N/A</v>
        <stp/>
        <stp>BID_SIZE</stp>
        <stp>.SPY160318P204</stp>
        <tr r="O641" s="1"/>
      </tp>
      <tp t="s">
        <v>N/A</v>
        <stp/>
        <stp>BID_SIZE</stp>
        <stp>.SPY160318C204</stp>
        <tr r="D641" s="1"/>
      </tp>
      <tp>
        <v>1686</v>
        <stp/>
        <stp>BID_SIZE</stp>
        <stp>.SPY160318P205</stp>
        <tr r="O643" s="1"/>
      </tp>
      <tp>
        <v>203</v>
        <stp/>
        <stp>BID_SIZE</stp>
        <stp>.SPY160318C205</stp>
        <tr r="D643" s="1"/>
      </tp>
      <tp>
        <v>0</v>
        <stp/>
        <stp>BID_SIZE</stp>
        <stp>.SPY150424P209.5</stp>
        <tr r="O64" s="1"/>
      </tp>
      <tp>
        <v>0</v>
        <stp/>
        <stp>BID_SIZE</stp>
        <stp>.SPY150424P219.5</stp>
        <tr r="O84" s="1"/>
      </tp>
      <tp t="s">
        <v>N/A</v>
        <stp/>
        <stp>ASK_SIZE</stp>
        <stp>.SPY150717P215.5</stp>
        <tr r="M412" s="1"/>
      </tp>
      <tp t="s">
        <v>N/A</v>
        <stp/>
        <stp>ASK_SIZE</stp>
        <stp>.SPY150717P205.5</stp>
        <tr r="M392" s="1"/>
      </tp>
      <tp>
        <v>1084</v>
        <stp/>
        <stp>BID_SIZE</stp>
        <stp>.SPY150508P205.5</stp>
        <tr r="O140" s="1"/>
      </tp>
      <tp>
        <v>250</v>
        <stp/>
        <stp>BID_SIZE</stp>
        <stp>.SPY150515P218.5</stp>
        <tr r="O208" s="1"/>
      </tp>
      <tp>
        <v>3</v>
        <stp/>
        <stp>BID_SIZE</stp>
        <stp>.SPY150508P215.5</stp>
        <tr r="O160" s="1"/>
      </tp>
      <tp>
        <v>2036</v>
        <stp/>
        <stp>BID_SIZE</stp>
        <stp>.SPY150515P208.5</stp>
        <tr r="O188" s="1"/>
      </tp>
      <tp>
        <v>150</v>
        <stp/>
        <stp>BID_SIZE</stp>
        <stp>.SPY150529P204.5</stp>
        <tr r="O264" s="1"/>
      </tp>
      <tp>
        <v>243</v>
        <stp/>
        <stp>BID_SIZE</stp>
        <stp>.SPY150529P214.5</stp>
        <tr r="O284" s="1"/>
      </tp>
      <tp t="s">
        <v>N/A</v>
        <stp/>
        <stp>ASK_SIZE</stp>
        <stp>.SPY150630P212.5</stp>
        <tr r="M364" s="1"/>
      </tp>
      <tp t="s">
        <v>N/A</v>
        <stp/>
        <stp>ASK_SIZE</stp>
        <stp>.SPY150630P202.5</stp>
        <tr r="M344" s="1"/>
      </tp>
      <tp t="s">
        <v>N/A</v>
        <stp/>
        <stp>ASK_SIZE</stp>
        <stp>.SPY160617P216.5</stp>
        <tr r="M708" s="1"/>
      </tp>
      <tp t="s">
        <v>N/A</v>
        <stp/>
        <stp>ASK_SIZE</stp>
        <stp>.SPY160617P206.5</stp>
        <tr r="M688" s="1"/>
      </tp>
      <tp t="s">
        <v>N/A</v>
        <stp/>
        <stp>BID_SIZE</stp>
        <stp>.SPY150619P214.5</stp>
        <tr r="O326" s="1"/>
      </tp>
      <tp t="s">
        <v>N/A</v>
        <stp/>
        <stp>BID_SIZE</stp>
        <stp>.SPY160617P219.5</stp>
        <tr r="O714" s="1"/>
      </tp>
      <tp t="s">
        <v>N/A</v>
        <stp/>
        <stp>BID_SIZE</stp>
        <stp>.SPY150619P204.5</stp>
        <tr r="O306" s="1"/>
      </tp>
      <tp t="s">
        <v>N/A</v>
        <stp/>
        <stp>BID_SIZE</stp>
        <stp>.SPY160617P209.5</stp>
        <tr r="O694" s="1"/>
      </tp>
      <tp>
        <v>455</v>
        <stp/>
        <stp>ASK_SIZE</stp>
        <stp>.SPY150522P200.5</stp>
        <tr r="M214" s="1"/>
      </tp>
      <tp>
        <v>196</v>
        <stp/>
        <stp>ASK_SIZE</stp>
        <stp>.SPY150522P210.5</stp>
        <tr r="M234" s="1"/>
      </tp>
      <tp>
        <v>0</v>
        <stp/>
        <stp>ASK_SIZE</stp>
        <stp>.SPY150501P203.5</stp>
        <tr r="M94" s="1"/>
      </tp>
      <tp>
        <v>250</v>
        <stp/>
        <stp>ASK_SIZE</stp>
        <stp>.SPY150515P217.5</stp>
        <tr r="M206" s="1"/>
      </tp>
      <tp>
        <v>0</v>
        <stp/>
        <stp>ASK_SIZE</stp>
        <stp>.SPY150501P213.5</stp>
        <tr r="M114" s="1"/>
      </tp>
      <tp>
        <v>1048</v>
        <stp/>
        <stp>ASK_SIZE</stp>
        <stp>.SPY150515P207.5</stp>
        <tr r="M186" s="1"/>
      </tp>
      <tp>
        <v>0</v>
        <stp/>
        <stp>ASK_SIZE</stp>
        <stp>.SPY150424P206.5</stp>
        <tr r="M58" s="1"/>
      </tp>
      <tp>
        <v>0</v>
        <stp/>
        <stp>ASK_SIZE</stp>
        <stp>.SPY150424P216.5</stp>
        <tr r="M78" s="1"/>
      </tp>
      <tp>
        <v>0</v>
        <stp/>
        <stp>ASK_SIZE</stp>
        <stp>.SPY150417P215.5</stp>
        <tr r="M34" s="1"/>
      </tp>
      <tp>
        <v>0</v>
        <stp/>
        <stp>ASK_SIZE</stp>
        <stp>.SPY150417P205.5</stp>
        <tr r="M14" s="1"/>
      </tp>
      <tp t="s">
        <v>N/A</v>
        <stp/>
        <stp>ASK_SIZE</stp>
        <stp>.SPY160318P219.5</stp>
        <tr r="M672" s="1"/>
      </tp>
      <tp t="s">
        <v>N/A</v>
        <stp/>
        <stp>ASK_SIZE</stp>
        <stp>.SPY170317P217.5</stp>
        <tr r="M878" s="1"/>
      </tp>
      <tp t="s">
        <v>N/A</v>
        <stp/>
        <stp>ASK_SIZE</stp>
        <stp>.SPY160318P209.5</stp>
        <tr r="M652" s="1"/>
      </tp>
      <tp t="s">
        <v>N/A</v>
        <stp/>
        <stp>ASK_SIZE</stp>
        <stp>.SPY170317P207.5</stp>
        <tr r="M858" s="1"/>
      </tp>
      <tp t="s">
        <v>N/A</v>
        <stp/>
        <stp>ASK_SIZE</stp>
        <stp>.SPY170120P200.5</stp>
        <tr r="M802" s="1"/>
      </tp>
      <tp t="s">
        <v>N/A</v>
        <stp/>
        <stp>ASK_SIZE</stp>
        <stp>.SPY170120P210.5</stp>
        <tr r="M822" s="1"/>
      </tp>
      <tp t="s">
        <v>N/A</v>
        <stp/>
        <stp>ASK_SIZE</stp>
        <stp>.SPY160115P214.5</stp>
        <tr r="M620" s="1"/>
      </tp>
      <tp t="s">
        <v>N/A</v>
        <stp/>
        <stp>ASK_SIZE</stp>
        <stp>.SPY160115P204.5</stp>
        <tr r="M600" s="1"/>
      </tp>
      <tp t="s">
        <v>N/A</v>
        <stp/>
        <stp>BID_SIZE</stp>
        <stp>.SPY160318P216.5</stp>
        <tr r="O666" s="1"/>
      </tp>
      <tp t="s">
        <v>N/A</v>
        <stp/>
        <stp>BID_SIZE</stp>
        <stp>.SPY170317P218.5</stp>
        <tr r="O880" s="1"/>
      </tp>
      <tp t="s">
        <v>N/A</v>
        <stp/>
        <stp>BID_SIZE</stp>
        <stp>.SPY160318P206.5</stp>
        <tr r="O646" s="1"/>
      </tp>
      <tp t="s">
        <v>N/A</v>
        <stp/>
        <stp>BID_SIZE</stp>
        <stp>.SPY170317P208.5</stp>
        <tr r="O860" s="1"/>
      </tp>
      <tp t="s">
        <v>N/A</v>
        <stp/>
        <stp>BID_SIZE</stp>
        <stp>.SPY150918P215.5</stp>
        <tr r="O454" s="1"/>
      </tp>
      <tp t="s">
        <v>N/A</v>
        <stp/>
        <stp>BID_SIZE</stp>
        <stp>.SPY160916P218.5</stp>
        <tr r="O754" s="1"/>
      </tp>
      <tp t="s">
        <v>N/A</v>
        <stp/>
        <stp>BID_SIZE</stp>
        <stp>.SPY150918P205.5</stp>
        <tr r="O434" s="1"/>
      </tp>
      <tp t="s">
        <v>N/A</v>
        <stp/>
        <stp>BID_SIZE</stp>
        <stp>.SPY160916P208.5</stp>
        <tr r="O734" s="1"/>
      </tp>
      <tp t="s">
        <v>N/A</v>
        <stp/>
        <stp>ASK_SIZE</stp>
        <stp>.SPY150930P212.5</stp>
        <tr r="M490" s="1"/>
      </tp>
      <tp t="s">
        <v>N/A</v>
        <stp/>
        <stp>ASK_SIZE</stp>
        <stp>.SPY150930P202.5</stp>
        <tr r="M470" s="1"/>
      </tp>
      <tp t="s">
        <v>N/A</v>
        <stp/>
        <stp>ASK_SIZE</stp>
        <stp>.SPY160916P217.5</stp>
        <tr r="M752" s="1"/>
      </tp>
      <tp t="s">
        <v>N/A</v>
        <stp/>
        <stp>ASK_SIZE</stp>
        <stp>.SPY160916P207.5</stp>
        <tr r="M732" s="1"/>
      </tp>
      <tp t="s">
        <v>N/A</v>
        <stp/>
        <stp>ASK_SIZE</stp>
        <stp>.SPY151231P213.5</stp>
        <tr r="M576" s="1"/>
      </tp>
      <tp t="s">
        <v>N/A</v>
        <stp/>
        <stp>ASK_SIZE</stp>
        <stp>.SPY151231P203.5</stp>
        <tr r="M556" s="1"/>
      </tp>
      <tp t="s">
        <v>N/A</v>
        <stp/>
        <stp>ASK_SIZE</stp>
        <stp>.SPY161216P217.5</stp>
        <tr r="M794" s="1"/>
      </tp>
      <tp t="s">
        <v>N/A</v>
        <stp/>
        <stp>ASK_SIZE</stp>
        <stp>.SPY171215P215.5</stp>
        <tr r="M916" s="1"/>
      </tp>
      <tp t="s">
        <v>N/A</v>
        <stp/>
        <stp>ASK_SIZE</stp>
        <stp>.SPY161216P207.5</stp>
        <tr r="M774" s="1"/>
      </tp>
      <tp t="s">
        <v>N/A</v>
        <stp/>
        <stp>ASK_SIZE</stp>
        <stp>.SPY171215P205.5</stp>
        <tr r="M896" s="1"/>
      </tp>
      <tp t="s">
        <v>N/A</v>
        <stp/>
        <stp>BID_SIZE</stp>
        <stp>.SPY151219P214.5</stp>
        <tr r="O536" s="1"/>
      </tp>
      <tp t="s">
        <v>N/A</v>
        <stp/>
        <stp>BID_SIZE</stp>
        <stp>.SPY161216P218.5</stp>
        <tr r="O796" s="1"/>
      </tp>
      <tp t="s">
        <v>N/A</v>
        <stp/>
        <stp>BID_SIZE</stp>
        <stp>.SPY151219P204.5</stp>
        <tr r="O516" s="1"/>
      </tp>
      <tp t="s">
        <v>N/A</v>
        <stp/>
        <stp>BID_SIZE</stp>
        <stp>.SPY161216P208.5</stp>
        <tr r="O776" s="1"/>
      </tp>
      <tp t="s">
        <v>N/A</v>
        <stp/>
        <stp>OPEN_INT</stp>
        <stp>.SPY161216P201</stp>
        <tr r="Q761" s="1"/>
      </tp>
      <tp t="s">
        <v>N/A</v>
        <stp/>
        <stp>OPEN_INT</stp>
        <stp>.SPY171215P203</stp>
        <tr r="Q891" s="1"/>
      </tp>
      <tp t="s">
        <v>N/A</v>
        <stp/>
        <stp>OPEN_INT</stp>
        <stp>.SPY161216C201</stp>
        <tr r="F761" s="1"/>
      </tp>
      <tp t="s">
        <v>N/A</v>
        <stp/>
        <stp>OPEN_INT</stp>
        <stp>.SPY171215C203</stp>
        <tr r="F891" s="1"/>
      </tp>
      <tp>
        <v>34493</v>
        <stp/>
        <stp>OPEN_INT</stp>
        <stp>.SPY161216P200</stp>
        <tr r="Q759" s="1"/>
      </tp>
      <tp t="s">
        <v>N/A</v>
        <stp/>
        <stp>OPEN_INT</stp>
        <stp>.SPY171215P202</stp>
        <tr r="Q889" s="1"/>
      </tp>
      <tp>
        <v>10673</v>
        <stp/>
        <stp>OPEN_INT</stp>
        <stp>.SPY161216C200</stp>
        <tr r="F759" s="1"/>
      </tp>
      <tp t="s">
        <v>N/A</v>
        <stp/>
        <stp>OPEN_INT</stp>
        <stp>.SPY171215C202</stp>
        <tr r="F889" s="1"/>
      </tp>
      <tp t="s">
        <v>N/A</v>
        <stp/>
        <stp>OPEN_INT</stp>
        <stp>.SPY161216P203</stp>
        <tr r="Q765" s="1"/>
      </tp>
      <tp t="s">
        <v>N/A</v>
        <stp/>
        <stp>OPEN_INT</stp>
        <stp>.SPY171215P201</stp>
        <tr r="Q887" s="1"/>
      </tp>
      <tp t="s">
        <v>N/A</v>
        <stp/>
        <stp>OPEN_INT</stp>
        <stp>.SPY161216C203</stp>
        <tr r="F765" s="1"/>
      </tp>
      <tp t="s">
        <v>N/A</v>
        <stp/>
        <stp>OPEN_INT</stp>
        <stp>.SPY171215C201</stp>
        <tr r="F887" s="1"/>
      </tp>
      <tp t="s">
        <v>N/A</v>
        <stp/>
        <stp>OPEN_INT</stp>
        <stp>.SPY161216P202</stp>
        <tr r="Q763" s="1"/>
      </tp>
      <tp>
        <v>734</v>
        <stp/>
        <stp>OPEN_INT</stp>
        <stp>.SPY171215P200</stp>
        <tr r="Q885" s="1"/>
      </tp>
      <tp t="s">
        <v>N/A</v>
        <stp/>
        <stp>OPEN_INT</stp>
        <stp>.SPY161216C202</stp>
        <tr r="F763" s="1"/>
      </tp>
      <tp>
        <v>1134</v>
        <stp/>
        <stp>OPEN_INT</stp>
        <stp>.SPY171215C200</stp>
        <tr r="F885" s="1"/>
      </tp>
      <tp>
        <v>1072</v>
        <stp/>
        <stp>OPEN_INT</stp>
        <stp>.SPY151219P209</stp>
        <tr r="Q525" s="1"/>
      </tp>
      <tp>
        <v>13556</v>
        <stp/>
        <stp>OPEN_INT</stp>
        <stp>.SPY161216P205</stp>
        <tr r="Q769" s="1"/>
      </tp>
      <tp t="s">
        <v>N/A</v>
        <stp/>
        <stp>OPEN_INT</stp>
        <stp>.SPY171215P207</stp>
        <tr r="Q899" s="1"/>
      </tp>
      <tp>
        <v>619</v>
        <stp/>
        <stp>OPEN_INT</stp>
        <stp>.SPY151219C209</stp>
        <tr r="F525" s="1"/>
      </tp>
      <tp>
        <v>13403</v>
        <stp/>
        <stp>OPEN_INT</stp>
        <stp>.SPY161216C205</stp>
        <tr r="F769" s="1"/>
      </tp>
      <tp t="s">
        <v>N/A</v>
        <stp/>
        <stp>OPEN_INT</stp>
        <stp>.SPY171215C207</stp>
        <tr r="F899" s="1"/>
      </tp>
      <tp>
        <v>671</v>
        <stp/>
        <stp>OPEN_INT</stp>
        <stp>.SPY151219P208</stp>
        <tr r="Q523" s="1"/>
      </tp>
      <tp t="s">
        <v>N/A</v>
        <stp/>
        <stp>OPEN_INT</stp>
        <stp>.SPY161216P204</stp>
        <tr r="Q767" s="1"/>
      </tp>
      <tp t="s">
        <v>N/A</v>
        <stp/>
        <stp>OPEN_INT</stp>
        <stp>.SPY171215P206</stp>
        <tr r="Q897" s="1"/>
      </tp>
      <tp>
        <v>322</v>
        <stp/>
        <stp>OPEN_INT</stp>
        <stp>.SPY151219C208</stp>
        <tr r="F523" s="1"/>
      </tp>
      <tp t="s">
        <v>N/A</v>
        <stp/>
        <stp>OPEN_INT</stp>
        <stp>.SPY161216C204</stp>
        <tr r="F767" s="1"/>
      </tp>
      <tp t="s">
        <v>N/A</v>
        <stp/>
        <stp>OPEN_INT</stp>
        <stp>.SPY171215C206</stp>
        <tr r="F897" s="1"/>
      </tp>
      <tp t="s">
        <v>N/A</v>
        <stp/>
        <stp>OPEN_INT</stp>
        <stp>.SPY161216P207</stp>
        <tr r="Q773" s="1"/>
      </tp>
      <tp>
        <v>1671</v>
        <stp/>
        <stp>OPEN_INT</stp>
        <stp>.SPY171215P205</stp>
        <tr r="Q895" s="1"/>
      </tp>
      <tp t="s">
        <v>N/A</v>
        <stp/>
        <stp>OPEN_INT</stp>
        <stp>.SPY161216C207</stp>
        <tr r="F773" s="1"/>
      </tp>
      <tp>
        <v>1200</v>
        <stp/>
        <stp>OPEN_INT</stp>
        <stp>.SPY171215C205</stp>
        <tr r="F895" s="1"/>
      </tp>
      <tp t="s">
        <v>N/A</v>
        <stp/>
        <stp>OPEN_INT</stp>
        <stp>.SPY161216P206</stp>
        <tr r="Q771" s="1"/>
      </tp>
      <tp t="s">
        <v>N/A</v>
        <stp/>
        <stp>OPEN_INT</stp>
        <stp>.SPY171215P204</stp>
        <tr r="Q893" s="1"/>
      </tp>
      <tp t="s">
        <v>N/A</v>
        <stp/>
        <stp>OPEN_INT</stp>
        <stp>.SPY161216C206</stp>
        <tr r="F771" s="1"/>
      </tp>
      <tp t="s">
        <v>N/A</v>
        <stp/>
        <stp>OPEN_INT</stp>
        <stp>.SPY171215C204</stp>
        <tr r="F893" s="1"/>
      </tp>
      <tp>
        <v>48533</v>
        <stp/>
        <stp>OPEN_INT</stp>
        <stp>.SPY151219P205</stp>
        <tr r="Q517" s="1"/>
      </tp>
      <tp t="s">
        <v>N/A</v>
        <stp/>
        <stp>OPEN_INT</stp>
        <stp>.SPY161216P209</stp>
        <tr r="Q777" s="1"/>
      </tp>
      <tp>
        <v>30948</v>
        <stp/>
        <stp>OPEN_INT</stp>
        <stp>.SPY151219C205</stp>
        <tr r="F517" s="1"/>
      </tp>
      <tp t="s">
        <v>N/A</v>
        <stp/>
        <stp>OPEN_INT</stp>
        <stp>.SPY161216C209</stp>
        <tr r="F777" s="1"/>
      </tp>
      <tp>
        <v>321</v>
        <stp/>
        <stp>OPEN_INT</stp>
        <stp>.SPY151219P204</stp>
        <tr r="Q515" s="1"/>
      </tp>
      <tp t="s">
        <v>N/A</v>
        <stp/>
        <stp>OPEN_INT</stp>
        <stp>.SPY161216P208</stp>
        <tr r="Q775" s="1"/>
      </tp>
      <tp>
        <v>10</v>
        <stp/>
        <stp>OPEN_INT</stp>
        <stp>.SPY151219C204</stp>
        <tr r="F515" s="1"/>
      </tp>
      <tp t="s">
        <v>N/A</v>
        <stp/>
        <stp>OPEN_INT</stp>
        <stp>.SPY161216C208</stp>
        <tr r="F775" s="1"/>
      </tp>
      <tp>
        <v>507</v>
        <stp/>
        <stp>OPEN_INT</stp>
        <stp>.SPY151219P207</stp>
        <tr r="Q521" s="1"/>
      </tp>
      <tp t="s">
        <v>N/A</v>
        <stp/>
        <stp>OPEN_INT</stp>
        <stp>.SPY171215P209</stp>
        <tr r="Q903" s="1"/>
      </tp>
      <tp>
        <v>106</v>
        <stp/>
        <stp>OPEN_INT</stp>
        <stp>.SPY151219C207</stp>
        <tr r="F521" s="1"/>
      </tp>
      <tp t="s">
        <v>N/A</v>
        <stp/>
        <stp>OPEN_INT</stp>
        <stp>.SPY171215C209</stp>
        <tr r="F903" s="1"/>
      </tp>
      <tp>
        <v>547</v>
        <stp/>
        <stp>OPEN_INT</stp>
        <stp>.SPY151219P206</stp>
        <tr r="Q519" s="1"/>
      </tp>
      <tp t="s">
        <v>N/A</v>
        <stp/>
        <stp>OPEN_INT</stp>
        <stp>.SPY171215P208</stp>
        <tr r="Q901" s="1"/>
      </tp>
      <tp>
        <v>490</v>
        <stp/>
        <stp>OPEN_INT</stp>
        <stp>.SPY151219C206</stp>
        <tr r="F519" s="1"/>
      </tp>
      <tp t="s">
        <v>N/A</v>
        <stp/>
        <stp>OPEN_INT</stp>
        <stp>.SPY171215C208</stp>
        <tr r="F901" s="1"/>
      </tp>
      <tp>
        <v>261</v>
        <stp/>
        <stp>OPEN_INT</stp>
        <stp>.SPY151219P201</stp>
        <tr r="Q509" s="1"/>
      </tp>
      <tp>
        <v>24</v>
        <stp/>
        <stp>OPEN_INT</stp>
        <stp>.SPY151219C201</stp>
        <tr r="F509" s="1"/>
      </tp>
      <tp>
        <v>28485</v>
        <stp/>
        <stp>OPEN_INT</stp>
        <stp>.SPY151219P200</stp>
        <tr r="Q507" s="1"/>
      </tp>
      <tp>
        <v>22817</v>
        <stp/>
        <stp>OPEN_INT</stp>
        <stp>.SPY151219C200</stp>
        <tr r="F507" s="1"/>
      </tp>
      <tp>
        <v>819</v>
        <stp/>
        <stp>OPEN_INT</stp>
        <stp>.SPY151219P203</stp>
        <tr r="Q513" s="1"/>
      </tp>
      <tp>
        <v>584</v>
        <stp/>
        <stp>OPEN_INT</stp>
        <stp>.SPY151219C203</stp>
        <tr r="F513" s="1"/>
      </tp>
      <tp>
        <v>316</v>
        <stp/>
        <stp>OPEN_INT</stp>
        <stp>.SPY151219P202</stp>
        <tr r="Q511" s="1"/>
      </tp>
      <tp>
        <v>473</v>
        <stp/>
        <stp>OPEN_INT</stp>
        <stp>.SPY151219C202</stp>
        <tr r="F511" s="1"/>
      </tp>
      <tp t="s">
        <v>N/A</v>
        <stp/>
        <stp>OPEN_INT</stp>
        <stp>.SPY161216P211</stp>
        <tr r="Q781" s="1"/>
      </tp>
      <tp t="s">
        <v>N/A</v>
        <stp/>
        <stp>OPEN_INT</stp>
        <stp>.SPY171215P213</stp>
        <tr r="Q911" s="1"/>
      </tp>
      <tp t="s">
        <v>N/A</v>
        <stp/>
        <stp>OPEN_INT</stp>
        <stp>.SPY161216C211</stp>
        <tr r="F781" s="1"/>
      </tp>
      <tp t="s">
        <v>N/A</v>
        <stp/>
        <stp>OPEN_INT</stp>
        <stp>.SPY171215C213</stp>
        <tr r="F911" s="1"/>
      </tp>
      <tp>
        <v>6537</v>
        <stp/>
        <stp>OPEN_INT</stp>
        <stp>.SPY161216P210</stp>
        <tr r="Q779" s="1"/>
      </tp>
      <tp t="s">
        <v>N/A</v>
        <stp/>
        <stp>OPEN_INT</stp>
        <stp>.SPY171215P212</stp>
        <tr r="Q909" s="1"/>
      </tp>
      <tp>
        <v>4303</v>
        <stp/>
        <stp>OPEN_INT</stp>
        <stp>.SPY161216C210</stp>
        <tr r="F779" s="1"/>
      </tp>
      <tp t="s">
        <v>N/A</v>
        <stp/>
        <stp>OPEN_INT</stp>
        <stp>.SPY171215C212</stp>
        <tr r="F909" s="1"/>
      </tp>
      <tp t="s">
        <v>N/A</v>
        <stp/>
        <stp>OPEN_INT</stp>
        <stp>.SPY161216P213</stp>
        <tr r="Q785" s="1"/>
      </tp>
      <tp t="s">
        <v>N/A</v>
        <stp/>
        <stp>OPEN_INT</stp>
        <stp>.SPY171215P211</stp>
        <tr r="Q907" s="1"/>
      </tp>
      <tp t="s">
        <v>N/A</v>
        <stp/>
        <stp>OPEN_INT</stp>
        <stp>.SPY161216C213</stp>
        <tr r="F785" s="1"/>
      </tp>
      <tp t="s">
        <v>N/A</v>
        <stp/>
        <stp>OPEN_INT</stp>
        <stp>.SPY171215C211</stp>
        <tr r="F907" s="1"/>
      </tp>
      <tp t="s">
        <v>N/A</v>
        <stp/>
        <stp>OPEN_INT</stp>
        <stp>.SPY161216P212</stp>
        <tr r="Q783" s="1"/>
      </tp>
      <tp>
        <v>1662</v>
        <stp/>
        <stp>OPEN_INT</stp>
        <stp>.SPY171215P210</stp>
        <tr r="Q905" s="1"/>
      </tp>
      <tp t="s">
        <v>N/A</v>
        <stp/>
        <stp>OPEN_INT</stp>
        <stp>.SPY161216C212</stp>
        <tr r="F783" s="1"/>
      </tp>
      <tp>
        <v>74877</v>
        <stp/>
        <stp>OPEN_INT</stp>
        <stp>.SPY171215C210</stp>
        <tr r="F905" s="1"/>
      </tp>
      <tp>
        <v>77</v>
        <stp/>
        <stp>OPEN_INT</stp>
        <stp>.SPY151219P219</stp>
        <tr r="Q545" s="1"/>
      </tp>
      <tp>
        <v>2574</v>
        <stp/>
        <stp>OPEN_INT</stp>
        <stp>.SPY161216P215</stp>
        <tr r="Q789" s="1"/>
      </tp>
      <tp t="s">
        <v>N/A</v>
        <stp/>
        <stp>OPEN_INT</stp>
        <stp>.SPY171215P217</stp>
        <tr r="Q919" s="1"/>
      </tp>
      <tp>
        <v>158</v>
        <stp/>
        <stp>OPEN_INT</stp>
        <stp>.SPY151219C219</stp>
        <tr r="F545" s="1"/>
      </tp>
      <tp>
        <v>6727</v>
        <stp/>
        <stp>OPEN_INT</stp>
        <stp>.SPY161216C215</stp>
        <tr r="F789" s="1"/>
      </tp>
      <tp t="s">
        <v>N/A</v>
        <stp/>
        <stp>OPEN_INT</stp>
        <stp>.SPY171215C217</stp>
        <tr r="F919" s="1"/>
      </tp>
      <tp>
        <v>105</v>
        <stp/>
        <stp>OPEN_INT</stp>
        <stp>.SPY151219P218</stp>
        <tr r="Q543" s="1"/>
      </tp>
      <tp t="s">
        <v>N/A</v>
        <stp/>
        <stp>OPEN_INT</stp>
        <stp>.SPY161216P214</stp>
        <tr r="Q787" s="1"/>
      </tp>
      <tp t="s">
        <v>N/A</v>
        <stp/>
        <stp>OPEN_INT</stp>
        <stp>.SPY171215P216</stp>
        <tr r="Q917" s="1"/>
      </tp>
      <tp>
        <v>497</v>
        <stp/>
        <stp>OPEN_INT</stp>
        <stp>.SPY151219C218</stp>
        <tr r="F543" s="1"/>
      </tp>
      <tp t="s">
        <v>N/A</v>
        <stp/>
        <stp>OPEN_INT</stp>
        <stp>.SPY161216C214</stp>
        <tr r="F787" s="1"/>
      </tp>
      <tp t="s">
        <v>N/A</v>
        <stp/>
        <stp>OPEN_INT</stp>
        <stp>.SPY171215C216</stp>
        <tr r="F917" s="1"/>
      </tp>
      <tp t="s">
        <v>N/A</v>
        <stp/>
        <stp>OPEN_INT</stp>
        <stp>.SPY161216P217</stp>
        <tr r="Q793" s="1"/>
      </tp>
      <tp>
        <v>506</v>
        <stp/>
        <stp>OPEN_INT</stp>
        <stp>.SPY171215P215</stp>
        <tr r="Q915" s="1"/>
      </tp>
      <tp t="s">
        <v>N/A</v>
        <stp/>
        <stp>OPEN_INT</stp>
        <stp>.SPY161216C217</stp>
        <tr r="F793" s="1"/>
      </tp>
      <tp>
        <v>317</v>
        <stp/>
        <stp>OPEN_INT</stp>
        <stp>.SPY171215C215</stp>
        <tr r="F915" s="1"/>
      </tp>
      <tp t="s">
        <v>N/A</v>
        <stp/>
        <stp>OPEN_INT</stp>
        <stp>.SPY161216P216</stp>
        <tr r="Q791" s="1"/>
      </tp>
      <tp t="s">
        <v>N/A</v>
        <stp/>
        <stp>OPEN_INT</stp>
        <stp>.SPY171215P214</stp>
        <tr r="Q913" s="1"/>
      </tp>
      <tp t="s">
        <v>N/A</v>
        <stp/>
        <stp>OPEN_INT</stp>
        <stp>.SPY161216C216</stp>
        <tr r="F791" s="1"/>
      </tp>
      <tp t="s">
        <v>N/A</v>
        <stp/>
        <stp>OPEN_INT</stp>
        <stp>.SPY171215C214</stp>
        <tr r="F913" s="1"/>
      </tp>
      <tp>
        <v>5936</v>
        <stp/>
        <stp>OPEN_INT</stp>
        <stp>.SPY151219P215</stp>
        <tr r="Q537" s="1"/>
      </tp>
      <tp t="s">
        <v>N/A</v>
        <stp/>
        <stp>OPEN_INT</stp>
        <stp>.SPY161216P219</stp>
        <tr r="Q797" s="1"/>
      </tp>
      <tp>
        <v>20694</v>
        <stp/>
        <stp>OPEN_INT</stp>
        <stp>.SPY151219C215</stp>
        <tr r="F537" s="1"/>
      </tp>
      <tp t="s">
        <v>N/A</v>
        <stp/>
        <stp>OPEN_INT</stp>
        <stp>.SPY161216C219</stp>
        <tr r="F797" s="1"/>
      </tp>
      <tp>
        <v>677</v>
        <stp/>
        <stp>OPEN_INT</stp>
        <stp>.SPY151219P214</stp>
        <tr r="Q535" s="1"/>
      </tp>
      <tp t="s">
        <v>N/A</v>
        <stp/>
        <stp>OPEN_INT</stp>
        <stp>.SPY161216P218</stp>
        <tr r="Q795" s="1"/>
      </tp>
      <tp>
        <v>327</v>
        <stp/>
        <stp>OPEN_INT</stp>
        <stp>.SPY151219C214</stp>
        <tr r="F535" s="1"/>
      </tp>
      <tp t="s">
        <v>N/A</v>
        <stp/>
        <stp>OPEN_INT</stp>
        <stp>.SPY161216C218</stp>
        <tr r="F795" s="1"/>
      </tp>
      <tp>
        <v>122</v>
        <stp/>
        <stp>OPEN_INT</stp>
        <stp>.SPY151219P217</stp>
        <tr r="Q541" s="1"/>
      </tp>
      <tp t="s">
        <v>N/A</v>
        <stp/>
        <stp>OPEN_INT</stp>
        <stp>.SPY171215P219</stp>
        <tr r="Q923" s="1"/>
      </tp>
      <tp>
        <v>424</v>
        <stp/>
        <stp>OPEN_INT</stp>
        <stp>.SPY151219C217</stp>
        <tr r="F541" s="1"/>
      </tp>
      <tp t="s">
        <v>N/A</v>
        <stp/>
        <stp>OPEN_INT</stp>
        <stp>.SPY171215C219</stp>
        <tr r="F923" s="1"/>
      </tp>
      <tp>
        <v>674</v>
        <stp/>
        <stp>OPEN_INT</stp>
        <stp>.SPY151219P216</stp>
        <tr r="Q539" s="1"/>
      </tp>
      <tp t="s">
        <v>N/A</v>
        <stp/>
        <stp>OPEN_INT</stp>
        <stp>.SPY171215P218</stp>
        <tr r="Q921" s="1"/>
      </tp>
      <tp>
        <v>151</v>
        <stp/>
        <stp>OPEN_INT</stp>
        <stp>.SPY151219C216</stp>
        <tr r="F539" s="1"/>
      </tp>
      <tp t="s">
        <v>N/A</v>
        <stp/>
        <stp>OPEN_INT</stp>
        <stp>.SPY171215C218</stp>
        <tr r="F921" s="1"/>
      </tp>
      <tp>
        <v>950</v>
        <stp/>
        <stp>OPEN_INT</stp>
        <stp>.SPY151219P211</stp>
        <tr r="Q529" s="1"/>
      </tp>
      <tp>
        <v>1374</v>
        <stp/>
        <stp>OPEN_INT</stp>
        <stp>.SPY151219C211</stp>
        <tr r="F529" s="1"/>
      </tp>
      <tp>
        <v>9059</v>
        <stp/>
        <stp>OPEN_INT</stp>
        <stp>.SPY151219P210</stp>
        <tr r="Q527" s="1"/>
      </tp>
      <tp>
        <v>21270</v>
        <stp/>
        <stp>OPEN_INT</stp>
        <stp>.SPY151219C210</stp>
        <tr r="F527" s="1"/>
      </tp>
      <tp>
        <v>519</v>
        <stp/>
        <stp>OPEN_INT</stp>
        <stp>.SPY151219P213</stp>
        <tr r="Q533" s="1"/>
      </tp>
      <tp>
        <v>803</v>
        <stp/>
        <stp>OPEN_INT</stp>
        <stp>.SPY151219C213</stp>
        <tr r="F533" s="1"/>
      </tp>
      <tp>
        <v>959</v>
        <stp/>
        <stp>OPEN_INT</stp>
        <stp>.SPY151219P212</stp>
        <tr r="Q531" s="1"/>
      </tp>
      <tp>
        <v>601</v>
        <stp/>
        <stp>OPEN_INT</stp>
        <stp>.SPY151219C212</stp>
        <tr r="F531" s="1"/>
      </tp>
      <tp>
        <v>5389</v>
        <stp/>
        <stp>OPEN_INT</stp>
        <stp>.SPY151231P205</stp>
        <tr r="Q559" s="1"/>
      </tp>
      <tp>
        <v>445</v>
        <stp/>
        <stp>OPEN_INT</stp>
        <stp>.SPY151231C205</stp>
        <tr r="F559" s="1"/>
      </tp>
      <tp>
        <v>18</v>
        <stp/>
        <stp>OPEN_INT</stp>
        <stp>.SPY151231P204</stp>
        <tr r="Q557" s="1"/>
      </tp>
      <tp>
        <v>0</v>
        <stp/>
        <stp>OPEN_INT</stp>
        <stp>.SPY151231C204</stp>
        <tr r="F557" s="1"/>
      </tp>
      <tp>
        <v>5</v>
        <stp/>
        <stp>OPEN_INT</stp>
        <stp>.SPY151231P207</stp>
        <tr r="Q563" s="1"/>
      </tp>
      <tp>
        <v>0</v>
        <stp/>
        <stp>OPEN_INT</stp>
        <stp>.SPY151231C207</stp>
        <tr r="F563" s="1"/>
      </tp>
      <tp>
        <v>40</v>
        <stp/>
        <stp>OPEN_INT</stp>
        <stp>.SPY151231P206</stp>
        <tr r="Q561" s="1"/>
      </tp>
      <tp>
        <v>100</v>
        <stp/>
        <stp>OPEN_INT</stp>
        <stp>.SPY151231C206</stp>
        <tr r="F561" s="1"/>
      </tp>
      <tp>
        <v>66</v>
        <stp/>
        <stp>OPEN_INT</stp>
        <stp>.SPY151231P201</stp>
        <tr r="Q551" s="1"/>
      </tp>
      <tp>
        <v>1</v>
        <stp/>
        <stp>OPEN_INT</stp>
        <stp>.SPY151231C201</stp>
        <tr r="F551" s="1"/>
      </tp>
      <tp>
        <v>1408</v>
        <stp/>
        <stp>OPEN_INT</stp>
        <stp>.SPY151231P200</stp>
        <tr r="Q549" s="1"/>
      </tp>
      <tp>
        <v>1182</v>
        <stp/>
        <stp>OPEN_INT</stp>
        <stp>.SPY151231C200</stp>
        <tr r="F549" s="1"/>
      </tp>
      <tp>
        <v>10</v>
        <stp/>
        <stp>OPEN_INT</stp>
        <stp>.SPY151231P203</stp>
        <tr r="Q555" s="1"/>
      </tp>
      <tp>
        <v>2</v>
        <stp/>
        <stp>OPEN_INT</stp>
        <stp>.SPY151231C203</stp>
        <tr r="F555" s="1"/>
      </tp>
      <tp>
        <v>44</v>
        <stp/>
        <stp>OPEN_INT</stp>
        <stp>.SPY151231P202</stp>
        <tr r="Q553" s="1"/>
      </tp>
      <tp>
        <v>0</v>
        <stp/>
        <stp>OPEN_INT</stp>
        <stp>.SPY151231C202</stp>
        <tr r="F553" s="1"/>
      </tp>
      <tp>
        <v>21</v>
        <stp/>
        <stp>OPEN_INT</stp>
        <stp>.SPY151231P209</stp>
        <tr r="Q567" s="1"/>
      </tp>
      <tp>
        <v>961</v>
        <stp/>
        <stp>OPEN_INT</stp>
        <stp>.SPY151231C209</stp>
        <tr r="F567" s="1"/>
      </tp>
      <tp>
        <v>60</v>
        <stp/>
        <stp>OPEN_INT</stp>
        <stp>.SPY151231P208</stp>
        <tr r="Q565" s="1"/>
      </tp>
      <tp>
        <v>14</v>
        <stp/>
        <stp>OPEN_INT</stp>
        <stp>.SPY151231C208</stp>
        <tr r="F565" s="1"/>
      </tp>
      <tp>
        <v>107</v>
        <stp/>
        <stp>OPEN_INT</stp>
        <stp>.SPY151231P215</stp>
        <tr r="Q579" s="1"/>
      </tp>
      <tp>
        <v>1066</v>
        <stp/>
        <stp>OPEN_INT</stp>
        <stp>.SPY151231C215</stp>
        <tr r="F579" s="1"/>
      </tp>
      <tp>
        <v>0</v>
        <stp/>
        <stp>OPEN_INT</stp>
        <stp>.SPY151231P214</stp>
        <tr r="Q577" s="1"/>
      </tp>
      <tp>
        <v>0</v>
        <stp/>
        <stp>OPEN_INT</stp>
        <stp>.SPY151231C214</stp>
        <tr r="F577" s="1"/>
      </tp>
      <tp>
        <v>0</v>
        <stp/>
        <stp>OPEN_INT</stp>
        <stp>.SPY151231P217</stp>
        <tr r="Q583" s="1"/>
      </tp>
      <tp>
        <v>101</v>
        <stp/>
        <stp>OPEN_INT</stp>
        <stp>.SPY151231C217</stp>
        <tr r="F583" s="1"/>
      </tp>
      <tp>
        <v>2</v>
        <stp/>
        <stp>OPEN_INT</stp>
        <stp>.SPY151231P216</stp>
        <tr r="Q581" s="1"/>
      </tp>
      <tp>
        <v>17</v>
        <stp/>
        <stp>OPEN_INT</stp>
        <stp>.SPY151231C216</stp>
        <tr r="F581" s="1"/>
      </tp>
      <tp>
        <v>33</v>
        <stp/>
        <stp>OPEN_INT</stp>
        <stp>.SPY151231P211</stp>
        <tr r="Q571" s="1"/>
      </tp>
      <tp>
        <v>203</v>
        <stp/>
        <stp>OPEN_INT</stp>
        <stp>.SPY151231C211</stp>
        <tr r="F571" s="1"/>
      </tp>
      <tp>
        <v>808</v>
        <stp/>
        <stp>OPEN_INT</stp>
        <stp>.SPY151231P210</stp>
        <tr r="Q569" s="1"/>
      </tp>
      <tp>
        <v>5321</v>
        <stp/>
        <stp>OPEN_INT</stp>
        <stp>.SPY151231C210</stp>
        <tr r="F569" s="1"/>
      </tp>
      <tp>
        <v>0</v>
        <stp/>
        <stp>OPEN_INT</stp>
        <stp>.SPY151231P213</stp>
        <tr r="Q575" s="1"/>
      </tp>
      <tp>
        <v>4</v>
        <stp/>
        <stp>OPEN_INT</stp>
        <stp>.SPY151231C213</stp>
        <tr r="F575" s="1"/>
      </tp>
      <tp>
        <v>18</v>
        <stp/>
        <stp>OPEN_INT</stp>
        <stp>.SPY151231P212</stp>
        <tr r="Q573" s="1"/>
      </tp>
      <tp>
        <v>203</v>
        <stp/>
        <stp>OPEN_INT</stp>
        <stp>.SPY151231C212</stp>
        <tr r="F573" s="1"/>
      </tp>
      <tp>
        <v>0</v>
        <stp/>
        <stp>OPEN_INT</stp>
        <stp>.SPY151231P219</stp>
        <tr r="Q587" s="1"/>
      </tp>
      <tp>
        <v>0</v>
        <stp/>
        <stp>OPEN_INT</stp>
        <stp>.SPY151231C219</stp>
        <tr r="F587" s="1"/>
      </tp>
      <tp>
        <v>1</v>
        <stp/>
        <stp>OPEN_INT</stp>
        <stp>.SPY151231P218</stp>
        <tr r="Q585" s="1"/>
      </tp>
      <tp>
        <v>0</v>
        <stp/>
        <stp>OPEN_INT</stp>
        <stp>.SPY151231C218</stp>
        <tr r="F585" s="1"/>
      </tp>
      <tp t="s">
        <v>N/A</v>
        <stp/>
        <stp>ASK_SIZE</stp>
        <stp>.SPY151231C213.5</stp>
        <tr r="B576" s="1"/>
      </tp>
      <tp t="s">
        <v>N/A</v>
        <stp/>
        <stp>ASK_SIZE</stp>
        <stp>.SPY151231C203.5</stp>
        <tr r="B556" s="1"/>
      </tp>
      <tp t="s">
        <v>N/A</v>
        <stp/>
        <stp>ASK_SIZE</stp>
        <stp>.SPY161216C217.5</stp>
        <tr r="B794" s="1"/>
      </tp>
      <tp t="s">
        <v>N/A</v>
        <stp/>
        <stp>ASK_SIZE</stp>
        <stp>.SPY171215C215.5</stp>
        <tr r="B916" s="1"/>
      </tp>
      <tp t="s">
        <v>N/A</v>
        <stp/>
        <stp>ASK_SIZE</stp>
        <stp>.SPY161216C207.5</stp>
        <tr r="B774" s="1"/>
      </tp>
      <tp t="s">
        <v>N/A</v>
        <stp/>
        <stp>ASK_SIZE</stp>
        <stp>.SPY171215C205.5</stp>
        <tr r="B896" s="1"/>
      </tp>
      <tp t="s">
        <v>N/A</v>
        <stp/>
        <stp>BID_SIZE</stp>
        <stp>.SPY151219C214.5</stp>
        <tr r="D536" s="1"/>
      </tp>
      <tp t="s">
        <v>N/A</v>
        <stp/>
        <stp>BID_SIZE</stp>
        <stp>.SPY161216C218.5</stp>
        <tr r="D796" s="1"/>
      </tp>
      <tp t="s">
        <v>N/A</v>
        <stp/>
        <stp>BID_SIZE</stp>
        <stp>.SPY151219C204.5</stp>
        <tr r="D516" s="1"/>
      </tp>
      <tp t="s">
        <v>N/A</v>
        <stp/>
        <stp>BID_SIZE</stp>
        <stp>.SPY161216C208.5</stp>
        <tr r="D776" s="1"/>
      </tp>
      <tp>
        <v>0</v>
        <stp/>
        <stp>BID_SIZE</stp>
        <stp>.SPY150424C209.5</stp>
        <tr r="D64" s="1"/>
      </tp>
      <tp>
        <v>0</v>
        <stp/>
        <stp>BID_SIZE</stp>
        <stp>.SPY150424C219.5</stp>
        <tr r="D84" s="1"/>
      </tp>
      <tp t="s">
        <v>N/A</v>
        <stp/>
        <stp>ASK_SIZE</stp>
        <stp>.SPY150717C215.5</stp>
        <tr r="B412" s="1"/>
      </tp>
      <tp t="s">
        <v>N/A</v>
        <stp/>
        <stp>ASK_SIZE</stp>
        <stp>.SPY150717C205.5</stp>
        <tr r="B392" s="1"/>
      </tp>
      <tp>
        <v>111</v>
        <stp/>
        <stp>BID_SIZE</stp>
        <stp>.SPY150508C205.5</stp>
        <tr r="D140" s="1"/>
      </tp>
      <tp>
        <v>3000</v>
        <stp/>
        <stp>BID_SIZE</stp>
        <stp>.SPY150515C218.5</stp>
        <tr r="D208" s="1"/>
      </tp>
      <tp>
        <v>99</v>
        <stp/>
        <stp>BID_SIZE</stp>
        <stp>.SPY150508C215.5</stp>
        <tr r="D160" s="1"/>
      </tp>
      <tp>
        <v>349</v>
        <stp/>
        <stp>BID_SIZE</stp>
        <stp>.SPY150515C208.5</stp>
        <tr r="D188" s="1"/>
      </tp>
      <tp>
        <v>240</v>
        <stp/>
        <stp>BID_SIZE</stp>
        <stp>.SPY150529C204.5</stp>
        <tr r="D264" s="1"/>
      </tp>
      <tp>
        <v>420</v>
        <stp/>
        <stp>BID_SIZE</stp>
        <stp>.SPY150529C214.5</stp>
        <tr r="D284" s="1"/>
      </tp>
      <tp t="s">
        <v>N/A</v>
        <stp/>
        <stp>ASK_SIZE</stp>
        <stp>.SPY150630C212.5</stp>
        <tr r="B364" s="1"/>
      </tp>
      <tp t="s">
        <v>N/A</v>
        <stp/>
        <stp>ASK_SIZE</stp>
        <stp>.SPY150630C202.5</stp>
        <tr r="B344" s="1"/>
      </tp>
      <tp t="s">
        <v>N/A</v>
        <stp/>
        <stp>ASK_SIZE</stp>
        <stp>.SPY160617C216.5</stp>
        <tr r="B708" s="1"/>
      </tp>
      <tp t="s">
        <v>N/A</v>
        <stp/>
        <stp>ASK_SIZE</stp>
        <stp>.SPY160617C206.5</stp>
        <tr r="B688" s="1"/>
      </tp>
      <tp t="s">
        <v>N/A</v>
        <stp/>
        <stp>BID_SIZE</stp>
        <stp>.SPY150619C214.5</stp>
        <tr r="D326" s="1"/>
      </tp>
      <tp t="s">
        <v>N/A</v>
        <stp/>
        <stp>BID_SIZE</stp>
        <stp>.SPY160617C219.5</stp>
        <tr r="D714" s="1"/>
      </tp>
      <tp t="s">
        <v>N/A</v>
        <stp/>
        <stp>BID_SIZE</stp>
        <stp>.SPY150619C204.5</stp>
        <tr r="D306" s="1"/>
      </tp>
      <tp t="s">
        <v>N/A</v>
        <stp/>
        <stp>BID_SIZE</stp>
        <stp>.SPY160617C209.5</stp>
        <tr r="D694" s="1"/>
      </tp>
      <tp>
        <v>121</v>
        <stp/>
        <stp>ASK_SIZE</stp>
        <stp>.SPY150522C200.5</stp>
        <tr r="B214" s="1"/>
      </tp>
      <tp>
        <v>200</v>
        <stp/>
        <stp>ASK_SIZE</stp>
        <stp>.SPY150522C210.5</stp>
        <tr r="B234" s="1"/>
      </tp>
      <tp>
        <v>0</v>
        <stp/>
        <stp>ASK_SIZE</stp>
        <stp>.SPY150501C203.5</stp>
        <tr r="B94" s="1"/>
      </tp>
      <tp>
        <v>3000</v>
        <stp/>
        <stp>ASK_SIZE</stp>
        <stp>.SPY150515C217.5</stp>
        <tr r="B206" s="1"/>
      </tp>
      <tp>
        <v>0</v>
        <stp/>
        <stp>ASK_SIZE</stp>
        <stp>.SPY150501C213.5</stp>
        <tr r="B114" s="1"/>
      </tp>
      <tp>
        <v>140</v>
        <stp/>
        <stp>ASK_SIZE</stp>
        <stp>.SPY150515C207.5</stp>
        <tr r="B186" s="1"/>
      </tp>
      <tp>
        <v>0</v>
        <stp/>
        <stp>ASK_SIZE</stp>
        <stp>.SPY150424C206.5</stp>
        <tr r="B58" s="1"/>
      </tp>
      <tp>
        <v>0</v>
        <stp/>
        <stp>ASK_SIZE</stp>
        <stp>.SPY150424C216.5</stp>
        <tr r="B78" s="1"/>
      </tp>
      <tp>
        <v>0</v>
        <stp/>
        <stp>ASK_SIZE</stp>
        <stp>.SPY150417C215.5</stp>
        <tr r="B34" s="1"/>
      </tp>
      <tp>
        <v>0</v>
        <stp/>
        <stp>ASK_SIZE</stp>
        <stp>.SPY150417C205.5</stp>
        <tr r="B14" s="1"/>
      </tp>
      <tp t="s">
        <v>N/A</v>
        <stp/>
        <stp>ASK_SIZE</stp>
        <stp>.SPY160318C219.5</stp>
        <tr r="B672" s="1"/>
      </tp>
      <tp t="s">
        <v>N/A</v>
        <stp/>
        <stp>ASK_SIZE</stp>
        <stp>.SPY170317C217.5</stp>
        <tr r="B878" s="1"/>
      </tp>
      <tp t="s">
        <v>N/A</v>
        <stp/>
        <stp>ASK_SIZE</stp>
        <stp>.SPY160318C209.5</stp>
        <tr r="B652" s="1"/>
      </tp>
      <tp t="s">
        <v>N/A</v>
        <stp/>
        <stp>ASK_SIZE</stp>
        <stp>.SPY170317C207.5</stp>
        <tr r="B858" s="1"/>
      </tp>
      <tp t="s">
        <v>N/A</v>
        <stp/>
        <stp>ASK_SIZE</stp>
        <stp>.SPY170120C200.5</stp>
        <tr r="B802" s="1"/>
      </tp>
      <tp t="s">
        <v>N/A</v>
        <stp/>
        <stp>ASK_SIZE</stp>
        <stp>.SPY170120C210.5</stp>
        <tr r="B822" s="1"/>
      </tp>
      <tp t="s">
        <v>N/A</v>
        <stp/>
        <stp>ASK_SIZE</stp>
        <stp>.SPY160115C214.5</stp>
        <tr r="B620" s="1"/>
      </tp>
      <tp t="s">
        <v>N/A</v>
        <stp/>
        <stp>ASK_SIZE</stp>
        <stp>.SPY160115C204.5</stp>
        <tr r="B600" s="1"/>
      </tp>
      <tp t="s">
        <v>N/A</v>
        <stp/>
        <stp>BID_SIZE</stp>
        <stp>.SPY160318C216.5</stp>
        <tr r="D666" s="1"/>
      </tp>
      <tp t="s">
        <v>N/A</v>
        <stp/>
        <stp>BID_SIZE</stp>
        <stp>.SPY170317C218.5</stp>
        <tr r="D880" s="1"/>
      </tp>
      <tp t="s">
        <v>N/A</v>
        <stp/>
        <stp>BID_SIZE</stp>
        <stp>.SPY160318C206.5</stp>
        <tr r="D646" s="1"/>
      </tp>
      <tp t="s">
        <v>N/A</v>
        <stp/>
        <stp>BID_SIZE</stp>
        <stp>.SPY170317C208.5</stp>
        <tr r="D860" s="1"/>
      </tp>
      <tp t="s">
        <v>N/A</v>
        <stp/>
        <stp>BID_SIZE</stp>
        <stp>.SPY150918C215.5</stp>
        <tr r="D454" s="1"/>
      </tp>
      <tp t="s">
        <v>N/A</v>
        <stp/>
        <stp>BID_SIZE</stp>
        <stp>.SPY160916C218.5</stp>
        <tr r="D754" s="1"/>
      </tp>
      <tp t="s">
        <v>N/A</v>
        <stp/>
        <stp>BID_SIZE</stp>
        <stp>.SPY150918C205.5</stp>
        <tr r="D434" s="1"/>
      </tp>
      <tp t="s">
        <v>N/A</v>
        <stp/>
        <stp>BID_SIZE</stp>
        <stp>.SPY160916C208.5</stp>
        <tr r="D734" s="1"/>
      </tp>
      <tp t="s">
        <v>N/A</v>
        <stp/>
        <stp>ASK_SIZE</stp>
        <stp>.SPY150930C212.5</stp>
        <tr r="B490" s="1"/>
      </tp>
      <tp t="s">
        <v>N/A</v>
        <stp/>
        <stp>ASK_SIZE</stp>
        <stp>.SPY150930C202.5</stp>
        <tr r="B470" s="1"/>
      </tp>
      <tp t="s">
        <v>N/A</v>
        <stp/>
        <stp>ASK_SIZE</stp>
        <stp>.SPY160916C217.5</stp>
        <tr r="B752" s="1"/>
      </tp>
      <tp t="s">
        <v>N/A</v>
        <stp/>
        <stp>ASK_SIZE</stp>
        <stp>.SPY160916C207.5</stp>
        <tr r="B732" s="1"/>
      </tp>
      <tp>
        <v>146</v>
        <stp/>
        <stp>BID_SIZE</stp>
        <stp>.SPY151219P218</stp>
        <tr r="O543" s="1"/>
      </tp>
      <tp t="s">
        <v>N/A</v>
        <stp/>
        <stp>BID_SIZE</stp>
        <stp>.SPY161216P214</stp>
        <tr r="O787" s="1"/>
      </tp>
      <tp t="s">
        <v>N/A</v>
        <stp/>
        <stp>BID_SIZE</stp>
        <stp>.SPY171215P216</stp>
        <tr r="O917" s="1"/>
      </tp>
      <tp>
        <v>173</v>
        <stp/>
        <stp>BID_SIZE</stp>
        <stp>.SPY151219C218</stp>
        <tr r="D543" s="1"/>
      </tp>
      <tp t="s">
        <v>N/A</v>
        <stp/>
        <stp>BID_SIZE</stp>
        <stp>.SPY161216C214</stp>
        <tr r="D787" s="1"/>
      </tp>
      <tp t="s">
        <v>N/A</v>
        <stp/>
        <stp>BID_SIZE</stp>
        <stp>.SPY171215C216</stp>
        <tr r="D917" s="1"/>
      </tp>
      <tp>
        <v>141</v>
        <stp/>
        <stp>BID_SIZE</stp>
        <stp>.SPY151219P219</stp>
        <tr r="O545" s="1"/>
      </tp>
      <tp>
        <v>294</v>
        <stp/>
        <stp>BID_SIZE</stp>
        <stp>.SPY161216P215</stp>
        <tr r="O789" s="1"/>
      </tp>
      <tp t="s">
        <v>N/A</v>
        <stp/>
        <stp>BID_SIZE</stp>
        <stp>.SPY171215P217</stp>
        <tr r="O919" s="1"/>
      </tp>
      <tp>
        <v>2545</v>
        <stp/>
        <stp>BID_SIZE</stp>
        <stp>.SPY151219C219</stp>
        <tr r="D545" s="1"/>
      </tp>
      <tp>
        <v>1113</v>
        <stp/>
        <stp>BID_SIZE</stp>
        <stp>.SPY161216C215</stp>
        <tr r="D789" s="1"/>
      </tp>
      <tp t="s">
        <v>N/A</v>
        <stp/>
        <stp>BID_SIZE</stp>
        <stp>.SPY171215C217</stp>
        <tr r="D919" s="1"/>
      </tp>
      <tp t="s">
        <v>N/A</v>
        <stp/>
        <stp>BID_SIZE</stp>
        <stp>.SPY161216P216</stp>
        <tr r="O791" s="1"/>
      </tp>
      <tp t="s">
        <v>N/A</v>
        <stp/>
        <stp>BID_SIZE</stp>
        <stp>.SPY171215P214</stp>
        <tr r="O913" s="1"/>
      </tp>
      <tp t="s">
        <v>N/A</v>
        <stp/>
        <stp>BID_SIZE</stp>
        <stp>.SPY161216C216</stp>
        <tr r="D791" s="1"/>
      </tp>
      <tp t="s">
        <v>N/A</v>
        <stp/>
        <stp>BID_SIZE</stp>
        <stp>.SPY171215C214</stp>
        <tr r="D913" s="1"/>
      </tp>
      <tp t="s">
        <v>N/A</v>
        <stp/>
        <stp>BID_SIZE</stp>
        <stp>.SPY161216P217</stp>
        <tr r="O793" s="1"/>
      </tp>
      <tp>
        <v>56</v>
        <stp/>
        <stp>BID_SIZE</stp>
        <stp>.SPY171215P215</stp>
        <tr r="O915" s="1"/>
      </tp>
      <tp t="s">
        <v>N/A</v>
        <stp/>
        <stp>BID_SIZE</stp>
        <stp>.SPY161216C217</stp>
        <tr r="D793" s="1"/>
      </tp>
      <tp>
        <v>50</v>
        <stp/>
        <stp>BID_SIZE</stp>
        <stp>.SPY171215C215</stp>
        <tr r="D915" s="1"/>
      </tp>
      <tp>
        <v>1141</v>
        <stp/>
        <stp>BID_SIZE</stp>
        <stp>.SPY161216P210</stp>
        <tr r="O779" s="1"/>
      </tp>
      <tp t="s">
        <v>N/A</v>
        <stp/>
        <stp>BID_SIZE</stp>
        <stp>.SPY171215P212</stp>
        <tr r="O909" s="1"/>
      </tp>
      <tp>
        <v>1112</v>
        <stp/>
        <stp>BID_SIZE</stp>
        <stp>.SPY161216C210</stp>
        <tr r="D779" s="1"/>
      </tp>
      <tp t="s">
        <v>N/A</v>
        <stp/>
        <stp>BID_SIZE</stp>
        <stp>.SPY171215C212</stp>
        <tr r="D909" s="1"/>
      </tp>
      <tp t="s">
        <v>N/A</v>
        <stp/>
        <stp>BID_SIZE</stp>
        <stp>.SPY161216P211</stp>
        <tr r="O781" s="1"/>
      </tp>
      <tp t="s">
        <v>N/A</v>
        <stp/>
        <stp>BID_SIZE</stp>
        <stp>.SPY171215P213</stp>
        <tr r="O911" s="1"/>
      </tp>
      <tp t="s">
        <v>N/A</v>
        <stp/>
        <stp>BID_SIZE</stp>
        <stp>.SPY161216C211</stp>
        <tr r="D781" s="1"/>
      </tp>
      <tp t="s">
        <v>N/A</v>
        <stp/>
        <stp>BID_SIZE</stp>
        <stp>.SPY171215C213</stp>
        <tr r="D911" s="1"/>
      </tp>
      <tp t="s">
        <v>N/A</v>
        <stp/>
        <stp>BID_SIZE</stp>
        <stp>.SPY161216P212</stp>
        <tr r="O783" s="1"/>
      </tp>
      <tp>
        <v>53</v>
        <stp/>
        <stp>BID_SIZE</stp>
        <stp>.SPY171215P210</stp>
        <tr r="O905" s="1"/>
      </tp>
      <tp t="s">
        <v>N/A</v>
        <stp/>
        <stp>BID_SIZE</stp>
        <stp>.SPY161216C212</stp>
        <tr r="D783" s="1"/>
      </tp>
      <tp>
        <v>37</v>
        <stp/>
        <stp>BID_SIZE</stp>
        <stp>.SPY171215C210</stp>
        <tr r="D905" s="1"/>
      </tp>
      <tp t="s">
        <v>N/A</v>
        <stp/>
        <stp>BID_SIZE</stp>
        <stp>.SPY161216P213</stp>
        <tr r="O785" s="1"/>
      </tp>
      <tp t="s">
        <v>N/A</v>
        <stp/>
        <stp>BID_SIZE</stp>
        <stp>.SPY171215P211</stp>
        <tr r="O907" s="1"/>
      </tp>
      <tp t="s">
        <v>N/A</v>
        <stp/>
        <stp>BID_SIZE</stp>
        <stp>.SPY161216C213</stp>
        <tr r="D785" s="1"/>
      </tp>
      <tp t="s">
        <v>N/A</v>
        <stp/>
        <stp>BID_SIZE</stp>
        <stp>.SPY171215C211</stp>
        <tr r="D907" s="1"/>
      </tp>
      <tp>
        <v>2545</v>
        <stp/>
        <stp>BID_SIZE</stp>
        <stp>.SPY151219P210</stp>
        <tr r="O527" s="1"/>
      </tp>
      <tp>
        <v>2545</v>
        <stp/>
        <stp>BID_SIZE</stp>
        <stp>.SPY151219C210</stp>
        <tr r="D527" s="1"/>
      </tp>
      <tp>
        <v>2545</v>
        <stp/>
        <stp>BID_SIZE</stp>
        <stp>.SPY151219P211</stp>
        <tr r="O529" s="1"/>
      </tp>
      <tp>
        <v>2545</v>
        <stp/>
        <stp>BID_SIZE</stp>
        <stp>.SPY151219C211</stp>
        <tr r="D529" s="1"/>
      </tp>
      <tp>
        <v>294</v>
        <stp/>
        <stp>BID_SIZE</stp>
        <stp>.SPY151219P212</stp>
        <tr r="O531" s="1"/>
      </tp>
      <tp>
        <v>2545</v>
        <stp/>
        <stp>BID_SIZE</stp>
        <stp>.SPY151219C212</stp>
        <tr r="D531" s="1"/>
      </tp>
      <tp>
        <v>158</v>
        <stp/>
        <stp>BID_SIZE</stp>
        <stp>.SPY151219P213</stp>
        <tr r="O533" s="1"/>
      </tp>
      <tp>
        <v>2545</v>
        <stp/>
        <stp>BID_SIZE</stp>
        <stp>.SPY151219C213</stp>
        <tr r="D533" s="1"/>
      </tp>
      <tp>
        <v>740</v>
        <stp/>
        <stp>BID_SIZE</stp>
        <stp>.SPY151219P214</stp>
        <tr r="O535" s="1"/>
      </tp>
      <tp t="s">
        <v>N/A</v>
        <stp/>
        <stp>BID_SIZE</stp>
        <stp>.SPY161216P218</stp>
        <tr r="O795" s="1"/>
      </tp>
      <tp>
        <v>2545</v>
        <stp/>
        <stp>BID_SIZE</stp>
        <stp>.SPY151219C214</stp>
        <tr r="D535" s="1"/>
      </tp>
      <tp t="s">
        <v>N/A</v>
        <stp/>
        <stp>BID_SIZE</stp>
        <stp>.SPY161216C218</stp>
        <tr r="D795" s="1"/>
      </tp>
      <tp>
        <v>256</v>
        <stp/>
        <stp>BID_SIZE</stp>
        <stp>.SPY151219P215</stp>
        <tr r="O537" s="1"/>
      </tp>
      <tp t="s">
        <v>N/A</v>
        <stp/>
        <stp>BID_SIZE</stp>
        <stp>.SPY161216P219</stp>
        <tr r="O797" s="1"/>
      </tp>
      <tp>
        <v>2545</v>
        <stp/>
        <stp>BID_SIZE</stp>
        <stp>.SPY151219C215</stp>
        <tr r="D537" s="1"/>
      </tp>
      <tp t="s">
        <v>N/A</v>
        <stp/>
        <stp>BID_SIZE</stp>
        <stp>.SPY161216C219</stp>
        <tr r="D797" s="1"/>
      </tp>
      <tp>
        <v>169</v>
        <stp/>
        <stp>BID_SIZE</stp>
        <stp>.SPY151219P216</stp>
        <tr r="O539" s="1"/>
      </tp>
      <tp t="s">
        <v>N/A</v>
        <stp/>
        <stp>BID_SIZE</stp>
        <stp>.SPY171215P218</stp>
        <tr r="O921" s="1"/>
      </tp>
      <tp>
        <v>2545</v>
        <stp/>
        <stp>BID_SIZE</stp>
        <stp>.SPY151219C216</stp>
        <tr r="D539" s="1"/>
      </tp>
      <tp t="s">
        <v>N/A</v>
        <stp/>
        <stp>BID_SIZE</stp>
        <stp>.SPY171215C218</stp>
        <tr r="D921" s="1"/>
      </tp>
      <tp>
        <v>20</v>
        <stp/>
        <stp>BID_SIZE</stp>
        <stp>.SPY151219P217</stp>
        <tr r="O541" s="1"/>
      </tp>
      <tp t="s">
        <v>N/A</v>
        <stp/>
        <stp>BID_SIZE</stp>
        <stp>.SPY171215P219</stp>
        <tr r="O923" s="1"/>
      </tp>
      <tp>
        <v>2545</v>
        <stp/>
        <stp>BID_SIZE</stp>
        <stp>.SPY151219C217</stp>
        <tr r="D541" s="1"/>
      </tp>
      <tp t="s">
        <v>N/A</v>
        <stp/>
        <stp>BID_SIZE</stp>
        <stp>.SPY171215C219</stp>
        <tr r="D923" s="1"/>
      </tp>
      <tp>
        <v>2545</v>
        <stp/>
        <stp>BID_SIZE</stp>
        <stp>.SPY151219P208</stp>
        <tr r="O523" s="1"/>
      </tp>
      <tp t="s">
        <v>N/A</v>
        <stp/>
        <stp>BID_SIZE</stp>
        <stp>.SPY161216P204</stp>
        <tr r="O767" s="1"/>
      </tp>
      <tp t="s">
        <v>N/A</v>
        <stp/>
        <stp>BID_SIZE</stp>
        <stp>.SPY171215P206</stp>
        <tr r="O897" s="1"/>
      </tp>
      <tp>
        <v>2545</v>
        <stp/>
        <stp>BID_SIZE</stp>
        <stp>.SPY151219C208</stp>
        <tr r="D523" s="1"/>
      </tp>
      <tp t="s">
        <v>N/A</v>
        <stp/>
        <stp>BID_SIZE</stp>
        <stp>.SPY161216C204</stp>
        <tr r="D767" s="1"/>
      </tp>
      <tp t="s">
        <v>N/A</v>
        <stp/>
        <stp>BID_SIZE</stp>
        <stp>.SPY171215C206</stp>
        <tr r="D897" s="1"/>
      </tp>
      <tp>
        <v>256</v>
        <stp/>
        <stp>BID_SIZE</stp>
        <stp>.SPY151219P209</stp>
        <tr r="O525" s="1"/>
      </tp>
      <tp>
        <v>1153</v>
        <stp/>
        <stp>BID_SIZE</stp>
        <stp>.SPY161216P205</stp>
        <tr r="O769" s="1"/>
      </tp>
      <tp t="s">
        <v>N/A</v>
        <stp/>
        <stp>BID_SIZE</stp>
        <stp>.SPY171215P207</stp>
        <tr r="O899" s="1"/>
      </tp>
      <tp>
        <v>2545</v>
        <stp/>
        <stp>BID_SIZE</stp>
        <stp>.SPY151219C209</stp>
        <tr r="D525" s="1"/>
      </tp>
      <tp>
        <v>167</v>
        <stp/>
        <stp>BID_SIZE</stp>
        <stp>.SPY161216C205</stp>
        <tr r="D769" s="1"/>
      </tp>
      <tp t="s">
        <v>N/A</v>
        <stp/>
        <stp>BID_SIZE</stp>
        <stp>.SPY171215C207</stp>
        <tr r="D899" s="1"/>
      </tp>
      <tp t="s">
        <v>N/A</v>
        <stp/>
        <stp>BID_SIZE</stp>
        <stp>.SPY161216P206</stp>
        <tr r="O771" s="1"/>
      </tp>
      <tp t="s">
        <v>N/A</v>
        <stp/>
        <stp>BID_SIZE</stp>
        <stp>.SPY171215P204</stp>
        <tr r="O893" s="1"/>
      </tp>
      <tp t="s">
        <v>N/A</v>
        <stp/>
        <stp>BID_SIZE</stp>
        <stp>.SPY161216C206</stp>
        <tr r="D771" s="1"/>
      </tp>
      <tp t="s">
        <v>N/A</v>
        <stp/>
        <stp>BID_SIZE</stp>
        <stp>.SPY171215C204</stp>
        <tr r="D893" s="1"/>
      </tp>
      <tp t="s">
        <v>N/A</v>
        <stp/>
        <stp>BID_SIZE</stp>
        <stp>.SPY161216P207</stp>
        <tr r="O773" s="1"/>
      </tp>
      <tp>
        <v>1</v>
        <stp/>
        <stp>BID_SIZE</stp>
        <stp>.SPY171215P205</stp>
        <tr r="O895" s="1"/>
      </tp>
      <tp t="s">
        <v>N/A</v>
        <stp/>
        <stp>BID_SIZE</stp>
        <stp>.SPY161216C207</stp>
        <tr r="D773" s="1"/>
      </tp>
      <tp>
        <v>566</v>
        <stp/>
        <stp>BID_SIZE</stp>
        <stp>.SPY171215C205</stp>
        <tr r="D895" s="1"/>
      </tp>
      <tp>
        <v>249</v>
        <stp/>
        <stp>BID_SIZE</stp>
        <stp>.SPY161216P200</stp>
        <tr r="O759" s="1"/>
      </tp>
      <tp t="s">
        <v>N/A</v>
        <stp/>
        <stp>BID_SIZE</stp>
        <stp>.SPY171215P202</stp>
        <tr r="O889" s="1"/>
      </tp>
      <tp>
        <v>180</v>
        <stp/>
        <stp>BID_SIZE</stp>
        <stp>.SPY161216C200</stp>
        <tr r="D759" s="1"/>
      </tp>
      <tp t="s">
        <v>N/A</v>
        <stp/>
        <stp>BID_SIZE</stp>
        <stp>.SPY171215C202</stp>
        <tr r="D889" s="1"/>
      </tp>
      <tp t="s">
        <v>N/A</v>
        <stp/>
        <stp>BID_SIZE</stp>
        <stp>.SPY161216P201</stp>
        <tr r="O761" s="1"/>
      </tp>
      <tp t="s">
        <v>N/A</v>
        <stp/>
        <stp>BID_SIZE</stp>
        <stp>.SPY171215P203</stp>
        <tr r="O891" s="1"/>
      </tp>
      <tp t="s">
        <v>N/A</v>
        <stp/>
        <stp>BID_SIZE</stp>
        <stp>.SPY161216C201</stp>
        <tr r="D761" s="1"/>
      </tp>
      <tp t="s">
        <v>N/A</v>
        <stp/>
        <stp>BID_SIZE</stp>
        <stp>.SPY171215C203</stp>
        <tr r="D891" s="1"/>
      </tp>
      <tp t="s">
        <v>N/A</v>
        <stp/>
        <stp>BID_SIZE</stp>
        <stp>.SPY161216P202</stp>
        <tr r="O763" s="1"/>
      </tp>
      <tp>
        <v>53</v>
        <stp/>
        <stp>BID_SIZE</stp>
        <stp>.SPY171215P200</stp>
        <tr r="O885" s="1"/>
      </tp>
      <tp t="s">
        <v>N/A</v>
        <stp/>
        <stp>BID_SIZE</stp>
        <stp>.SPY161216C202</stp>
        <tr r="D763" s="1"/>
      </tp>
      <tp>
        <v>59</v>
        <stp/>
        <stp>BID_SIZE</stp>
        <stp>.SPY171215C200</stp>
        <tr r="D885" s="1"/>
      </tp>
      <tp t="s">
        <v>N/A</v>
        <stp/>
        <stp>BID_SIZE</stp>
        <stp>.SPY161216P203</stp>
        <tr r="O765" s="1"/>
      </tp>
      <tp t="s">
        <v>N/A</v>
        <stp/>
        <stp>BID_SIZE</stp>
        <stp>.SPY171215P201</stp>
        <tr r="O887" s="1"/>
      </tp>
      <tp t="s">
        <v>N/A</v>
        <stp/>
        <stp>BID_SIZE</stp>
        <stp>.SPY161216C203</stp>
        <tr r="D765" s="1"/>
      </tp>
      <tp t="s">
        <v>N/A</v>
        <stp/>
        <stp>BID_SIZE</stp>
        <stp>.SPY171215C201</stp>
        <tr r="D887" s="1"/>
      </tp>
      <tp>
        <v>256</v>
        <stp/>
        <stp>BID_SIZE</stp>
        <stp>.SPY151219P200</stp>
        <tr r="O507" s="1"/>
      </tp>
      <tp>
        <v>180</v>
        <stp/>
        <stp>BID_SIZE</stp>
        <stp>.SPY151219C200</stp>
        <tr r="D507" s="1"/>
      </tp>
      <tp>
        <v>272</v>
        <stp/>
        <stp>BID_SIZE</stp>
        <stp>.SPY151219P201</stp>
        <tr r="O509" s="1"/>
      </tp>
      <tp>
        <v>188</v>
        <stp/>
        <stp>BID_SIZE</stp>
        <stp>.SPY151219C201</stp>
        <tr r="D509" s="1"/>
      </tp>
      <tp>
        <v>2545</v>
        <stp/>
        <stp>BID_SIZE</stp>
        <stp>.SPY151219P202</stp>
        <tr r="O511" s="1"/>
      </tp>
      <tp>
        <v>198</v>
        <stp/>
        <stp>BID_SIZE</stp>
        <stp>.SPY151219C202</stp>
        <tr r="D511" s="1"/>
      </tp>
      <tp>
        <v>273</v>
        <stp/>
        <stp>BID_SIZE</stp>
        <stp>.SPY151219P203</stp>
        <tr r="O513" s="1"/>
      </tp>
      <tp>
        <v>167</v>
        <stp/>
        <stp>BID_SIZE</stp>
        <stp>.SPY151219C203</stp>
        <tr r="D513" s="1"/>
      </tp>
      <tp>
        <v>2545</v>
        <stp/>
        <stp>BID_SIZE</stp>
        <stp>.SPY151219P204</stp>
        <tr r="O515" s="1"/>
      </tp>
      <tp t="s">
        <v>N/A</v>
        <stp/>
        <stp>BID_SIZE</stp>
        <stp>.SPY161216P208</stp>
        <tr r="O775" s="1"/>
      </tp>
      <tp>
        <v>229</v>
        <stp/>
        <stp>BID_SIZE</stp>
        <stp>.SPY151219C204</stp>
        <tr r="D515" s="1"/>
      </tp>
      <tp t="s">
        <v>N/A</v>
        <stp/>
        <stp>BID_SIZE</stp>
        <stp>.SPY161216C208</stp>
        <tr r="D775" s="1"/>
      </tp>
      <tp>
        <v>279</v>
        <stp/>
        <stp>BID_SIZE</stp>
        <stp>.SPY151219P205</stp>
        <tr r="O517" s="1"/>
      </tp>
      <tp t="s">
        <v>N/A</v>
        <stp/>
        <stp>BID_SIZE</stp>
        <stp>.SPY161216P209</stp>
        <tr r="O777" s="1"/>
      </tp>
      <tp>
        <v>225</v>
        <stp/>
        <stp>BID_SIZE</stp>
        <stp>.SPY151219C205</stp>
        <tr r="D517" s="1"/>
      </tp>
      <tp t="s">
        <v>N/A</v>
        <stp/>
        <stp>BID_SIZE</stp>
        <stp>.SPY161216C209</stp>
        <tr r="D777" s="1"/>
      </tp>
      <tp>
        <v>2545</v>
        <stp/>
        <stp>BID_SIZE</stp>
        <stp>.SPY151219P206</stp>
        <tr r="O519" s="1"/>
      </tp>
      <tp t="s">
        <v>N/A</v>
        <stp/>
        <stp>BID_SIZE</stp>
        <stp>.SPY171215P208</stp>
        <tr r="O901" s="1"/>
      </tp>
      <tp>
        <v>365</v>
        <stp/>
        <stp>BID_SIZE</stp>
        <stp>.SPY151219C206</stp>
        <tr r="D519" s="1"/>
      </tp>
      <tp t="s">
        <v>N/A</v>
        <stp/>
        <stp>BID_SIZE</stp>
        <stp>.SPY171215C208</stp>
        <tr r="D901" s="1"/>
      </tp>
      <tp>
        <v>156</v>
        <stp/>
        <stp>BID_SIZE</stp>
        <stp>.SPY151219P207</stp>
        <tr r="O521" s="1"/>
      </tp>
      <tp t="s">
        <v>N/A</v>
        <stp/>
        <stp>BID_SIZE</stp>
        <stp>.SPY171215P209</stp>
        <tr r="O903" s="1"/>
      </tp>
      <tp>
        <v>2545</v>
        <stp/>
        <stp>BID_SIZE</stp>
        <stp>.SPY151219C207</stp>
        <tr r="D521" s="1"/>
      </tp>
      <tp t="s">
        <v>N/A</v>
        <stp/>
        <stp>BID_SIZE</stp>
        <stp>.SPY171215C209</stp>
        <tr r="D903" s="1"/>
      </tp>
      <tp>
        <v>143</v>
        <stp/>
        <stp>BID_SIZE</stp>
        <stp>.SPY151231P210</stp>
        <tr r="O569" s="1"/>
      </tp>
      <tp>
        <v>2449</v>
        <stp/>
        <stp>BID_SIZE</stp>
        <stp>.SPY151231C210</stp>
        <tr r="D569" s="1"/>
      </tp>
      <tp>
        <v>2295</v>
        <stp/>
        <stp>BID_SIZE</stp>
        <stp>.SPY151231P211</stp>
        <tr r="O571" s="1"/>
      </tp>
      <tp>
        <v>2474</v>
        <stp/>
        <stp>BID_SIZE</stp>
        <stp>.SPY151231C211</stp>
        <tr r="D571" s="1"/>
      </tp>
      <tp>
        <v>139</v>
        <stp/>
        <stp>BID_SIZE</stp>
        <stp>.SPY151231P212</stp>
        <tr r="O573" s="1"/>
      </tp>
      <tp>
        <v>2475</v>
        <stp/>
        <stp>BID_SIZE</stp>
        <stp>.SPY151231C212</stp>
        <tr r="D573" s="1"/>
      </tp>
      <tp>
        <v>128</v>
        <stp/>
        <stp>BID_SIZE</stp>
        <stp>.SPY151231P213</stp>
        <tr r="O575" s="1"/>
      </tp>
      <tp>
        <v>2295</v>
        <stp/>
        <stp>BID_SIZE</stp>
        <stp>.SPY151231C213</stp>
        <tr r="D575" s="1"/>
      </tp>
      <tp>
        <v>653</v>
        <stp/>
        <stp>BID_SIZE</stp>
        <stp>.SPY151231P214</stp>
        <tr r="O577" s="1"/>
      </tp>
      <tp>
        <v>2459</v>
        <stp/>
        <stp>BID_SIZE</stp>
        <stp>.SPY151231C214</stp>
        <tr r="D577" s="1"/>
      </tp>
      <tp>
        <v>1</v>
        <stp/>
        <stp>BID_SIZE</stp>
        <stp>.SPY151231P215</stp>
        <tr r="O579" s="1"/>
      </tp>
      <tp>
        <v>2463</v>
        <stp/>
        <stp>BID_SIZE</stp>
        <stp>.SPY151231C215</stp>
        <tr r="D579" s="1"/>
      </tp>
      <tp>
        <v>229</v>
        <stp/>
        <stp>BID_SIZE</stp>
        <stp>.SPY151231P216</stp>
        <tr r="O581" s="1"/>
      </tp>
      <tp>
        <v>2501</v>
        <stp/>
        <stp>BID_SIZE</stp>
        <stp>.SPY151231C216</stp>
        <tr r="D581" s="1"/>
      </tp>
      <tp>
        <v>230</v>
        <stp/>
        <stp>BID_SIZE</stp>
        <stp>.SPY151231P217</stp>
        <tr r="O583" s="1"/>
      </tp>
      <tp>
        <v>2510</v>
        <stp/>
        <stp>BID_SIZE</stp>
        <stp>.SPY151231C217</stp>
        <tr r="D583" s="1"/>
      </tp>
      <tp>
        <v>150</v>
        <stp/>
        <stp>BID_SIZE</stp>
        <stp>.SPY151231P218</stp>
        <tr r="O585" s="1"/>
      </tp>
      <tp>
        <v>1788</v>
        <stp/>
        <stp>BID_SIZE</stp>
        <stp>.SPY151231C218</stp>
        <tr r="D585" s="1"/>
      </tp>
      <tp>
        <v>1</v>
        <stp/>
        <stp>BID_SIZE</stp>
        <stp>.SPY151231P219</stp>
        <tr r="O587" s="1"/>
      </tp>
      <tp>
        <v>168</v>
        <stp/>
        <stp>BID_SIZE</stp>
        <stp>.SPY151231C219</stp>
        <tr r="D587" s="1"/>
      </tp>
      <tp>
        <v>0</v>
        <stp/>
        <stp>BID_SIZE</stp>
        <stp>.SPY150424P208.5</stp>
        <tr r="O62" s="1"/>
      </tp>
      <tp>
        <v>0</v>
        <stp/>
        <stp>BID_SIZE</stp>
        <stp>.SPY150424P218.5</stp>
        <tr r="O82" s="1"/>
      </tp>
      <tp t="s">
        <v>N/A</v>
        <stp/>
        <stp>ASK_SIZE</stp>
        <stp>.SPY150717P214.5</stp>
        <tr r="M410" s="1"/>
      </tp>
      <tp t="s">
        <v>N/A</v>
        <stp/>
        <stp>ASK_SIZE</stp>
        <stp>.SPY150717P204.5</stp>
        <tr r="M390" s="1"/>
      </tp>
      <tp>
        <v>1200</v>
        <stp/>
        <stp>BID_SIZE</stp>
        <stp>.SPY150508P204.5</stp>
        <tr r="O138" s="1"/>
      </tp>
      <tp>
        <v>250</v>
        <stp/>
        <stp>BID_SIZE</stp>
        <stp>.SPY150515P219.5</stp>
        <tr r="O210" s="1"/>
      </tp>
      <tp>
        <v>111</v>
        <stp/>
        <stp>BID_SIZE</stp>
        <stp>.SPY150508P214.5</stp>
        <tr r="O158" s="1"/>
      </tp>
      <tp>
        <v>3</v>
        <stp/>
        <stp>BID_SIZE</stp>
        <stp>.SPY150515P209.5</stp>
        <tr r="O190" s="1"/>
      </tp>
      <tp>
        <v>240</v>
        <stp/>
        <stp>BID_SIZE</stp>
        <stp>.SPY150529P205.5</stp>
        <tr r="O266" s="1"/>
      </tp>
      <tp>
        <v>240</v>
        <stp/>
        <stp>BID_SIZE</stp>
        <stp>.SPY150529P215.5</stp>
        <tr r="O286" s="1"/>
      </tp>
      <tp t="s">
        <v>N/A</v>
        <stp/>
        <stp>ASK_SIZE</stp>
        <stp>.SPY150630P213.5</stp>
        <tr r="M366" s="1"/>
      </tp>
      <tp t="s">
        <v>N/A</v>
        <stp/>
        <stp>ASK_SIZE</stp>
        <stp>.SPY150630P203.5</stp>
        <tr r="M346" s="1"/>
      </tp>
      <tp t="s">
        <v>N/A</v>
        <stp/>
        <stp>ASK_SIZE</stp>
        <stp>.SPY160617P217.5</stp>
        <tr r="M710" s="1"/>
      </tp>
      <tp t="s">
        <v>N/A</v>
        <stp/>
        <stp>ASK_SIZE</stp>
        <stp>.SPY160617P207.5</stp>
        <tr r="M690" s="1"/>
      </tp>
      <tp t="s">
        <v>N/A</v>
        <stp/>
        <stp>BID_SIZE</stp>
        <stp>.SPY150619P215.5</stp>
        <tr r="O328" s="1"/>
      </tp>
      <tp t="s">
        <v>N/A</v>
        <stp/>
        <stp>BID_SIZE</stp>
        <stp>.SPY160617P218.5</stp>
        <tr r="O712" s="1"/>
      </tp>
      <tp t="s">
        <v>N/A</v>
        <stp/>
        <stp>BID_SIZE</stp>
        <stp>.SPY150619P205.5</stp>
        <tr r="O308" s="1"/>
      </tp>
      <tp t="s">
        <v>N/A</v>
        <stp/>
        <stp>BID_SIZE</stp>
        <stp>.SPY160617P208.5</stp>
        <tr r="O692" s="1"/>
      </tp>
      <tp>
        <v>396</v>
        <stp/>
        <stp>ASK_SIZE</stp>
        <stp>.SPY150522P201.5</stp>
        <tr r="M216" s="1"/>
      </tp>
      <tp>
        <v>200</v>
        <stp/>
        <stp>ASK_SIZE</stp>
        <stp>.SPY150522P211.5</stp>
        <tr r="M236" s="1"/>
      </tp>
      <tp>
        <v>0</v>
        <stp/>
        <stp>ASK_SIZE</stp>
        <stp>.SPY150501P202.5</stp>
        <tr r="M92" s="1"/>
      </tp>
      <tp>
        <v>250</v>
        <stp/>
        <stp>ASK_SIZE</stp>
        <stp>.SPY150515P216.5</stp>
        <tr r="M204" s="1"/>
      </tp>
      <tp>
        <v>0</v>
        <stp/>
        <stp>ASK_SIZE</stp>
        <stp>.SPY150501P212.5</stp>
        <tr r="M112" s="1"/>
      </tp>
      <tp>
        <v>250</v>
        <stp/>
        <stp>ASK_SIZE</stp>
        <stp>.SPY150515P206.5</stp>
        <tr r="M184" s="1"/>
      </tp>
      <tp>
        <v>0</v>
        <stp/>
        <stp>ASK_SIZE</stp>
        <stp>.SPY150424P207.5</stp>
        <tr r="M60" s="1"/>
      </tp>
      <tp>
        <v>0</v>
        <stp/>
        <stp>ASK_SIZE</stp>
        <stp>.SPY150424P217.5</stp>
        <tr r="M80" s="1"/>
      </tp>
      <tp>
        <v>0</v>
        <stp/>
        <stp>ASK_SIZE</stp>
        <stp>.SPY150417P214.5</stp>
        <tr r="M32" s="1"/>
      </tp>
      <tp>
        <v>0</v>
        <stp/>
        <stp>ASK_SIZE</stp>
        <stp>.SPY150417P204.5</stp>
        <tr r="M12" s="1"/>
      </tp>
      <tp t="s">
        <v>N/A</v>
        <stp/>
        <stp>ASK_SIZE</stp>
        <stp>.SPY160318P218.5</stp>
        <tr r="M670" s="1"/>
      </tp>
      <tp t="s">
        <v>N/A</v>
        <stp/>
        <stp>ASK_SIZE</stp>
        <stp>.SPY170317P216.5</stp>
        <tr r="M876" s="1"/>
      </tp>
      <tp t="s">
        <v>N/A</v>
        <stp/>
        <stp>ASK_SIZE</stp>
        <stp>.SPY160318P208.5</stp>
        <tr r="M650" s="1"/>
      </tp>
      <tp t="s">
        <v>N/A</v>
        <stp/>
        <stp>ASK_SIZE</stp>
        <stp>.SPY170317P206.5</stp>
        <tr r="M856" s="1"/>
      </tp>
      <tp t="s">
        <v>N/A</v>
        <stp/>
        <stp>ASK_SIZE</stp>
        <stp>.SPY170120P201.5</stp>
        <tr r="M804" s="1"/>
      </tp>
      <tp t="s">
        <v>N/A</v>
        <stp/>
        <stp>ASK_SIZE</stp>
        <stp>.SPY170120P211.5</stp>
        <tr r="M824" s="1"/>
      </tp>
      <tp t="s">
        <v>N/A</v>
        <stp/>
        <stp>ASK_SIZE</stp>
        <stp>.SPY160115P215.5</stp>
        <tr r="M622" s="1"/>
      </tp>
      <tp t="s">
        <v>N/A</v>
        <stp/>
        <stp>ASK_SIZE</stp>
        <stp>.SPY160115P205.5</stp>
        <tr r="M602" s="1"/>
      </tp>
      <tp t="s">
        <v>N/A</v>
        <stp/>
        <stp>BID_SIZE</stp>
        <stp>.SPY160318P217.5</stp>
        <tr r="O668" s="1"/>
      </tp>
      <tp t="s">
        <v>N/A</v>
        <stp/>
        <stp>BID_SIZE</stp>
        <stp>.SPY170317P219.5</stp>
        <tr r="O882" s="1"/>
      </tp>
      <tp t="s">
        <v>N/A</v>
        <stp/>
        <stp>BID_SIZE</stp>
        <stp>.SPY160318P207.5</stp>
        <tr r="O648" s="1"/>
      </tp>
      <tp t="s">
        <v>N/A</v>
        <stp/>
        <stp>BID_SIZE</stp>
        <stp>.SPY170317P209.5</stp>
        <tr r="O862" s="1"/>
      </tp>
      <tp t="s">
        <v>N/A</v>
        <stp/>
        <stp>BID_SIZE</stp>
        <stp>.SPY150918P214.5</stp>
        <tr r="O452" s="1"/>
      </tp>
      <tp t="s">
        <v>N/A</v>
        <stp/>
        <stp>BID_SIZE</stp>
        <stp>.SPY160916P219.5</stp>
        <tr r="O756" s="1"/>
      </tp>
      <tp t="s">
        <v>N/A</v>
        <stp/>
        <stp>BID_SIZE</stp>
        <stp>.SPY150918P204.5</stp>
        <tr r="O432" s="1"/>
      </tp>
      <tp t="s">
        <v>N/A</v>
        <stp/>
        <stp>BID_SIZE</stp>
        <stp>.SPY160916P209.5</stp>
        <tr r="O736" s="1"/>
      </tp>
      <tp t="s">
        <v>N/A</v>
        <stp/>
        <stp>ASK_SIZE</stp>
        <stp>.SPY150930P213.5</stp>
        <tr r="M492" s="1"/>
      </tp>
      <tp t="s">
        <v>N/A</v>
        <stp/>
        <stp>ASK_SIZE</stp>
        <stp>.SPY150930P203.5</stp>
        <tr r="M472" s="1"/>
      </tp>
      <tp t="s">
        <v>N/A</v>
        <stp/>
        <stp>ASK_SIZE</stp>
        <stp>.SPY160916P216.5</stp>
        <tr r="M750" s="1"/>
      </tp>
      <tp t="s">
        <v>N/A</v>
        <stp/>
        <stp>ASK_SIZE</stp>
        <stp>.SPY160916P206.5</stp>
        <tr r="M730" s="1"/>
      </tp>
      <tp>
        <v>232</v>
        <stp/>
        <stp>BID_SIZE</stp>
        <stp>.SPY151231P200</stp>
        <tr r="O549" s="1"/>
      </tp>
      <tp>
        <v>182</v>
        <stp/>
        <stp>BID_SIZE</stp>
        <stp>.SPY151231C200</stp>
        <tr r="D549" s="1"/>
      </tp>
      <tp>
        <v>219</v>
        <stp/>
        <stp>BID_SIZE</stp>
        <stp>.SPY151231P201</stp>
        <tr r="O551" s="1"/>
      </tp>
      <tp>
        <v>160</v>
        <stp/>
        <stp>BID_SIZE</stp>
        <stp>.SPY151231C201</stp>
        <tr r="D551" s="1"/>
      </tp>
      <tp>
        <v>2295</v>
        <stp/>
        <stp>BID_SIZE</stp>
        <stp>.SPY151231P202</stp>
        <tr r="O553" s="1"/>
      </tp>
      <tp>
        <v>189</v>
        <stp/>
        <stp>BID_SIZE</stp>
        <stp>.SPY151231C202</stp>
        <tr r="D553" s="1"/>
      </tp>
      <tp>
        <v>2367</v>
        <stp/>
        <stp>BID_SIZE</stp>
        <stp>.SPY151231P203</stp>
        <tr r="O555" s="1"/>
      </tp>
      <tp>
        <v>185</v>
        <stp/>
        <stp>BID_SIZE</stp>
        <stp>.SPY151231C203</stp>
        <tr r="D555" s="1"/>
      </tp>
      <tp>
        <v>2295</v>
        <stp/>
        <stp>BID_SIZE</stp>
        <stp>.SPY151231P204</stp>
        <tr r="O557" s="1"/>
      </tp>
      <tp>
        <v>189</v>
        <stp/>
        <stp>BID_SIZE</stp>
        <stp>.SPY151231C204</stp>
        <tr r="D557" s="1"/>
      </tp>
      <tp>
        <v>2295</v>
        <stp/>
        <stp>BID_SIZE</stp>
        <stp>.SPY151231P205</stp>
        <tr r="O559" s="1"/>
      </tp>
      <tp>
        <v>160</v>
        <stp/>
        <stp>BID_SIZE</stp>
        <stp>.SPY151231C205</stp>
        <tr r="D559" s="1"/>
      </tp>
      <tp>
        <v>2295</v>
        <stp/>
        <stp>BID_SIZE</stp>
        <stp>.SPY151231P206</stp>
        <tr r="O561" s="1"/>
      </tp>
      <tp>
        <v>140</v>
        <stp/>
        <stp>BID_SIZE</stp>
        <stp>.SPY151231C206</stp>
        <tr r="D561" s="1"/>
      </tp>
      <tp>
        <v>141</v>
        <stp/>
        <stp>BID_SIZE</stp>
        <stp>.SPY151231P207</stp>
        <tr r="O563" s="1"/>
      </tp>
      <tp>
        <v>150</v>
        <stp/>
        <stp>BID_SIZE</stp>
        <stp>.SPY151231C207</stp>
        <tr r="D563" s="1"/>
      </tp>
      <tp>
        <v>2295</v>
        <stp/>
        <stp>BID_SIZE</stp>
        <stp>.SPY151231P208</stp>
        <tr r="O565" s="1"/>
      </tp>
      <tp>
        <v>2323</v>
        <stp/>
        <stp>BID_SIZE</stp>
        <stp>.SPY151231C208</stp>
        <tr r="D565" s="1"/>
      </tp>
      <tp>
        <v>2295</v>
        <stp/>
        <stp>BID_SIZE</stp>
        <stp>.SPY151231P209</stp>
        <tr r="O567" s="1"/>
      </tp>
      <tp>
        <v>149</v>
        <stp/>
        <stp>BID_SIZE</stp>
        <stp>.SPY151231C209</stp>
        <tr r="D567" s="1"/>
      </tp>
      <tp t="s">
        <v>N/A</v>
        <stp/>
        <stp>ASK_SIZE</stp>
        <stp>.SPY151231P212.5</stp>
        <tr r="M574" s="1"/>
      </tp>
      <tp t="s">
        <v>N/A</v>
        <stp/>
        <stp>ASK_SIZE</stp>
        <stp>.SPY151231P202.5</stp>
        <tr r="M554" s="1"/>
      </tp>
      <tp t="s">
        <v>N/A</v>
        <stp/>
        <stp>ASK_SIZE</stp>
        <stp>.SPY161216P216.5</stp>
        <tr r="M792" s="1"/>
      </tp>
      <tp t="s">
        <v>N/A</v>
        <stp/>
        <stp>ASK_SIZE</stp>
        <stp>.SPY171215P214.5</stp>
        <tr r="M914" s="1"/>
      </tp>
      <tp t="s">
        <v>N/A</v>
        <stp/>
        <stp>ASK_SIZE</stp>
        <stp>.SPY161216P206.5</stp>
        <tr r="M772" s="1"/>
      </tp>
      <tp t="s">
        <v>N/A</v>
        <stp/>
        <stp>ASK_SIZE</stp>
        <stp>.SPY171215P204.5</stp>
        <tr r="M894" s="1"/>
      </tp>
      <tp t="s">
        <v>N/A</v>
        <stp/>
        <stp>BID_SIZE</stp>
        <stp>.SPY151219P215.5</stp>
        <tr r="O538" s="1"/>
      </tp>
      <tp t="s">
        <v>N/A</v>
        <stp/>
        <stp>BID_SIZE</stp>
        <stp>.SPY161216P219.5</stp>
        <tr r="O798" s="1"/>
      </tp>
      <tp t="s">
        <v>N/A</v>
        <stp/>
        <stp>BID_SIZE</stp>
        <stp>.SPY151219P205.5</stp>
        <tr r="O518" s="1"/>
      </tp>
      <tp t="s">
        <v>N/A</v>
        <stp/>
        <stp>BID_SIZE</stp>
        <stp>.SPY161216P209.5</stp>
        <tr r="O778" s="1"/>
      </tp>
      <tp t="s">
        <v>N/A</v>
        <stp/>
        <stp>OPEN_INT</stp>
        <stp>.SPY170317P201</stp>
        <tr r="Q845" s="1"/>
      </tp>
      <tp t="s">
        <v>N/A</v>
        <stp/>
        <stp>OPEN_INT</stp>
        <stp>.SPY170317C201</stp>
        <tr r="F845" s="1"/>
      </tp>
      <tp>
        <v>5</v>
        <stp/>
        <stp>OPEN_INT</stp>
        <stp>.SPY170317P200</stp>
        <tr r="Q843" s="1"/>
      </tp>
      <tp>
        <v>19</v>
        <stp/>
        <stp>OPEN_INT</stp>
        <stp>.SPY170317C200</stp>
        <tr r="F843" s="1"/>
      </tp>
      <tp t="s">
        <v>N/A</v>
        <stp/>
        <stp>OPEN_INT</stp>
        <stp>.SPY170317P203</stp>
        <tr r="Q849" s="1"/>
      </tp>
      <tp t="s">
        <v>N/A</v>
        <stp/>
        <stp>OPEN_INT</stp>
        <stp>.SPY170317C203</stp>
        <tr r="F849" s="1"/>
      </tp>
      <tp t="s">
        <v>N/A</v>
        <stp/>
        <stp>OPEN_INT</stp>
        <stp>.SPY170317P202</stp>
        <tr r="Q847" s="1"/>
      </tp>
      <tp t="s">
        <v>N/A</v>
        <stp/>
        <stp>OPEN_INT</stp>
        <stp>.SPY170317C202</stp>
        <tr r="F847" s="1"/>
      </tp>
      <tp>
        <v>3</v>
        <stp/>
        <stp>OPEN_INT</stp>
        <stp>.SPY170317P205</stp>
        <tr r="Q853" s="1"/>
      </tp>
      <tp>
        <v>4</v>
        <stp/>
        <stp>OPEN_INT</stp>
        <stp>.SPY170317C205</stp>
        <tr r="F853" s="1"/>
      </tp>
      <tp t="s">
        <v>N/A</v>
        <stp/>
        <stp>OPEN_INT</stp>
        <stp>.SPY170317P204</stp>
        <tr r="Q851" s="1"/>
      </tp>
      <tp t="s">
        <v>N/A</v>
        <stp/>
        <stp>OPEN_INT</stp>
        <stp>.SPY170317C204</stp>
        <tr r="F851" s="1"/>
      </tp>
      <tp t="s">
        <v>N/A</v>
        <stp/>
        <stp>OPEN_INT</stp>
        <stp>.SPY160318P209</stp>
        <tr r="Q651" s="1"/>
      </tp>
      <tp t="s">
        <v>N/A</v>
        <stp/>
        <stp>OPEN_INT</stp>
        <stp>.SPY170317P207</stp>
        <tr r="Q857" s="1"/>
      </tp>
      <tp t="s">
        <v>N/A</v>
        <stp/>
        <stp>OPEN_INT</stp>
        <stp>.SPY160318C209</stp>
        <tr r="F651" s="1"/>
      </tp>
      <tp t="s">
        <v>N/A</v>
        <stp/>
        <stp>OPEN_INT</stp>
        <stp>.SPY170317C207</stp>
        <tr r="F857" s="1"/>
      </tp>
      <tp t="s">
        <v>N/A</v>
        <stp/>
        <stp>OPEN_INT</stp>
        <stp>.SPY160318P208</stp>
        <tr r="Q649" s="1"/>
      </tp>
      <tp t="s">
        <v>N/A</v>
        <stp/>
        <stp>OPEN_INT</stp>
        <stp>.SPY170317P206</stp>
        <tr r="Q855" s="1"/>
      </tp>
      <tp t="s">
        <v>N/A</v>
        <stp/>
        <stp>OPEN_INT</stp>
        <stp>.SPY160318C208</stp>
        <tr r="F649" s="1"/>
      </tp>
      <tp t="s">
        <v>N/A</v>
        <stp/>
        <stp>OPEN_INT</stp>
        <stp>.SPY170317C206</stp>
        <tr r="F855" s="1"/>
      </tp>
      <tp t="s">
        <v>N/A</v>
        <stp/>
        <stp>OPEN_INT</stp>
        <stp>.SPY160318P207</stp>
        <tr r="Q647" s="1"/>
      </tp>
      <tp t="s">
        <v>N/A</v>
        <stp/>
        <stp>OPEN_INT</stp>
        <stp>.SPY170317P209</stp>
        <tr r="Q861" s="1"/>
      </tp>
      <tp t="s">
        <v>N/A</v>
        <stp/>
        <stp>OPEN_INT</stp>
        <stp>.SPY160318C207</stp>
        <tr r="F647" s="1"/>
      </tp>
      <tp t="s">
        <v>N/A</v>
        <stp/>
        <stp>OPEN_INT</stp>
        <stp>.SPY170317C209</stp>
        <tr r="F861" s="1"/>
      </tp>
      <tp t="s">
        <v>N/A</v>
        <stp/>
        <stp>OPEN_INT</stp>
        <stp>.SPY160318P206</stp>
        <tr r="Q645" s="1"/>
      </tp>
      <tp t="s">
        <v>N/A</v>
        <stp/>
        <stp>OPEN_INT</stp>
        <stp>.SPY170317P208</stp>
        <tr r="Q859" s="1"/>
      </tp>
      <tp t="s">
        <v>N/A</v>
        <stp/>
        <stp>OPEN_INT</stp>
        <stp>.SPY160318C206</stp>
        <tr r="F645" s="1"/>
      </tp>
      <tp t="s">
        <v>N/A</v>
        <stp/>
        <stp>OPEN_INT</stp>
        <stp>.SPY170317C208</stp>
        <tr r="F859" s="1"/>
      </tp>
      <tp>
        <v>7057</v>
        <stp/>
        <stp>OPEN_INT</stp>
        <stp>.SPY160318P205</stp>
        <tr r="Q643" s="1"/>
      </tp>
      <tp>
        <v>694</v>
        <stp/>
        <stp>OPEN_INT</stp>
        <stp>.SPY160318C205</stp>
        <tr r="F643" s="1"/>
      </tp>
      <tp t="s">
        <v>N/A</v>
        <stp/>
        <stp>OPEN_INT</stp>
        <stp>.SPY160318P204</stp>
        <tr r="Q641" s="1"/>
      </tp>
      <tp t="s">
        <v>N/A</v>
        <stp/>
        <stp>OPEN_INT</stp>
        <stp>.SPY160318C204</stp>
        <tr r="F641" s="1"/>
      </tp>
      <tp t="s">
        <v>N/A</v>
        <stp/>
        <stp>OPEN_INT</stp>
        <stp>.SPY160318P203</stp>
        <tr r="Q639" s="1"/>
      </tp>
      <tp t="s">
        <v>N/A</v>
        <stp/>
        <stp>OPEN_INT</stp>
        <stp>.SPY160318C203</stp>
        <tr r="F639" s="1"/>
      </tp>
      <tp t="s">
        <v>N/A</v>
        <stp/>
        <stp>OPEN_INT</stp>
        <stp>.SPY160318P202</stp>
        <tr r="Q637" s="1"/>
      </tp>
      <tp t="s">
        <v>N/A</v>
        <stp/>
        <stp>OPEN_INT</stp>
        <stp>.SPY160318C202</stp>
        <tr r="F637" s="1"/>
      </tp>
      <tp t="s">
        <v>N/A</v>
        <stp/>
        <stp>OPEN_INT</stp>
        <stp>.SPY160318P201</stp>
        <tr r="Q635" s="1"/>
      </tp>
      <tp t="s">
        <v>N/A</v>
        <stp/>
        <stp>OPEN_INT</stp>
        <stp>.SPY160318C201</stp>
        <tr r="F635" s="1"/>
      </tp>
      <tp>
        <v>4125</v>
        <stp/>
        <stp>OPEN_INT</stp>
        <stp>.SPY160318P200</stp>
        <tr r="Q633" s="1"/>
      </tp>
      <tp>
        <v>1098</v>
        <stp/>
        <stp>OPEN_INT</stp>
        <stp>.SPY160318C200</stp>
        <tr r="F633" s="1"/>
      </tp>
      <tp t="s">
        <v>N/A</v>
        <stp/>
        <stp>ASK_SIZE</stp>
        <stp>.SPY170120P208</stp>
        <tr r="M817" s="1"/>
      </tp>
      <tp t="s">
        <v>N/A</v>
        <stp/>
        <stp>ASK_SIZE</stp>
        <stp>.SPY170120C208</stp>
        <tr r="B817" s="1"/>
      </tp>
      <tp t="s">
        <v>N/A</v>
        <stp/>
        <stp>ASK_SIZE</stp>
        <stp>.SPY170120P209</stp>
        <tr r="M819" s="1"/>
      </tp>
      <tp t="s">
        <v>N/A</v>
        <stp/>
        <stp>ASK_SIZE</stp>
        <stp>.SPY170120C209</stp>
        <tr r="B819" s="1"/>
      </tp>
      <tp t="s">
        <v>N/A</v>
        <stp/>
        <stp>ASK_SIZE</stp>
        <stp>.SPY170120P204</stp>
        <tr r="M809" s="1"/>
      </tp>
      <tp t="s">
        <v>N/A</v>
        <stp/>
        <stp>ASK_SIZE</stp>
        <stp>.SPY170120C204</stp>
        <tr r="B809" s="1"/>
      </tp>
      <tp>
        <v>1340</v>
        <stp/>
        <stp>ASK_SIZE</stp>
        <stp>.SPY170120P205</stp>
        <tr r="M811" s="1"/>
      </tp>
      <tp>
        <v>111</v>
        <stp/>
        <stp>ASK_SIZE</stp>
        <stp>.SPY170120C205</stp>
        <tr r="B811" s="1"/>
      </tp>
      <tp t="s">
        <v>N/A</v>
        <stp/>
        <stp>ASK_SIZE</stp>
        <stp>.SPY170120P206</stp>
        <tr r="M813" s="1"/>
      </tp>
      <tp t="s">
        <v>N/A</v>
        <stp/>
        <stp>ASK_SIZE</stp>
        <stp>.SPY170120C206</stp>
        <tr r="B813" s="1"/>
      </tp>
      <tp t="s">
        <v>N/A</v>
        <stp/>
        <stp>ASK_SIZE</stp>
        <stp>.SPY170120P207</stp>
        <tr r="M815" s="1"/>
      </tp>
      <tp t="s">
        <v>N/A</v>
        <stp/>
        <stp>ASK_SIZE</stp>
        <stp>.SPY170120C207</stp>
        <tr r="B815" s="1"/>
      </tp>
      <tp>
        <v>275</v>
        <stp/>
        <stp>ASK_SIZE</stp>
        <stp>.SPY170120P200</stp>
        <tr r="M801" s="1"/>
      </tp>
      <tp>
        <v>234</v>
        <stp/>
        <stp>ASK_SIZE</stp>
        <stp>.SPY170120C200</stp>
        <tr r="B801" s="1"/>
      </tp>
      <tp t="s">
        <v>N/A</v>
        <stp/>
        <stp>ASK_SIZE</stp>
        <stp>.SPY170120P201</stp>
        <tr r="M803" s="1"/>
      </tp>
      <tp t="s">
        <v>N/A</v>
        <stp/>
        <stp>ASK_SIZE</stp>
        <stp>.SPY170120C201</stp>
        <tr r="B803" s="1"/>
      </tp>
      <tp t="s">
        <v>N/A</v>
        <stp/>
        <stp>ASK_SIZE</stp>
        <stp>.SPY170120P202</stp>
        <tr r="M805" s="1"/>
      </tp>
      <tp t="s">
        <v>N/A</v>
        <stp/>
        <stp>ASK_SIZE</stp>
        <stp>.SPY170120C202</stp>
        <tr r="B805" s="1"/>
      </tp>
      <tp t="s">
        <v>N/A</v>
        <stp/>
        <stp>ASK_SIZE</stp>
        <stp>.SPY170120P203</stp>
        <tr r="M807" s="1"/>
      </tp>
      <tp t="s">
        <v>N/A</v>
        <stp/>
        <stp>ASK_SIZE</stp>
        <stp>.SPY170120C203</stp>
        <tr r="B807" s="1"/>
      </tp>
      <tp t="s">
        <v>N/A</v>
        <stp/>
        <stp>OPEN_INT</stp>
        <stp>.SPY170317P211</stp>
        <tr r="Q865" s="1"/>
      </tp>
      <tp t="s">
        <v>N/A</v>
        <stp/>
        <stp>OPEN_INT</stp>
        <stp>.SPY170317C211</stp>
        <tr r="F865" s="1"/>
      </tp>
      <tp>
        <v>18</v>
        <stp/>
        <stp>OPEN_INT</stp>
        <stp>.SPY170317P210</stp>
        <tr r="Q863" s="1"/>
      </tp>
      <tp>
        <v>23</v>
        <stp/>
        <stp>OPEN_INT</stp>
        <stp>.SPY170317C210</stp>
        <tr r="F863" s="1"/>
      </tp>
      <tp t="s">
        <v>N/A</v>
        <stp/>
        <stp>OPEN_INT</stp>
        <stp>.SPY170317P213</stp>
        <tr r="Q869" s="1"/>
      </tp>
      <tp t="s">
        <v>N/A</v>
        <stp/>
        <stp>OPEN_INT</stp>
        <stp>.SPY170317C213</stp>
        <tr r="F869" s="1"/>
      </tp>
      <tp t="s">
        <v>N/A</v>
        <stp/>
        <stp>OPEN_INT</stp>
        <stp>.SPY170317P212</stp>
        <tr r="Q867" s="1"/>
      </tp>
      <tp t="s">
        <v>N/A</v>
        <stp/>
        <stp>OPEN_INT</stp>
        <stp>.SPY170317C212</stp>
        <tr r="F867" s="1"/>
      </tp>
      <tp>
        <v>3</v>
        <stp/>
        <stp>OPEN_INT</stp>
        <stp>.SPY170317P215</stp>
        <tr r="Q873" s="1"/>
      </tp>
      <tp>
        <v>6</v>
        <stp/>
        <stp>OPEN_INT</stp>
        <stp>.SPY170317C215</stp>
        <tr r="F873" s="1"/>
      </tp>
      <tp t="s">
        <v>N/A</v>
        <stp/>
        <stp>OPEN_INT</stp>
        <stp>.SPY170317P214</stp>
        <tr r="Q871" s="1"/>
      </tp>
      <tp t="s">
        <v>N/A</v>
        <stp/>
        <stp>OPEN_INT</stp>
        <stp>.SPY170317C214</stp>
        <tr r="F871" s="1"/>
      </tp>
      <tp t="s">
        <v>N/A</v>
        <stp/>
        <stp>OPEN_INT</stp>
        <stp>.SPY160318P219</stp>
        <tr r="Q671" s="1"/>
      </tp>
      <tp t="s">
        <v>N/A</v>
        <stp/>
        <stp>OPEN_INT</stp>
        <stp>.SPY170317P217</stp>
        <tr r="Q877" s="1"/>
      </tp>
      <tp t="s">
        <v>N/A</v>
        <stp/>
        <stp>OPEN_INT</stp>
        <stp>.SPY160318C219</stp>
        <tr r="F671" s="1"/>
      </tp>
      <tp t="s">
        <v>N/A</v>
        <stp/>
        <stp>OPEN_INT</stp>
        <stp>.SPY170317C217</stp>
        <tr r="F877" s="1"/>
      </tp>
      <tp t="s">
        <v>N/A</v>
        <stp/>
        <stp>OPEN_INT</stp>
        <stp>.SPY160318P218</stp>
        <tr r="Q669" s="1"/>
      </tp>
      <tp t="s">
        <v>N/A</v>
        <stp/>
        <stp>OPEN_INT</stp>
        <stp>.SPY170317P216</stp>
        <tr r="Q875" s="1"/>
      </tp>
      <tp t="s">
        <v>N/A</v>
        <stp/>
        <stp>OPEN_INT</stp>
        <stp>.SPY160318C218</stp>
        <tr r="F669" s="1"/>
      </tp>
      <tp t="s">
        <v>N/A</v>
        <stp/>
        <stp>OPEN_INT</stp>
        <stp>.SPY170317C216</stp>
        <tr r="F875" s="1"/>
      </tp>
      <tp t="s">
        <v>N/A</v>
        <stp/>
        <stp>OPEN_INT</stp>
        <stp>.SPY160318P217</stp>
        <tr r="Q667" s="1"/>
      </tp>
      <tp t="s">
        <v>N/A</v>
        <stp/>
        <stp>OPEN_INT</stp>
        <stp>.SPY170317P219</stp>
        <tr r="Q881" s="1"/>
      </tp>
      <tp t="s">
        <v>N/A</v>
        <stp/>
        <stp>OPEN_INT</stp>
        <stp>.SPY160318C217</stp>
        <tr r="F667" s="1"/>
      </tp>
      <tp t="s">
        <v>N/A</v>
        <stp/>
        <stp>OPEN_INT</stp>
        <stp>.SPY170317C219</stp>
        <tr r="F881" s="1"/>
      </tp>
      <tp t="s">
        <v>N/A</v>
        <stp/>
        <stp>OPEN_INT</stp>
        <stp>.SPY160318P216</stp>
        <tr r="Q665" s="1"/>
      </tp>
      <tp t="s">
        <v>N/A</v>
        <stp/>
        <stp>OPEN_INT</stp>
        <stp>.SPY170317P218</stp>
        <tr r="Q879" s="1"/>
      </tp>
      <tp t="s">
        <v>N/A</v>
        <stp/>
        <stp>OPEN_INT</stp>
        <stp>.SPY160318C216</stp>
        <tr r="F665" s="1"/>
      </tp>
      <tp t="s">
        <v>N/A</v>
        <stp/>
        <stp>OPEN_INT</stp>
        <stp>.SPY170317C218</stp>
        <tr r="F879" s="1"/>
      </tp>
      <tp>
        <v>358</v>
        <stp/>
        <stp>OPEN_INT</stp>
        <stp>.SPY160318P215</stp>
        <tr r="Q663" s="1"/>
      </tp>
      <tp>
        <v>4695</v>
        <stp/>
        <stp>OPEN_INT</stp>
        <stp>.SPY160318C215</stp>
        <tr r="F663" s="1"/>
      </tp>
      <tp t="s">
        <v>N/A</v>
        <stp/>
        <stp>OPEN_INT</stp>
        <stp>.SPY160318P214</stp>
        <tr r="Q661" s="1"/>
      </tp>
      <tp t="s">
        <v>N/A</v>
        <stp/>
        <stp>OPEN_INT</stp>
        <stp>.SPY160318C214</stp>
        <tr r="F661" s="1"/>
      </tp>
      <tp t="s">
        <v>N/A</v>
        <stp/>
        <stp>OPEN_INT</stp>
        <stp>.SPY160318P213</stp>
        <tr r="Q659" s="1"/>
      </tp>
      <tp t="s">
        <v>N/A</v>
        <stp/>
        <stp>OPEN_INT</stp>
        <stp>.SPY160318C213</stp>
        <tr r="F659" s="1"/>
      </tp>
      <tp t="s">
        <v>N/A</v>
        <stp/>
        <stp>OPEN_INT</stp>
        <stp>.SPY160318P212</stp>
        <tr r="Q657" s="1"/>
      </tp>
      <tp t="s">
        <v>N/A</v>
        <stp/>
        <stp>OPEN_INT</stp>
        <stp>.SPY160318C212</stp>
        <tr r="F657" s="1"/>
      </tp>
      <tp t="s">
        <v>N/A</v>
        <stp/>
        <stp>OPEN_INT</stp>
        <stp>.SPY160318P211</stp>
        <tr r="Q655" s="1"/>
      </tp>
      <tp t="s">
        <v>N/A</v>
        <stp/>
        <stp>OPEN_INT</stp>
        <stp>.SPY160318C211</stp>
        <tr r="F655" s="1"/>
      </tp>
      <tp>
        <v>16775</v>
        <stp/>
        <stp>OPEN_INT</stp>
        <stp>.SPY160318P210</stp>
        <tr r="Q653" s="1"/>
      </tp>
      <tp>
        <v>11038</v>
        <stp/>
        <stp>OPEN_INT</stp>
        <stp>.SPY160318C210</stp>
        <tr r="F653" s="1"/>
      </tp>
      <tp t="s">
        <v>N/A</v>
        <stp/>
        <stp>ASK_SIZE</stp>
        <stp>.SPY170120P218</stp>
        <tr r="M837" s="1"/>
      </tp>
      <tp t="s">
        <v>N/A</v>
        <stp/>
        <stp>ASK_SIZE</stp>
        <stp>.SPY170120C218</stp>
        <tr r="B837" s="1"/>
      </tp>
      <tp t="s">
        <v>N/A</v>
        <stp/>
        <stp>ASK_SIZE</stp>
        <stp>.SPY170120P219</stp>
        <tr r="M839" s="1"/>
      </tp>
      <tp t="s">
        <v>N/A</v>
        <stp/>
        <stp>ASK_SIZE</stp>
        <stp>.SPY170120C219</stp>
        <tr r="B839" s="1"/>
      </tp>
      <tp t="s">
        <v>N/A</v>
        <stp/>
        <stp>ASK_SIZE</stp>
        <stp>.SPY170120P214</stp>
        <tr r="M829" s="1"/>
      </tp>
      <tp t="s">
        <v>N/A</v>
        <stp/>
        <stp>ASK_SIZE</stp>
        <stp>.SPY170120C214</stp>
        <tr r="B829" s="1"/>
      </tp>
      <tp>
        <v>310</v>
        <stp/>
        <stp>ASK_SIZE</stp>
        <stp>.SPY170120P215</stp>
        <tr r="M831" s="1"/>
      </tp>
      <tp>
        <v>101</v>
        <stp/>
        <stp>ASK_SIZE</stp>
        <stp>.SPY170120C215</stp>
        <tr r="B831" s="1"/>
      </tp>
      <tp t="s">
        <v>N/A</v>
        <stp/>
        <stp>ASK_SIZE</stp>
        <stp>.SPY170120P216</stp>
        <tr r="M833" s="1"/>
      </tp>
      <tp t="s">
        <v>N/A</v>
        <stp/>
        <stp>ASK_SIZE</stp>
        <stp>.SPY170120C216</stp>
        <tr r="B833" s="1"/>
      </tp>
      <tp t="s">
        <v>N/A</v>
        <stp/>
        <stp>ASK_SIZE</stp>
        <stp>.SPY170120P217</stp>
        <tr r="M835" s="1"/>
      </tp>
      <tp t="s">
        <v>N/A</v>
        <stp/>
        <stp>ASK_SIZE</stp>
        <stp>.SPY170120C217</stp>
        <tr r="B835" s="1"/>
      </tp>
      <tp>
        <v>275</v>
        <stp/>
        <stp>ASK_SIZE</stp>
        <stp>.SPY170120P210</stp>
        <tr r="M821" s="1"/>
      </tp>
      <tp>
        <v>60</v>
        <stp/>
        <stp>ASK_SIZE</stp>
        <stp>.SPY170120C210</stp>
        <tr r="B821" s="1"/>
      </tp>
      <tp t="s">
        <v>N/A</v>
        <stp/>
        <stp>ASK_SIZE</stp>
        <stp>.SPY170120P211</stp>
        <tr r="M823" s="1"/>
      </tp>
      <tp t="s">
        <v>N/A</v>
        <stp/>
        <stp>ASK_SIZE</stp>
        <stp>.SPY170120C211</stp>
        <tr r="B823" s="1"/>
      </tp>
      <tp t="s">
        <v>N/A</v>
        <stp/>
        <stp>ASK_SIZE</stp>
        <stp>.SPY170120P212</stp>
        <tr r="M825" s="1"/>
      </tp>
      <tp t="s">
        <v>N/A</v>
        <stp/>
        <stp>ASK_SIZE</stp>
        <stp>.SPY170120C212</stp>
        <tr r="B825" s="1"/>
      </tp>
      <tp t="s">
        <v>N/A</v>
        <stp/>
        <stp>ASK_SIZE</stp>
        <stp>.SPY170120P213</stp>
        <tr r="M827" s="1"/>
      </tp>
      <tp t="s">
        <v>N/A</v>
        <stp/>
        <stp>ASK_SIZE</stp>
        <stp>.SPY170120C213</stp>
        <tr r="B827" s="1"/>
      </tp>
      <tp>
        <v>223</v>
        <stp/>
        <stp>ASK_SIZE</stp>
        <stp>.SPY160115P218</stp>
        <tr r="M627" s="1"/>
      </tp>
      <tp>
        <v>304</v>
        <stp/>
        <stp>ASK_SIZE</stp>
        <stp>.SPY160115C218</stp>
        <tr r="B627" s="1"/>
      </tp>
      <tp t="s">
        <v>N/A</v>
        <stp/>
        <stp>ASK_SIZE</stp>
        <stp>.SPY160115P219</stp>
        <tr r="M629" s="1"/>
      </tp>
      <tp t="s">
        <v>N/A</v>
        <stp/>
        <stp>ASK_SIZE</stp>
        <stp>.SPY160115C219</stp>
        <tr r="B629" s="1"/>
      </tp>
      <tp>
        <v>319</v>
        <stp/>
        <stp>ASK_SIZE</stp>
        <stp>.SPY160115P210</stp>
        <tr r="M611" s="1"/>
      </tp>
      <tp>
        <v>138</v>
        <stp/>
        <stp>ASK_SIZE</stp>
        <stp>.SPY160115C210</stp>
        <tr r="B611" s="1"/>
      </tp>
      <tp>
        <v>441</v>
        <stp/>
        <stp>ASK_SIZE</stp>
        <stp>.SPY160115P211</stp>
        <tr r="M613" s="1"/>
      </tp>
      <tp>
        <v>131</v>
        <stp/>
        <stp>ASK_SIZE</stp>
        <stp>.SPY160115C211</stp>
        <tr r="B613" s="1"/>
      </tp>
      <tp>
        <v>627</v>
        <stp/>
        <stp>ASK_SIZE</stp>
        <stp>.SPY160115P212</stp>
        <tr r="M615" s="1"/>
      </tp>
      <tp>
        <v>128</v>
        <stp/>
        <stp>ASK_SIZE</stp>
        <stp>.SPY160115C212</stp>
        <tr r="B615" s="1"/>
      </tp>
      <tp>
        <v>361</v>
        <stp/>
        <stp>ASK_SIZE</stp>
        <stp>.SPY160115P213</stp>
        <tr r="M617" s="1"/>
      </tp>
      <tp>
        <v>144</v>
        <stp/>
        <stp>ASK_SIZE</stp>
        <stp>.SPY160115C213</stp>
        <tr r="B617" s="1"/>
      </tp>
      <tp>
        <v>230</v>
        <stp/>
        <stp>ASK_SIZE</stp>
        <stp>.SPY160115P214</stp>
        <tr r="M619" s="1"/>
      </tp>
      <tp>
        <v>151</v>
        <stp/>
        <stp>ASK_SIZE</stp>
        <stp>.SPY160115C214</stp>
        <tr r="B619" s="1"/>
      </tp>
      <tp>
        <v>221</v>
        <stp/>
        <stp>ASK_SIZE</stp>
        <stp>.SPY160115P215</stp>
        <tr r="M621" s="1"/>
      </tp>
      <tp>
        <v>304</v>
        <stp/>
        <stp>ASK_SIZE</stp>
        <stp>.SPY160115C215</stp>
        <tr r="B621" s="1"/>
      </tp>
      <tp>
        <v>256</v>
        <stp/>
        <stp>ASK_SIZE</stp>
        <stp>.SPY160115P216</stp>
        <tr r="M623" s="1"/>
      </tp>
      <tp>
        <v>2356</v>
        <stp/>
        <stp>ASK_SIZE</stp>
        <stp>.SPY160115C216</stp>
        <tr r="B623" s="1"/>
      </tp>
      <tp>
        <v>209</v>
        <stp/>
        <stp>ASK_SIZE</stp>
        <stp>.SPY160115P217</stp>
        <tr r="M625" s="1"/>
      </tp>
      <tp>
        <v>131</v>
        <stp/>
        <stp>ASK_SIZE</stp>
        <stp>.SPY160115C217</stp>
        <tr r="B625" s="1"/>
      </tp>
      <tp>
        <v>2356</v>
        <stp/>
        <stp>ASK_SIZE</stp>
        <stp>.SPY160115P208</stp>
        <tr r="M607" s="1"/>
      </tp>
      <tp>
        <v>137</v>
        <stp/>
        <stp>ASK_SIZE</stp>
        <stp>.SPY160115C208</stp>
        <tr r="B607" s="1"/>
      </tp>
      <tp>
        <v>129</v>
        <stp/>
        <stp>ASK_SIZE</stp>
        <stp>.SPY160115P209</stp>
        <tr r="M609" s="1"/>
      </tp>
      <tp>
        <v>304</v>
        <stp/>
        <stp>ASK_SIZE</stp>
        <stp>.SPY160115C209</stp>
        <tr r="B609" s="1"/>
      </tp>
      <tp>
        <v>304</v>
        <stp/>
        <stp>ASK_SIZE</stp>
        <stp>.SPY160115P200</stp>
        <tr r="M591" s="1"/>
      </tp>
      <tp>
        <v>199</v>
        <stp/>
        <stp>ASK_SIZE</stp>
        <stp>.SPY160115C200</stp>
        <tr r="B591" s="1"/>
      </tp>
      <tp>
        <v>144</v>
        <stp/>
        <stp>ASK_SIZE</stp>
        <stp>.SPY160115P201</stp>
        <tr r="M593" s="1"/>
      </tp>
      <tp>
        <v>199</v>
        <stp/>
        <stp>ASK_SIZE</stp>
        <stp>.SPY160115C201</stp>
        <tr r="B593" s="1"/>
      </tp>
      <tp>
        <v>325</v>
        <stp/>
        <stp>ASK_SIZE</stp>
        <stp>.SPY160115P202</stp>
        <tr r="M595" s="1"/>
      </tp>
      <tp>
        <v>175</v>
        <stp/>
        <stp>ASK_SIZE</stp>
        <stp>.SPY160115C202</stp>
        <tr r="B595" s="1"/>
      </tp>
      <tp>
        <v>2356</v>
        <stp/>
        <stp>ASK_SIZE</stp>
        <stp>.SPY160115P203</stp>
        <tr r="M597" s="1"/>
      </tp>
      <tp>
        <v>201</v>
        <stp/>
        <stp>ASK_SIZE</stp>
        <stp>.SPY160115C203</stp>
        <tr r="B597" s="1"/>
      </tp>
      <tp>
        <v>2356</v>
        <stp/>
        <stp>ASK_SIZE</stp>
        <stp>.SPY160115P204</stp>
        <tr r="M599" s="1"/>
      </tp>
      <tp>
        <v>207</v>
        <stp/>
        <stp>ASK_SIZE</stp>
        <stp>.SPY160115C204</stp>
        <tr r="B599" s="1"/>
      </tp>
      <tp>
        <v>2356</v>
        <stp/>
        <stp>ASK_SIZE</stp>
        <stp>.SPY160115P205</stp>
        <tr r="M601" s="1"/>
      </tp>
      <tp>
        <v>210</v>
        <stp/>
        <stp>ASK_SIZE</stp>
        <stp>.SPY160115C205</stp>
        <tr r="B601" s="1"/>
      </tp>
      <tp>
        <v>2356</v>
        <stp/>
        <stp>ASK_SIZE</stp>
        <stp>.SPY160115P206</stp>
        <tr r="M603" s="1"/>
      </tp>
      <tp>
        <v>138</v>
        <stp/>
        <stp>ASK_SIZE</stp>
        <stp>.SPY160115C206</stp>
        <tr r="B603" s="1"/>
      </tp>
      <tp>
        <v>2356</v>
        <stp/>
        <stp>ASK_SIZE</stp>
        <stp>.SPY160115P207</stp>
        <tr r="M605" s="1"/>
      </tp>
      <tp>
        <v>304</v>
        <stp/>
        <stp>ASK_SIZE</stp>
        <stp>.SPY160115C207</stp>
        <tr r="B605" s="1"/>
      </tp>
      <tp t="s">
        <v>N/A</v>
        <stp/>
        <stp>ASK_SIZE</stp>
        <stp>.SPY151231C212.5</stp>
        <tr r="B574" s="1"/>
      </tp>
      <tp t="s">
        <v>N/A</v>
        <stp/>
        <stp>ASK_SIZE</stp>
        <stp>.SPY151231C202.5</stp>
        <tr r="B554" s="1"/>
      </tp>
      <tp t="s">
        <v>N/A</v>
        <stp/>
        <stp>ASK_SIZE</stp>
        <stp>.SPY161216C216.5</stp>
        <tr r="B792" s="1"/>
      </tp>
      <tp t="s">
        <v>N/A</v>
        <stp/>
        <stp>ASK_SIZE</stp>
        <stp>.SPY171215C214.5</stp>
        <tr r="B914" s="1"/>
      </tp>
      <tp t="s">
        <v>N/A</v>
        <stp/>
        <stp>ASK_SIZE</stp>
        <stp>.SPY161216C206.5</stp>
        <tr r="B772" s="1"/>
      </tp>
      <tp t="s">
        <v>N/A</v>
        <stp/>
        <stp>ASK_SIZE</stp>
        <stp>.SPY171215C204.5</stp>
        <tr r="B894" s="1"/>
      </tp>
      <tp t="s">
        <v>N/A</v>
        <stp/>
        <stp>BID_SIZE</stp>
        <stp>.SPY151219C215.5</stp>
        <tr r="D538" s="1"/>
      </tp>
      <tp t="s">
        <v>N/A</v>
        <stp/>
        <stp>BID_SIZE</stp>
        <stp>.SPY161216C219.5</stp>
        <tr r="D798" s="1"/>
      </tp>
      <tp t="s">
        <v>N/A</v>
        <stp/>
        <stp>BID_SIZE</stp>
        <stp>.SPY151219C205.5</stp>
        <tr r="D518" s="1"/>
      </tp>
      <tp t="s">
        <v>N/A</v>
        <stp/>
        <stp>BID_SIZE</stp>
        <stp>.SPY161216C209.5</stp>
        <tr r="D778" s="1"/>
      </tp>
      <tp>
        <v>0</v>
        <stp/>
        <stp>BID_SIZE</stp>
        <stp>.SPY150424C208.5</stp>
        <tr r="D62" s="1"/>
      </tp>
      <tp>
        <v>0</v>
        <stp/>
        <stp>BID_SIZE</stp>
        <stp>.SPY150424C218.5</stp>
        <tr r="D82" s="1"/>
      </tp>
      <tp t="s">
        <v>N/A</v>
        <stp/>
        <stp>ASK_SIZE</stp>
        <stp>.SPY150717C214.5</stp>
        <tr r="B410" s="1"/>
      </tp>
      <tp t="s">
        <v>N/A</v>
        <stp/>
        <stp>ASK_SIZE</stp>
        <stp>.SPY150717C204.5</stp>
        <tr r="B390" s="1"/>
      </tp>
      <tp>
        <v>111</v>
        <stp/>
        <stp>BID_SIZE</stp>
        <stp>.SPY150508C204.5</stp>
        <tr r="D138" s="1"/>
      </tp>
      <tp>
        <v>3000</v>
        <stp/>
        <stp>BID_SIZE</stp>
        <stp>.SPY150515C219.5</stp>
        <tr r="D210" s="1"/>
      </tp>
      <tp>
        <v>1299</v>
        <stp/>
        <stp>BID_SIZE</stp>
        <stp>.SPY150508C214.5</stp>
        <tr r="D158" s="1"/>
      </tp>
      <tp>
        <v>546</v>
        <stp/>
        <stp>BID_SIZE</stp>
        <stp>.SPY150515C209.5</stp>
        <tr r="D190" s="1"/>
      </tp>
      <tp>
        <v>249</v>
        <stp/>
        <stp>BID_SIZE</stp>
        <stp>.SPY150529C205.5</stp>
        <tr r="D266" s="1"/>
      </tp>
      <tp>
        <v>240</v>
        <stp/>
        <stp>BID_SIZE</stp>
        <stp>.SPY150529C215.5</stp>
        <tr r="D286" s="1"/>
      </tp>
      <tp t="s">
        <v>N/A</v>
        <stp/>
        <stp>ASK_SIZE</stp>
        <stp>.SPY150630C213.5</stp>
        <tr r="B366" s="1"/>
      </tp>
      <tp t="s">
        <v>N/A</v>
        <stp/>
        <stp>ASK_SIZE</stp>
        <stp>.SPY150630C203.5</stp>
        <tr r="B346" s="1"/>
      </tp>
      <tp t="s">
        <v>N/A</v>
        <stp/>
        <stp>ASK_SIZE</stp>
        <stp>.SPY160617C217.5</stp>
        <tr r="B710" s="1"/>
      </tp>
      <tp t="s">
        <v>N/A</v>
        <stp/>
        <stp>ASK_SIZE</stp>
        <stp>.SPY160617C207.5</stp>
        <tr r="B690" s="1"/>
      </tp>
      <tp t="s">
        <v>N/A</v>
        <stp/>
        <stp>BID_SIZE</stp>
        <stp>.SPY150619C215.5</stp>
        <tr r="D328" s="1"/>
      </tp>
      <tp t="s">
        <v>N/A</v>
        <stp/>
        <stp>BID_SIZE</stp>
        <stp>.SPY160617C218.5</stp>
        <tr r="D712" s="1"/>
      </tp>
      <tp t="s">
        <v>N/A</v>
        <stp/>
        <stp>BID_SIZE</stp>
        <stp>.SPY150619C205.5</stp>
        <tr r="D308" s="1"/>
      </tp>
      <tp t="s">
        <v>N/A</v>
        <stp/>
        <stp>BID_SIZE</stp>
        <stp>.SPY160617C208.5</stp>
        <tr r="D692" s="1"/>
      </tp>
      <tp>
        <v>111</v>
        <stp/>
        <stp>ASK_SIZE</stp>
        <stp>.SPY150522C201.5</stp>
        <tr r="B216" s="1"/>
      </tp>
      <tp>
        <v>200</v>
        <stp/>
        <stp>ASK_SIZE</stp>
        <stp>.SPY150522C211.5</stp>
        <tr r="B236" s="1"/>
      </tp>
      <tp>
        <v>0</v>
        <stp/>
        <stp>ASK_SIZE</stp>
        <stp>.SPY150501C202.5</stp>
        <tr r="B92" s="1"/>
      </tp>
      <tp>
        <v>2640</v>
        <stp/>
        <stp>ASK_SIZE</stp>
        <stp>.SPY150515C216.5</stp>
        <tr r="B204" s="1"/>
      </tp>
      <tp>
        <v>0</v>
        <stp/>
        <stp>ASK_SIZE</stp>
        <stp>.SPY150501C212.5</stp>
        <tr r="B112" s="1"/>
      </tp>
      <tp>
        <v>342</v>
        <stp/>
        <stp>ASK_SIZE</stp>
        <stp>.SPY150515C206.5</stp>
        <tr r="B184" s="1"/>
      </tp>
      <tp>
        <v>0</v>
        <stp/>
        <stp>ASK_SIZE</stp>
        <stp>.SPY150424C207.5</stp>
        <tr r="B60" s="1"/>
      </tp>
      <tp>
        <v>0</v>
        <stp/>
        <stp>ASK_SIZE</stp>
        <stp>.SPY150424C217.5</stp>
        <tr r="B80" s="1"/>
      </tp>
      <tp>
        <v>0</v>
        <stp/>
        <stp>ASK_SIZE</stp>
        <stp>.SPY150417C214.5</stp>
        <tr r="B32" s="1"/>
      </tp>
      <tp>
        <v>0</v>
        <stp/>
        <stp>ASK_SIZE</stp>
        <stp>.SPY150417C204.5</stp>
        <tr r="B12" s="1"/>
      </tp>
      <tp t="s">
        <v>N/A</v>
        <stp/>
        <stp>ASK_SIZE</stp>
        <stp>.SPY160318C218.5</stp>
        <tr r="B670" s="1"/>
      </tp>
      <tp t="s">
        <v>N/A</v>
        <stp/>
        <stp>ASK_SIZE</stp>
        <stp>.SPY170317C216.5</stp>
        <tr r="B876" s="1"/>
      </tp>
      <tp t="s">
        <v>N/A</v>
        <stp/>
        <stp>ASK_SIZE</stp>
        <stp>.SPY160318C208.5</stp>
        <tr r="B650" s="1"/>
      </tp>
      <tp t="s">
        <v>N/A</v>
        <stp/>
        <stp>ASK_SIZE</stp>
        <stp>.SPY170317C206.5</stp>
        <tr r="B856" s="1"/>
      </tp>
      <tp t="s">
        <v>N/A</v>
        <stp/>
        <stp>ASK_SIZE</stp>
        <stp>.SPY170120C201.5</stp>
        <tr r="B804" s="1"/>
      </tp>
      <tp t="s">
        <v>N/A</v>
        <stp/>
        <stp>ASK_SIZE</stp>
        <stp>.SPY170120C211.5</stp>
        <tr r="B824" s="1"/>
      </tp>
      <tp t="s">
        <v>N/A</v>
        <stp/>
        <stp>ASK_SIZE</stp>
        <stp>.SPY160115C215.5</stp>
        <tr r="B622" s="1"/>
      </tp>
      <tp t="s">
        <v>N/A</v>
        <stp/>
        <stp>ASK_SIZE</stp>
        <stp>.SPY160115C205.5</stp>
        <tr r="B602" s="1"/>
      </tp>
      <tp t="s">
        <v>N/A</v>
        <stp/>
        <stp>BID_SIZE</stp>
        <stp>.SPY160318C217.5</stp>
        <tr r="D668" s="1"/>
      </tp>
      <tp t="s">
        <v>N/A</v>
        <stp/>
        <stp>BID_SIZE</stp>
        <stp>.SPY170317C219.5</stp>
        <tr r="D882" s="1"/>
      </tp>
      <tp t="s">
        <v>N/A</v>
        <stp/>
        <stp>BID_SIZE</stp>
        <stp>.SPY160318C207.5</stp>
        <tr r="D648" s="1"/>
      </tp>
      <tp t="s">
        <v>N/A</v>
        <stp/>
        <stp>BID_SIZE</stp>
        <stp>.SPY170317C209.5</stp>
        <tr r="D862" s="1"/>
      </tp>
      <tp t="s">
        <v>N/A</v>
        <stp/>
        <stp>BID_SIZE</stp>
        <stp>.SPY150918C214.5</stp>
        <tr r="D452" s="1"/>
      </tp>
      <tp t="s">
        <v>N/A</v>
        <stp/>
        <stp>BID_SIZE</stp>
        <stp>.SPY160916C219.5</stp>
        <tr r="D756" s="1"/>
      </tp>
      <tp t="s">
        <v>N/A</v>
        <stp/>
        <stp>BID_SIZE</stp>
        <stp>.SPY150918C204.5</stp>
        <tr r="D432" s="1"/>
      </tp>
      <tp t="s">
        <v>N/A</v>
        <stp/>
        <stp>BID_SIZE</stp>
        <stp>.SPY160916C209.5</stp>
        <tr r="D736" s="1"/>
      </tp>
      <tp t="s">
        <v>N/A</v>
        <stp/>
        <stp>ASK_SIZE</stp>
        <stp>.SPY150930C213.5</stp>
        <tr r="B492" s="1"/>
      </tp>
      <tp t="s">
        <v>N/A</v>
        <stp/>
        <stp>ASK_SIZE</stp>
        <stp>.SPY150930C203.5</stp>
        <tr r="B472" s="1"/>
      </tp>
      <tp t="s">
        <v>N/A</v>
        <stp/>
        <stp>ASK_SIZE</stp>
        <stp>.SPY160916C216.5</stp>
        <tr r="B750" s="1"/>
      </tp>
      <tp t="s">
        <v>N/A</v>
        <stp/>
        <stp>ASK_SIZE</stp>
        <stp>.SPY160916C206.5</stp>
        <tr r="B730" s="1"/>
      </tp>
      <tp>
        <v>162</v>
        <stp/>
        <stp>BID_SIZE</stp>
        <stp>.SPY160115P217</stp>
        <tr r="O625" s="1"/>
      </tp>
      <tp>
        <v>2587</v>
        <stp/>
        <stp>BID_SIZE</stp>
        <stp>.SPY160115C217</stp>
        <tr r="D625" s="1"/>
      </tp>
      <tp>
        <v>246</v>
        <stp/>
        <stp>BID_SIZE</stp>
        <stp>.SPY160115P216</stp>
        <tr r="O623" s="1"/>
      </tp>
      <tp>
        <v>2356</v>
        <stp/>
        <stp>BID_SIZE</stp>
        <stp>.SPY160115C216</stp>
        <tr r="D623" s="1"/>
      </tp>
      <tp>
        <v>304</v>
        <stp/>
        <stp>BID_SIZE</stp>
        <stp>.SPY160115P215</stp>
        <tr r="O621" s="1"/>
      </tp>
      <tp>
        <v>2356</v>
        <stp/>
        <stp>BID_SIZE</stp>
        <stp>.SPY160115C215</stp>
        <tr r="D621" s="1"/>
      </tp>
      <tp>
        <v>237</v>
        <stp/>
        <stp>BID_SIZE</stp>
        <stp>.SPY160115P214</stp>
        <tr r="O619" s="1"/>
      </tp>
      <tp>
        <v>2590</v>
        <stp/>
        <stp>BID_SIZE</stp>
        <stp>.SPY160115C214</stp>
        <tr r="D619" s="1"/>
      </tp>
      <tp>
        <v>329</v>
        <stp/>
        <stp>BID_SIZE</stp>
        <stp>.SPY160115P213</stp>
        <tr r="O617" s="1"/>
      </tp>
      <tp>
        <v>2577</v>
        <stp/>
        <stp>BID_SIZE</stp>
        <stp>.SPY160115C213</stp>
        <tr r="D617" s="1"/>
      </tp>
      <tp>
        <v>135</v>
        <stp/>
        <stp>BID_SIZE</stp>
        <stp>.SPY160115P212</stp>
        <tr r="O615" s="1"/>
      </tp>
      <tp>
        <v>2576</v>
        <stp/>
        <stp>BID_SIZE</stp>
        <stp>.SPY160115C212</stp>
        <tr r="D615" s="1"/>
      </tp>
      <tp>
        <v>327</v>
        <stp/>
        <stp>BID_SIZE</stp>
        <stp>.SPY160115P211</stp>
        <tr r="O613" s="1"/>
      </tp>
      <tp>
        <v>2569</v>
        <stp/>
        <stp>BID_SIZE</stp>
        <stp>.SPY160115C211</stp>
        <tr r="D613" s="1"/>
      </tp>
      <tp>
        <v>323</v>
        <stp/>
        <stp>BID_SIZE</stp>
        <stp>.SPY160115P210</stp>
        <tr r="O611" s="1"/>
      </tp>
      <tp>
        <v>2587</v>
        <stp/>
        <stp>BID_SIZE</stp>
        <stp>.SPY160115C210</stp>
        <tr r="D611" s="1"/>
      </tp>
      <tp t="s">
        <v>N/A</v>
        <stp/>
        <stp>BID_SIZE</stp>
        <stp>.SPY160115P219</stp>
        <tr r="O629" s="1"/>
      </tp>
      <tp t="s">
        <v>N/A</v>
        <stp/>
        <stp>BID_SIZE</stp>
        <stp>.SPY160115C219</stp>
        <tr r="D629" s="1"/>
      </tp>
      <tp>
        <v>159</v>
        <stp/>
        <stp>BID_SIZE</stp>
        <stp>.SPY160115P218</stp>
        <tr r="O627" s="1"/>
      </tp>
      <tp>
        <v>2569</v>
        <stp/>
        <stp>BID_SIZE</stp>
        <stp>.SPY160115C218</stp>
        <tr r="D627" s="1"/>
      </tp>
      <tp>
        <v>2356</v>
        <stp/>
        <stp>BID_SIZE</stp>
        <stp>.SPY160115P207</stp>
        <tr r="O605" s="1"/>
      </tp>
      <tp>
        <v>2560</v>
        <stp/>
        <stp>BID_SIZE</stp>
        <stp>.SPY160115C207</stp>
        <tr r="D605" s="1"/>
      </tp>
      <tp>
        <v>2356</v>
        <stp/>
        <stp>BID_SIZE</stp>
        <stp>.SPY160115P206</stp>
        <tr r="O603" s="1"/>
      </tp>
      <tp>
        <v>321</v>
        <stp/>
        <stp>BID_SIZE</stp>
        <stp>.SPY160115C206</stp>
        <tr r="D603" s="1"/>
      </tp>
      <tp>
        <v>2356</v>
        <stp/>
        <stp>BID_SIZE</stp>
        <stp>.SPY160115P205</stp>
        <tr r="O601" s="1"/>
      </tp>
      <tp>
        <v>146</v>
        <stp/>
        <stp>BID_SIZE</stp>
        <stp>.SPY160115C205</stp>
        <tr r="D601" s="1"/>
      </tp>
      <tp>
        <v>2356</v>
        <stp/>
        <stp>BID_SIZE</stp>
        <stp>.SPY160115P204</stp>
        <tr r="O599" s="1"/>
      </tp>
      <tp>
        <v>199</v>
        <stp/>
        <stp>BID_SIZE</stp>
        <stp>.SPY160115C204</stp>
        <tr r="D599" s="1"/>
      </tp>
      <tp>
        <v>2356</v>
        <stp/>
        <stp>BID_SIZE</stp>
        <stp>.SPY160115P203</stp>
        <tr r="O597" s="1"/>
      </tp>
      <tp>
        <v>167</v>
        <stp/>
        <stp>BID_SIZE</stp>
        <stp>.SPY160115C203</stp>
        <tr r="D597" s="1"/>
      </tp>
      <tp>
        <v>2552</v>
        <stp/>
        <stp>BID_SIZE</stp>
        <stp>.SPY160115P202</stp>
        <tr r="O595" s="1"/>
      </tp>
      <tp>
        <v>183</v>
        <stp/>
        <stp>BID_SIZE</stp>
        <stp>.SPY160115C202</stp>
        <tr r="D595" s="1"/>
      </tp>
      <tp>
        <v>2522</v>
        <stp/>
        <stp>BID_SIZE</stp>
        <stp>.SPY160115P201</stp>
        <tr r="O593" s="1"/>
      </tp>
      <tp>
        <v>169</v>
        <stp/>
        <stp>BID_SIZE</stp>
        <stp>.SPY160115C201</stp>
        <tr r="D593" s="1"/>
      </tp>
      <tp>
        <v>128</v>
        <stp/>
        <stp>BID_SIZE</stp>
        <stp>.SPY160115P200</stp>
        <tr r="O591" s="1"/>
      </tp>
      <tp>
        <v>171</v>
        <stp/>
        <stp>BID_SIZE</stp>
        <stp>.SPY160115C200</stp>
        <tr r="D591" s="1"/>
      </tp>
      <tp>
        <v>325</v>
        <stp/>
        <stp>BID_SIZE</stp>
        <stp>.SPY160115P209</stp>
        <tr r="O609" s="1"/>
      </tp>
      <tp>
        <v>2565</v>
        <stp/>
        <stp>BID_SIZE</stp>
        <stp>.SPY160115C209</stp>
        <tr r="D609" s="1"/>
      </tp>
      <tp>
        <v>2356</v>
        <stp/>
        <stp>BID_SIZE</stp>
        <stp>.SPY160115P208</stp>
        <tr r="O607" s="1"/>
      </tp>
      <tp>
        <v>2576</v>
        <stp/>
        <stp>BID_SIZE</stp>
        <stp>.SPY160115C208</stp>
        <tr r="D607" s="1"/>
      </tp>
      <tp t="s">
        <v>N/A</v>
        <stp/>
        <stp>BID_SIZE</stp>
        <stp>.SPY170120P203</stp>
        <tr r="O807" s="1"/>
      </tp>
      <tp t="s">
        <v>N/A</v>
        <stp/>
        <stp>BID_SIZE</stp>
        <stp>.SPY170120C203</stp>
        <tr r="D807" s="1"/>
      </tp>
      <tp t="s">
        <v>N/A</v>
        <stp/>
        <stp>BID_SIZE</stp>
        <stp>.SPY170120P202</stp>
        <tr r="O805" s="1"/>
      </tp>
      <tp t="s">
        <v>N/A</v>
        <stp/>
        <stp>BID_SIZE</stp>
        <stp>.SPY170120C202</stp>
        <tr r="D805" s="1"/>
      </tp>
      <tp t="s">
        <v>N/A</v>
        <stp/>
        <stp>BID_SIZE</stp>
        <stp>.SPY170120P201</stp>
        <tr r="O803" s="1"/>
      </tp>
      <tp t="s">
        <v>N/A</v>
        <stp/>
        <stp>BID_SIZE</stp>
        <stp>.SPY170120C201</stp>
        <tr r="D803" s="1"/>
      </tp>
      <tp>
        <v>1</v>
        <stp/>
        <stp>BID_SIZE</stp>
        <stp>.SPY170120P200</stp>
        <tr r="O801" s="1"/>
      </tp>
      <tp>
        <v>171</v>
        <stp/>
        <stp>BID_SIZE</stp>
        <stp>.SPY170120C200</stp>
        <tr r="D801" s="1"/>
      </tp>
      <tp t="s">
        <v>N/A</v>
        <stp/>
        <stp>BID_SIZE</stp>
        <stp>.SPY170120P207</stp>
        <tr r="O815" s="1"/>
      </tp>
      <tp t="s">
        <v>N/A</v>
        <stp/>
        <stp>BID_SIZE</stp>
        <stp>.SPY170120C207</stp>
        <tr r="D815" s="1"/>
      </tp>
      <tp t="s">
        <v>N/A</v>
        <stp/>
        <stp>BID_SIZE</stp>
        <stp>.SPY170120P206</stp>
        <tr r="O813" s="1"/>
      </tp>
      <tp t="s">
        <v>N/A</v>
        <stp/>
        <stp>BID_SIZE</stp>
        <stp>.SPY170120C206</stp>
        <tr r="D813" s="1"/>
      </tp>
      <tp>
        <v>1083</v>
        <stp/>
        <stp>BID_SIZE</stp>
        <stp>.SPY170120P205</stp>
        <tr r="O811" s="1"/>
      </tp>
      <tp>
        <v>200</v>
        <stp/>
        <stp>BID_SIZE</stp>
        <stp>.SPY170120C205</stp>
        <tr r="D811" s="1"/>
      </tp>
      <tp t="s">
        <v>N/A</v>
        <stp/>
        <stp>BID_SIZE</stp>
        <stp>.SPY170120P204</stp>
        <tr r="O809" s="1"/>
      </tp>
      <tp t="s">
        <v>N/A</v>
        <stp/>
        <stp>BID_SIZE</stp>
        <stp>.SPY170120C204</stp>
        <tr r="D809" s="1"/>
      </tp>
      <tp t="s">
        <v>N/A</v>
        <stp/>
        <stp>BID_SIZE</stp>
        <stp>.SPY170120P209</stp>
        <tr r="O819" s="1"/>
      </tp>
      <tp t="s">
        <v>N/A</v>
        <stp/>
        <stp>BID_SIZE</stp>
        <stp>.SPY170120C209</stp>
        <tr r="D819" s="1"/>
      </tp>
      <tp t="s">
        <v>N/A</v>
        <stp/>
        <stp>BID_SIZE</stp>
        <stp>.SPY170120P208</stp>
        <tr r="O817" s="1"/>
      </tp>
      <tp t="s">
        <v>N/A</v>
        <stp/>
        <stp>BID_SIZE</stp>
        <stp>.SPY170120C208</stp>
        <tr r="D817" s="1"/>
      </tp>
      <tp>
        <v>0</v>
        <stp/>
        <stp>BID_SIZE</stp>
        <stp>.SPY150417P218.5</stp>
        <tr r="O40" s="1"/>
      </tp>
      <tp>
        <v>0</v>
        <stp/>
        <stp>BID_SIZE</stp>
        <stp>.SPY150417P208.5</stp>
        <tr r="O20" s="1"/>
      </tp>
      <tp t="s">
        <v>N/A</v>
        <stp/>
        <stp>ASK_SIZE</stp>
        <stp>.SPY150717P217.5</stp>
        <tr r="M416" s="1"/>
      </tp>
      <tp t="s">
        <v>N/A</v>
        <stp/>
        <stp>ASK_SIZE</stp>
        <stp>.SPY150717P207.5</stp>
        <tr r="M396" s="1"/>
      </tp>
      <tp>
        <v>111</v>
        <stp/>
        <stp>BID_SIZE</stp>
        <stp>.SPY150508P207.5</stp>
        <tr r="O144" s="1"/>
      </tp>
      <tp>
        <v>103</v>
        <stp/>
        <stp>BID_SIZE</stp>
        <stp>.SPY150508P217.5</stp>
        <tr r="O164" s="1"/>
      </tp>
      <tp>
        <v>241</v>
        <stp/>
        <stp>BID_SIZE</stp>
        <stp>.SPY150529P206.5</stp>
        <tr r="O268" s="1"/>
      </tp>
      <tp>
        <v>240</v>
        <stp/>
        <stp>BID_SIZE</stp>
        <stp>.SPY150529P216.5</stp>
        <tr r="O288" s="1"/>
      </tp>
      <tp t="s">
        <v>N/A</v>
        <stp/>
        <stp>ASK_SIZE</stp>
        <stp>.SPY150630P210.5</stp>
        <tr r="M360" s="1"/>
      </tp>
      <tp t="s">
        <v>N/A</v>
        <stp/>
        <stp>ASK_SIZE</stp>
        <stp>.SPY150630P200.5</stp>
        <tr r="M340" s="1"/>
      </tp>
      <tp t="s">
        <v>N/A</v>
        <stp/>
        <stp>ASK_SIZE</stp>
        <stp>.SPY150619P219.5</stp>
        <tr r="M336" s="1"/>
      </tp>
      <tp t="s">
        <v>N/A</v>
        <stp/>
        <stp>ASK_SIZE</stp>
        <stp>.SPY160617P214.5</stp>
        <tr r="M704" s="1"/>
      </tp>
      <tp t="s">
        <v>N/A</v>
        <stp/>
        <stp>ASK_SIZE</stp>
        <stp>.SPY150619P209.5</stp>
        <tr r="M316" s="1"/>
      </tp>
      <tp t="s">
        <v>N/A</v>
        <stp/>
        <stp>ASK_SIZE</stp>
        <stp>.SPY160617P204.5</stp>
        <tr r="M684" s="1"/>
      </tp>
      <tp t="s">
        <v>N/A</v>
        <stp/>
        <stp>BID_SIZE</stp>
        <stp>.SPY150619P216.5</stp>
        <tr r="O330" s="1"/>
      </tp>
      <tp t="s">
        <v>N/A</v>
        <stp/>
        <stp>BID_SIZE</stp>
        <stp>.SPY150619P206.5</stp>
        <tr r="O310" s="1"/>
      </tp>
      <tp>
        <v>344</v>
        <stp/>
        <stp>ASK_SIZE</stp>
        <stp>.SPY150522P202.5</stp>
        <tr r="M218" s="1"/>
      </tp>
      <tp>
        <v>210</v>
        <stp/>
        <stp>ASK_SIZE</stp>
        <stp>.SPY150529P209.5</stp>
        <tr r="M274" s="1"/>
      </tp>
      <tp>
        <v>240</v>
        <stp/>
        <stp>ASK_SIZE</stp>
        <stp>.SPY150522P212.5</stp>
        <tr r="M238" s="1"/>
      </tp>
      <tp>
        <v>150</v>
        <stp/>
        <stp>ASK_SIZE</stp>
        <stp>.SPY150529P219.5</stp>
        <tr r="M294" s="1"/>
      </tp>
      <tp>
        <v>0</v>
        <stp/>
        <stp>ASK_SIZE</stp>
        <stp>.SPY150501P201.5</stp>
        <tr r="M90" s="1"/>
      </tp>
      <tp>
        <v>472</v>
        <stp/>
        <stp>ASK_SIZE</stp>
        <stp>.SPY150508P208.5</stp>
        <tr r="M146" s="1"/>
      </tp>
      <tp>
        <v>349</v>
        <stp/>
        <stp>ASK_SIZE</stp>
        <stp>.SPY150515P215.5</stp>
        <tr r="M202" s="1"/>
      </tp>
      <tp>
        <v>0</v>
        <stp/>
        <stp>ASK_SIZE</stp>
        <stp>.SPY150501P211.5</stp>
        <tr r="M110" s="1"/>
      </tp>
      <tp>
        <v>100</v>
        <stp/>
        <stp>ASK_SIZE</stp>
        <stp>.SPY150508P218.5</stp>
        <tr r="M166" s="1"/>
      </tp>
      <tp>
        <v>1430</v>
        <stp/>
        <stp>ASK_SIZE</stp>
        <stp>.SPY150515P205.5</stp>
        <tr r="M182" s="1"/>
      </tp>
      <tp t="s">
        <v>N/A</v>
        <stp/>
        <stp>BID_SIZE</stp>
        <stp>.SPY150717P218.5</stp>
        <tr r="O418" s="1"/>
      </tp>
      <tp t="s">
        <v>N/A</v>
        <stp/>
        <stp>BID_SIZE</stp>
        <stp>.SPY150717P208.5</stp>
        <tr r="O398" s="1"/>
      </tp>
      <tp>
        <v>0</v>
        <stp/>
        <stp>ASK_SIZE</stp>
        <stp>.SPY150424P204.5</stp>
        <tr r="M54" s="1"/>
      </tp>
      <tp>
        <v>0</v>
        <stp/>
        <stp>ASK_SIZE</stp>
        <stp>.SPY150424P214.5</stp>
        <tr r="M74" s="1"/>
      </tp>
      <tp>
        <v>0</v>
        <stp/>
        <stp>ASK_SIZE</stp>
        <stp>.SPY150417P217.5</stp>
        <tr r="M38" s="1"/>
      </tp>
      <tp>
        <v>0</v>
        <stp/>
        <stp>ASK_SIZE</stp>
        <stp>.SPY150417P207.5</stp>
        <tr r="M18" s="1"/>
      </tp>
      <tp t="s">
        <v>N/A</v>
        <stp/>
        <stp>ASK_SIZE</stp>
        <stp>.SPY170317P215.5</stp>
        <tr r="M874" s="1"/>
      </tp>
      <tp t="s">
        <v>N/A</v>
        <stp/>
        <stp>ASK_SIZE</stp>
        <stp>.SPY170317P205.5</stp>
        <tr r="M854" s="1"/>
      </tp>
      <tp t="s">
        <v>N/A</v>
        <stp/>
        <stp>BID_SIZE</stp>
        <stp>.SPY160115P219.5</stp>
        <tr r="O630" s="1"/>
      </tp>
      <tp t="s">
        <v>N/A</v>
        <stp/>
        <stp>BID_SIZE</stp>
        <stp>.SPY160115P209.5</stp>
        <tr r="O610" s="1"/>
      </tp>
      <tp t="s">
        <v>N/A</v>
        <stp/>
        <stp>ASK_SIZE</stp>
        <stp>.SPY170120P202.5</stp>
        <tr r="M806" s="1"/>
      </tp>
      <tp t="s">
        <v>N/A</v>
        <stp/>
        <stp>ASK_SIZE</stp>
        <stp>.SPY170120P212.5</stp>
        <tr r="M826" s="1"/>
      </tp>
      <tp t="s">
        <v>N/A</v>
        <stp/>
        <stp>ASK_SIZE</stp>
        <stp>.SPY160115P216.5</stp>
        <tr r="M624" s="1"/>
      </tp>
      <tp t="s">
        <v>N/A</v>
        <stp/>
        <stp>ASK_SIZE</stp>
        <stp>.SPY160115P206.5</stp>
        <tr r="M604" s="1"/>
      </tp>
      <tp t="s">
        <v>N/A</v>
        <stp/>
        <stp>BID_SIZE</stp>
        <stp>.SPY160318P214.5</stp>
        <tr r="O662" s="1"/>
      </tp>
      <tp t="s">
        <v>N/A</v>
        <stp/>
        <stp>BID_SIZE</stp>
        <stp>.SPY160318P204.5</stp>
        <tr r="O642" s="1"/>
      </tp>
      <tp t="s">
        <v>N/A</v>
        <stp/>
        <stp>BID_SIZE</stp>
        <stp>.SPY150918P217.5</stp>
        <tr r="O458" s="1"/>
      </tp>
      <tp t="s">
        <v>N/A</v>
        <stp/>
        <stp>BID_SIZE</stp>
        <stp>.SPY150918P207.5</stp>
        <tr r="O438" s="1"/>
      </tp>
      <tp t="s">
        <v>N/A</v>
        <stp/>
        <stp>ASK_SIZE</stp>
        <stp>.SPY150930P210.5</stp>
        <tr r="M486" s="1"/>
      </tp>
      <tp t="s">
        <v>N/A</v>
        <stp/>
        <stp>ASK_SIZE</stp>
        <stp>.SPY150930P200.5</stp>
        <tr r="M466" s="1"/>
      </tp>
      <tp t="s">
        <v>N/A</v>
        <stp/>
        <stp>ASK_SIZE</stp>
        <stp>.SPY150918P218.5</stp>
        <tr r="M460" s="1"/>
      </tp>
      <tp t="s">
        <v>N/A</v>
        <stp/>
        <stp>ASK_SIZE</stp>
        <stp>.SPY160916P215.5</stp>
        <tr r="M748" s="1"/>
      </tp>
      <tp t="s">
        <v>N/A</v>
        <stp/>
        <stp>ASK_SIZE</stp>
        <stp>.SPY150918P208.5</stp>
        <tr r="M440" s="1"/>
      </tp>
      <tp t="s">
        <v>N/A</v>
        <stp/>
        <stp>ASK_SIZE</stp>
        <stp>.SPY160916P205.5</stp>
        <tr r="M728" s="1"/>
      </tp>
      <tp t="s">
        <v>N/A</v>
        <stp/>
        <stp>BID_SIZE</stp>
        <stp>.SPY170120P213</stp>
        <tr r="O827" s="1"/>
      </tp>
      <tp t="s">
        <v>N/A</v>
        <stp/>
        <stp>BID_SIZE</stp>
        <stp>.SPY170120C213</stp>
        <tr r="D827" s="1"/>
      </tp>
      <tp t="s">
        <v>N/A</v>
        <stp/>
        <stp>BID_SIZE</stp>
        <stp>.SPY170120P212</stp>
        <tr r="O825" s="1"/>
      </tp>
      <tp t="s">
        <v>N/A</v>
        <stp/>
        <stp>BID_SIZE</stp>
        <stp>.SPY170120C212</stp>
        <tr r="D825" s="1"/>
      </tp>
      <tp t="s">
        <v>N/A</v>
        <stp/>
        <stp>BID_SIZE</stp>
        <stp>.SPY170120P211</stp>
        <tr r="O823" s="1"/>
      </tp>
      <tp t="s">
        <v>N/A</v>
        <stp/>
        <stp>BID_SIZE</stp>
        <stp>.SPY170120C211</stp>
        <tr r="D823" s="1"/>
      </tp>
      <tp>
        <v>1074</v>
        <stp/>
        <stp>BID_SIZE</stp>
        <stp>.SPY170120P210</stp>
        <tr r="O821" s="1"/>
      </tp>
      <tp>
        <v>994</v>
        <stp/>
        <stp>BID_SIZE</stp>
        <stp>.SPY170120C210</stp>
        <tr r="D821" s="1"/>
      </tp>
      <tp t="s">
        <v>N/A</v>
        <stp/>
        <stp>BID_SIZE</stp>
        <stp>.SPY170120P217</stp>
        <tr r="O835" s="1"/>
      </tp>
      <tp t="s">
        <v>N/A</v>
        <stp/>
        <stp>BID_SIZE</stp>
        <stp>.SPY170120C217</stp>
        <tr r="D835" s="1"/>
      </tp>
      <tp t="s">
        <v>N/A</v>
        <stp/>
        <stp>BID_SIZE</stp>
        <stp>.SPY170120P216</stp>
        <tr r="O833" s="1"/>
      </tp>
      <tp t="s">
        <v>N/A</v>
        <stp/>
        <stp>BID_SIZE</stp>
        <stp>.SPY170120C216</stp>
        <tr r="D833" s="1"/>
      </tp>
      <tp>
        <v>228</v>
        <stp/>
        <stp>BID_SIZE</stp>
        <stp>.SPY170120P215</stp>
        <tr r="O831" s="1"/>
      </tp>
      <tp>
        <v>992</v>
        <stp/>
        <stp>BID_SIZE</stp>
        <stp>.SPY170120C215</stp>
        <tr r="D831" s="1"/>
      </tp>
      <tp t="s">
        <v>N/A</v>
        <stp/>
        <stp>BID_SIZE</stp>
        <stp>.SPY170120P214</stp>
        <tr r="O829" s="1"/>
      </tp>
      <tp t="s">
        <v>N/A</v>
        <stp/>
        <stp>BID_SIZE</stp>
        <stp>.SPY170120C214</stp>
        <tr r="D829" s="1"/>
      </tp>
      <tp t="s">
        <v>N/A</v>
        <stp/>
        <stp>BID_SIZE</stp>
        <stp>.SPY170120P219</stp>
        <tr r="O839" s="1"/>
      </tp>
      <tp t="s">
        <v>N/A</v>
        <stp/>
        <stp>BID_SIZE</stp>
        <stp>.SPY170120C219</stp>
        <tr r="D839" s="1"/>
      </tp>
      <tp t="s">
        <v>N/A</v>
        <stp/>
        <stp>BID_SIZE</stp>
        <stp>.SPY170120P218</stp>
        <tr r="O837" s="1"/>
      </tp>
      <tp t="s">
        <v>N/A</v>
        <stp/>
        <stp>BID_SIZE</stp>
        <stp>.SPY170120C218</stp>
        <tr r="D837" s="1"/>
      </tp>
      <tp t="s">
        <v>N/A</v>
        <stp/>
        <stp>ASK_SIZE</stp>
        <stp>.SPY151231P211.5</stp>
        <tr r="M572" s="1"/>
      </tp>
      <tp t="s">
        <v>N/A</v>
        <stp/>
        <stp>ASK_SIZE</stp>
        <stp>.SPY151231P201.5</stp>
        <tr r="M552" s="1"/>
      </tp>
      <tp t="s">
        <v>N/A</v>
        <stp/>
        <stp>ASK_SIZE</stp>
        <stp>.SPY151219P219.5</stp>
        <tr r="M546" s="1"/>
      </tp>
      <tp t="s">
        <v>N/A</v>
        <stp/>
        <stp>ASK_SIZE</stp>
        <stp>.SPY161216P215.5</stp>
        <tr r="M790" s="1"/>
      </tp>
      <tp t="s">
        <v>N/A</v>
        <stp/>
        <stp>ASK_SIZE</stp>
        <stp>.SPY171215P217.5</stp>
        <tr r="M920" s="1"/>
      </tp>
      <tp t="s">
        <v>N/A</v>
        <stp/>
        <stp>ASK_SIZE</stp>
        <stp>.SPY151219P209.5</stp>
        <tr r="M526" s="1"/>
      </tp>
      <tp t="s">
        <v>N/A</v>
        <stp/>
        <stp>ASK_SIZE</stp>
        <stp>.SPY161216P205.5</stp>
        <tr r="M770" s="1"/>
      </tp>
      <tp t="s">
        <v>N/A</v>
        <stp/>
        <stp>ASK_SIZE</stp>
        <stp>.SPY171215P207.5</stp>
        <tr r="M900" s="1"/>
      </tp>
      <tp t="s">
        <v>N/A</v>
        <stp/>
        <stp>BID_SIZE</stp>
        <stp>.SPY151219P216.5</stp>
        <tr r="O540" s="1"/>
      </tp>
      <tp t="s">
        <v>N/A</v>
        <stp/>
        <stp>BID_SIZE</stp>
        <stp>.SPY171215P218.5</stp>
        <tr r="O922" s="1"/>
      </tp>
      <tp t="s">
        <v>N/A</v>
        <stp/>
        <stp>BID_SIZE</stp>
        <stp>.SPY151219P206.5</stp>
        <tr r="O520" s="1"/>
      </tp>
      <tp t="s">
        <v>N/A</v>
        <stp/>
        <stp>BID_SIZE</stp>
        <stp>.SPY171215P208.5</stp>
        <tr r="O902" s="1"/>
      </tp>
      <tp>
        <v>216</v>
        <stp/>
        <stp>ASK_SIZE</stp>
        <stp>.SPY151231P219</stp>
        <tr r="M587" s="1"/>
      </tp>
      <tp>
        <v>150</v>
        <stp/>
        <stp>ASK_SIZE</stp>
        <stp>.SPY151231C219</stp>
        <tr r="B587" s="1"/>
      </tp>
      <tp>
        <v>194</v>
        <stp/>
        <stp>ASK_SIZE</stp>
        <stp>.SPY151231P218</stp>
        <tr r="M585" s="1"/>
      </tp>
      <tp>
        <v>1839</v>
        <stp/>
        <stp>ASK_SIZE</stp>
        <stp>.SPY151231C218</stp>
        <tr r="B585" s="1"/>
      </tp>
      <tp>
        <v>214</v>
        <stp/>
        <stp>ASK_SIZE</stp>
        <stp>.SPY151231P217</stp>
        <tr r="M583" s="1"/>
      </tp>
      <tp>
        <v>235</v>
        <stp/>
        <stp>ASK_SIZE</stp>
        <stp>.SPY151231C217</stp>
        <tr r="B583" s="1"/>
      </tp>
      <tp>
        <v>163</v>
        <stp/>
        <stp>ASK_SIZE</stp>
        <stp>.SPY151231P216</stp>
        <tr r="M581" s="1"/>
      </tp>
      <tp>
        <v>237</v>
        <stp/>
        <stp>ASK_SIZE</stp>
        <stp>.SPY151231C216</stp>
        <tr r="B581" s="1"/>
      </tp>
      <tp>
        <v>241</v>
        <stp/>
        <stp>ASK_SIZE</stp>
        <stp>.SPY151231P215</stp>
        <tr r="M579" s="1"/>
      </tp>
      <tp>
        <v>142</v>
        <stp/>
        <stp>ASK_SIZE</stp>
        <stp>.SPY151231C215</stp>
        <tr r="B579" s="1"/>
      </tp>
      <tp>
        <v>249</v>
        <stp/>
        <stp>ASK_SIZE</stp>
        <stp>.SPY151231P214</stp>
        <tr r="M577" s="1"/>
      </tp>
      <tp>
        <v>129</v>
        <stp/>
        <stp>ASK_SIZE</stp>
        <stp>.SPY151231C214</stp>
        <tr r="B577" s="1"/>
      </tp>
      <tp>
        <v>230</v>
        <stp/>
        <stp>ASK_SIZE</stp>
        <stp>.SPY151231P213</stp>
        <tr r="M575" s="1"/>
      </tp>
      <tp>
        <v>2306</v>
        <stp/>
        <stp>ASK_SIZE</stp>
        <stp>.SPY151231C213</stp>
        <tr r="B575" s="1"/>
      </tp>
      <tp>
        <v>137</v>
        <stp/>
        <stp>ASK_SIZE</stp>
        <stp>.SPY151231P212</stp>
        <tr r="M573" s="1"/>
      </tp>
      <tp>
        <v>234</v>
        <stp/>
        <stp>ASK_SIZE</stp>
        <stp>.SPY151231C212</stp>
        <tr r="B573" s="1"/>
      </tp>
      <tp>
        <v>2110</v>
        <stp/>
        <stp>ASK_SIZE</stp>
        <stp>.SPY151231P211</stp>
        <tr r="M571" s="1"/>
      </tp>
      <tp>
        <v>220</v>
        <stp/>
        <stp>ASK_SIZE</stp>
        <stp>.SPY151231C211</stp>
        <tr r="B571" s="1"/>
      </tp>
      <tp>
        <v>2498</v>
        <stp/>
        <stp>ASK_SIZE</stp>
        <stp>.SPY151231P210</stp>
        <tr r="M569" s="1"/>
      </tp>
      <tp>
        <v>152</v>
        <stp/>
        <stp>ASK_SIZE</stp>
        <stp>.SPY151231C210</stp>
        <tr r="B569" s="1"/>
      </tp>
      <tp>
        <v>2368</v>
        <stp/>
        <stp>ASK_SIZE</stp>
        <stp>.SPY151231P209</stp>
        <tr r="M567" s="1"/>
      </tp>
      <tp>
        <v>99</v>
        <stp/>
        <stp>ASK_SIZE</stp>
        <stp>.SPY151231C209</stp>
        <tr r="B567" s="1"/>
      </tp>
      <tp>
        <v>2368</v>
        <stp/>
        <stp>ASK_SIZE</stp>
        <stp>.SPY151231P208</stp>
        <tr r="M565" s="1"/>
      </tp>
      <tp>
        <v>140</v>
        <stp/>
        <stp>ASK_SIZE</stp>
        <stp>.SPY151231C208</stp>
        <tr r="B565" s="1"/>
      </tp>
      <tp>
        <v>2440</v>
        <stp/>
        <stp>ASK_SIZE</stp>
        <stp>.SPY151231P207</stp>
        <tr r="M563" s="1"/>
      </tp>
      <tp>
        <v>263</v>
        <stp/>
        <stp>ASK_SIZE</stp>
        <stp>.SPY151231C207</stp>
        <tr r="B563" s="1"/>
      </tp>
      <tp>
        <v>2202</v>
        <stp/>
        <stp>ASK_SIZE</stp>
        <stp>.SPY151231P206</stp>
        <tr r="M561" s="1"/>
      </tp>
      <tp>
        <v>154</v>
        <stp/>
        <stp>ASK_SIZE</stp>
        <stp>.SPY151231C206</stp>
        <tr r="B561" s="1"/>
      </tp>
      <tp>
        <v>2100</v>
        <stp/>
        <stp>ASK_SIZE</stp>
        <stp>.SPY151231P205</stp>
        <tr r="M559" s="1"/>
      </tp>
      <tp>
        <v>231</v>
        <stp/>
        <stp>ASK_SIZE</stp>
        <stp>.SPY151231C205</stp>
        <tr r="B559" s="1"/>
      </tp>
      <tp>
        <v>2203</v>
        <stp/>
        <stp>ASK_SIZE</stp>
        <stp>.SPY151231P204</stp>
        <tr r="M557" s="1"/>
      </tp>
      <tp>
        <v>236</v>
        <stp/>
        <stp>ASK_SIZE</stp>
        <stp>.SPY151231C204</stp>
        <tr r="B557" s="1"/>
      </tp>
      <tp>
        <v>325</v>
        <stp/>
        <stp>ASK_SIZE</stp>
        <stp>.SPY151231P203</stp>
        <tr r="M555" s="1"/>
      </tp>
      <tp>
        <v>213</v>
        <stp/>
        <stp>ASK_SIZE</stp>
        <stp>.SPY151231C203</stp>
        <tr r="B555" s="1"/>
      </tp>
      <tp>
        <v>2210</v>
        <stp/>
        <stp>ASK_SIZE</stp>
        <stp>.SPY151231P202</stp>
        <tr r="M553" s="1"/>
      </tp>
      <tp>
        <v>192</v>
        <stp/>
        <stp>ASK_SIZE</stp>
        <stp>.SPY151231C202</stp>
        <tr r="B553" s="1"/>
      </tp>
      <tp>
        <v>148</v>
        <stp/>
        <stp>ASK_SIZE</stp>
        <stp>.SPY151231P201</stp>
        <tr r="M551" s="1"/>
      </tp>
      <tp>
        <v>148</v>
        <stp/>
        <stp>ASK_SIZE</stp>
        <stp>.SPY151231C201</stp>
        <tr r="B551" s="1"/>
      </tp>
      <tp>
        <v>2078</v>
        <stp/>
        <stp>ASK_SIZE</stp>
        <stp>.SPY151231P200</stp>
        <tr r="M549" s="1"/>
      </tp>
      <tp>
        <v>151</v>
        <stp/>
        <stp>ASK_SIZE</stp>
        <stp>.SPY151231C200</stp>
        <tr r="B549" s="1"/>
      </tp>
      <tp>
        <v>181</v>
        <stp/>
        <stp>ASK_SIZE</stp>
        <stp>.SPY151219P217</stp>
        <tr r="M541" s="1"/>
      </tp>
      <tp t="s">
        <v>N/A</v>
        <stp/>
        <stp>ASK_SIZE</stp>
        <stp>.SPY171215P219</stp>
        <tr r="M923" s="1"/>
      </tp>
      <tp>
        <v>257</v>
        <stp/>
        <stp>ASK_SIZE</stp>
        <stp>.SPY151219C217</stp>
        <tr r="B541" s="1"/>
      </tp>
      <tp t="s">
        <v>N/A</v>
        <stp/>
        <stp>ASK_SIZE</stp>
        <stp>.SPY171215C219</stp>
        <tr r="B923" s="1"/>
      </tp>
      <tp>
        <v>286</v>
        <stp/>
        <stp>ASK_SIZE</stp>
        <stp>.SPY151219P216</stp>
        <tr r="M539" s="1"/>
      </tp>
      <tp t="s">
        <v>N/A</v>
        <stp/>
        <stp>ASK_SIZE</stp>
        <stp>.SPY171215P218</stp>
        <tr r="M921" s="1"/>
      </tp>
      <tp>
        <v>256</v>
        <stp/>
        <stp>ASK_SIZE</stp>
        <stp>.SPY151219C216</stp>
        <tr r="B539" s="1"/>
      </tp>
      <tp t="s">
        <v>N/A</v>
        <stp/>
        <stp>ASK_SIZE</stp>
        <stp>.SPY171215C218</stp>
        <tr r="B921" s="1"/>
      </tp>
      <tp>
        <v>1631</v>
        <stp/>
        <stp>ASK_SIZE</stp>
        <stp>.SPY151219P215</stp>
        <tr r="M537" s="1"/>
      </tp>
      <tp t="s">
        <v>N/A</v>
        <stp/>
        <stp>ASK_SIZE</stp>
        <stp>.SPY161216P219</stp>
        <tr r="M797" s="1"/>
      </tp>
      <tp>
        <v>2545</v>
        <stp/>
        <stp>ASK_SIZE</stp>
        <stp>.SPY151219C215</stp>
        <tr r="B537" s="1"/>
      </tp>
      <tp t="s">
        <v>N/A</v>
        <stp/>
        <stp>ASK_SIZE</stp>
        <stp>.SPY161216C219</stp>
        <tr r="B797" s="1"/>
      </tp>
      <tp>
        <v>1101</v>
        <stp/>
        <stp>ASK_SIZE</stp>
        <stp>.SPY151219P214</stp>
        <tr r="M535" s="1"/>
      </tp>
      <tp t="s">
        <v>N/A</v>
        <stp/>
        <stp>ASK_SIZE</stp>
        <stp>.SPY161216P218</stp>
        <tr r="M795" s="1"/>
      </tp>
      <tp>
        <v>129</v>
        <stp/>
        <stp>ASK_SIZE</stp>
        <stp>.SPY151219C214</stp>
        <tr r="B535" s="1"/>
      </tp>
      <tp t="s">
        <v>N/A</v>
        <stp/>
        <stp>ASK_SIZE</stp>
        <stp>.SPY161216C218</stp>
        <tr r="B795" s="1"/>
      </tp>
      <tp>
        <v>365</v>
        <stp/>
        <stp>ASK_SIZE</stp>
        <stp>.SPY151219P213</stp>
        <tr r="M533" s="1"/>
      </tp>
      <tp>
        <v>2545</v>
        <stp/>
        <stp>ASK_SIZE</stp>
        <stp>.SPY151219C213</stp>
        <tr r="B533" s="1"/>
      </tp>
      <tp>
        <v>137</v>
        <stp/>
        <stp>ASK_SIZE</stp>
        <stp>.SPY151219P212</stp>
        <tr r="M531" s="1"/>
      </tp>
      <tp>
        <v>256</v>
        <stp/>
        <stp>ASK_SIZE</stp>
        <stp>.SPY151219C212</stp>
        <tr r="B531" s="1"/>
      </tp>
      <tp>
        <v>2585</v>
        <stp/>
        <stp>ASK_SIZE</stp>
        <stp>.SPY151219P211</stp>
        <tr r="M529" s="1"/>
      </tp>
      <tp>
        <v>331</v>
        <stp/>
        <stp>ASK_SIZE</stp>
        <stp>.SPY151219C211</stp>
        <tr r="B529" s="1"/>
      </tp>
      <tp>
        <v>2585</v>
        <stp/>
        <stp>ASK_SIZE</stp>
        <stp>.SPY151219P210</stp>
        <tr r="M527" s="1"/>
      </tp>
      <tp>
        <v>140</v>
        <stp/>
        <stp>ASK_SIZE</stp>
        <stp>.SPY151219C210</stp>
        <tr r="B527" s="1"/>
      </tp>
      <tp t="s">
        <v>N/A</v>
        <stp/>
        <stp>ASK_SIZE</stp>
        <stp>.SPY161216P213</stp>
        <tr r="M785" s="1"/>
      </tp>
      <tp t="s">
        <v>N/A</v>
        <stp/>
        <stp>ASK_SIZE</stp>
        <stp>.SPY171215P211</stp>
        <tr r="M907" s="1"/>
      </tp>
      <tp t="s">
        <v>N/A</v>
        <stp/>
        <stp>ASK_SIZE</stp>
        <stp>.SPY161216C213</stp>
        <tr r="B785" s="1"/>
      </tp>
      <tp t="s">
        <v>N/A</v>
        <stp/>
        <stp>ASK_SIZE</stp>
        <stp>.SPY171215C211</stp>
        <tr r="B907" s="1"/>
      </tp>
      <tp t="s">
        <v>N/A</v>
        <stp/>
        <stp>ASK_SIZE</stp>
        <stp>.SPY161216P212</stp>
        <tr r="M783" s="1"/>
      </tp>
      <tp>
        <v>5</v>
        <stp/>
        <stp>ASK_SIZE</stp>
        <stp>.SPY171215P210</stp>
        <tr r="M905" s="1"/>
      </tp>
      <tp t="s">
        <v>N/A</v>
        <stp/>
        <stp>ASK_SIZE</stp>
        <stp>.SPY161216C212</stp>
        <tr r="B783" s="1"/>
      </tp>
      <tp>
        <v>67</v>
        <stp/>
        <stp>ASK_SIZE</stp>
        <stp>.SPY171215C210</stp>
        <tr r="B905" s="1"/>
      </tp>
      <tp t="s">
        <v>N/A</v>
        <stp/>
        <stp>ASK_SIZE</stp>
        <stp>.SPY161216P211</stp>
        <tr r="M781" s="1"/>
      </tp>
      <tp t="s">
        <v>N/A</v>
        <stp/>
        <stp>ASK_SIZE</stp>
        <stp>.SPY171215P213</stp>
        <tr r="M911" s="1"/>
      </tp>
      <tp t="s">
        <v>N/A</v>
        <stp/>
        <stp>ASK_SIZE</stp>
        <stp>.SPY161216C211</stp>
        <tr r="B781" s="1"/>
      </tp>
      <tp t="s">
        <v>N/A</v>
        <stp/>
        <stp>ASK_SIZE</stp>
        <stp>.SPY171215C213</stp>
        <tr r="B911" s="1"/>
      </tp>
      <tp>
        <v>186</v>
        <stp/>
        <stp>ASK_SIZE</stp>
        <stp>.SPY161216P210</stp>
        <tr r="M779" s="1"/>
      </tp>
      <tp t="s">
        <v>N/A</v>
        <stp/>
        <stp>ASK_SIZE</stp>
        <stp>.SPY171215P212</stp>
        <tr r="M909" s="1"/>
      </tp>
      <tp>
        <v>75</v>
        <stp/>
        <stp>ASK_SIZE</stp>
        <stp>.SPY161216C210</stp>
        <tr r="B779" s="1"/>
      </tp>
      <tp t="s">
        <v>N/A</v>
        <stp/>
        <stp>ASK_SIZE</stp>
        <stp>.SPY171215C212</stp>
        <tr r="B909" s="1"/>
      </tp>
      <tp t="s">
        <v>N/A</v>
        <stp/>
        <stp>ASK_SIZE</stp>
        <stp>.SPY161216P217</stp>
        <tr r="M793" s="1"/>
      </tp>
      <tp>
        <v>32</v>
        <stp/>
        <stp>ASK_SIZE</stp>
        <stp>.SPY171215P215</stp>
        <tr r="M915" s="1"/>
      </tp>
      <tp t="s">
        <v>N/A</v>
        <stp/>
        <stp>ASK_SIZE</stp>
        <stp>.SPY161216C217</stp>
        <tr r="B793" s="1"/>
      </tp>
      <tp>
        <v>58</v>
        <stp/>
        <stp>ASK_SIZE</stp>
        <stp>.SPY171215C215</stp>
        <tr r="B915" s="1"/>
      </tp>
      <tp t="s">
        <v>N/A</v>
        <stp/>
        <stp>ASK_SIZE</stp>
        <stp>.SPY161216P216</stp>
        <tr r="M791" s="1"/>
      </tp>
      <tp t="s">
        <v>N/A</v>
        <stp/>
        <stp>ASK_SIZE</stp>
        <stp>.SPY171215P214</stp>
        <tr r="M913" s="1"/>
      </tp>
      <tp t="s">
        <v>N/A</v>
        <stp/>
        <stp>ASK_SIZE</stp>
        <stp>.SPY161216C216</stp>
        <tr r="B791" s="1"/>
      </tp>
      <tp t="s">
        <v>N/A</v>
        <stp/>
        <stp>ASK_SIZE</stp>
        <stp>.SPY171215C214</stp>
        <tr r="B913" s="1"/>
      </tp>
      <tp>
        <v>217</v>
        <stp/>
        <stp>ASK_SIZE</stp>
        <stp>.SPY151219P219</stp>
        <tr r="M545" s="1"/>
      </tp>
      <tp>
        <v>186</v>
        <stp/>
        <stp>ASK_SIZE</stp>
        <stp>.SPY161216P215</stp>
        <tr r="M789" s="1"/>
      </tp>
      <tp t="s">
        <v>N/A</v>
        <stp/>
        <stp>ASK_SIZE</stp>
        <stp>.SPY171215P217</stp>
        <tr r="M919" s="1"/>
      </tp>
      <tp>
        <v>2545</v>
        <stp/>
        <stp>ASK_SIZE</stp>
        <stp>.SPY151219C219</stp>
        <tr r="B545" s="1"/>
      </tp>
      <tp>
        <v>53</v>
        <stp/>
        <stp>ASK_SIZE</stp>
        <stp>.SPY161216C215</stp>
        <tr r="B789" s="1"/>
      </tp>
      <tp t="s">
        <v>N/A</v>
        <stp/>
        <stp>ASK_SIZE</stp>
        <stp>.SPY171215C217</stp>
        <tr r="B919" s="1"/>
      </tp>
      <tp>
        <v>182</v>
        <stp/>
        <stp>ASK_SIZE</stp>
        <stp>.SPY151219P218</stp>
        <tr r="M543" s="1"/>
      </tp>
      <tp t="s">
        <v>N/A</v>
        <stp/>
        <stp>ASK_SIZE</stp>
        <stp>.SPY161216P214</stp>
        <tr r="M787" s="1"/>
      </tp>
      <tp t="s">
        <v>N/A</v>
        <stp/>
        <stp>ASK_SIZE</stp>
        <stp>.SPY171215P216</stp>
        <tr r="M917" s="1"/>
      </tp>
      <tp>
        <v>151</v>
        <stp/>
        <stp>ASK_SIZE</stp>
        <stp>.SPY151219C218</stp>
        <tr r="B543" s="1"/>
      </tp>
      <tp t="s">
        <v>N/A</v>
        <stp/>
        <stp>ASK_SIZE</stp>
        <stp>.SPY161216C214</stp>
        <tr r="B787" s="1"/>
      </tp>
      <tp t="s">
        <v>N/A</v>
        <stp/>
        <stp>ASK_SIZE</stp>
        <stp>.SPY171215C216</stp>
        <tr r="B917" s="1"/>
      </tp>
      <tp>
        <v>2587</v>
        <stp/>
        <stp>ASK_SIZE</stp>
        <stp>.SPY151219P207</stp>
        <tr r="M521" s="1"/>
      </tp>
      <tp t="s">
        <v>N/A</v>
        <stp/>
        <stp>ASK_SIZE</stp>
        <stp>.SPY171215P209</stp>
        <tr r="M903" s="1"/>
      </tp>
      <tp>
        <v>189</v>
        <stp/>
        <stp>ASK_SIZE</stp>
        <stp>.SPY151219C207</stp>
        <tr r="B521" s="1"/>
      </tp>
      <tp t="s">
        <v>N/A</v>
        <stp/>
        <stp>ASK_SIZE</stp>
        <stp>.SPY171215C209</stp>
        <tr r="B903" s="1"/>
      </tp>
      <tp>
        <v>2631</v>
        <stp/>
        <stp>ASK_SIZE</stp>
        <stp>.SPY151219P206</stp>
        <tr r="M519" s="1"/>
      </tp>
      <tp t="s">
        <v>N/A</v>
        <stp/>
        <stp>ASK_SIZE</stp>
        <stp>.SPY171215P208</stp>
        <tr r="M901" s="1"/>
      </tp>
      <tp>
        <v>374</v>
        <stp/>
        <stp>ASK_SIZE</stp>
        <stp>.SPY151219C206</stp>
        <tr r="B519" s="1"/>
      </tp>
      <tp t="s">
        <v>N/A</v>
        <stp/>
        <stp>ASK_SIZE</stp>
        <stp>.SPY171215C208</stp>
        <tr r="B901" s="1"/>
      </tp>
      <tp>
        <v>2746</v>
        <stp/>
        <stp>ASK_SIZE</stp>
        <stp>.SPY151219P205</stp>
        <tr r="M517" s="1"/>
      </tp>
      <tp t="s">
        <v>N/A</v>
        <stp/>
        <stp>ASK_SIZE</stp>
        <stp>.SPY161216P209</stp>
        <tr r="M777" s="1"/>
      </tp>
      <tp>
        <v>232</v>
        <stp/>
        <stp>ASK_SIZE</stp>
        <stp>.SPY151219C205</stp>
        <tr r="B517" s="1"/>
      </tp>
      <tp t="s">
        <v>N/A</v>
        <stp/>
        <stp>ASK_SIZE</stp>
        <stp>.SPY161216C209</stp>
        <tr r="B777" s="1"/>
      </tp>
      <tp>
        <v>2622</v>
        <stp/>
        <stp>ASK_SIZE</stp>
        <stp>.SPY151219P204</stp>
        <tr r="M515" s="1"/>
      </tp>
      <tp t="s">
        <v>N/A</v>
        <stp/>
        <stp>ASK_SIZE</stp>
        <stp>.SPY161216P208</stp>
        <tr r="M775" s="1"/>
      </tp>
      <tp>
        <v>186</v>
        <stp/>
        <stp>ASK_SIZE</stp>
        <stp>.SPY151219C204</stp>
        <tr r="B515" s="1"/>
      </tp>
      <tp t="s">
        <v>N/A</v>
        <stp/>
        <stp>ASK_SIZE</stp>
        <stp>.SPY161216C208</stp>
        <tr r="B775" s="1"/>
      </tp>
      <tp>
        <v>2554</v>
        <stp/>
        <stp>ASK_SIZE</stp>
        <stp>.SPY151219P203</stp>
        <tr r="M513" s="1"/>
      </tp>
      <tp>
        <v>214</v>
        <stp/>
        <stp>ASK_SIZE</stp>
        <stp>.SPY151219C203</stp>
        <tr r="B513" s="1"/>
      </tp>
      <tp>
        <v>2419</v>
        <stp/>
        <stp>ASK_SIZE</stp>
        <stp>.SPY151219P202</stp>
        <tr r="M511" s="1"/>
      </tp>
      <tp>
        <v>164</v>
        <stp/>
        <stp>ASK_SIZE</stp>
        <stp>.SPY151219C202</stp>
        <tr r="B511" s="1"/>
      </tp>
      <tp>
        <v>2133</v>
        <stp/>
        <stp>ASK_SIZE</stp>
        <stp>.SPY151219P201</stp>
        <tr r="M509" s="1"/>
      </tp>
      <tp>
        <v>150</v>
        <stp/>
        <stp>ASK_SIZE</stp>
        <stp>.SPY151219C201</stp>
        <tr r="B509" s="1"/>
      </tp>
      <tp>
        <v>2775</v>
        <stp/>
        <stp>ASK_SIZE</stp>
        <stp>.SPY151219P200</stp>
        <tr r="M507" s="1"/>
      </tp>
      <tp>
        <v>143</v>
        <stp/>
        <stp>ASK_SIZE</stp>
        <stp>.SPY151219C200</stp>
        <tr r="B507" s="1"/>
      </tp>
      <tp t="s">
        <v>N/A</v>
        <stp/>
        <stp>ASK_SIZE</stp>
        <stp>.SPY161216P203</stp>
        <tr r="M765" s="1"/>
      </tp>
      <tp t="s">
        <v>N/A</v>
        <stp/>
        <stp>ASK_SIZE</stp>
        <stp>.SPY171215P201</stp>
        <tr r="M887" s="1"/>
      </tp>
      <tp t="s">
        <v>N/A</v>
        <stp/>
        <stp>ASK_SIZE</stp>
        <stp>.SPY161216C203</stp>
        <tr r="B765" s="1"/>
      </tp>
      <tp t="s">
        <v>N/A</v>
        <stp/>
        <stp>ASK_SIZE</stp>
        <stp>.SPY171215C201</stp>
        <tr r="B887" s="1"/>
      </tp>
      <tp t="s">
        <v>N/A</v>
        <stp/>
        <stp>ASK_SIZE</stp>
        <stp>.SPY161216P202</stp>
        <tr r="M763" s="1"/>
      </tp>
      <tp>
        <v>55</v>
        <stp/>
        <stp>ASK_SIZE</stp>
        <stp>.SPY171215P200</stp>
        <tr r="M885" s="1"/>
      </tp>
      <tp t="s">
        <v>N/A</v>
        <stp/>
        <stp>ASK_SIZE</stp>
        <stp>.SPY161216C202</stp>
        <tr r="B763" s="1"/>
      </tp>
      <tp>
        <v>61</v>
        <stp/>
        <stp>ASK_SIZE</stp>
        <stp>.SPY171215C200</stp>
        <tr r="B885" s="1"/>
      </tp>
      <tp t="s">
        <v>N/A</v>
        <stp/>
        <stp>ASK_SIZE</stp>
        <stp>.SPY161216P201</stp>
        <tr r="M761" s="1"/>
      </tp>
      <tp t="s">
        <v>N/A</v>
        <stp/>
        <stp>ASK_SIZE</stp>
        <stp>.SPY171215P203</stp>
        <tr r="M891" s="1"/>
      </tp>
      <tp t="s">
        <v>N/A</v>
        <stp/>
        <stp>ASK_SIZE</stp>
        <stp>.SPY161216C201</stp>
        <tr r="B761" s="1"/>
      </tp>
      <tp t="s">
        <v>N/A</v>
        <stp/>
        <stp>ASK_SIZE</stp>
        <stp>.SPY171215C203</stp>
        <tr r="B891" s="1"/>
      </tp>
      <tp>
        <v>1219</v>
        <stp/>
        <stp>ASK_SIZE</stp>
        <stp>.SPY161216P200</stp>
        <tr r="M759" s="1"/>
      </tp>
      <tp t="s">
        <v>N/A</v>
        <stp/>
        <stp>ASK_SIZE</stp>
        <stp>.SPY171215P202</stp>
        <tr r="M889" s="1"/>
      </tp>
      <tp>
        <v>304</v>
        <stp/>
        <stp>ASK_SIZE</stp>
        <stp>.SPY161216C200</stp>
        <tr r="B759" s="1"/>
      </tp>
      <tp t="s">
        <v>N/A</v>
        <stp/>
        <stp>ASK_SIZE</stp>
        <stp>.SPY171215C202</stp>
        <tr r="B889" s="1"/>
      </tp>
      <tp t="s">
        <v>N/A</v>
        <stp/>
        <stp>ASK_SIZE</stp>
        <stp>.SPY161216P207</stp>
        <tr r="M773" s="1"/>
      </tp>
      <tp>
        <v>51</v>
        <stp/>
        <stp>ASK_SIZE</stp>
        <stp>.SPY171215P205</stp>
        <tr r="M895" s="1"/>
      </tp>
      <tp t="s">
        <v>N/A</v>
        <stp/>
        <stp>ASK_SIZE</stp>
        <stp>.SPY161216C207</stp>
        <tr r="B773" s="1"/>
      </tp>
      <tp>
        <v>67</v>
        <stp/>
        <stp>ASK_SIZE</stp>
        <stp>.SPY171215C205</stp>
        <tr r="B895" s="1"/>
      </tp>
      <tp t="s">
        <v>N/A</v>
        <stp/>
        <stp>ASK_SIZE</stp>
        <stp>.SPY161216P206</stp>
        <tr r="M771" s="1"/>
      </tp>
      <tp t="s">
        <v>N/A</v>
        <stp/>
        <stp>ASK_SIZE</stp>
        <stp>.SPY171215P204</stp>
        <tr r="M893" s="1"/>
      </tp>
      <tp t="s">
        <v>N/A</v>
        <stp/>
        <stp>ASK_SIZE</stp>
        <stp>.SPY161216C206</stp>
        <tr r="B771" s="1"/>
      </tp>
      <tp t="s">
        <v>N/A</v>
        <stp/>
        <stp>ASK_SIZE</stp>
        <stp>.SPY171215C204</stp>
        <tr r="B893" s="1"/>
      </tp>
      <tp>
        <v>2824</v>
        <stp/>
        <stp>ASK_SIZE</stp>
        <stp>.SPY151219P209</stp>
        <tr r="M525" s="1"/>
      </tp>
      <tp>
        <v>151</v>
        <stp/>
        <stp>ASK_SIZE</stp>
        <stp>.SPY161216P205</stp>
        <tr r="M769" s="1"/>
      </tp>
      <tp t="s">
        <v>N/A</v>
        <stp/>
        <stp>ASK_SIZE</stp>
        <stp>.SPY171215P207</stp>
        <tr r="M899" s="1"/>
      </tp>
      <tp>
        <v>369</v>
        <stp/>
        <stp>ASK_SIZE</stp>
        <stp>.SPY151219C209</stp>
        <tr r="B525" s="1"/>
      </tp>
      <tp>
        <v>57</v>
        <stp/>
        <stp>ASK_SIZE</stp>
        <stp>.SPY161216C205</stp>
        <tr r="B769" s="1"/>
      </tp>
      <tp t="s">
        <v>N/A</v>
        <stp/>
        <stp>ASK_SIZE</stp>
        <stp>.SPY171215C207</stp>
        <tr r="B899" s="1"/>
      </tp>
      <tp>
        <v>2593</v>
        <stp/>
        <stp>ASK_SIZE</stp>
        <stp>.SPY151219P208</stp>
        <tr r="M523" s="1"/>
      </tp>
      <tp t="s">
        <v>N/A</v>
        <stp/>
        <stp>ASK_SIZE</stp>
        <stp>.SPY161216P204</stp>
        <tr r="M767" s="1"/>
      </tp>
      <tp t="s">
        <v>N/A</v>
        <stp/>
        <stp>ASK_SIZE</stp>
        <stp>.SPY171215P206</stp>
        <tr r="M897" s="1"/>
      </tp>
      <tp>
        <v>332</v>
        <stp/>
        <stp>ASK_SIZE</stp>
        <stp>.SPY151219C208</stp>
        <tr r="B523" s="1"/>
      </tp>
      <tp t="s">
        <v>N/A</v>
        <stp/>
        <stp>ASK_SIZE</stp>
        <stp>.SPY161216C204</stp>
        <tr r="B767" s="1"/>
      </tp>
      <tp t="s">
        <v>N/A</v>
        <stp/>
        <stp>ASK_SIZE</stp>
        <stp>.SPY171215C206</stp>
        <tr r="B897" s="1"/>
      </tp>
      <tp t="s">
        <v>N/A</v>
        <stp/>
        <stp>ASK_SIZE</stp>
        <stp>.SPY151231C211.5</stp>
        <tr r="B572" s="1"/>
      </tp>
      <tp t="s">
        <v>N/A</v>
        <stp/>
        <stp>ASK_SIZE</stp>
        <stp>.SPY151231C201.5</stp>
        <tr r="B552" s="1"/>
      </tp>
      <tp t="s">
        <v>N/A</v>
        <stp/>
        <stp>ASK_SIZE</stp>
        <stp>.SPY151219C219.5</stp>
        <tr r="B546" s="1"/>
      </tp>
      <tp t="s">
        <v>N/A</v>
        <stp/>
        <stp>ASK_SIZE</stp>
        <stp>.SPY161216C215.5</stp>
        <tr r="B790" s="1"/>
      </tp>
      <tp t="s">
        <v>N/A</v>
        <stp/>
        <stp>ASK_SIZE</stp>
        <stp>.SPY171215C217.5</stp>
        <tr r="B920" s="1"/>
      </tp>
      <tp t="s">
        <v>N/A</v>
        <stp/>
        <stp>ASK_SIZE</stp>
        <stp>.SPY151219C209.5</stp>
        <tr r="B526" s="1"/>
      </tp>
      <tp t="s">
        <v>N/A</v>
        <stp/>
        <stp>ASK_SIZE</stp>
        <stp>.SPY161216C205.5</stp>
        <tr r="B770" s="1"/>
      </tp>
      <tp t="s">
        <v>N/A</v>
        <stp/>
        <stp>ASK_SIZE</stp>
        <stp>.SPY171215C207.5</stp>
        <tr r="B900" s="1"/>
      </tp>
      <tp t="s">
        <v>N/A</v>
        <stp/>
        <stp>BID_SIZE</stp>
        <stp>.SPY151219C216.5</stp>
        <tr r="D540" s="1"/>
      </tp>
      <tp t="s">
        <v>N/A</v>
        <stp/>
        <stp>BID_SIZE</stp>
        <stp>.SPY171215C218.5</stp>
        <tr r="D922" s="1"/>
      </tp>
      <tp t="s">
        <v>N/A</v>
        <stp/>
        <stp>BID_SIZE</stp>
        <stp>.SPY151219C206.5</stp>
        <tr r="D520" s="1"/>
      </tp>
      <tp t="s">
        <v>N/A</v>
        <stp/>
        <stp>BID_SIZE</stp>
        <stp>.SPY171215C208.5</stp>
        <tr r="D902" s="1"/>
      </tp>
      <tp>
        <v>0</v>
        <stp/>
        <stp>BID_SIZE</stp>
        <stp>.SPY150417C218.5</stp>
        <tr r="D40" s="1"/>
      </tp>
      <tp>
        <v>0</v>
        <stp/>
        <stp>BID_SIZE</stp>
        <stp>.SPY150417C208.5</stp>
        <tr r="D20" s="1"/>
      </tp>
      <tp t="s">
        <v>N/A</v>
        <stp/>
        <stp>ASK_SIZE</stp>
        <stp>.SPY150717C217.5</stp>
        <tr r="B416" s="1"/>
      </tp>
      <tp t="s">
        <v>N/A</v>
        <stp/>
        <stp>ASK_SIZE</stp>
        <stp>.SPY150717C207.5</stp>
        <tr r="B396" s="1"/>
      </tp>
      <tp>
        <v>199</v>
        <stp/>
        <stp>BID_SIZE</stp>
        <stp>.SPY150508C207.5</stp>
        <tr r="D144" s="1"/>
      </tp>
      <tp>
        <v>0</v>
        <stp/>
        <stp>BID_SIZE</stp>
        <stp>.SPY150508C217.5</stp>
        <tr r="D164" s="1"/>
      </tp>
      <tp>
        <v>249</v>
        <stp/>
        <stp>BID_SIZE</stp>
        <stp>.SPY150529C206.5</stp>
        <tr r="D268" s="1"/>
      </tp>
      <tp>
        <v>315</v>
        <stp/>
        <stp>BID_SIZE</stp>
        <stp>.SPY150529C216.5</stp>
        <tr r="D288" s="1"/>
      </tp>
      <tp t="s">
        <v>N/A</v>
        <stp/>
        <stp>ASK_SIZE</stp>
        <stp>.SPY150630C210.5</stp>
        <tr r="B360" s="1"/>
      </tp>
      <tp t="s">
        <v>N/A</v>
        <stp/>
        <stp>ASK_SIZE</stp>
        <stp>.SPY150630C200.5</stp>
        <tr r="B340" s="1"/>
      </tp>
      <tp t="s">
        <v>N/A</v>
        <stp/>
        <stp>ASK_SIZE</stp>
        <stp>.SPY150619C219.5</stp>
        <tr r="B336" s="1"/>
      </tp>
      <tp t="s">
        <v>N/A</v>
        <stp/>
        <stp>ASK_SIZE</stp>
        <stp>.SPY160617C214.5</stp>
        <tr r="B704" s="1"/>
      </tp>
      <tp t="s">
        <v>N/A</v>
        <stp/>
        <stp>ASK_SIZE</stp>
        <stp>.SPY150619C209.5</stp>
        <tr r="B316" s="1"/>
      </tp>
      <tp t="s">
        <v>N/A</v>
        <stp/>
        <stp>ASK_SIZE</stp>
        <stp>.SPY160617C204.5</stp>
        <tr r="B684" s="1"/>
      </tp>
      <tp t="s">
        <v>N/A</v>
        <stp/>
        <stp>BID_SIZE</stp>
        <stp>.SPY150619C216.5</stp>
        <tr r="D330" s="1"/>
      </tp>
      <tp t="s">
        <v>N/A</v>
        <stp/>
        <stp>BID_SIZE</stp>
        <stp>.SPY150619C206.5</stp>
        <tr r="D310" s="1"/>
      </tp>
      <tp>
        <v>199</v>
        <stp/>
        <stp>ASK_SIZE</stp>
        <stp>.SPY150522C202.5</stp>
        <tr r="B218" s="1"/>
      </tp>
      <tp>
        <v>241</v>
        <stp/>
        <stp>ASK_SIZE</stp>
        <stp>.SPY150529C209.5</stp>
        <tr r="B274" s="1"/>
      </tp>
      <tp>
        <v>953</v>
        <stp/>
        <stp>ASK_SIZE</stp>
        <stp>.SPY150522C212.5</stp>
        <tr r="B238" s="1"/>
      </tp>
      <tp>
        <v>250</v>
        <stp/>
        <stp>ASK_SIZE</stp>
        <stp>.SPY150529C219.5</stp>
        <tr r="B294" s="1"/>
      </tp>
      <tp>
        <v>0</v>
        <stp/>
        <stp>ASK_SIZE</stp>
        <stp>.SPY150501C201.5</stp>
        <tr r="B90" s="1"/>
      </tp>
      <tp>
        <v>160</v>
        <stp/>
        <stp>ASK_SIZE</stp>
        <stp>.SPY150508C208.5</stp>
        <tr r="B146" s="1"/>
      </tp>
      <tp>
        <v>1688</v>
        <stp/>
        <stp>ASK_SIZE</stp>
        <stp>.SPY150515C215.5</stp>
        <tr r="B202" s="1"/>
      </tp>
      <tp>
        <v>0</v>
        <stp/>
        <stp>ASK_SIZE</stp>
        <stp>.SPY150501C211.5</stp>
        <tr r="B110" s="1"/>
      </tp>
      <tp>
        <v>1200</v>
        <stp/>
        <stp>ASK_SIZE</stp>
        <stp>.SPY150508C218.5</stp>
        <tr r="B166" s="1"/>
      </tp>
      <tp>
        <v>350</v>
        <stp/>
        <stp>ASK_SIZE</stp>
        <stp>.SPY150515C205.5</stp>
        <tr r="B182" s="1"/>
      </tp>
      <tp t="s">
        <v>N/A</v>
        <stp/>
        <stp>BID_SIZE</stp>
        <stp>.SPY150717C218.5</stp>
        <tr r="D418" s="1"/>
      </tp>
      <tp t="s">
        <v>N/A</v>
        <stp/>
        <stp>BID_SIZE</stp>
        <stp>.SPY150717C208.5</stp>
        <tr r="D398" s="1"/>
      </tp>
      <tp>
        <v>0</v>
        <stp/>
        <stp>ASK_SIZE</stp>
        <stp>.SPY150424C204.5</stp>
        <tr r="B54" s="1"/>
      </tp>
      <tp>
        <v>0</v>
        <stp/>
        <stp>ASK_SIZE</stp>
        <stp>.SPY150424C214.5</stp>
        <tr r="B74" s="1"/>
      </tp>
      <tp>
        <v>0</v>
        <stp/>
        <stp>ASK_SIZE</stp>
        <stp>.SPY150417C217.5</stp>
        <tr r="B38" s="1"/>
      </tp>
      <tp>
        <v>0</v>
        <stp/>
        <stp>ASK_SIZE</stp>
        <stp>.SPY150417C207.5</stp>
        <tr r="B18" s="1"/>
      </tp>
      <tp t="s">
        <v>N/A</v>
        <stp/>
        <stp>ASK_SIZE</stp>
        <stp>.SPY170317C215.5</stp>
        <tr r="B874" s="1"/>
      </tp>
      <tp t="s">
        <v>N/A</v>
        <stp/>
        <stp>ASK_SIZE</stp>
        <stp>.SPY170317C205.5</stp>
        <tr r="B854" s="1"/>
      </tp>
      <tp t="s">
        <v>N/A</v>
        <stp/>
        <stp>BID_SIZE</stp>
        <stp>.SPY160115C219.5</stp>
        <tr r="D630" s="1"/>
      </tp>
      <tp t="s">
        <v>N/A</v>
        <stp/>
        <stp>BID_SIZE</stp>
        <stp>.SPY160115C209.5</stp>
        <tr r="D610" s="1"/>
      </tp>
      <tp t="s">
        <v>N/A</v>
        <stp/>
        <stp>ASK_SIZE</stp>
        <stp>.SPY170120C202.5</stp>
        <tr r="B806" s="1"/>
      </tp>
      <tp t="s">
        <v>N/A</v>
        <stp/>
        <stp>ASK_SIZE</stp>
        <stp>.SPY170120C212.5</stp>
        <tr r="B826" s="1"/>
      </tp>
      <tp t="s">
        <v>N/A</v>
        <stp/>
        <stp>ASK_SIZE</stp>
        <stp>.SPY160115C216.5</stp>
        <tr r="B624" s="1"/>
      </tp>
      <tp t="s">
        <v>N/A</v>
        <stp/>
        <stp>ASK_SIZE</stp>
        <stp>.SPY160115C206.5</stp>
        <tr r="B604" s="1"/>
      </tp>
      <tp t="s">
        <v>N/A</v>
        <stp/>
        <stp>BID_SIZE</stp>
        <stp>.SPY160318C214.5</stp>
        <tr r="D662" s="1"/>
      </tp>
      <tp t="s">
        <v>N/A</v>
        <stp/>
        <stp>BID_SIZE</stp>
        <stp>.SPY160318C204.5</stp>
        <tr r="D642" s="1"/>
      </tp>
      <tp t="s">
        <v>N/A</v>
        <stp/>
        <stp>BID_SIZE</stp>
        <stp>.SPY150918C217.5</stp>
        <tr r="D458" s="1"/>
      </tp>
      <tp t="s">
        <v>N/A</v>
        <stp/>
        <stp>BID_SIZE</stp>
        <stp>.SPY150918C207.5</stp>
        <tr r="D438" s="1"/>
      </tp>
      <tp t="s">
        <v>N/A</v>
        <stp/>
        <stp>ASK_SIZE</stp>
        <stp>.SPY150930C210.5</stp>
        <tr r="B486" s="1"/>
      </tp>
      <tp t="s">
        <v>N/A</v>
        <stp/>
        <stp>ASK_SIZE</stp>
        <stp>.SPY150930C200.5</stp>
        <tr r="B466" s="1"/>
      </tp>
      <tp t="s">
        <v>N/A</v>
        <stp/>
        <stp>ASK_SIZE</stp>
        <stp>.SPY150918C218.5</stp>
        <tr r="B460" s="1"/>
      </tp>
      <tp t="s">
        <v>N/A</v>
        <stp/>
        <stp>ASK_SIZE</stp>
        <stp>.SPY160916C215.5</stp>
        <tr r="B748" s="1"/>
      </tp>
      <tp t="s">
        <v>N/A</v>
        <stp/>
        <stp>ASK_SIZE</stp>
        <stp>.SPY150918C208.5</stp>
        <tr r="B440" s="1"/>
      </tp>
      <tp t="s">
        <v>N/A</v>
        <stp/>
        <stp>ASK_SIZE</stp>
        <stp>.SPY160916C205.5</stp>
        <tr r="B728" s="1"/>
      </tp>
      <tp>
        <v>0</v>
        <stp/>
        <stp>BID_SIZE</stp>
        <stp>.SPY150417P219.5</stp>
        <tr r="O42" s="1"/>
      </tp>
      <tp>
        <v>0</v>
        <stp/>
        <stp>BID_SIZE</stp>
        <stp>.SPY150417P209.5</stp>
        <tr r="O22" s="1"/>
      </tp>
      <tp t="s">
        <v>N/A</v>
        <stp/>
        <stp>ASK_SIZE</stp>
        <stp>.SPY150717P216.5</stp>
        <tr r="M414" s="1"/>
      </tp>
      <tp t="s">
        <v>N/A</v>
        <stp/>
        <stp>ASK_SIZE</stp>
        <stp>.SPY150717P206.5</stp>
        <tr r="M394" s="1"/>
      </tp>
      <tp>
        <v>2245</v>
        <stp/>
        <stp>BID_SIZE</stp>
        <stp>.SPY150508P206.5</stp>
        <tr r="O142" s="1"/>
      </tp>
      <tp>
        <v>100</v>
        <stp/>
        <stp>BID_SIZE</stp>
        <stp>.SPY150508P216.5</stp>
        <tr r="O162" s="1"/>
      </tp>
      <tp>
        <v>240</v>
        <stp/>
        <stp>BID_SIZE</stp>
        <stp>.SPY150529P207.5</stp>
        <tr r="O270" s="1"/>
      </tp>
      <tp>
        <v>150</v>
        <stp/>
        <stp>BID_SIZE</stp>
        <stp>.SPY150529P217.5</stp>
        <tr r="O290" s="1"/>
      </tp>
      <tp t="s">
        <v>N/A</v>
        <stp/>
        <stp>ASK_SIZE</stp>
        <stp>.SPY150630P211.5</stp>
        <tr r="M362" s="1"/>
      </tp>
      <tp t="s">
        <v>N/A</v>
        <stp/>
        <stp>ASK_SIZE</stp>
        <stp>.SPY150630P201.5</stp>
        <tr r="M342" s="1"/>
      </tp>
      <tp t="s">
        <v>N/A</v>
        <stp/>
        <stp>ASK_SIZE</stp>
        <stp>.SPY150619P218.5</stp>
        <tr r="M334" s="1"/>
      </tp>
      <tp t="s">
        <v>N/A</v>
        <stp/>
        <stp>ASK_SIZE</stp>
        <stp>.SPY160617P215.5</stp>
        <tr r="M706" s="1"/>
      </tp>
      <tp t="s">
        <v>N/A</v>
        <stp/>
        <stp>ASK_SIZE</stp>
        <stp>.SPY150619P208.5</stp>
        <tr r="M314" s="1"/>
      </tp>
      <tp t="s">
        <v>N/A</v>
        <stp/>
        <stp>ASK_SIZE</stp>
        <stp>.SPY160617P205.5</stp>
        <tr r="M686" s="1"/>
      </tp>
      <tp t="s">
        <v>N/A</v>
        <stp/>
        <stp>BID_SIZE</stp>
        <stp>.SPY150619P217.5</stp>
        <tr r="O332" s="1"/>
      </tp>
      <tp t="s">
        <v>N/A</v>
        <stp/>
        <stp>BID_SIZE</stp>
        <stp>.SPY150619P207.5</stp>
        <tr r="O312" s="1"/>
      </tp>
      <tp>
        <v>300</v>
        <stp/>
        <stp>ASK_SIZE</stp>
        <stp>.SPY150522P203.5</stp>
        <tr r="M220" s="1"/>
      </tp>
      <tp>
        <v>3011</v>
        <stp/>
        <stp>ASK_SIZE</stp>
        <stp>.SPY150529P208.5</stp>
        <tr r="M272" s="1"/>
      </tp>
      <tp>
        <v>111</v>
        <stp/>
        <stp>ASK_SIZE</stp>
        <stp>.SPY150522P213.5</stp>
        <tr r="M240" s="1"/>
      </tp>
      <tp>
        <v>150</v>
        <stp/>
        <stp>ASK_SIZE</stp>
        <stp>.SPY150529P218.5</stp>
        <tr r="M292" s="1"/>
      </tp>
      <tp>
        <v>0</v>
        <stp/>
        <stp>ASK_SIZE</stp>
        <stp>.SPY150501P200.5</stp>
        <tr r="M88" s="1"/>
      </tp>
      <tp>
        <v>376</v>
        <stp/>
        <stp>ASK_SIZE</stp>
        <stp>.SPY150508P209.5</stp>
        <tr r="M148" s="1"/>
      </tp>
      <tp>
        <v>349</v>
        <stp/>
        <stp>ASK_SIZE</stp>
        <stp>.SPY150515P214.5</stp>
        <tr r="M200" s="1"/>
      </tp>
      <tp>
        <v>0</v>
        <stp/>
        <stp>ASK_SIZE</stp>
        <stp>.SPY150501P210.5</stp>
        <tr r="M108" s="1"/>
      </tp>
      <tp>
        <v>100</v>
        <stp/>
        <stp>ASK_SIZE</stp>
        <stp>.SPY150508P219.5</stp>
        <tr r="M168" s="1"/>
      </tp>
      <tp>
        <v>1698</v>
        <stp/>
        <stp>ASK_SIZE</stp>
        <stp>.SPY150515P204.5</stp>
        <tr r="M180" s="1"/>
      </tp>
      <tp t="s">
        <v>N/A</v>
        <stp/>
        <stp>BID_SIZE</stp>
        <stp>.SPY150717P219.5</stp>
        <tr r="O420" s="1"/>
      </tp>
      <tp t="s">
        <v>N/A</v>
        <stp/>
        <stp>BID_SIZE</stp>
        <stp>.SPY150717P209.5</stp>
        <tr r="O400" s="1"/>
      </tp>
      <tp>
        <v>0</v>
        <stp/>
        <stp>ASK_SIZE</stp>
        <stp>.SPY150424P205.5</stp>
        <tr r="M56" s="1"/>
      </tp>
      <tp>
        <v>0</v>
        <stp/>
        <stp>ASK_SIZE</stp>
        <stp>.SPY150424P215.5</stp>
        <tr r="M76" s="1"/>
      </tp>
      <tp>
        <v>0</v>
        <stp/>
        <stp>ASK_SIZE</stp>
        <stp>.SPY150417P216.5</stp>
        <tr r="M36" s="1"/>
      </tp>
      <tp>
        <v>0</v>
        <stp/>
        <stp>ASK_SIZE</stp>
        <stp>.SPY150417P206.5</stp>
        <tr r="M16" s="1"/>
      </tp>
      <tp t="s">
        <v>N/A</v>
        <stp/>
        <stp>ASK_SIZE</stp>
        <stp>.SPY170317P214.5</stp>
        <tr r="M872" s="1"/>
      </tp>
      <tp t="s">
        <v>N/A</v>
        <stp/>
        <stp>ASK_SIZE</stp>
        <stp>.SPY170317P204.5</stp>
        <tr r="M852" s="1"/>
      </tp>
      <tp t="s">
        <v>N/A</v>
        <stp/>
        <stp>BID_SIZE</stp>
        <stp>.SPY160115P218.5</stp>
        <tr r="O628" s="1"/>
      </tp>
      <tp t="s">
        <v>N/A</v>
        <stp/>
        <stp>BID_SIZE</stp>
        <stp>.SPY160115P208.5</stp>
        <tr r="O608" s="1"/>
      </tp>
      <tp t="s">
        <v>N/A</v>
        <stp/>
        <stp>ASK_SIZE</stp>
        <stp>.SPY170120P203.5</stp>
        <tr r="M808" s="1"/>
      </tp>
      <tp t="s">
        <v>N/A</v>
        <stp/>
        <stp>ASK_SIZE</stp>
        <stp>.SPY170120P213.5</stp>
        <tr r="M828" s="1"/>
      </tp>
      <tp t="s">
        <v>N/A</v>
        <stp/>
        <stp>ASK_SIZE</stp>
        <stp>.SPY160115P217.5</stp>
        <tr r="M626" s="1"/>
      </tp>
      <tp t="s">
        <v>N/A</v>
        <stp/>
        <stp>ASK_SIZE</stp>
        <stp>.SPY160115P207.5</stp>
        <tr r="M606" s="1"/>
      </tp>
      <tp t="s">
        <v>N/A</v>
        <stp/>
        <stp>BID_SIZE</stp>
        <stp>.SPY160318P215.5</stp>
        <tr r="O664" s="1"/>
      </tp>
      <tp t="s">
        <v>N/A</v>
        <stp/>
        <stp>BID_SIZE</stp>
        <stp>.SPY160318P205.5</stp>
        <tr r="O644" s="1"/>
      </tp>
      <tp t="s">
        <v>N/A</v>
        <stp/>
        <stp>BID_SIZE</stp>
        <stp>.SPY150918P216.5</stp>
        <tr r="O456" s="1"/>
      </tp>
      <tp t="s">
        <v>N/A</v>
        <stp/>
        <stp>BID_SIZE</stp>
        <stp>.SPY150918P206.5</stp>
        <tr r="O436" s="1"/>
      </tp>
      <tp t="s">
        <v>N/A</v>
        <stp/>
        <stp>ASK_SIZE</stp>
        <stp>.SPY150930P211.5</stp>
        <tr r="M488" s="1"/>
      </tp>
      <tp t="s">
        <v>N/A</v>
        <stp/>
        <stp>ASK_SIZE</stp>
        <stp>.SPY150930P201.5</stp>
        <tr r="M468" s="1"/>
      </tp>
      <tp t="s">
        <v>N/A</v>
        <stp/>
        <stp>ASK_SIZE</stp>
        <stp>.SPY150918P219.5</stp>
        <tr r="M462" s="1"/>
      </tp>
      <tp t="s">
        <v>N/A</v>
        <stp/>
        <stp>ASK_SIZE</stp>
        <stp>.SPY160916P214.5</stp>
        <tr r="M746" s="1"/>
      </tp>
      <tp t="s">
        <v>N/A</v>
        <stp/>
        <stp>ASK_SIZE</stp>
        <stp>.SPY150918P209.5</stp>
        <tr r="M442" s="1"/>
      </tp>
      <tp t="s">
        <v>N/A</v>
        <stp/>
        <stp>ASK_SIZE</stp>
        <stp>.SPY160916P204.5</stp>
        <tr r="M726" s="1"/>
      </tp>
      <tp t="s">
        <v>N/A</v>
        <stp/>
        <stp>ASK_SIZE</stp>
        <stp>.SPY151231P210.5</stp>
        <tr r="M570" s="1"/>
      </tp>
      <tp t="s">
        <v>N/A</v>
        <stp/>
        <stp>ASK_SIZE</stp>
        <stp>.SPY151231P200.5</stp>
        <tr r="M550" s="1"/>
      </tp>
      <tp t="s">
        <v>N/A</v>
        <stp/>
        <stp>ASK_SIZE</stp>
        <stp>.SPY151219P218.5</stp>
        <tr r="M544" s="1"/>
      </tp>
      <tp t="s">
        <v>N/A</v>
        <stp/>
        <stp>ASK_SIZE</stp>
        <stp>.SPY161216P214.5</stp>
        <tr r="M788" s="1"/>
      </tp>
      <tp t="s">
        <v>N/A</v>
        <stp/>
        <stp>ASK_SIZE</stp>
        <stp>.SPY171215P216.5</stp>
        <tr r="M918" s="1"/>
      </tp>
      <tp t="s">
        <v>N/A</v>
        <stp/>
        <stp>ASK_SIZE</stp>
        <stp>.SPY151219P208.5</stp>
        <tr r="M524" s="1"/>
      </tp>
      <tp t="s">
        <v>N/A</v>
        <stp/>
        <stp>ASK_SIZE</stp>
        <stp>.SPY161216P204.5</stp>
        <tr r="M768" s="1"/>
      </tp>
      <tp t="s">
        <v>N/A</v>
        <stp/>
        <stp>ASK_SIZE</stp>
        <stp>.SPY171215P206.5</stp>
        <tr r="M898" s="1"/>
      </tp>
      <tp t="s">
        <v>N/A</v>
        <stp/>
        <stp>BID_SIZE</stp>
        <stp>.SPY151219P217.5</stp>
        <tr r="O542" s="1"/>
      </tp>
      <tp t="s">
        <v>N/A</v>
        <stp/>
        <stp>BID_SIZE</stp>
        <stp>.SPY171215P219.5</stp>
        <tr r="O924" s="1"/>
      </tp>
      <tp t="s">
        <v>N/A</v>
        <stp/>
        <stp>BID_SIZE</stp>
        <stp>.SPY151219P207.5</stp>
        <tr r="O522" s="1"/>
      </tp>
      <tp t="s">
        <v>N/A</v>
        <stp/>
        <stp>BID_SIZE</stp>
        <stp>.SPY171215P209.5</stp>
        <tr r="O904" s="1"/>
      </tp>
      <tp>
        <v>4712</v>
        <stp/>
        <stp>OPEN_INT</stp>
        <stp>.SPY160115P202</stp>
        <tr r="Q595" s="1"/>
      </tp>
      <tp>
        <v>603</v>
        <stp/>
        <stp>OPEN_INT</stp>
        <stp>.SPY160115C202</stp>
        <tr r="F595" s="1"/>
      </tp>
      <tp>
        <v>2334</v>
        <stp/>
        <stp>OPEN_INT</stp>
        <stp>.SPY160115P203</stp>
        <tr r="Q597" s="1"/>
      </tp>
      <tp>
        <v>278</v>
        <stp/>
        <stp>OPEN_INT</stp>
        <stp>.SPY160115C203</stp>
        <tr r="F597" s="1"/>
      </tp>
      <tp>
        <v>38903</v>
        <stp/>
        <stp>OPEN_INT</stp>
        <stp>.SPY160115P200</stp>
        <tr r="Q591" s="1"/>
      </tp>
      <tp>
        <v>23065</v>
        <stp/>
        <stp>OPEN_INT</stp>
        <stp>.SPY160115C200</stp>
        <tr r="F591" s="1"/>
      </tp>
      <tp>
        <v>3406</v>
        <stp/>
        <stp>OPEN_INT</stp>
        <stp>.SPY160115P201</stp>
        <tr r="Q593" s="1"/>
      </tp>
      <tp>
        <v>96</v>
        <stp/>
        <stp>OPEN_INT</stp>
        <stp>.SPY160115C201</stp>
        <tr r="F593" s="1"/>
      </tp>
      <tp>
        <v>2944</v>
        <stp/>
        <stp>OPEN_INT</stp>
        <stp>.SPY160115P206</stp>
        <tr r="Q603" s="1"/>
      </tp>
      <tp>
        <v>1139</v>
        <stp/>
        <stp>OPEN_INT</stp>
        <stp>.SPY160115C206</stp>
        <tr r="F603" s="1"/>
      </tp>
      <tp>
        <v>3533</v>
        <stp/>
        <stp>OPEN_INT</stp>
        <stp>.SPY160115P207</stp>
        <tr r="Q605" s="1"/>
      </tp>
      <tp>
        <v>605</v>
        <stp/>
        <stp>OPEN_INT</stp>
        <stp>.SPY160115C207</stp>
        <tr r="F605" s="1"/>
      </tp>
      <tp>
        <v>2341</v>
        <stp/>
        <stp>OPEN_INT</stp>
        <stp>.SPY160115P204</stp>
        <tr r="Q599" s="1"/>
      </tp>
      <tp>
        <v>628</v>
        <stp/>
        <stp>OPEN_INT</stp>
        <stp>.SPY160115C204</stp>
        <tr r="F599" s="1"/>
      </tp>
      <tp>
        <v>23433</v>
        <stp/>
        <stp>OPEN_INT</stp>
        <stp>.SPY160115P205</stp>
        <tr r="Q601" s="1"/>
      </tp>
      <tp>
        <v>21514</v>
        <stp/>
        <stp>OPEN_INT</stp>
        <stp>.SPY160115C205</stp>
        <tr r="F601" s="1"/>
      </tp>
      <tp>
        <v>1771</v>
        <stp/>
        <stp>OPEN_INT</stp>
        <stp>.SPY160115P208</stp>
        <tr r="Q607" s="1"/>
      </tp>
      <tp>
        <v>1521</v>
        <stp/>
        <stp>OPEN_INT</stp>
        <stp>.SPY160115C208</stp>
        <tr r="F607" s="1"/>
      </tp>
      <tp>
        <v>1106</v>
        <stp/>
        <stp>OPEN_INT</stp>
        <stp>.SPY160115P209</stp>
        <tr r="Q609" s="1"/>
      </tp>
      <tp>
        <v>887</v>
        <stp/>
        <stp>OPEN_INT</stp>
        <stp>.SPY160115C209</stp>
        <tr r="F609" s="1"/>
      </tp>
      <tp>
        <v>106</v>
        <stp/>
        <stp>OPEN_INT</stp>
        <stp>.SPY160115P212</stp>
        <tr r="Q615" s="1"/>
      </tp>
      <tp>
        <v>1029</v>
        <stp/>
        <stp>OPEN_INT</stp>
        <stp>.SPY160115C212</stp>
        <tr r="F615" s="1"/>
      </tp>
      <tp>
        <v>197</v>
        <stp/>
        <stp>OPEN_INT</stp>
        <stp>.SPY160115P213</stp>
        <tr r="Q617" s="1"/>
      </tp>
      <tp>
        <v>537</v>
        <stp/>
        <stp>OPEN_INT</stp>
        <stp>.SPY160115C213</stp>
        <tr r="F617" s="1"/>
      </tp>
      <tp>
        <v>26066</v>
        <stp/>
        <stp>OPEN_INT</stp>
        <stp>.SPY160115P210</stp>
        <tr r="Q611" s="1"/>
      </tp>
      <tp>
        <v>21915</v>
        <stp/>
        <stp>OPEN_INT</stp>
        <stp>.SPY160115C210</stp>
        <tr r="F611" s="1"/>
      </tp>
      <tp>
        <v>205</v>
        <stp/>
        <stp>OPEN_INT</stp>
        <stp>.SPY160115P211</stp>
        <tr r="Q613" s="1"/>
      </tp>
      <tp>
        <v>910</v>
        <stp/>
        <stp>OPEN_INT</stp>
        <stp>.SPY160115C211</stp>
        <tr r="F613" s="1"/>
      </tp>
      <tp>
        <v>95</v>
        <stp/>
        <stp>OPEN_INT</stp>
        <stp>.SPY160115P216</stp>
        <tr r="Q623" s="1"/>
      </tp>
      <tp>
        <v>1519</v>
        <stp/>
        <stp>OPEN_INT</stp>
        <stp>.SPY160115C216</stp>
        <tr r="F623" s="1"/>
      </tp>
      <tp>
        <v>8</v>
        <stp/>
        <stp>OPEN_INT</stp>
        <stp>.SPY160115P217</stp>
        <tr r="Q625" s="1"/>
      </tp>
      <tp>
        <v>703</v>
        <stp/>
        <stp>OPEN_INT</stp>
        <stp>.SPY160115C217</stp>
        <tr r="F625" s="1"/>
      </tp>
      <tp>
        <v>158</v>
        <stp/>
        <stp>OPEN_INT</stp>
        <stp>.SPY160115P214</stp>
        <tr r="Q619" s="1"/>
      </tp>
      <tp>
        <v>801</v>
        <stp/>
        <stp>OPEN_INT</stp>
        <stp>.SPY160115C214</stp>
        <tr r="F619" s="1"/>
      </tp>
      <tp>
        <v>2387</v>
        <stp/>
        <stp>OPEN_INT</stp>
        <stp>.SPY160115P215</stp>
        <tr r="Q621" s="1"/>
      </tp>
      <tp>
        <v>23334</v>
        <stp/>
        <stp>OPEN_INT</stp>
        <stp>.SPY160115C215</stp>
        <tr r="F621" s="1"/>
      </tp>
      <tp>
        <v>129</v>
        <stp/>
        <stp>OPEN_INT</stp>
        <stp>.SPY160115P218</stp>
        <tr r="Q627" s="1"/>
      </tp>
      <tp>
        <v>1163</v>
        <stp/>
        <stp>OPEN_INT</stp>
        <stp>.SPY160115C218</stp>
        <tr r="F627" s="1"/>
      </tp>
      <tp t="s">
        <v>N/A</v>
        <stp/>
        <stp>OPEN_INT</stp>
        <stp>.SPY160115P219</stp>
        <tr r="Q629" s="1"/>
      </tp>
      <tp t="s">
        <v>N/A</v>
        <stp/>
        <stp>OPEN_INT</stp>
        <stp>.SPY160115C219</stp>
        <tr r="F629" s="1"/>
      </tp>
      <tp t="s">
        <v>N/A</v>
        <stp/>
        <stp>OPEN_INT</stp>
        <stp>.SPY170120P216</stp>
        <tr r="Q833" s="1"/>
      </tp>
      <tp t="s">
        <v>N/A</v>
        <stp/>
        <stp>OPEN_INT</stp>
        <stp>.SPY170120C216</stp>
        <tr r="F833" s="1"/>
      </tp>
      <tp t="s">
        <v>N/A</v>
        <stp/>
        <stp>OPEN_INT</stp>
        <stp>.SPY170120P217</stp>
        <tr r="Q835" s="1"/>
      </tp>
      <tp t="s">
        <v>N/A</v>
        <stp/>
        <stp>OPEN_INT</stp>
        <stp>.SPY170120C217</stp>
        <tr r="F835" s="1"/>
      </tp>
      <tp t="s">
        <v>N/A</v>
        <stp/>
        <stp>OPEN_INT</stp>
        <stp>.SPY170120P214</stp>
        <tr r="Q829" s="1"/>
      </tp>
      <tp t="s">
        <v>N/A</v>
        <stp/>
        <stp>OPEN_INT</stp>
        <stp>.SPY170120C214</stp>
        <tr r="F829" s="1"/>
      </tp>
      <tp>
        <v>167</v>
        <stp/>
        <stp>OPEN_INT</stp>
        <stp>.SPY170120P215</stp>
        <tr r="Q831" s="1"/>
      </tp>
      <tp>
        <v>1169</v>
        <stp/>
        <stp>OPEN_INT</stp>
        <stp>.SPY170120C215</stp>
        <tr r="F831" s="1"/>
      </tp>
      <tp t="s">
        <v>N/A</v>
        <stp/>
        <stp>OPEN_INT</stp>
        <stp>.SPY170120P212</stp>
        <tr r="Q825" s="1"/>
      </tp>
      <tp t="s">
        <v>N/A</v>
        <stp/>
        <stp>OPEN_INT</stp>
        <stp>.SPY170120C212</stp>
        <tr r="F825" s="1"/>
      </tp>
      <tp t="s">
        <v>N/A</v>
        <stp/>
        <stp>OPEN_INT</stp>
        <stp>.SPY170120P213</stp>
        <tr r="Q827" s="1"/>
      </tp>
      <tp t="s">
        <v>N/A</v>
        <stp/>
        <stp>OPEN_INT</stp>
        <stp>.SPY170120C213</stp>
        <tr r="F827" s="1"/>
      </tp>
      <tp>
        <v>1028</v>
        <stp/>
        <stp>OPEN_INT</stp>
        <stp>.SPY170120P210</stp>
        <tr r="Q821" s="1"/>
      </tp>
      <tp>
        <v>965</v>
        <stp/>
        <stp>OPEN_INT</stp>
        <stp>.SPY170120C210</stp>
        <tr r="F821" s="1"/>
      </tp>
      <tp t="s">
        <v>N/A</v>
        <stp/>
        <stp>OPEN_INT</stp>
        <stp>.SPY170120P211</stp>
        <tr r="Q823" s="1"/>
      </tp>
      <tp t="s">
        <v>N/A</v>
        <stp/>
        <stp>OPEN_INT</stp>
        <stp>.SPY170120C211</stp>
        <tr r="F823" s="1"/>
      </tp>
      <tp t="s">
        <v>N/A</v>
        <stp/>
        <stp>OPEN_INT</stp>
        <stp>.SPY170120P218</stp>
        <tr r="Q837" s="1"/>
      </tp>
      <tp t="s">
        <v>N/A</v>
        <stp/>
        <stp>OPEN_INT</stp>
        <stp>.SPY170120C218</stp>
        <tr r="F837" s="1"/>
      </tp>
      <tp t="s">
        <v>N/A</v>
        <stp/>
        <stp>OPEN_INT</stp>
        <stp>.SPY170120P219</stp>
        <tr r="Q839" s="1"/>
      </tp>
      <tp t="s">
        <v>N/A</v>
        <stp/>
        <stp>OPEN_INT</stp>
        <stp>.SPY170120C219</stp>
        <tr r="F839" s="1"/>
      </tp>
      <tp>
        <v>169</v>
        <stp/>
        <stp>ASK_SIZE</stp>
        <stp>.SPY160318P215</stp>
        <tr r="M663" s="1"/>
      </tp>
      <tp>
        <v>197</v>
        <stp/>
        <stp>ASK_SIZE</stp>
        <stp>.SPY160318C215</stp>
        <tr r="B663" s="1"/>
      </tp>
      <tp t="s">
        <v>N/A</v>
        <stp/>
        <stp>ASK_SIZE</stp>
        <stp>.SPY160318P214</stp>
        <tr r="M661" s="1"/>
      </tp>
      <tp t="s">
        <v>N/A</v>
        <stp/>
        <stp>ASK_SIZE</stp>
        <stp>.SPY160318C214</stp>
        <tr r="B661" s="1"/>
      </tp>
      <tp t="s">
        <v>N/A</v>
        <stp/>
        <stp>ASK_SIZE</stp>
        <stp>.SPY160318P217</stp>
        <tr r="M667" s="1"/>
      </tp>
      <tp t="s">
        <v>N/A</v>
        <stp/>
        <stp>ASK_SIZE</stp>
        <stp>.SPY170317P219</stp>
        <tr r="M881" s="1"/>
      </tp>
      <tp t="s">
        <v>N/A</v>
        <stp/>
        <stp>ASK_SIZE</stp>
        <stp>.SPY160318C217</stp>
        <tr r="B667" s="1"/>
      </tp>
      <tp t="s">
        <v>N/A</v>
        <stp/>
        <stp>ASK_SIZE</stp>
        <stp>.SPY170317C219</stp>
        <tr r="B881" s="1"/>
      </tp>
      <tp t="s">
        <v>N/A</v>
        <stp/>
        <stp>ASK_SIZE</stp>
        <stp>.SPY160318P216</stp>
        <tr r="M665" s="1"/>
      </tp>
      <tp t="s">
        <v>N/A</v>
        <stp/>
        <stp>ASK_SIZE</stp>
        <stp>.SPY170317P218</stp>
        <tr r="M879" s="1"/>
      </tp>
      <tp t="s">
        <v>N/A</v>
        <stp/>
        <stp>ASK_SIZE</stp>
        <stp>.SPY160318C216</stp>
        <tr r="B665" s="1"/>
      </tp>
      <tp t="s">
        <v>N/A</v>
        <stp/>
        <stp>ASK_SIZE</stp>
        <stp>.SPY170317C218</stp>
        <tr r="B879" s="1"/>
      </tp>
      <tp t="s">
        <v>N/A</v>
        <stp/>
        <stp>ASK_SIZE</stp>
        <stp>.SPY160318P211</stp>
        <tr r="M655" s="1"/>
      </tp>
      <tp t="s">
        <v>N/A</v>
        <stp/>
        <stp>ASK_SIZE</stp>
        <stp>.SPY160318C211</stp>
        <tr r="B655" s="1"/>
      </tp>
      <tp>
        <v>1908</v>
        <stp/>
        <stp>ASK_SIZE</stp>
        <stp>.SPY160318P210</stp>
        <tr r="M653" s="1"/>
      </tp>
      <tp>
        <v>1676</v>
        <stp/>
        <stp>ASK_SIZE</stp>
        <stp>.SPY160318C210</stp>
        <tr r="B653" s="1"/>
      </tp>
      <tp t="s">
        <v>N/A</v>
        <stp/>
        <stp>ASK_SIZE</stp>
        <stp>.SPY160318P213</stp>
        <tr r="M659" s="1"/>
      </tp>
      <tp t="s">
        <v>N/A</v>
        <stp/>
        <stp>ASK_SIZE</stp>
        <stp>.SPY160318C213</stp>
        <tr r="B659" s="1"/>
      </tp>
      <tp t="s">
        <v>N/A</v>
        <stp/>
        <stp>ASK_SIZE</stp>
        <stp>.SPY160318P212</stp>
        <tr r="M657" s="1"/>
      </tp>
      <tp t="s">
        <v>N/A</v>
        <stp/>
        <stp>ASK_SIZE</stp>
        <stp>.SPY160318C212</stp>
        <tr r="B657" s="1"/>
      </tp>
      <tp t="s">
        <v>N/A</v>
        <stp/>
        <stp>ASK_SIZE</stp>
        <stp>.SPY170317P213</stp>
        <tr r="M869" s="1"/>
      </tp>
      <tp t="s">
        <v>N/A</v>
        <stp/>
        <stp>ASK_SIZE</stp>
        <stp>.SPY170317C213</stp>
        <tr r="B869" s="1"/>
      </tp>
      <tp t="s">
        <v>N/A</v>
        <stp/>
        <stp>ASK_SIZE</stp>
        <stp>.SPY170317P212</stp>
        <tr r="M867" s="1"/>
      </tp>
      <tp t="s">
        <v>N/A</v>
        <stp/>
        <stp>ASK_SIZE</stp>
        <stp>.SPY170317C212</stp>
        <tr r="B867" s="1"/>
      </tp>
      <tp t="s">
        <v>N/A</v>
        <stp/>
        <stp>ASK_SIZE</stp>
        <stp>.SPY170317P211</stp>
        <tr r="M865" s="1"/>
      </tp>
      <tp t="s">
        <v>N/A</v>
        <stp/>
        <stp>ASK_SIZE</stp>
        <stp>.SPY170317C211</stp>
        <tr r="B865" s="1"/>
      </tp>
      <tp>
        <v>1</v>
        <stp/>
        <stp>ASK_SIZE</stp>
        <stp>.SPY170317P210</stp>
        <tr r="M863" s="1"/>
      </tp>
      <tp>
        <v>168</v>
        <stp/>
        <stp>ASK_SIZE</stp>
        <stp>.SPY170317C210</stp>
        <tr r="B863" s="1"/>
      </tp>
      <tp t="s">
        <v>N/A</v>
        <stp/>
        <stp>ASK_SIZE</stp>
        <stp>.SPY160318P219</stp>
        <tr r="M671" s="1"/>
      </tp>
      <tp t="s">
        <v>N/A</v>
        <stp/>
        <stp>ASK_SIZE</stp>
        <stp>.SPY170317P217</stp>
        <tr r="M877" s="1"/>
      </tp>
      <tp t="s">
        <v>N/A</v>
        <stp/>
        <stp>ASK_SIZE</stp>
        <stp>.SPY160318C219</stp>
        <tr r="B671" s="1"/>
      </tp>
      <tp t="s">
        <v>N/A</v>
        <stp/>
        <stp>ASK_SIZE</stp>
        <stp>.SPY170317C217</stp>
        <tr r="B877" s="1"/>
      </tp>
      <tp t="s">
        <v>N/A</v>
        <stp/>
        <stp>ASK_SIZE</stp>
        <stp>.SPY160318P218</stp>
        <tr r="M669" s="1"/>
      </tp>
      <tp t="s">
        <v>N/A</v>
        <stp/>
        <stp>ASK_SIZE</stp>
        <stp>.SPY170317P216</stp>
        <tr r="M875" s="1"/>
      </tp>
      <tp t="s">
        <v>N/A</v>
        <stp/>
        <stp>ASK_SIZE</stp>
        <stp>.SPY160318C218</stp>
        <tr r="B669" s="1"/>
      </tp>
      <tp t="s">
        <v>N/A</v>
        <stp/>
        <stp>ASK_SIZE</stp>
        <stp>.SPY170317C216</stp>
        <tr r="B875" s="1"/>
      </tp>
      <tp>
        <v>122</v>
        <stp/>
        <stp>ASK_SIZE</stp>
        <stp>.SPY170317P215</stp>
        <tr r="M873" s="1"/>
      </tp>
      <tp>
        <v>169</v>
        <stp/>
        <stp>ASK_SIZE</stp>
        <stp>.SPY170317C215</stp>
        <tr r="B873" s="1"/>
      </tp>
      <tp t="s">
        <v>N/A</v>
        <stp/>
        <stp>ASK_SIZE</stp>
        <stp>.SPY170317P214</stp>
        <tr r="M871" s="1"/>
      </tp>
      <tp t="s">
        <v>N/A</v>
        <stp/>
        <stp>ASK_SIZE</stp>
        <stp>.SPY170317C214</stp>
        <tr r="B871" s="1"/>
      </tp>
      <tp t="s">
        <v>N/A</v>
        <stp/>
        <stp>OPEN_INT</stp>
        <stp>.SPY170120P206</stp>
        <tr r="Q813" s="1"/>
      </tp>
      <tp t="s">
        <v>N/A</v>
        <stp/>
        <stp>OPEN_INT</stp>
        <stp>.SPY170120C206</stp>
        <tr r="F813" s="1"/>
      </tp>
      <tp t="s">
        <v>N/A</v>
        <stp/>
        <stp>OPEN_INT</stp>
        <stp>.SPY170120P207</stp>
        <tr r="Q815" s="1"/>
      </tp>
      <tp t="s">
        <v>N/A</v>
        <stp/>
        <stp>OPEN_INT</stp>
        <stp>.SPY170120C207</stp>
        <tr r="F815" s="1"/>
      </tp>
      <tp t="s">
        <v>N/A</v>
        <stp/>
        <stp>OPEN_INT</stp>
        <stp>.SPY170120P204</stp>
        <tr r="Q809" s="1"/>
      </tp>
      <tp t="s">
        <v>N/A</v>
        <stp/>
        <stp>OPEN_INT</stp>
        <stp>.SPY170120C204</stp>
        <tr r="F809" s="1"/>
      </tp>
      <tp>
        <v>1261</v>
        <stp/>
        <stp>OPEN_INT</stp>
        <stp>.SPY170120P205</stp>
        <tr r="Q811" s="1"/>
      </tp>
      <tp>
        <v>1430</v>
        <stp/>
        <stp>OPEN_INT</stp>
        <stp>.SPY170120C205</stp>
        <tr r="F811" s="1"/>
      </tp>
      <tp t="s">
        <v>N/A</v>
        <stp/>
        <stp>OPEN_INT</stp>
        <stp>.SPY170120P202</stp>
        <tr r="Q805" s="1"/>
      </tp>
      <tp t="s">
        <v>N/A</v>
        <stp/>
        <stp>OPEN_INT</stp>
        <stp>.SPY170120C202</stp>
        <tr r="F805" s="1"/>
      </tp>
      <tp t="s">
        <v>N/A</v>
        <stp/>
        <stp>OPEN_INT</stp>
        <stp>.SPY170120P203</stp>
        <tr r="Q807" s="1"/>
      </tp>
      <tp t="s">
        <v>N/A</v>
        <stp/>
        <stp>OPEN_INT</stp>
        <stp>.SPY170120C203</stp>
        <tr r="F807" s="1"/>
      </tp>
      <tp>
        <v>4927</v>
        <stp/>
        <stp>OPEN_INT</stp>
        <stp>.SPY170120P200</stp>
        <tr r="Q801" s="1"/>
      </tp>
      <tp>
        <v>672</v>
        <stp/>
        <stp>OPEN_INT</stp>
        <stp>.SPY170120C200</stp>
        <tr r="F801" s="1"/>
      </tp>
      <tp t="s">
        <v>N/A</v>
        <stp/>
        <stp>OPEN_INT</stp>
        <stp>.SPY170120P201</stp>
        <tr r="Q803" s="1"/>
      </tp>
      <tp t="s">
        <v>N/A</v>
        <stp/>
        <stp>OPEN_INT</stp>
        <stp>.SPY170120C201</stp>
        <tr r="F803" s="1"/>
      </tp>
      <tp t="s">
        <v>N/A</v>
        <stp/>
        <stp>OPEN_INT</stp>
        <stp>.SPY170120P208</stp>
        <tr r="Q817" s="1"/>
      </tp>
      <tp t="s">
        <v>N/A</v>
        <stp/>
        <stp>OPEN_INT</stp>
        <stp>.SPY170120C208</stp>
        <tr r="F817" s="1"/>
      </tp>
      <tp t="s">
        <v>N/A</v>
        <stp/>
        <stp>OPEN_INT</stp>
        <stp>.SPY170120P209</stp>
        <tr r="Q819" s="1"/>
      </tp>
      <tp t="s">
        <v>N/A</v>
        <stp/>
        <stp>OPEN_INT</stp>
        <stp>.SPY170120C209</stp>
        <tr r="F819" s="1"/>
      </tp>
      <tp>
        <v>1676</v>
        <stp/>
        <stp>ASK_SIZE</stp>
        <stp>.SPY160318P205</stp>
        <tr r="M643" s="1"/>
      </tp>
      <tp>
        <v>244</v>
        <stp/>
        <stp>ASK_SIZE</stp>
        <stp>.SPY160318C205</stp>
        <tr r="B643" s="1"/>
      </tp>
      <tp t="s">
        <v>N/A</v>
        <stp/>
        <stp>ASK_SIZE</stp>
        <stp>.SPY160318P204</stp>
        <tr r="M641" s="1"/>
      </tp>
      <tp t="s">
        <v>N/A</v>
        <stp/>
        <stp>ASK_SIZE</stp>
        <stp>.SPY160318C204</stp>
        <tr r="B641" s="1"/>
      </tp>
      <tp t="s">
        <v>N/A</v>
        <stp/>
        <stp>ASK_SIZE</stp>
        <stp>.SPY160318P207</stp>
        <tr r="M647" s="1"/>
      </tp>
      <tp t="s">
        <v>N/A</v>
        <stp/>
        <stp>ASK_SIZE</stp>
        <stp>.SPY170317P209</stp>
        <tr r="M861" s="1"/>
      </tp>
      <tp t="s">
        <v>N/A</v>
        <stp/>
        <stp>ASK_SIZE</stp>
        <stp>.SPY160318C207</stp>
        <tr r="B647" s="1"/>
      </tp>
      <tp t="s">
        <v>N/A</v>
        <stp/>
        <stp>ASK_SIZE</stp>
        <stp>.SPY170317C209</stp>
        <tr r="B861" s="1"/>
      </tp>
      <tp t="s">
        <v>N/A</v>
        <stp/>
        <stp>ASK_SIZE</stp>
        <stp>.SPY160318P206</stp>
        <tr r="M645" s="1"/>
      </tp>
      <tp t="s">
        <v>N/A</v>
        <stp/>
        <stp>ASK_SIZE</stp>
        <stp>.SPY170317P208</stp>
        <tr r="M859" s="1"/>
      </tp>
      <tp t="s">
        <v>N/A</v>
        <stp/>
        <stp>ASK_SIZE</stp>
        <stp>.SPY160318C206</stp>
        <tr r="B645" s="1"/>
      </tp>
      <tp t="s">
        <v>N/A</v>
        <stp/>
        <stp>ASK_SIZE</stp>
        <stp>.SPY170317C208</stp>
        <tr r="B859" s="1"/>
      </tp>
      <tp t="s">
        <v>N/A</v>
        <stp/>
        <stp>ASK_SIZE</stp>
        <stp>.SPY160318P201</stp>
        <tr r="M635" s="1"/>
      </tp>
      <tp t="s">
        <v>N/A</v>
        <stp/>
        <stp>ASK_SIZE</stp>
        <stp>.SPY160318C201</stp>
        <tr r="B635" s="1"/>
      </tp>
      <tp>
        <v>1856</v>
        <stp/>
        <stp>ASK_SIZE</stp>
        <stp>.SPY160318P200</stp>
        <tr r="M633" s="1"/>
      </tp>
      <tp>
        <v>232</v>
        <stp/>
        <stp>ASK_SIZE</stp>
        <stp>.SPY160318C200</stp>
        <tr r="B633" s="1"/>
      </tp>
      <tp t="s">
        <v>N/A</v>
        <stp/>
        <stp>ASK_SIZE</stp>
        <stp>.SPY160318P203</stp>
        <tr r="M639" s="1"/>
      </tp>
      <tp t="s">
        <v>N/A</v>
        <stp/>
        <stp>ASK_SIZE</stp>
        <stp>.SPY160318C203</stp>
        <tr r="B639" s="1"/>
      </tp>
      <tp t="s">
        <v>N/A</v>
        <stp/>
        <stp>ASK_SIZE</stp>
        <stp>.SPY160318P202</stp>
        <tr r="M637" s="1"/>
      </tp>
      <tp t="s">
        <v>N/A</v>
        <stp/>
        <stp>ASK_SIZE</stp>
        <stp>.SPY160318C202</stp>
        <tr r="B637" s="1"/>
      </tp>
      <tp t="s">
        <v>N/A</v>
        <stp/>
        <stp>ASK_SIZE</stp>
        <stp>.SPY170317P203</stp>
        <tr r="M849" s="1"/>
      </tp>
      <tp t="s">
        <v>N/A</v>
        <stp/>
        <stp>ASK_SIZE</stp>
        <stp>.SPY170317C203</stp>
        <tr r="B849" s="1"/>
      </tp>
      <tp t="s">
        <v>N/A</v>
        <stp/>
        <stp>ASK_SIZE</stp>
        <stp>.SPY170317P202</stp>
        <tr r="M847" s="1"/>
      </tp>
      <tp t="s">
        <v>N/A</v>
        <stp/>
        <stp>ASK_SIZE</stp>
        <stp>.SPY170317C202</stp>
        <tr r="B847" s="1"/>
      </tp>
      <tp t="s">
        <v>N/A</v>
        <stp/>
        <stp>ASK_SIZE</stp>
        <stp>.SPY170317P201</stp>
        <tr r="M845" s="1"/>
      </tp>
      <tp t="s">
        <v>N/A</v>
        <stp/>
        <stp>ASK_SIZE</stp>
        <stp>.SPY170317C201</stp>
        <tr r="B845" s="1"/>
      </tp>
      <tp>
        <v>169</v>
        <stp/>
        <stp>ASK_SIZE</stp>
        <stp>.SPY170317P200</stp>
        <tr r="M843" s="1"/>
      </tp>
      <tp>
        <v>98</v>
        <stp/>
        <stp>ASK_SIZE</stp>
        <stp>.SPY170317C200</stp>
        <tr r="B843" s="1"/>
      </tp>
      <tp t="s">
        <v>N/A</v>
        <stp/>
        <stp>ASK_SIZE</stp>
        <stp>.SPY160318P209</stp>
        <tr r="M651" s="1"/>
      </tp>
      <tp t="s">
        <v>N/A</v>
        <stp/>
        <stp>ASK_SIZE</stp>
        <stp>.SPY170317P207</stp>
        <tr r="M857" s="1"/>
      </tp>
      <tp t="s">
        <v>N/A</v>
        <stp/>
        <stp>ASK_SIZE</stp>
        <stp>.SPY160318C209</stp>
        <tr r="B651" s="1"/>
      </tp>
      <tp t="s">
        <v>N/A</v>
        <stp/>
        <stp>ASK_SIZE</stp>
        <stp>.SPY170317C207</stp>
        <tr r="B857" s="1"/>
      </tp>
      <tp t="s">
        <v>N/A</v>
        <stp/>
        <stp>ASK_SIZE</stp>
        <stp>.SPY160318P208</stp>
        <tr r="M649" s="1"/>
      </tp>
      <tp t="s">
        <v>N/A</v>
        <stp/>
        <stp>ASK_SIZE</stp>
        <stp>.SPY170317P206</stp>
        <tr r="M855" s="1"/>
      </tp>
      <tp t="s">
        <v>N/A</v>
        <stp/>
        <stp>ASK_SIZE</stp>
        <stp>.SPY160318C208</stp>
        <tr r="B649" s="1"/>
      </tp>
      <tp t="s">
        <v>N/A</v>
        <stp/>
        <stp>ASK_SIZE</stp>
        <stp>.SPY170317C206</stp>
        <tr r="B855" s="1"/>
      </tp>
      <tp>
        <v>94</v>
        <stp/>
        <stp>ASK_SIZE</stp>
        <stp>.SPY170317P205</stp>
        <tr r="M853" s="1"/>
      </tp>
      <tp>
        <v>141</v>
        <stp/>
        <stp>ASK_SIZE</stp>
        <stp>.SPY170317C205</stp>
        <tr r="B853" s="1"/>
      </tp>
      <tp t="s">
        <v>N/A</v>
        <stp/>
        <stp>ASK_SIZE</stp>
        <stp>.SPY170317P204</stp>
        <tr r="M851" s="1"/>
      </tp>
      <tp t="s">
        <v>N/A</v>
        <stp/>
        <stp>ASK_SIZE</stp>
        <stp>.SPY170317C204</stp>
        <tr r="B851" s="1"/>
      </tp>
      <tp t="s">
        <v>N/A</v>
        <stp/>
        <stp>ASK_SIZE</stp>
        <stp>.SPY151231C210.5</stp>
        <tr r="B570" s="1"/>
      </tp>
      <tp t="s">
        <v>N/A</v>
        <stp/>
        <stp>ASK_SIZE</stp>
        <stp>.SPY151231C200.5</stp>
        <tr r="B550" s="1"/>
      </tp>
      <tp t="s">
        <v>N/A</v>
        <stp/>
        <stp>ASK_SIZE</stp>
        <stp>.SPY151219C218.5</stp>
        <tr r="B544" s="1"/>
      </tp>
      <tp t="s">
        <v>N/A</v>
        <stp/>
        <stp>ASK_SIZE</stp>
        <stp>.SPY161216C214.5</stp>
        <tr r="B788" s="1"/>
      </tp>
      <tp t="s">
        <v>N/A</v>
        <stp/>
        <stp>ASK_SIZE</stp>
        <stp>.SPY171215C216.5</stp>
        <tr r="B918" s="1"/>
      </tp>
      <tp t="s">
        <v>N/A</v>
        <stp/>
        <stp>ASK_SIZE</stp>
        <stp>.SPY151219C208.5</stp>
        <tr r="B524" s="1"/>
      </tp>
      <tp t="s">
        <v>N/A</v>
        <stp/>
        <stp>ASK_SIZE</stp>
        <stp>.SPY161216C204.5</stp>
        <tr r="B768" s="1"/>
      </tp>
      <tp t="s">
        <v>N/A</v>
        <stp/>
        <stp>ASK_SIZE</stp>
        <stp>.SPY171215C206.5</stp>
        <tr r="B898" s="1"/>
      </tp>
      <tp t="s">
        <v>N/A</v>
        <stp/>
        <stp>BID_SIZE</stp>
        <stp>.SPY151219C217.5</stp>
        <tr r="D542" s="1"/>
      </tp>
      <tp t="s">
        <v>N/A</v>
        <stp/>
        <stp>BID_SIZE</stp>
        <stp>.SPY171215C219.5</stp>
        <tr r="D924" s="1"/>
      </tp>
      <tp t="s">
        <v>N/A</v>
        <stp/>
        <stp>BID_SIZE</stp>
        <stp>.SPY151219C207.5</stp>
        <tr r="D522" s="1"/>
      </tp>
      <tp t="s">
        <v>N/A</v>
        <stp/>
        <stp>BID_SIZE</stp>
        <stp>.SPY171215C209.5</stp>
        <tr r="D904" s="1"/>
      </tp>
      <tp>
        <v>0</v>
        <stp/>
        <stp>BID_SIZE</stp>
        <stp>.SPY150417C219.5</stp>
        <tr r="D42" s="1"/>
      </tp>
      <tp>
        <v>0</v>
        <stp/>
        <stp>BID_SIZE</stp>
        <stp>.SPY150417C209.5</stp>
        <tr r="D22" s="1"/>
      </tp>
      <tp t="s">
        <v>N/A</v>
        <stp/>
        <stp>ASK_SIZE</stp>
        <stp>.SPY150717C216.5</stp>
        <tr r="B414" s="1"/>
      </tp>
      <tp t="s">
        <v>N/A</v>
        <stp/>
        <stp>ASK_SIZE</stp>
        <stp>.SPY150717C206.5</stp>
        <tr r="B394" s="1"/>
      </tp>
      <tp>
        <v>199</v>
        <stp/>
        <stp>BID_SIZE</stp>
        <stp>.SPY150508C206.5</stp>
        <tr r="D142" s="1"/>
      </tp>
      <tp>
        <v>1200</v>
        <stp/>
        <stp>BID_SIZE</stp>
        <stp>.SPY150508C216.5</stp>
        <tr r="D162" s="1"/>
      </tp>
      <tp>
        <v>240</v>
        <stp/>
        <stp>BID_SIZE</stp>
        <stp>.SPY150529C207.5</stp>
        <tr r="D270" s="1"/>
      </tp>
      <tp>
        <v>250</v>
        <stp/>
        <stp>BID_SIZE</stp>
        <stp>.SPY150529C217.5</stp>
        <tr r="D290" s="1"/>
      </tp>
      <tp t="s">
        <v>N/A</v>
        <stp/>
        <stp>ASK_SIZE</stp>
        <stp>.SPY150630C211.5</stp>
        <tr r="B362" s="1"/>
      </tp>
      <tp t="s">
        <v>N/A</v>
        <stp/>
        <stp>ASK_SIZE</stp>
        <stp>.SPY150630C201.5</stp>
        <tr r="B342" s="1"/>
      </tp>
      <tp t="s">
        <v>N/A</v>
        <stp/>
        <stp>ASK_SIZE</stp>
        <stp>.SPY150619C218.5</stp>
        <tr r="B334" s="1"/>
      </tp>
      <tp t="s">
        <v>N/A</v>
        <stp/>
        <stp>ASK_SIZE</stp>
        <stp>.SPY160617C215.5</stp>
        <tr r="B706" s="1"/>
      </tp>
      <tp t="s">
        <v>N/A</v>
        <stp/>
        <stp>ASK_SIZE</stp>
        <stp>.SPY150619C208.5</stp>
        <tr r="B314" s="1"/>
      </tp>
      <tp t="s">
        <v>N/A</v>
        <stp/>
        <stp>ASK_SIZE</stp>
        <stp>.SPY160617C205.5</stp>
        <tr r="B686" s="1"/>
      </tp>
      <tp t="s">
        <v>N/A</v>
        <stp/>
        <stp>BID_SIZE</stp>
        <stp>.SPY150619C217.5</stp>
        <tr r="D332" s="1"/>
      </tp>
      <tp t="s">
        <v>N/A</v>
        <stp/>
        <stp>BID_SIZE</stp>
        <stp>.SPY150619C207.5</stp>
        <tr r="D312" s="1"/>
      </tp>
      <tp>
        <v>140</v>
        <stp/>
        <stp>ASK_SIZE</stp>
        <stp>.SPY150522C203.5</stp>
        <tr r="B220" s="1"/>
      </tp>
      <tp>
        <v>240</v>
        <stp/>
        <stp>ASK_SIZE</stp>
        <stp>.SPY150529C208.5</stp>
        <tr r="B272" s="1"/>
      </tp>
      <tp>
        <v>110</v>
        <stp/>
        <stp>ASK_SIZE</stp>
        <stp>.SPY150522C213.5</stp>
        <tr r="B240" s="1"/>
      </tp>
      <tp>
        <v>250</v>
        <stp/>
        <stp>ASK_SIZE</stp>
        <stp>.SPY150529C218.5</stp>
        <tr r="B292" s="1"/>
      </tp>
      <tp>
        <v>0</v>
        <stp/>
        <stp>ASK_SIZE</stp>
        <stp>.SPY150501C200.5</stp>
        <tr r="B88" s="1"/>
      </tp>
      <tp>
        <v>161</v>
        <stp/>
        <stp>ASK_SIZE</stp>
        <stp>.SPY150508C209.5</stp>
        <tr r="B148" s="1"/>
      </tp>
      <tp>
        <v>1143</v>
        <stp/>
        <stp>ASK_SIZE</stp>
        <stp>.SPY150515C214.5</stp>
        <tr r="B200" s="1"/>
      </tp>
      <tp>
        <v>0</v>
        <stp/>
        <stp>ASK_SIZE</stp>
        <stp>.SPY150501C210.5</stp>
        <tr r="B108" s="1"/>
      </tp>
      <tp>
        <v>1200</v>
        <stp/>
        <stp>ASK_SIZE</stp>
        <stp>.SPY150508C219.5</stp>
        <tr r="B168" s="1"/>
      </tp>
      <tp>
        <v>350</v>
        <stp/>
        <stp>ASK_SIZE</stp>
        <stp>.SPY150515C204.5</stp>
        <tr r="B180" s="1"/>
      </tp>
      <tp t="s">
        <v>N/A</v>
        <stp/>
        <stp>BID_SIZE</stp>
        <stp>.SPY150717C219.5</stp>
        <tr r="D420" s="1"/>
      </tp>
      <tp t="s">
        <v>N/A</v>
        <stp/>
        <stp>BID_SIZE</stp>
        <stp>.SPY150717C209.5</stp>
        <tr r="D400" s="1"/>
      </tp>
      <tp>
        <v>0</v>
        <stp/>
        <stp>ASK_SIZE</stp>
        <stp>.SPY150424C205.5</stp>
        <tr r="B56" s="1"/>
      </tp>
      <tp>
        <v>0</v>
        <stp/>
        <stp>ASK_SIZE</stp>
        <stp>.SPY150424C215.5</stp>
        <tr r="B76" s="1"/>
      </tp>
      <tp>
        <v>0</v>
        <stp/>
        <stp>ASK_SIZE</stp>
        <stp>.SPY150417C216.5</stp>
        <tr r="B36" s="1"/>
      </tp>
      <tp>
        <v>0</v>
        <stp/>
        <stp>ASK_SIZE</stp>
        <stp>.SPY150417C206.5</stp>
        <tr r="B16" s="1"/>
      </tp>
      <tp t="s">
        <v>N/A</v>
        <stp/>
        <stp>ASK_SIZE</stp>
        <stp>.SPY170317C214.5</stp>
        <tr r="B872" s="1"/>
      </tp>
      <tp t="s">
        <v>N/A</v>
        <stp/>
        <stp>ASK_SIZE</stp>
        <stp>.SPY170317C204.5</stp>
        <tr r="B852" s="1"/>
      </tp>
      <tp t="s">
        <v>N/A</v>
        <stp/>
        <stp>BID_SIZE</stp>
        <stp>.SPY160115C218.5</stp>
        <tr r="D628" s="1"/>
      </tp>
      <tp t="s">
        <v>N/A</v>
        <stp/>
        <stp>BID_SIZE</stp>
        <stp>.SPY160115C208.5</stp>
        <tr r="D608" s="1"/>
      </tp>
      <tp t="s">
        <v>N/A</v>
        <stp/>
        <stp>ASK_SIZE</stp>
        <stp>.SPY170120C203.5</stp>
        <tr r="B808" s="1"/>
      </tp>
      <tp t="s">
        <v>N/A</v>
        <stp/>
        <stp>ASK_SIZE</stp>
        <stp>.SPY170120C213.5</stp>
        <tr r="B828" s="1"/>
      </tp>
      <tp t="s">
        <v>N/A</v>
        <stp/>
        <stp>ASK_SIZE</stp>
        <stp>.SPY160115C217.5</stp>
        <tr r="B626" s="1"/>
      </tp>
      <tp t="s">
        <v>N/A</v>
        <stp/>
        <stp>ASK_SIZE</stp>
        <stp>.SPY160115C207.5</stp>
        <tr r="B606" s="1"/>
      </tp>
      <tp t="s">
        <v>N/A</v>
        <stp/>
        <stp>BID_SIZE</stp>
        <stp>.SPY160318C215.5</stp>
        <tr r="D664" s="1"/>
      </tp>
      <tp t="s">
        <v>N/A</v>
        <stp/>
        <stp>BID_SIZE</stp>
        <stp>.SPY160318C205.5</stp>
        <tr r="D644" s="1"/>
      </tp>
      <tp t="s">
        <v>N/A</v>
        <stp/>
        <stp>BID_SIZE</stp>
        <stp>.SPY150918C216.5</stp>
        <tr r="D456" s="1"/>
      </tp>
      <tp t="s">
        <v>N/A</v>
        <stp/>
        <stp>BID_SIZE</stp>
        <stp>.SPY150918C206.5</stp>
        <tr r="D436" s="1"/>
      </tp>
      <tp t="s">
        <v>N/A</v>
        <stp/>
        <stp>ASK_SIZE</stp>
        <stp>.SPY150930C211.5</stp>
        <tr r="B488" s="1"/>
      </tp>
      <tp t="s">
        <v>N/A</v>
        <stp/>
        <stp>ASK_SIZE</stp>
        <stp>.SPY150930C201.5</stp>
        <tr r="B468" s="1"/>
      </tp>
      <tp t="s">
        <v>N/A</v>
        <stp/>
        <stp>ASK_SIZE</stp>
        <stp>.SPY150918C219.5</stp>
        <tr r="B462" s="1"/>
      </tp>
      <tp t="s">
        <v>N/A</v>
        <stp/>
        <stp>ASK_SIZE</stp>
        <stp>.SPY160916C214.5</stp>
        <tr r="B746" s="1"/>
      </tp>
      <tp t="s">
        <v>N/A</v>
        <stp/>
        <stp>ASK_SIZE</stp>
        <stp>.SPY150918C209.5</stp>
        <tr r="B442" s="1"/>
      </tp>
      <tp t="s">
        <v>N/A</v>
        <stp/>
        <stp>ASK_SIZE</stp>
        <stp>.SPY160916C204.5</stp>
        <tr r="B726" s="1"/>
      </tp>
      <tp t="s">
        <v>N/A</v>
        <stp/>
        <stp>VOLUME</stp>
        <stp>.SPY151231P217.5</stp>
        <tr r="P584" s="1"/>
      </tp>
      <tp t="s">
        <v>N/A</v>
        <stp/>
        <stp>VOLUME</stp>
        <stp>.SPY151231P207.5</stp>
        <tr r="P564" s="1"/>
      </tp>
      <tp t="s">
        <v>N/A</v>
        <stp/>
        <stp>VOLUME</stp>
        <stp>.SPY161216P213.5</stp>
        <tr r="P786" s="1"/>
      </tp>
      <tp t="s">
        <v>N/A</v>
        <stp/>
        <stp>VOLUME</stp>
        <stp>.SPY171215P211.5</stp>
        <tr r="P908" s="1"/>
      </tp>
      <tp t="s">
        <v>N/A</v>
        <stp/>
        <stp>VOLUME</stp>
        <stp>.SPY161216P203.5</stp>
        <tr r="P766" s="1"/>
      </tp>
      <tp t="s">
        <v>N/A</v>
        <stp/>
        <stp>VOLUME</stp>
        <stp>.SPY171215P201.5</stp>
        <tr r="P888" s="1"/>
      </tp>
      <tp t="s">
        <v>N/A</v>
        <stp/>
        <stp>VOLUME</stp>
        <stp>.SPY150930P216.5</stp>
        <tr r="P498" s="1"/>
      </tp>
      <tp t="s">
        <v>N/A</v>
        <stp/>
        <stp>VOLUME</stp>
        <stp>.SPY150930P206.5</stp>
        <tr r="P478" s="1"/>
      </tp>
      <tp t="s">
        <v>N/A</v>
        <stp/>
        <stp>VOLUME</stp>
        <stp>.SPY160916P213.5</stp>
        <tr r="P744" s="1"/>
      </tp>
      <tp t="s">
        <v>N/A</v>
        <stp/>
        <stp>VOLUME</stp>
        <stp>.SPY160916P203.5</stp>
        <tr r="P724" s="1"/>
      </tp>
      <tp t="s">
        <v>N/A</v>
        <stp/>
        <stp>VOLUME</stp>
        <stp>.SPY170317P213.5</stp>
        <tr r="P870" s="1"/>
      </tp>
      <tp t="s">
        <v>N/A</v>
        <stp/>
        <stp>VOLUME</stp>
        <stp>.SPY170317P203.5</stp>
        <tr r="P850" s="1"/>
      </tp>
      <tp t="s">
        <v>N/A</v>
        <stp/>
        <stp>VOLUME</stp>
        <stp>.SPY170120P204.5</stp>
        <tr r="P810" s="1"/>
      </tp>
      <tp t="s">
        <v>N/A</v>
        <stp/>
        <stp>VOLUME</stp>
        <stp>.SPY170120P214.5</stp>
        <tr r="P830" s="1"/>
      </tp>
      <tp t="s">
        <v>N/A</v>
        <stp/>
        <stp>VOLUME</stp>
        <stp>.SPY160115P210.5</stp>
        <tr r="P612" s="1"/>
      </tp>
      <tp t="s">
        <v>N/A</v>
        <stp/>
        <stp>VOLUME</stp>
        <stp>.SPY160115P200.5</stp>
        <tr r="P592" s="1"/>
      </tp>
      <tp t="s">
        <v>N/A</v>
        <stp/>
        <stp>VOLUME</stp>
        <stp>.SPY150717P211.5</stp>
        <tr r="P404" s="1"/>
      </tp>
      <tp t="s">
        <v>N/A</v>
        <stp/>
        <stp>VOLUME</stp>
        <stp>.SPY150717P201.5</stp>
        <tr r="P384" s="1"/>
      </tp>
      <tp t="s">
        <v>N/A</v>
        <stp/>
        <stp>VOLUME</stp>
        <stp>.SPY150630P216.5</stp>
        <tr r="P372" s="1"/>
      </tp>
      <tp t="s">
        <v>N/A</v>
        <stp/>
        <stp>VOLUME</stp>
        <stp>.SPY150630P206.5</stp>
        <tr r="P352" s="1"/>
      </tp>
      <tp t="s">
        <v>N/A</v>
        <stp/>
        <stp>VOLUME</stp>
        <stp>.SPY160617P212.5</stp>
        <tr r="P700" s="1"/>
      </tp>
      <tp t="s">
        <v>N/A</v>
        <stp/>
        <stp>VOLUME</stp>
        <stp>.SPY160617P202.5</stp>
        <tr r="P680" s="1"/>
      </tp>
      <tp>
        <v>86</v>
        <stp/>
        <stp>VOLUME</stp>
        <stp>.SPY150522P204.5</stp>
        <tr r="P222" s="1"/>
      </tp>
      <tp>
        <v>8</v>
        <stp/>
        <stp>VOLUME</stp>
        <stp>.SPY150522P214.5</stp>
        <tr r="P242" s="1"/>
      </tp>
      <tp>
        <v>0</v>
        <stp/>
        <stp>VOLUME</stp>
        <stp>.SPY150501P207.5</stp>
        <tr r="P102" s="1"/>
      </tp>
      <tp>
        <v>188</v>
        <stp/>
        <stp>VOLUME</stp>
        <stp>.SPY150515P213.5</stp>
        <tr r="P198" s="1"/>
      </tp>
      <tp>
        <v>0</v>
        <stp/>
        <stp>VOLUME</stp>
        <stp>.SPY150501P217.5</stp>
        <tr r="P122" s="1"/>
      </tp>
      <tp>
        <v>1071</v>
        <stp/>
        <stp>VOLUME</stp>
        <stp>.SPY150515P203.5</stp>
        <tr r="P178" s="1"/>
      </tp>
      <tp>
        <v>0</v>
        <stp/>
        <stp>VOLUME</stp>
        <stp>.SPY150424P202.5</stp>
        <tr r="P50" s="1"/>
      </tp>
      <tp>
        <v>0</v>
        <stp/>
        <stp>VOLUME</stp>
        <stp>.SPY150424P212.5</stp>
        <tr r="P70" s="1"/>
      </tp>
      <tp>
        <v>0</v>
        <stp/>
        <stp>VOLUME</stp>
        <stp>.SPY150417P211.5</stp>
        <tr r="P26" s="1"/>
      </tp>
      <tp>
        <v>0</v>
        <stp/>
        <stp>VOLUME</stp>
        <stp>.SPY150417P201.5</stp>
        <tr r="P6" s="1"/>
      </tp>
      <tp t="s">
        <v>N/A</v>
        <stp/>
        <stp>VOLUME</stp>
        <stp>.SPY150930C216.5</stp>
        <tr r="E498" s="1"/>
      </tp>
      <tp t="s">
        <v>N/A</v>
        <stp/>
        <stp>VOLUME</stp>
        <stp>.SPY150930C206.5</stp>
        <tr r="E478" s="1"/>
      </tp>
      <tp t="s">
        <v>N/A</v>
        <stp/>
        <stp>VOLUME</stp>
        <stp>.SPY160916C213.5</stp>
        <tr r="E744" s="1"/>
      </tp>
      <tp t="s">
        <v>N/A</v>
        <stp/>
        <stp>VOLUME</stp>
        <stp>.SPY160916C203.5</stp>
        <tr r="E724" s="1"/>
      </tp>
      <tp t="s">
        <v>N/A</v>
        <stp/>
        <stp>VOLUME</stp>
        <stp>.SPY170317C213.5</stp>
        <tr r="E870" s="1"/>
      </tp>
      <tp t="s">
        <v>N/A</v>
        <stp/>
        <stp>VOLUME</stp>
        <stp>.SPY170317C203.5</stp>
        <tr r="E850" s="1"/>
      </tp>
      <tp t="s">
        <v>N/A</v>
        <stp/>
        <stp>VOLUME</stp>
        <stp>.SPY170120C204.5</stp>
        <tr r="E810" s="1"/>
      </tp>
      <tp t="s">
        <v>N/A</v>
        <stp/>
        <stp>VOLUME</stp>
        <stp>.SPY170120C214.5</stp>
        <tr r="E830" s="1"/>
      </tp>
      <tp t="s">
        <v>N/A</v>
        <stp/>
        <stp>VOLUME</stp>
        <stp>.SPY160115C210.5</stp>
        <tr r="E612" s="1"/>
      </tp>
      <tp t="s">
        <v>N/A</v>
        <stp/>
        <stp>VOLUME</stp>
        <stp>.SPY160115C200.5</stp>
        <tr r="E592" s="1"/>
      </tp>
      <tp t="s">
        <v>N/A</v>
        <stp/>
        <stp>VOLUME</stp>
        <stp>.SPY150717C211.5</stp>
        <tr r="E404" s="1"/>
      </tp>
      <tp t="s">
        <v>N/A</v>
        <stp/>
        <stp>VOLUME</stp>
        <stp>.SPY150717C201.5</stp>
        <tr r="E384" s="1"/>
      </tp>
      <tp t="s">
        <v>N/A</v>
        <stp/>
        <stp>VOLUME</stp>
        <stp>.SPY150630C216.5</stp>
        <tr r="E372" s="1"/>
      </tp>
      <tp t="s">
        <v>N/A</v>
        <stp/>
        <stp>VOLUME</stp>
        <stp>.SPY150630C206.5</stp>
        <tr r="E352" s="1"/>
      </tp>
      <tp t="s">
        <v>N/A</v>
        <stp/>
        <stp>VOLUME</stp>
        <stp>.SPY160617C212.5</stp>
        <tr r="E700" s="1"/>
      </tp>
      <tp t="s">
        <v>N/A</v>
        <stp/>
        <stp>VOLUME</stp>
        <stp>.SPY160617C202.5</stp>
        <tr r="E680" s="1"/>
      </tp>
      <tp>
        <v>3</v>
        <stp/>
        <stp>VOLUME</stp>
        <stp>.SPY150522C204.5</stp>
        <tr r="E222" s="1"/>
      </tp>
      <tp>
        <v>594</v>
        <stp/>
        <stp>VOLUME</stp>
        <stp>.SPY150522C214.5</stp>
        <tr r="E242" s="1"/>
      </tp>
      <tp>
        <v>0</v>
        <stp/>
        <stp>VOLUME</stp>
        <stp>.SPY150501C207.5</stp>
        <tr r="E102" s="1"/>
      </tp>
      <tp>
        <v>4431</v>
        <stp/>
        <stp>VOLUME</stp>
        <stp>.SPY150515C213.5</stp>
        <tr r="E198" s="1"/>
      </tp>
      <tp>
        <v>0</v>
        <stp/>
        <stp>VOLUME</stp>
        <stp>.SPY150501C217.5</stp>
        <tr r="E122" s="1"/>
      </tp>
      <tp>
        <v>0</v>
        <stp/>
        <stp>VOLUME</stp>
        <stp>.SPY150515C203.5</stp>
        <tr r="E178" s="1"/>
      </tp>
      <tp>
        <v>0</v>
        <stp/>
        <stp>VOLUME</stp>
        <stp>.SPY150424C202.5</stp>
        <tr r="E50" s="1"/>
      </tp>
      <tp>
        <v>0</v>
        <stp/>
        <stp>VOLUME</stp>
        <stp>.SPY150424C212.5</stp>
        <tr r="E70" s="1"/>
      </tp>
      <tp>
        <v>0</v>
        <stp/>
        <stp>VOLUME</stp>
        <stp>.SPY150417C211.5</stp>
        <tr r="E26" s="1"/>
      </tp>
      <tp>
        <v>0</v>
        <stp/>
        <stp>VOLUME</stp>
        <stp>.SPY150417C201.5</stp>
        <tr r="E6" s="1"/>
      </tp>
      <tp t="s">
        <v>N/A</v>
        <stp/>
        <stp>VOLUME</stp>
        <stp>.SPY151231C217.5</stp>
        <tr r="E584" s="1"/>
      </tp>
      <tp t="s">
        <v>N/A</v>
        <stp/>
        <stp>VOLUME</stp>
        <stp>.SPY151231C207.5</stp>
        <tr r="E564" s="1"/>
      </tp>
      <tp t="s">
        <v>N/A</v>
        <stp/>
        <stp>VOLUME</stp>
        <stp>.SPY161216C213.5</stp>
        <tr r="E786" s="1"/>
      </tp>
      <tp t="s">
        <v>N/A</v>
        <stp/>
        <stp>VOLUME</stp>
        <stp>.SPY171215C211.5</stp>
        <tr r="E908" s="1"/>
      </tp>
      <tp t="s">
        <v>N/A</v>
        <stp/>
        <stp>VOLUME</stp>
        <stp>.SPY161216C203.5</stp>
        <tr r="E766" s="1"/>
      </tp>
      <tp t="s">
        <v>N/A</v>
        <stp/>
        <stp>VOLUME</stp>
        <stp>.SPY171215C201.5</stp>
        <tr r="E888" s="1"/>
      </tp>
      <tp t="s">
        <v>N/A</v>
        <stp/>
        <stp>VOLUME</stp>
        <stp>.SPY151231P216.5</stp>
        <tr r="P582" s="1"/>
      </tp>
      <tp t="s">
        <v>N/A</v>
        <stp/>
        <stp>VOLUME</stp>
        <stp>.SPY151231P206.5</stp>
        <tr r="P562" s="1"/>
      </tp>
      <tp t="s">
        <v>N/A</v>
        <stp/>
        <stp>VOLUME</stp>
        <stp>.SPY161216P212.5</stp>
        <tr r="P784" s="1"/>
      </tp>
      <tp t="s">
        <v>N/A</v>
        <stp/>
        <stp>VOLUME</stp>
        <stp>.SPY171215P210.5</stp>
        <tr r="P906" s="1"/>
      </tp>
      <tp t="s">
        <v>N/A</v>
        <stp/>
        <stp>VOLUME</stp>
        <stp>.SPY161216P202.5</stp>
        <tr r="P764" s="1"/>
      </tp>
      <tp t="s">
        <v>N/A</v>
        <stp/>
        <stp>VOLUME</stp>
        <stp>.SPY171215P200.5</stp>
        <tr r="P886" s="1"/>
      </tp>
      <tp t="s">
        <v>N/A</v>
        <stp/>
        <stp>VOLUME</stp>
        <stp>.SPY150930P217.5</stp>
        <tr r="P500" s="1"/>
      </tp>
      <tp t="s">
        <v>N/A</v>
        <stp/>
        <stp>VOLUME</stp>
        <stp>.SPY150930P207.5</stp>
        <tr r="P480" s="1"/>
      </tp>
      <tp t="s">
        <v>N/A</v>
        <stp/>
        <stp>VOLUME</stp>
        <stp>.SPY160916P212.5</stp>
        <tr r="P742" s="1"/>
      </tp>
      <tp t="s">
        <v>N/A</v>
        <stp/>
        <stp>VOLUME</stp>
        <stp>.SPY160916P202.5</stp>
        <tr r="P722" s="1"/>
      </tp>
      <tp t="s">
        <v>N/A</v>
        <stp/>
        <stp>VOLUME</stp>
        <stp>.SPY170317P212.5</stp>
        <tr r="P868" s="1"/>
      </tp>
      <tp t="s">
        <v>N/A</v>
        <stp/>
        <stp>VOLUME</stp>
        <stp>.SPY170317P202.5</stp>
        <tr r="P848" s="1"/>
      </tp>
      <tp t="s">
        <v>N/A</v>
        <stp/>
        <stp>VOLUME</stp>
        <stp>.SPY170120P205.5</stp>
        <tr r="P812" s="1"/>
      </tp>
      <tp t="s">
        <v>N/A</v>
        <stp/>
        <stp>VOLUME</stp>
        <stp>.SPY170120P215.5</stp>
        <tr r="P832" s="1"/>
      </tp>
      <tp t="s">
        <v>N/A</v>
        <stp/>
        <stp>VOLUME</stp>
        <stp>.SPY160115P211.5</stp>
        <tr r="P614" s="1"/>
      </tp>
      <tp t="s">
        <v>N/A</v>
        <stp/>
        <stp>VOLUME</stp>
        <stp>.SPY160115P201.5</stp>
        <tr r="P594" s="1"/>
      </tp>
      <tp t="s">
        <v>N/A</v>
        <stp/>
        <stp>VOLUME</stp>
        <stp>.SPY150717P210.5</stp>
        <tr r="P402" s="1"/>
      </tp>
      <tp t="s">
        <v>N/A</v>
        <stp/>
        <stp>VOLUME</stp>
        <stp>.SPY150717P200.5</stp>
        <tr r="P382" s="1"/>
      </tp>
      <tp t="s">
        <v>N/A</v>
        <stp/>
        <stp>VOLUME</stp>
        <stp>.SPY150630P217.5</stp>
        <tr r="P374" s="1"/>
      </tp>
      <tp t="s">
        <v>N/A</v>
        <stp/>
        <stp>VOLUME</stp>
        <stp>.SPY150630P207.5</stp>
        <tr r="P354" s="1"/>
      </tp>
      <tp t="s">
        <v>N/A</v>
        <stp/>
        <stp>VOLUME</stp>
        <stp>.SPY160617P213.5</stp>
        <tr r="P702" s="1"/>
      </tp>
      <tp t="s">
        <v>N/A</v>
        <stp/>
        <stp>VOLUME</stp>
        <stp>.SPY160617P203.5</stp>
        <tr r="P682" s="1"/>
      </tp>
      <tp>
        <v>19</v>
        <stp/>
        <stp>VOLUME</stp>
        <stp>.SPY150522P205.5</stp>
        <tr r="P224" s="1"/>
      </tp>
      <tp>
        <v>35</v>
        <stp/>
        <stp>VOLUME</stp>
        <stp>.SPY150522P215.5</stp>
        <tr r="P244" s="1"/>
      </tp>
      <tp>
        <v>0</v>
        <stp/>
        <stp>VOLUME</stp>
        <stp>.SPY150501P206.5</stp>
        <tr r="P100" s="1"/>
      </tp>
      <tp>
        <v>371</v>
        <stp/>
        <stp>VOLUME</stp>
        <stp>.SPY150515P212.5</stp>
        <tr r="P196" s="1"/>
      </tp>
      <tp>
        <v>0</v>
        <stp/>
        <stp>VOLUME</stp>
        <stp>.SPY150501P216.5</stp>
        <tr r="P120" s="1"/>
      </tp>
      <tp>
        <v>626</v>
        <stp/>
        <stp>VOLUME</stp>
        <stp>.SPY150515P202.5</stp>
        <tr r="P176" s="1"/>
      </tp>
      <tp>
        <v>0</v>
        <stp/>
        <stp>VOLUME</stp>
        <stp>.SPY150424P203.5</stp>
        <tr r="P52" s="1"/>
      </tp>
      <tp>
        <v>0</v>
        <stp/>
        <stp>VOLUME</stp>
        <stp>.SPY150424P213.5</stp>
        <tr r="P72" s="1"/>
      </tp>
      <tp>
        <v>0</v>
        <stp/>
        <stp>VOLUME</stp>
        <stp>.SPY150417P210.5</stp>
        <tr r="P24" s="1"/>
      </tp>
      <tp>
        <v>0</v>
        <stp/>
        <stp>VOLUME</stp>
        <stp>.SPY150417P200.5</stp>
        <tr r="P4" s="1"/>
      </tp>
      <tp t="s">
        <v>N/A</v>
        <stp/>
        <stp>VOLUME</stp>
        <stp>.SPY150930C217.5</stp>
        <tr r="E500" s="1"/>
      </tp>
      <tp t="s">
        <v>N/A</v>
        <stp/>
        <stp>VOLUME</stp>
        <stp>.SPY150930C207.5</stp>
        <tr r="E480" s="1"/>
      </tp>
      <tp t="s">
        <v>N/A</v>
        <stp/>
        <stp>VOLUME</stp>
        <stp>.SPY160916C212.5</stp>
        <tr r="E742" s="1"/>
      </tp>
      <tp t="s">
        <v>N/A</v>
        <stp/>
        <stp>VOLUME</stp>
        <stp>.SPY160916C202.5</stp>
        <tr r="E722" s="1"/>
      </tp>
      <tp t="s">
        <v>N/A</v>
        <stp/>
        <stp>VOLUME</stp>
        <stp>.SPY170317C212.5</stp>
        <tr r="E868" s="1"/>
      </tp>
      <tp t="s">
        <v>N/A</v>
        <stp/>
        <stp>VOLUME</stp>
        <stp>.SPY170317C202.5</stp>
        <tr r="E848" s="1"/>
      </tp>
      <tp t="s">
        <v>N/A</v>
        <stp/>
        <stp>VOLUME</stp>
        <stp>.SPY170120C205.5</stp>
        <tr r="E812" s="1"/>
      </tp>
      <tp t="s">
        <v>N/A</v>
        <stp/>
        <stp>VOLUME</stp>
        <stp>.SPY170120C215.5</stp>
        <tr r="E832" s="1"/>
      </tp>
      <tp t="s">
        <v>N/A</v>
        <stp/>
        <stp>VOLUME</stp>
        <stp>.SPY160115C211.5</stp>
        <tr r="E614" s="1"/>
      </tp>
      <tp t="s">
        <v>N/A</v>
        <stp/>
        <stp>VOLUME</stp>
        <stp>.SPY160115C201.5</stp>
        <tr r="E594" s="1"/>
      </tp>
      <tp t="s">
        <v>N/A</v>
        <stp/>
        <stp>VOLUME</stp>
        <stp>.SPY150717C210.5</stp>
        <tr r="E402" s="1"/>
      </tp>
      <tp t="s">
        <v>N/A</v>
        <stp/>
        <stp>VOLUME</stp>
        <stp>.SPY150717C200.5</stp>
        <tr r="E382" s="1"/>
      </tp>
      <tp t="s">
        <v>N/A</v>
        <stp/>
        <stp>VOLUME</stp>
        <stp>.SPY150630C217.5</stp>
        <tr r="E374" s="1"/>
      </tp>
      <tp t="s">
        <v>N/A</v>
        <stp/>
        <stp>VOLUME</stp>
        <stp>.SPY150630C207.5</stp>
        <tr r="E354" s="1"/>
      </tp>
      <tp t="s">
        <v>N/A</v>
        <stp/>
        <stp>VOLUME</stp>
        <stp>.SPY160617C213.5</stp>
        <tr r="E702" s="1"/>
      </tp>
      <tp t="s">
        <v>N/A</v>
        <stp/>
        <stp>VOLUME</stp>
        <stp>.SPY160617C203.5</stp>
        <tr r="E682" s="1"/>
      </tp>
      <tp>
        <v>3</v>
        <stp/>
        <stp>VOLUME</stp>
        <stp>.SPY150522C205.5</stp>
        <tr r="E224" s="1"/>
      </tp>
      <tp>
        <v>893</v>
        <stp/>
        <stp>VOLUME</stp>
        <stp>.SPY150522C215.5</stp>
        <tr r="E244" s="1"/>
      </tp>
      <tp>
        <v>0</v>
        <stp/>
        <stp>VOLUME</stp>
        <stp>.SPY150501C206.5</stp>
        <tr r="E100" s="1"/>
      </tp>
      <tp>
        <v>2598</v>
        <stp/>
        <stp>VOLUME</stp>
        <stp>.SPY150515C212.5</stp>
        <tr r="E196" s="1"/>
      </tp>
      <tp>
        <v>0</v>
        <stp/>
        <stp>VOLUME</stp>
        <stp>.SPY150501C216.5</stp>
        <tr r="E120" s="1"/>
      </tp>
      <tp>
        <v>0</v>
        <stp/>
        <stp>VOLUME</stp>
        <stp>.SPY150515C202.5</stp>
        <tr r="E176" s="1"/>
      </tp>
      <tp>
        <v>0</v>
        <stp/>
        <stp>VOLUME</stp>
        <stp>.SPY150424C203.5</stp>
        <tr r="E52" s="1"/>
      </tp>
      <tp>
        <v>0</v>
        <stp/>
        <stp>VOLUME</stp>
        <stp>.SPY150424C213.5</stp>
        <tr r="E72" s="1"/>
      </tp>
      <tp>
        <v>0</v>
        <stp/>
        <stp>VOLUME</stp>
        <stp>.SPY150417C210.5</stp>
        <tr r="E24" s="1"/>
      </tp>
      <tp>
        <v>0</v>
        <stp/>
        <stp>VOLUME</stp>
        <stp>.SPY150417C200.5</stp>
        <tr r="E4" s="1"/>
      </tp>
      <tp t="s">
        <v>N/A</v>
        <stp/>
        <stp>VOLUME</stp>
        <stp>.SPY151231C216.5</stp>
        <tr r="E582" s="1"/>
      </tp>
      <tp t="s">
        <v>N/A</v>
        <stp/>
        <stp>VOLUME</stp>
        <stp>.SPY151231C206.5</stp>
        <tr r="E562" s="1"/>
      </tp>
      <tp t="s">
        <v>N/A</v>
        <stp/>
        <stp>VOLUME</stp>
        <stp>.SPY161216C212.5</stp>
        <tr r="E784" s="1"/>
      </tp>
      <tp t="s">
        <v>N/A</v>
        <stp/>
        <stp>VOLUME</stp>
        <stp>.SPY171215C210.5</stp>
        <tr r="E906" s="1"/>
      </tp>
      <tp t="s">
        <v>N/A</v>
        <stp/>
        <stp>VOLUME</stp>
        <stp>.SPY161216C202.5</stp>
        <tr r="E764" s="1"/>
      </tp>
      <tp t="s">
        <v>N/A</v>
        <stp/>
        <stp>VOLUME</stp>
        <stp>.SPY171215C200.5</stp>
        <tr r="E886" s="1"/>
      </tp>
      <tp t="s">
        <v>N/A</v>
        <stp/>
        <stp>VOLUME</stp>
        <stp>.SPY151231P215.5</stp>
        <tr r="P580" s="1"/>
      </tp>
      <tp t="s">
        <v>N/A</v>
        <stp/>
        <stp>VOLUME</stp>
        <stp>.SPY151231P205.5</stp>
        <tr r="P560" s="1"/>
      </tp>
      <tp t="s">
        <v>N/A</v>
        <stp/>
        <stp>VOLUME</stp>
        <stp>.SPY161216P211.5</stp>
        <tr r="P782" s="1"/>
      </tp>
      <tp t="s">
        <v>N/A</v>
        <stp/>
        <stp>VOLUME</stp>
        <stp>.SPY171215P213.5</stp>
        <tr r="P912" s="1"/>
      </tp>
      <tp t="s">
        <v>N/A</v>
        <stp/>
        <stp>VOLUME</stp>
        <stp>.SPY161216P201.5</stp>
        <tr r="P762" s="1"/>
      </tp>
      <tp t="s">
        <v>N/A</v>
        <stp/>
        <stp>VOLUME</stp>
        <stp>.SPY171215P203.5</stp>
        <tr r="P892" s="1"/>
      </tp>
      <tp t="s">
        <v>N/A</v>
        <stp/>
        <stp>VOLUME</stp>
        <stp>.SPY150930P214.5</stp>
        <tr r="P494" s="1"/>
      </tp>
      <tp t="s">
        <v>N/A</v>
        <stp/>
        <stp>VOLUME</stp>
        <stp>.SPY150930P204.5</stp>
        <tr r="P474" s="1"/>
      </tp>
      <tp t="s">
        <v>N/A</v>
        <stp/>
        <stp>VOLUME</stp>
        <stp>.SPY160916P211.5</stp>
        <tr r="P740" s="1"/>
      </tp>
      <tp t="s">
        <v>N/A</v>
        <stp/>
        <stp>VOLUME</stp>
        <stp>.SPY160916P201.5</stp>
        <tr r="P720" s="1"/>
      </tp>
      <tp t="s">
        <v>N/A</v>
        <stp/>
        <stp>VOLUME</stp>
        <stp>.SPY170317P211.5</stp>
        <tr r="P866" s="1"/>
      </tp>
      <tp t="s">
        <v>N/A</v>
        <stp/>
        <stp>VOLUME</stp>
        <stp>.SPY170317P201.5</stp>
        <tr r="P846" s="1"/>
      </tp>
      <tp t="s">
        <v>N/A</v>
        <stp/>
        <stp>VOLUME</stp>
        <stp>.SPY170120P206.5</stp>
        <tr r="P814" s="1"/>
      </tp>
      <tp t="s">
        <v>N/A</v>
        <stp/>
        <stp>VOLUME</stp>
        <stp>.SPY170120P216.5</stp>
        <tr r="P834" s="1"/>
      </tp>
      <tp t="s">
        <v>N/A</v>
        <stp/>
        <stp>VOLUME</stp>
        <stp>.SPY160115P212.5</stp>
        <tr r="P616" s="1"/>
      </tp>
      <tp t="s">
        <v>N/A</v>
        <stp/>
        <stp>VOLUME</stp>
        <stp>.SPY160115P202.5</stp>
        <tr r="P596" s="1"/>
      </tp>
      <tp t="s">
        <v>N/A</v>
        <stp/>
        <stp>VOLUME</stp>
        <stp>.SPY150717P213.5</stp>
        <tr r="P408" s="1"/>
      </tp>
      <tp t="s">
        <v>N/A</v>
        <stp/>
        <stp>VOLUME</stp>
        <stp>.SPY150717P203.5</stp>
        <tr r="P388" s="1"/>
      </tp>
      <tp t="s">
        <v>N/A</v>
        <stp/>
        <stp>VOLUME</stp>
        <stp>.SPY150630P214.5</stp>
        <tr r="P368" s="1"/>
      </tp>
      <tp t="s">
        <v>N/A</v>
        <stp/>
        <stp>VOLUME</stp>
        <stp>.SPY150630P204.5</stp>
        <tr r="P348" s="1"/>
      </tp>
      <tp t="s">
        <v>N/A</v>
        <stp/>
        <stp>VOLUME</stp>
        <stp>.SPY160617P210.5</stp>
        <tr r="P696" s="1"/>
      </tp>
      <tp t="s">
        <v>N/A</v>
        <stp/>
        <stp>VOLUME</stp>
        <stp>.SPY160617P200.5</stp>
        <tr r="P676" s="1"/>
      </tp>
      <tp>
        <v>271</v>
        <stp/>
        <stp>VOLUME</stp>
        <stp>.SPY150522P206.5</stp>
        <tr r="P226" s="1"/>
      </tp>
      <tp>
        <v>37</v>
        <stp/>
        <stp>VOLUME</stp>
        <stp>.SPY150522P216.5</stp>
        <tr r="P246" s="1"/>
      </tp>
      <tp>
        <v>0</v>
        <stp/>
        <stp>VOLUME</stp>
        <stp>.SPY150501P205.5</stp>
        <tr r="P98" s="1"/>
      </tp>
      <tp>
        <v>9535</v>
        <stp/>
        <stp>VOLUME</stp>
        <stp>.SPY150515P211.5</stp>
        <tr r="P194" s="1"/>
      </tp>
      <tp>
        <v>0</v>
        <stp/>
        <stp>VOLUME</stp>
        <stp>.SPY150501P215.5</stp>
        <tr r="P118" s="1"/>
      </tp>
      <tp>
        <v>553</v>
        <stp/>
        <stp>VOLUME</stp>
        <stp>.SPY150515P201.5</stp>
        <tr r="P174" s="1"/>
      </tp>
      <tp>
        <v>0</v>
        <stp/>
        <stp>VOLUME</stp>
        <stp>.SPY150424P200.5</stp>
        <tr r="P46" s="1"/>
      </tp>
      <tp>
        <v>0</v>
        <stp/>
        <stp>VOLUME</stp>
        <stp>.SPY150424P210.5</stp>
        <tr r="P66" s="1"/>
      </tp>
      <tp>
        <v>0</v>
        <stp/>
        <stp>VOLUME</stp>
        <stp>.SPY150417P213.5</stp>
        <tr r="P30" s="1"/>
      </tp>
      <tp>
        <v>0</v>
        <stp/>
        <stp>VOLUME</stp>
        <stp>.SPY150417P203.5</stp>
        <tr r="P10" s="1"/>
      </tp>
      <tp t="s">
        <v>N/A</v>
        <stp/>
        <stp>VOLUME</stp>
        <stp>.SPY150930C214.5</stp>
        <tr r="E494" s="1"/>
      </tp>
      <tp t="s">
        <v>N/A</v>
        <stp/>
        <stp>VOLUME</stp>
        <stp>.SPY150930C204.5</stp>
        <tr r="E474" s="1"/>
      </tp>
      <tp t="s">
        <v>N/A</v>
        <stp/>
        <stp>VOLUME</stp>
        <stp>.SPY160916C211.5</stp>
        <tr r="E740" s="1"/>
      </tp>
      <tp t="s">
        <v>N/A</v>
        <stp/>
        <stp>VOLUME</stp>
        <stp>.SPY160916C201.5</stp>
        <tr r="E720" s="1"/>
      </tp>
      <tp t="s">
        <v>N/A</v>
        <stp/>
        <stp>VOLUME</stp>
        <stp>.SPY170317C211.5</stp>
        <tr r="E866" s="1"/>
      </tp>
      <tp t="s">
        <v>N/A</v>
        <stp/>
        <stp>VOLUME</stp>
        <stp>.SPY170317C201.5</stp>
        <tr r="E846" s="1"/>
      </tp>
      <tp t="s">
        <v>N/A</v>
        <stp/>
        <stp>VOLUME</stp>
        <stp>.SPY170120C206.5</stp>
        <tr r="E814" s="1"/>
      </tp>
      <tp t="s">
        <v>N/A</v>
        <stp/>
        <stp>VOLUME</stp>
        <stp>.SPY170120C216.5</stp>
        <tr r="E834" s="1"/>
      </tp>
      <tp t="s">
        <v>N/A</v>
        <stp/>
        <stp>VOLUME</stp>
        <stp>.SPY160115C212.5</stp>
        <tr r="E616" s="1"/>
      </tp>
      <tp t="s">
        <v>N/A</v>
        <stp/>
        <stp>VOLUME</stp>
        <stp>.SPY160115C202.5</stp>
        <tr r="E596" s="1"/>
      </tp>
      <tp t="s">
        <v>N/A</v>
        <stp/>
        <stp>VOLUME</stp>
        <stp>.SPY150717C213.5</stp>
        <tr r="E408" s="1"/>
      </tp>
      <tp t="s">
        <v>N/A</v>
        <stp/>
        <stp>VOLUME</stp>
        <stp>.SPY150717C203.5</stp>
        <tr r="E388" s="1"/>
      </tp>
      <tp t="s">
        <v>N/A</v>
        <stp/>
        <stp>VOLUME</stp>
        <stp>.SPY150630C214.5</stp>
        <tr r="E368" s="1"/>
      </tp>
      <tp t="s">
        <v>N/A</v>
        <stp/>
        <stp>VOLUME</stp>
        <stp>.SPY150630C204.5</stp>
        <tr r="E348" s="1"/>
      </tp>
      <tp t="s">
        <v>N/A</v>
        <stp/>
        <stp>VOLUME</stp>
        <stp>.SPY160617C210.5</stp>
        <tr r="E696" s="1"/>
      </tp>
      <tp t="s">
        <v>N/A</v>
        <stp/>
        <stp>VOLUME</stp>
        <stp>.SPY160617C200.5</stp>
        <tr r="E676" s="1"/>
      </tp>
      <tp>
        <v>3</v>
        <stp/>
        <stp>VOLUME</stp>
        <stp>.SPY150522C206.5</stp>
        <tr r="E226" s="1"/>
      </tp>
      <tp>
        <v>637</v>
        <stp/>
        <stp>VOLUME</stp>
        <stp>.SPY150522C216.5</stp>
        <tr r="E246" s="1"/>
      </tp>
      <tp>
        <v>0</v>
        <stp/>
        <stp>VOLUME</stp>
        <stp>.SPY150501C205.5</stp>
        <tr r="E98" s="1"/>
      </tp>
      <tp>
        <v>6758</v>
        <stp/>
        <stp>VOLUME</stp>
        <stp>.SPY150515C211.5</stp>
        <tr r="E194" s="1"/>
      </tp>
      <tp>
        <v>0</v>
        <stp/>
        <stp>VOLUME</stp>
        <stp>.SPY150501C215.5</stp>
        <tr r="E118" s="1"/>
      </tp>
      <tp>
        <v>0</v>
        <stp/>
        <stp>VOLUME</stp>
        <stp>.SPY150515C201.5</stp>
        <tr r="E174" s="1"/>
      </tp>
      <tp>
        <v>0</v>
        <stp/>
        <stp>VOLUME</stp>
        <stp>.SPY150424C200.5</stp>
        <tr r="E46" s="1"/>
      </tp>
      <tp>
        <v>0</v>
        <stp/>
        <stp>VOLUME</stp>
        <stp>.SPY150424C210.5</stp>
        <tr r="E66" s="1"/>
      </tp>
      <tp>
        <v>0</v>
        <stp/>
        <stp>VOLUME</stp>
        <stp>.SPY150417C213.5</stp>
        <tr r="E30" s="1"/>
      </tp>
      <tp>
        <v>0</v>
        <stp/>
        <stp>VOLUME</stp>
        <stp>.SPY150417C203.5</stp>
        <tr r="E10" s="1"/>
      </tp>
      <tp t="s">
        <v>N/A</v>
        <stp/>
        <stp>VOLUME</stp>
        <stp>.SPY151231C215.5</stp>
        <tr r="E580" s="1"/>
      </tp>
      <tp t="s">
        <v>N/A</v>
        <stp/>
        <stp>VOLUME</stp>
        <stp>.SPY151231C205.5</stp>
        <tr r="E560" s="1"/>
      </tp>
      <tp t="s">
        <v>N/A</v>
        <stp/>
        <stp>VOLUME</stp>
        <stp>.SPY161216C211.5</stp>
        <tr r="E782" s="1"/>
      </tp>
      <tp t="s">
        <v>N/A</v>
        <stp/>
        <stp>VOLUME</stp>
        <stp>.SPY171215C213.5</stp>
        <tr r="E912" s="1"/>
      </tp>
      <tp t="s">
        <v>N/A</v>
        <stp/>
        <stp>VOLUME</stp>
        <stp>.SPY161216C201.5</stp>
        <tr r="E762" s="1"/>
      </tp>
      <tp t="s">
        <v>N/A</v>
        <stp/>
        <stp>VOLUME</stp>
        <stp>.SPY171215C203.5</stp>
        <tr r="E892" s="1"/>
      </tp>
      <tp t="s">
        <v>N/A</v>
        <stp/>
        <stp>VOLUME</stp>
        <stp>.SPY151231P214.5</stp>
        <tr r="P578" s="1"/>
      </tp>
      <tp t="s">
        <v>N/A</v>
        <stp/>
        <stp>VOLUME</stp>
        <stp>.SPY151231P204.5</stp>
        <tr r="P558" s="1"/>
      </tp>
      <tp t="s">
        <v>N/A</v>
        <stp/>
        <stp>VOLUME</stp>
        <stp>.SPY161216P210.5</stp>
        <tr r="P780" s="1"/>
      </tp>
      <tp t="s">
        <v>N/A</v>
        <stp/>
        <stp>VOLUME</stp>
        <stp>.SPY171215P212.5</stp>
        <tr r="P910" s="1"/>
      </tp>
      <tp t="s">
        <v>N/A</v>
        <stp/>
        <stp>VOLUME</stp>
        <stp>.SPY161216P200.5</stp>
        <tr r="P760" s="1"/>
      </tp>
      <tp t="s">
        <v>N/A</v>
        <stp/>
        <stp>VOLUME</stp>
        <stp>.SPY171215P202.5</stp>
        <tr r="P890" s="1"/>
      </tp>
      <tp t="s">
        <v>N/A</v>
        <stp/>
        <stp>VOLUME</stp>
        <stp>.SPY150930P215.5</stp>
        <tr r="P496" s="1"/>
      </tp>
      <tp t="s">
        <v>N/A</v>
        <stp/>
        <stp>VOLUME</stp>
        <stp>.SPY150930P205.5</stp>
        <tr r="P476" s="1"/>
      </tp>
      <tp t="s">
        <v>N/A</v>
        <stp/>
        <stp>VOLUME</stp>
        <stp>.SPY160916P210.5</stp>
        <tr r="P738" s="1"/>
      </tp>
      <tp t="s">
        <v>N/A</v>
        <stp/>
        <stp>VOLUME</stp>
        <stp>.SPY160916P200.5</stp>
        <tr r="P718" s="1"/>
      </tp>
      <tp t="s">
        <v>N/A</v>
        <stp/>
        <stp>VOLUME</stp>
        <stp>.SPY170317P210.5</stp>
        <tr r="P864" s="1"/>
      </tp>
      <tp t="s">
        <v>N/A</v>
        <stp/>
        <stp>VOLUME</stp>
        <stp>.SPY170317P200.5</stp>
        <tr r="P844" s="1"/>
      </tp>
      <tp t="s">
        <v>N/A</v>
        <stp/>
        <stp>VOLUME</stp>
        <stp>.SPY170120P207.5</stp>
        <tr r="P816" s="1"/>
      </tp>
      <tp t="s">
        <v>N/A</v>
        <stp/>
        <stp>VOLUME</stp>
        <stp>.SPY170120P217.5</stp>
        <tr r="P836" s="1"/>
      </tp>
      <tp t="s">
        <v>N/A</v>
        <stp/>
        <stp>VOLUME</stp>
        <stp>.SPY160115P213.5</stp>
        <tr r="P618" s="1"/>
      </tp>
      <tp t="s">
        <v>N/A</v>
        <stp/>
        <stp>VOLUME</stp>
        <stp>.SPY160115P203.5</stp>
        <tr r="P598" s="1"/>
      </tp>
      <tp t="s">
        <v>N/A</v>
        <stp/>
        <stp>VOLUME</stp>
        <stp>.SPY150717P212.5</stp>
        <tr r="P406" s="1"/>
      </tp>
      <tp t="s">
        <v>N/A</v>
        <stp/>
        <stp>VOLUME</stp>
        <stp>.SPY150717P202.5</stp>
        <tr r="P386" s="1"/>
      </tp>
      <tp t="s">
        <v>N/A</v>
        <stp/>
        <stp>VOLUME</stp>
        <stp>.SPY150630P215.5</stp>
        <tr r="P370" s="1"/>
      </tp>
      <tp t="s">
        <v>N/A</v>
        <stp/>
        <stp>VOLUME</stp>
        <stp>.SPY150630P205.5</stp>
        <tr r="P350" s="1"/>
      </tp>
      <tp t="s">
        <v>N/A</v>
        <stp/>
        <stp>VOLUME</stp>
        <stp>.SPY160617P211.5</stp>
        <tr r="P698" s="1"/>
      </tp>
      <tp t="s">
        <v>N/A</v>
        <stp/>
        <stp>VOLUME</stp>
        <stp>.SPY160617P201.5</stp>
        <tr r="P678" s="1"/>
      </tp>
      <tp>
        <v>319</v>
        <stp/>
        <stp>VOLUME</stp>
        <stp>.SPY150522P207.5</stp>
        <tr r="P228" s="1"/>
      </tp>
      <tp>
        <v>2</v>
        <stp/>
        <stp>VOLUME</stp>
        <stp>.SPY150522P217.5</stp>
        <tr r="P248" s="1"/>
      </tp>
      <tp>
        <v>0</v>
        <stp/>
        <stp>VOLUME</stp>
        <stp>.SPY150501P204.5</stp>
        <tr r="P96" s="1"/>
      </tp>
      <tp>
        <v>14614</v>
        <stp/>
        <stp>VOLUME</stp>
        <stp>.SPY150515P210.5</stp>
        <tr r="P192" s="1"/>
      </tp>
      <tp>
        <v>0</v>
        <stp/>
        <stp>VOLUME</stp>
        <stp>.SPY150501P214.5</stp>
        <tr r="P116" s="1"/>
      </tp>
      <tp>
        <v>174</v>
        <stp/>
        <stp>VOLUME</stp>
        <stp>.SPY150515P200.5</stp>
        <tr r="P172" s="1"/>
      </tp>
      <tp>
        <v>0</v>
        <stp/>
        <stp>VOLUME</stp>
        <stp>.SPY150424P201.5</stp>
        <tr r="P48" s="1"/>
      </tp>
      <tp>
        <v>0</v>
        <stp/>
        <stp>VOLUME</stp>
        <stp>.SPY150424P211.5</stp>
        <tr r="P68" s="1"/>
      </tp>
      <tp>
        <v>0</v>
        <stp/>
        <stp>VOLUME</stp>
        <stp>.SPY150417P212.5</stp>
        <tr r="P28" s="1"/>
      </tp>
      <tp>
        <v>0</v>
        <stp/>
        <stp>VOLUME</stp>
        <stp>.SPY150417P202.5</stp>
        <tr r="P8" s="1"/>
      </tp>
      <tp t="s">
        <v>N/A</v>
        <stp/>
        <stp>VOLUME</stp>
        <stp>.SPY150930C215.5</stp>
        <tr r="E496" s="1"/>
      </tp>
      <tp t="s">
        <v>N/A</v>
        <stp/>
        <stp>VOLUME</stp>
        <stp>.SPY150930C205.5</stp>
        <tr r="E476" s="1"/>
      </tp>
      <tp t="s">
        <v>N/A</v>
        <stp/>
        <stp>VOLUME</stp>
        <stp>.SPY160916C210.5</stp>
        <tr r="E738" s="1"/>
      </tp>
      <tp t="s">
        <v>N/A</v>
        <stp/>
        <stp>VOLUME</stp>
        <stp>.SPY160916C200.5</stp>
        <tr r="E718" s="1"/>
      </tp>
      <tp t="s">
        <v>N/A</v>
        <stp/>
        <stp>VOLUME</stp>
        <stp>.SPY170317C210.5</stp>
        <tr r="E864" s="1"/>
      </tp>
      <tp t="s">
        <v>N/A</v>
        <stp/>
        <stp>VOLUME</stp>
        <stp>.SPY170317C200.5</stp>
        <tr r="E844" s="1"/>
      </tp>
      <tp t="s">
        <v>N/A</v>
        <stp/>
        <stp>VOLUME</stp>
        <stp>.SPY170120C207.5</stp>
        <tr r="E816" s="1"/>
      </tp>
      <tp t="s">
        <v>N/A</v>
        <stp/>
        <stp>VOLUME</stp>
        <stp>.SPY170120C217.5</stp>
        <tr r="E836" s="1"/>
      </tp>
      <tp t="s">
        <v>N/A</v>
        <stp/>
        <stp>VOLUME</stp>
        <stp>.SPY160115C213.5</stp>
        <tr r="E618" s="1"/>
      </tp>
      <tp t="s">
        <v>N/A</v>
        <stp/>
        <stp>VOLUME</stp>
        <stp>.SPY160115C203.5</stp>
        <tr r="E598" s="1"/>
      </tp>
      <tp t="s">
        <v>N/A</v>
        <stp/>
        <stp>VOLUME</stp>
        <stp>.SPY150717C212.5</stp>
        <tr r="E406" s="1"/>
      </tp>
      <tp t="s">
        <v>N/A</v>
        <stp/>
        <stp>VOLUME</stp>
        <stp>.SPY150717C202.5</stp>
        <tr r="E386" s="1"/>
      </tp>
      <tp t="s">
        <v>N/A</v>
        <stp/>
        <stp>VOLUME</stp>
        <stp>.SPY150630C215.5</stp>
        <tr r="E370" s="1"/>
      </tp>
      <tp t="s">
        <v>N/A</v>
        <stp/>
        <stp>VOLUME</stp>
        <stp>.SPY150630C205.5</stp>
        <tr r="E350" s="1"/>
      </tp>
      <tp t="s">
        <v>N/A</v>
        <stp/>
        <stp>VOLUME</stp>
        <stp>.SPY160617C211.5</stp>
        <tr r="E698" s="1"/>
      </tp>
      <tp t="s">
        <v>N/A</v>
        <stp/>
        <stp>VOLUME</stp>
        <stp>.SPY160617C201.5</stp>
        <tr r="E678" s="1"/>
      </tp>
      <tp>
        <v>2</v>
        <stp/>
        <stp>VOLUME</stp>
        <stp>.SPY150522C207.5</stp>
        <tr r="E228" s="1"/>
      </tp>
      <tp>
        <v>320</v>
        <stp/>
        <stp>VOLUME</stp>
        <stp>.SPY150522C217.5</stp>
        <tr r="E248" s="1"/>
      </tp>
      <tp>
        <v>0</v>
        <stp/>
        <stp>VOLUME</stp>
        <stp>.SPY150501C204.5</stp>
        <tr r="E96" s="1"/>
      </tp>
      <tp>
        <v>6005</v>
        <stp/>
        <stp>VOLUME</stp>
        <stp>.SPY150515C210.5</stp>
        <tr r="E192" s="1"/>
      </tp>
      <tp>
        <v>0</v>
        <stp/>
        <stp>VOLUME</stp>
        <stp>.SPY150501C214.5</stp>
        <tr r="E116" s="1"/>
      </tp>
      <tp>
        <v>0</v>
        <stp/>
        <stp>VOLUME</stp>
        <stp>.SPY150515C200.5</stp>
        <tr r="E172" s="1"/>
      </tp>
      <tp>
        <v>0</v>
        <stp/>
        <stp>VOLUME</stp>
        <stp>.SPY150424C201.5</stp>
        <tr r="E48" s="1"/>
      </tp>
      <tp>
        <v>0</v>
        <stp/>
        <stp>VOLUME</stp>
        <stp>.SPY150424C211.5</stp>
        <tr r="E68" s="1"/>
      </tp>
      <tp>
        <v>0</v>
        <stp/>
        <stp>VOLUME</stp>
        <stp>.SPY150417C212.5</stp>
        <tr r="E28" s="1"/>
      </tp>
      <tp>
        <v>0</v>
        <stp/>
        <stp>VOLUME</stp>
        <stp>.SPY150417C202.5</stp>
        <tr r="E8" s="1"/>
      </tp>
      <tp t="s">
        <v>N/A</v>
        <stp/>
        <stp>VOLUME</stp>
        <stp>.SPY151231C214.5</stp>
        <tr r="E578" s="1"/>
      </tp>
      <tp t="s">
        <v>N/A</v>
        <stp/>
        <stp>VOLUME</stp>
        <stp>.SPY151231C204.5</stp>
        <tr r="E558" s="1"/>
      </tp>
      <tp t="s">
        <v>N/A</v>
        <stp/>
        <stp>VOLUME</stp>
        <stp>.SPY161216C210.5</stp>
        <tr r="E780" s="1"/>
      </tp>
      <tp t="s">
        <v>N/A</v>
        <stp/>
        <stp>VOLUME</stp>
        <stp>.SPY171215C212.5</stp>
        <tr r="E910" s="1"/>
      </tp>
      <tp t="s">
        <v>N/A</v>
        <stp/>
        <stp>VOLUME</stp>
        <stp>.SPY161216C200.5</stp>
        <tr r="E760" s="1"/>
      </tp>
      <tp t="s">
        <v>N/A</v>
        <stp/>
        <stp>VOLUME</stp>
        <stp>.SPY171215C202.5</stp>
        <tr r="E890" s="1"/>
      </tp>
      <tp t="s">
        <v>N/A</v>
        <stp/>
        <stp>VOLUME</stp>
        <stp>.SPY151231P213.5</stp>
        <tr r="P576" s="1"/>
      </tp>
      <tp t="s">
        <v>N/A</v>
        <stp/>
        <stp>VOLUME</stp>
        <stp>.SPY151231P203.5</stp>
        <tr r="P556" s="1"/>
      </tp>
      <tp t="s">
        <v>N/A</v>
        <stp/>
        <stp>VOLUME</stp>
        <stp>.SPY161216P217.5</stp>
        <tr r="P794" s="1"/>
      </tp>
      <tp t="s">
        <v>N/A</v>
        <stp/>
        <stp>VOLUME</stp>
        <stp>.SPY171215P215.5</stp>
        <tr r="P916" s="1"/>
      </tp>
      <tp t="s">
        <v>N/A</v>
        <stp/>
        <stp>VOLUME</stp>
        <stp>.SPY161216P207.5</stp>
        <tr r="P774" s="1"/>
      </tp>
      <tp t="s">
        <v>N/A</v>
        <stp/>
        <stp>VOLUME</stp>
        <stp>.SPY171215P205.5</stp>
        <tr r="P896" s="1"/>
      </tp>
      <tp t="s">
        <v>N/A</v>
        <stp/>
        <stp>VOLUME</stp>
        <stp>.SPY150930P212.5</stp>
        <tr r="P490" s="1"/>
      </tp>
      <tp t="s">
        <v>N/A</v>
        <stp/>
        <stp>VOLUME</stp>
        <stp>.SPY150930P202.5</stp>
        <tr r="P470" s="1"/>
      </tp>
      <tp t="s">
        <v>N/A</v>
        <stp/>
        <stp>VOLUME</stp>
        <stp>.SPY160916P217.5</stp>
        <tr r="P752" s="1"/>
      </tp>
      <tp t="s">
        <v>N/A</v>
        <stp/>
        <stp>VOLUME</stp>
        <stp>.SPY160916P207.5</stp>
        <tr r="P732" s="1"/>
      </tp>
      <tp t="s">
        <v>N/A</v>
        <stp/>
        <stp>VOLUME</stp>
        <stp>.SPY160318P219.5</stp>
        <tr r="P672" s="1"/>
      </tp>
      <tp t="s">
        <v>N/A</v>
        <stp/>
        <stp>VOLUME</stp>
        <stp>.SPY170317P217.5</stp>
        <tr r="P878" s="1"/>
      </tp>
      <tp t="s">
        <v>N/A</v>
        <stp/>
        <stp>VOLUME</stp>
        <stp>.SPY160318P209.5</stp>
        <tr r="P652" s="1"/>
      </tp>
      <tp t="s">
        <v>N/A</v>
        <stp/>
        <stp>VOLUME</stp>
        <stp>.SPY170317P207.5</stp>
        <tr r="P858" s="1"/>
      </tp>
      <tp t="s">
        <v>N/A</v>
        <stp/>
        <stp>VOLUME</stp>
        <stp>.SPY170120P200.5</stp>
        <tr r="P802" s="1"/>
      </tp>
      <tp t="s">
        <v>N/A</v>
        <stp/>
        <stp>VOLUME</stp>
        <stp>.SPY170120P210.5</stp>
        <tr r="P822" s="1"/>
      </tp>
      <tp t="s">
        <v>N/A</v>
        <stp/>
        <stp>VOLUME</stp>
        <stp>.SPY160115P214.5</stp>
        <tr r="P620" s="1"/>
      </tp>
      <tp t="s">
        <v>N/A</v>
        <stp/>
        <stp>VOLUME</stp>
        <stp>.SPY160115P204.5</stp>
        <tr r="P600" s="1"/>
      </tp>
      <tp t="s">
        <v>N/A</v>
        <stp/>
        <stp>VOLUME</stp>
        <stp>.SPY150717P215.5</stp>
        <tr r="P412" s="1"/>
      </tp>
      <tp t="s">
        <v>N/A</v>
        <stp/>
        <stp>VOLUME</stp>
        <stp>.SPY150717P205.5</stp>
        <tr r="P392" s="1"/>
      </tp>
      <tp t="s">
        <v>N/A</v>
        <stp/>
        <stp>VOLUME</stp>
        <stp>.SPY150630P212.5</stp>
        <tr r="P364" s="1"/>
      </tp>
      <tp t="s">
        <v>N/A</v>
        <stp/>
        <stp>VOLUME</stp>
        <stp>.SPY150630P202.5</stp>
        <tr r="P344" s="1"/>
      </tp>
      <tp t="s">
        <v>N/A</v>
        <stp/>
        <stp>VOLUME</stp>
        <stp>.SPY160617P216.5</stp>
        <tr r="P708" s="1"/>
      </tp>
      <tp t="s">
        <v>N/A</v>
        <stp/>
        <stp>VOLUME</stp>
        <stp>.SPY160617P206.5</stp>
        <tr r="P688" s="1"/>
      </tp>
      <tp>
        <v>11</v>
        <stp/>
        <stp>VOLUME</stp>
        <stp>.SPY150522P200.5</stp>
        <tr r="P214" s="1"/>
      </tp>
      <tp>
        <v>1283</v>
        <stp/>
        <stp>VOLUME</stp>
        <stp>.SPY150522P210.5</stp>
        <tr r="P234" s="1"/>
      </tp>
      <tp>
        <v>0</v>
        <stp/>
        <stp>VOLUME</stp>
        <stp>.SPY150501P203.5</stp>
        <tr r="P94" s="1"/>
      </tp>
      <tp>
        <v>0</v>
        <stp/>
        <stp>VOLUME</stp>
        <stp>.SPY150515P217.5</stp>
        <tr r="P206" s="1"/>
      </tp>
      <tp>
        <v>0</v>
        <stp/>
        <stp>VOLUME</stp>
        <stp>.SPY150501P213.5</stp>
        <tr r="P114" s="1"/>
      </tp>
      <tp>
        <v>14564</v>
        <stp/>
        <stp>VOLUME</stp>
        <stp>.SPY150515P207.5</stp>
        <tr r="P186" s="1"/>
      </tp>
      <tp>
        <v>0</v>
        <stp/>
        <stp>VOLUME</stp>
        <stp>.SPY150424P206.5</stp>
        <tr r="P58" s="1"/>
      </tp>
      <tp>
        <v>0</v>
        <stp/>
        <stp>VOLUME</stp>
        <stp>.SPY150424P216.5</stp>
        <tr r="P78" s="1"/>
      </tp>
      <tp>
        <v>0</v>
        <stp/>
        <stp>VOLUME</stp>
        <stp>.SPY150417P215.5</stp>
        <tr r="P34" s="1"/>
      </tp>
      <tp>
        <v>0</v>
        <stp/>
        <stp>VOLUME</stp>
        <stp>.SPY150417P205.5</stp>
        <tr r="P14" s="1"/>
      </tp>
      <tp t="s">
        <v>N/A</v>
        <stp/>
        <stp>VOLUME</stp>
        <stp>.SPY150930C212.5</stp>
        <tr r="E490" s="1"/>
      </tp>
      <tp t="s">
        <v>N/A</v>
        <stp/>
        <stp>VOLUME</stp>
        <stp>.SPY150930C202.5</stp>
        <tr r="E470" s="1"/>
      </tp>
      <tp t="s">
        <v>N/A</v>
        <stp/>
        <stp>VOLUME</stp>
        <stp>.SPY160916C217.5</stp>
        <tr r="E752" s="1"/>
      </tp>
      <tp t="s">
        <v>N/A</v>
        <stp/>
        <stp>VOLUME</stp>
        <stp>.SPY160916C207.5</stp>
        <tr r="E732" s="1"/>
      </tp>
      <tp t="s">
        <v>N/A</v>
        <stp/>
        <stp>VOLUME</stp>
        <stp>.SPY160318C219.5</stp>
        <tr r="E672" s="1"/>
      </tp>
      <tp t="s">
        <v>N/A</v>
        <stp/>
        <stp>VOLUME</stp>
        <stp>.SPY170317C217.5</stp>
        <tr r="E878" s="1"/>
      </tp>
      <tp t="s">
        <v>N/A</v>
        <stp/>
        <stp>VOLUME</stp>
        <stp>.SPY160318C209.5</stp>
        <tr r="E652" s="1"/>
      </tp>
      <tp t="s">
        <v>N/A</v>
        <stp/>
        <stp>VOLUME</stp>
        <stp>.SPY170317C207.5</stp>
        <tr r="E858" s="1"/>
      </tp>
      <tp t="s">
        <v>N/A</v>
        <stp/>
        <stp>VOLUME</stp>
        <stp>.SPY170120C200.5</stp>
        <tr r="E802" s="1"/>
      </tp>
      <tp t="s">
        <v>N/A</v>
        <stp/>
        <stp>VOLUME</stp>
        <stp>.SPY170120C210.5</stp>
        <tr r="E822" s="1"/>
      </tp>
      <tp t="s">
        <v>N/A</v>
        <stp/>
        <stp>VOLUME</stp>
        <stp>.SPY160115C214.5</stp>
        <tr r="E620" s="1"/>
      </tp>
      <tp t="s">
        <v>N/A</v>
        <stp/>
        <stp>VOLUME</stp>
        <stp>.SPY160115C204.5</stp>
        <tr r="E600" s="1"/>
      </tp>
      <tp t="s">
        <v>N/A</v>
        <stp/>
        <stp>VOLUME</stp>
        <stp>.SPY150717C215.5</stp>
        <tr r="E412" s="1"/>
      </tp>
      <tp t="s">
        <v>N/A</v>
        <stp/>
        <stp>VOLUME</stp>
        <stp>.SPY150717C205.5</stp>
        <tr r="E392" s="1"/>
      </tp>
      <tp t="s">
        <v>N/A</v>
        <stp/>
        <stp>VOLUME</stp>
        <stp>.SPY150630C212.5</stp>
        <tr r="E364" s="1"/>
      </tp>
      <tp t="s">
        <v>N/A</v>
        <stp/>
        <stp>VOLUME</stp>
        <stp>.SPY150630C202.5</stp>
        <tr r="E344" s="1"/>
      </tp>
      <tp t="s">
        <v>N/A</v>
        <stp/>
        <stp>VOLUME</stp>
        <stp>.SPY160617C216.5</stp>
        <tr r="E708" s="1"/>
      </tp>
      <tp t="s">
        <v>N/A</v>
        <stp/>
        <stp>VOLUME</stp>
        <stp>.SPY160617C206.5</stp>
        <tr r="E688" s="1"/>
      </tp>
      <tp t="s">
        <v>N/A</v>
        <stp/>
        <stp>VOLUME</stp>
        <stp>.SPY150522C200.5</stp>
        <tr r="E214" s="1"/>
      </tp>
      <tp>
        <v>310</v>
        <stp/>
        <stp>VOLUME</stp>
        <stp>.SPY150522C210.5</stp>
        <tr r="E234" s="1"/>
      </tp>
      <tp>
        <v>0</v>
        <stp/>
        <stp>VOLUME</stp>
        <stp>.SPY150501C203.5</stp>
        <tr r="E94" s="1"/>
      </tp>
      <tp>
        <v>32</v>
        <stp/>
        <stp>VOLUME</stp>
        <stp>.SPY150515C217.5</stp>
        <tr r="E206" s="1"/>
      </tp>
      <tp>
        <v>0</v>
        <stp/>
        <stp>VOLUME</stp>
        <stp>.SPY150501C213.5</stp>
        <tr r="E114" s="1"/>
      </tp>
      <tp>
        <v>5</v>
        <stp/>
        <stp>VOLUME</stp>
        <stp>.SPY150515C207.5</stp>
        <tr r="E186" s="1"/>
      </tp>
      <tp>
        <v>0</v>
        <stp/>
        <stp>VOLUME</stp>
        <stp>.SPY150424C206.5</stp>
        <tr r="E58" s="1"/>
      </tp>
      <tp>
        <v>0</v>
        <stp/>
        <stp>VOLUME</stp>
        <stp>.SPY150424C216.5</stp>
        <tr r="E78" s="1"/>
      </tp>
      <tp>
        <v>0</v>
        <stp/>
        <stp>VOLUME</stp>
        <stp>.SPY150417C215.5</stp>
        <tr r="E34" s="1"/>
      </tp>
      <tp>
        <v>0</v>
        <stp/>
        <stp>VOLUME</stp>
        <stp>.SPY150417C205.5</stp>
        <tr r="E14" s="1"/>
      </tp>
      <tp t="s">
        <v>N/A</v>
        <stp/>
        <stp>VOLUME</stp>
        <stp>.SPY151231C213.5</stp>
        <tr r="E576" s="1"/>
      </tp>
      <tp t="s">
        <v>N/A</v>
        <stp/>
        <stp>VOLUME</stp>
        <stp>.SPY151231C203.5</stp>
        <tr r="E556" s="1"/>
      </tp>
      <tp t="s">
        <v>N/A</v>
        <stp/>
        <stp>VOLUME</stp>
        <stp>.SPY161216C217.5</stp>
        <tr r="E794" s="1"/>
      </tp>
      <tp t="s">
        <v>N/A</v>
        <stp/>
        <stp>VOLUME</stp>
        <stp>.SPY171215C215.5</stp>
        <tr r="E916" s="1"/>
      </tp>
      <tp t="s">
        <v>N/A</v>
        <stp/>
        <stp>VOLUME</stp>
        <stp>.SPY161216C207.5</stp>
        <tr r="E774" s="1"/>
      </tp>
      <tp t="s">
        <v>N/A</v>
        <stp/>
        <stp>VOLUME</stp>
        <stp>.SPY171215C205.5</stp>
        <tr r="E896" s="1"/>
      </tp>
      <tp t="s">
        <v>N/A</v>
        <stp/>
        <stp>VOLUME</stp>
        <stp>.SPY151231P212.5</stp>
        <tr r="P574" s="1"/>
      </tp>
      <tp t="s">
        <v>N/A</v>
        <stp/>
        <stp>VOLUME</stp>
        <stp>.SPY151231P202.5</stp>
        <tr r="P554" s="1"/>
      </tp>
      <tp t="s">
        <v>N/A</v>
        <stp/>
        <stp>VOLUME</stp>
        <stp>.SPY161216P216.5</stp>
        <tr r="P792" s="1"/>
      </tp>
      <tp t="s">
        <v>N/A</v>
        <stp/>
        <stp>VOLUME</stp>
        <stp>.SPY171215P214.5</stp>
        <tr r="P914" s="1"/>
      </tp>
      <tp t="s">
        <v>N/A</v>
        <stp/>
        <stp>VOLUME</stp>
        <stp>.SPY161216P206.5</stp>
        <tr r="P772" s="1"/>
      </tp>
      <tp t="s">
        <v>N/A</v>
        <stp/>
        <stp>VOLUME</stp>
        <stp>.SPY171215P204.5</stp>
        <tr r="P894" s="1"/>
      </tp>
      <tp t="s">
        <v>N/A</v>
        <stp/>
        <stp>VOLUME</stp>
        <stp>.SPY150930P213.5</stp>
        <tr r="P492" s="1"/>
      </tp>
      <tp t="s">
        <v>N/A</v>
        <stp/>
        <stp>VOLUME</stp>
        <stp>.SPY150930P203.5</stp>
        <tr r="P472" s="1"/>
      </tp>
      <tp t="s">
        <v>N/A</v>
        <stp/>
        <stp>VOLUME</stp>
        <stp>.SPY160916P216.5</stp>
        <tr r="P750" s="1"/>
      </tp>
      <tp t="s">
        <v>N/A</v>
        <stp/>
        <stp>VOLUME</stp>
        <stp>.SPY160916P206.5</stp>
        <tr r="P730" s="1"/>
      </tp>
      <tp t="s">
        <v>N/A</v>
        <stp/>
        <stp>VOLUME</stp>
        <stp>.SPY160318P218.5</stp>
        <tr r="P670" s="1"/>
      </tp>
      <tp t="s">
        <v>N/A</v>
        <stp/>
        <stp>VOLUME</stp>
        <stp>.SPY170317P216.5</stp>
        <tr r="P876" s="1"/>
      </tp>
      <tp t="s">
        <v>N/A</v>
        <stp/>
        <stp>VOLUME</stp>
        <stp>.SPY160318P208.5</stp>
        <tr r="P650" s="1"/>
      </tp>
      <tp t="s">
        <v>N/A</v>
        <stp/>
        <stp>VOLUME</stp>
        <stp>.SPY170317P206.5</stp>
        <tr r="P856" s="1"/>
      </tp>
      <tp t="s">
        <v>N/A</v>
        <stp/>
        <stp>VOLUME</stp>
        <stp>.SPY170120P201.5</stp>
        <tr r="P804" s="1"/>
      </tp>
      <tp t="s">
        <v>N/A</v>
        <stp/>
        <stp>VOLUME</stp>
        <stp>.SPY170120P211.5</stp>
        <tr r="P824" s="1"/>
      </tp>
      <tp t="s">
        <v>N/A</v>
        <stp/>
        <stp>VOLUME</stp>
        <stp>.SPY160115P215.5</stp>
        <tr r="P622" s="1"/>
      </tp>
      <tp t="s">
        <v>N/A</v>
        <stp/>
        <stp>VOLUME</stp>
        <stp>.SPY160115P205.5</stp>
        <tr r="P602" s="1"/>
      </tp>
      <tp t="s">
        <v>N/A</v>
        <stp/>
        <stp>VOLUME</stp>
        <stp>.SPY150717P214.5</stp>
        <tr r="P410" s="1"/>
      </tp>
      <tp t="s">
        <v>N/A</v>
        <stp/>
        <stp>VOLUME</stp>
        <stp>.SPY150717P204.5</stp>
        <tr r="P390" s="1"/>
      </tp>
      <tp t="s">
        <v>N/A</v>
        <stp/>
        <stp>VOLUME</stp>
        <stp>.SPY150630P213.5</stp>
        <tr r="P366" s="1"/>
      </tp>
      <tp t="s">
        <v>N/A</v>
        <stp/>
        <stp>VOLUME</stp>
        <stp>.SPY150630P203.5</stp>
        <tr r="P346" s="1"/>
      </tp>
      <tp t="s">
        <v>N/A</v>
        <stp/>
        <stp>VOLUME</stp>
        <stp>.SPY160617P217.5</stp>
        <tr r="P710" s="1"/>
      </tp>
      <tp t="s">
        <v>N/A</v>
        <stp/>
        <stp>VOLUME</stp>
        <stp>.SPY160617P207.5</stp>
        <tr r="P690" s="1"/>
      </tp>
      <tp>
        <v>173</v>
        <stp/>
        <stp>VOLUME</stp>
        <stp>.SPY150522P201.5</stp>
        <tr r="P216" s="1"/>
      </tp>
      <tp>
        <v>3351</v>
        <stp/>
        <stp>VOLUME</stp>
        <stp>.SPY150522P211.5</stp>
        <tr r="P236" s="1"/>
      </tp>
      <tp>
        <v>0</v>
        <stp/>
        <stp>VOLUME</stp>
        <stp>.SPY150501P202.5</stp>
        <tr r="P92" s="1"/>
      </tp>
      <tp>
        <v>20</v>
        <stp/>
        <stp>VOLUME</stp>
        <stp>.SPY150515P216.5</stp>
        <tr r="P204" s="1"/>
      </tp>
      <tp>
        <v>0</v>
        <stp/>
        <stp>VOLUME</stp>
        <stp>.SPY150501P212.5</stp>
        <tr r="P112" s="1"/>
      </tp>
      <tp>
        <v>4867</v>
        <stp/>
        <stp>VOLUME</stp>
        <stp>.SPY150515P206.5</stp>
        <tr r="P184" s="1"/>
      </tp>
      <tp>
        <v>0</v>
        <stp/>
        <stp>VOLUME</stp>
        <stp>.SPY150424P207.5</stp>
        <tr r="P60" s="1"/>
      </tp>
      <tp>
        <v>0</v>
        <stp/>
        <stp>VOLUME</stp>
        <stp>.SPY150424P217.5</stp>
        <tr r="P80" s="1"/>
      </tp>
      <tp>
        <v>0</v>
        <stp/>
        <stp>VOLUME</stp>
        <stp>.SPY150417P214.5</stp>
        <tr r="P32" s="1"/>
      </tp>
      <tp>
        <v>0</v>
        <stp/>
        <stp>VOLUME</stp>
        <stp>.SPY150417P204.5</stp>
        <tr r="P12" s="1"/>
      </tp>
      <tp t="s">
        <v>N/A</v>
        <stp/>
        <stp>VOLUME</stp>
        <stp>.SPY150930C213.5</stp>
        <tr r="E492" s="1"/>
      </tp>
      <tp t="s">
        <v>N/A</v>
        <stp/>
        <stp>VOLUME</stp>
        <stp>.SPY150930C203.5</stp>
        <tr r="E472" s="1"/>
      </tp>
      <tp t="s">
        <v>N/A</v>
        <stp/>
        <stp>VOLUME</stp>
        <stp>.SPY160916C216.5</stp>
        <tr r="E750" s="1"/>
      </tp>
      <tp t="s">
        <v>N/A</v>
        <stp/>
        <stp>VOLUME</stp>
        <stp>.SPY160916C206.5</stp>
        <tr r="E730" s="1"/>
      </tp>
      <tp t="s">
        <v>N/A</v>
        <stp/>
        <stp>VOLUME</stp>
        <stp>.SPY160318C218.5</stp>
        <tr r="E670" s="1"/>
      </tp>
      <tp t="s">
        <v>N/A</v>
        <stp/>
        <stp>VOLUME</stp>
        <stp>.SPY170317C216.5</stp>
        <tr r="E876" s="1"/>
      </tp>
      <tp t="s">
        <v>N/A</v>
        <stp/>
        <stp>VOLUME</stp>
        <stp>.SPY160318C208.5</stp>
        <tr r="E650" s="1"/>
      </tp>
      <tp t="s">
        <v>N/A</v>
        <stp/>
        <stp>VOLUME</stp>
        <stp>.SPY170317C206.5</stp>
        <tr r="E856" s="1"/>
      </tp>
      <tp t="s">
        <v>N/A</v>
        <stp/>
        <stp>VOLUME</stp>
        <stp>.SPY170120C201.5</stp>
        <tr r="E804" s="1"/>
      </tp>
      <tp t="s">
        <v>N/A</v>
        <stp/>
        <stp>VOLUME</stp>
        <stp>.SPY170120C211.5</stp>
        <tr r="E824" s="1"/>
      </tp>
      <tp t="s">
        <v>N/A</v>
        <stp/>
        <stp>VOLUME</stp>
        <stp>.SPY160115C215.5</stp>
        <tr r="E622" s="1"/>
      </tp>
      <tp t="s">
        <v>N/A</v>
        <stp/>
        <stp>VOLUME</stp>
        <stp>.SPY160115C205.5</stp>
        <tr r="E602" s="1"/>
      </tp>
      <tp t="s">
        <v>N/A</v>
        <stp/>
        <stp>VOLUME</stp>
        <stp>.SPY150717C214.5</stp>
        <tr r="E410" s="1"/>
      </tp>
      <tp t="s">
        <v>N/A</v>
        <stp/>
        <stp>VOLUME</stp>
        <stp>.SPY150717C204.5</stp>
        <tr r="E390" s="1"/>
      </tp>
      <tp t="s">
        <v>N/A</v>
        <stp/>
        <stp>VOLUME</stp>
        <stp>.SPY150630C213.5</stp>
        <tr r="E366" s="1"/>
      </tp>
      <tp t="s">
        <v>N/A</v>
        <stp/>
        <stp>VOLUME</stp>
        <stp>.SPY150630C203.5</stp>
        <tr r="E346" s="1"/>
      </tp>
      <tp t="s">
        <v>N/A</v>
        <stp/>
        <stp>VOLUME</stp>
        <stp>.SPY160617C217.5</stp>
        <tr r="E710" s="1"/>
      </tp>
      <tp t="s">
        <v>N/A</v>
        <stp/>
        <stp>VOLUME</stp>
        <stp>.SPY160617C207.5</stp>
        <tr r="E690" s="1"/>
      </tp>
      <tp>
        <v>9</v>
        <stp/>
        <stp>VOLUME</stp>
        <stp>.SPY150522C201.5</stp>
        <tr r="E216" s="1"/>
      </tp>
      <tp>
        <v>1477</v>
        <stp/>
        <stp>VOLUME</stp>
        <stp>.SPY150522C211.5</stp>
        <tr r="E236" s="1"/>
      </tp>
      <tp>
        <v>0</v>
        <stp/>
        <stp>VOLUME</stp>
        <stp>.SPY150501C202.5</stp>
        <tr r="E92" s="1"/>
      </tp>
      <tp>
        <v>1585</v>
        <stp/>
        <stp>VOLUME</stp>
        <stp>.SPY150515C216.5</stp>
        <tr r="E204" s="1"/>
      </tp>
      <tp>
        <v>0</v>
        <stp/>
        <stp>VOLUME</stp>
        <stp>.SPY150501C212.5</stp>
        <tr r="E112" s="1"/>
      </tp>
      <tp>
        <v>5</v>
        <stp/>
        <stp>VOLUME</stp>
        <stp>.SPY150515C206.5</stp>
        <tr r="E184" s="1"/>
      </tp>
      <tp>
        <v>0</v>
        <stp/>
        <stp>VOLUME</stp>
        <stp>.SPY150424C207.5</stp>
        <tr r="E60" s="1"/>
      </tp>
      <tp>
        <v>0</v>
        <stp/>
        <stp>VOLUME</stp>
        <stp>.SPY150424C217.5</stp>
        <tr r="E80" s="1"/>
      </tp>
      <tp>
        <v>0</v>
        <stp/>
        <stp>VOLUME</stp>
        <stp>.SPY150417C214.5</stp>
        <tr r="E32" s="1"/>
      </tp>
      <tp>
        <v>0</v>
        <stp/>
        <stp>VOLUME</stp>
        <stp>.SPY150417C204.5</stp>
        <tr r="E12" s="1"/>
      </tp>
      <tp t="s">
        <v>N/A</v>
        <stp/>
        <stp>VOLUME</stp>
        <stp>.SPY151231C212.5</stp>
        <tr r="E574" s="1"/>
      </tp>
      <tp t="s">
        <v>N/A</v>
        <stp/>
        <stp>VOLUME</stp>
        <stp>.SPY151231C202.5</stp>
        <tr r="E554" s="1"/>
      </tp>
      <tp t="s">
        <v>N/A</v>
        <stp/>
        <stp>VOLUME</stp>
        <stp>.SPY161216C216.5</stp>
        <tr r="E792" s="1"/>
      </tp>
      <tp t="s">
        <v>N/A</v>
        <stp/>
        <stp>VOLUME</stp>
        <stp>.SPY171215C214.5</stp>
        <tr r="E914" s="1"/>
      </tp>
      <tp t="s">
        <v>N/A</v>
        <stp/>
        <stp>VOLUME</stp>
        <stp>.SPY161216C206.5</stp>
        <tr r="E772" s="1"/>
      </tp>
      <tp t="s">
        <v>N/A</v>
        <stp/>
        <stp>VOLUME</stp>
        <stp>.SPY171215C204.5</stp>
        <tr r="E894" s="1"/>
      </tp>
      <tp t="s">
        <v>N/A</v>
        <stp/>
        <stp>VOLUME</stp>
        <stp>.SPY151231P211.5</stp>
        <tr r="P572" s="1"/>
      </tp>
      <tp t="s">
        <v>N/A</v>
        <stp/>
        <stp>VOLUME</stp>
        <stp>.SPY151231P201.5</stp>
        <tr r="P552" s="1"/>
      </tp>
      <tp t="s">
        <v>N/A</v>
        <stp/>
        <stp>VOLUME</stp>
        <stp>.SPY151219P219.5</stp>
        <tr r="P546" s="1"/>
      </tp>
      <tp t="s">
        <v>N/A</v>
        <stp/>
        <stp>VOLUME</stp>
        <stp>.SPY161216P215.5</stp>
        <tr r="P790" s="1"/>
      </tp>
      <tp t="s">
        <v>N/A</v>
        <stp/>
        <stp>VOLUME</stp>
        <stp>.SPY171215P217.5</stp>
        <tr r="P920" s="1"/>
      </tp>
      <tp t="s">
        <v>N/A</v>
        <stp/>
        <stp>VOLUME</stp>
        <stp>.SPY151219P209.5</stp>
        <tr r="P526" s="1"/>
      </tp>
      <tp t="s">
        <v>N/A</v>
        <stp/>
        <stp>VOLUME</stp>
        <stp>.SPY161216P205.5</stp>
        <tr r="P770" s="1"/>
      </tp>
      <tp t="s">
        <v>N/A</v>
        <stp/>
        <stp>VOLUME</stp>
        <stp>.SPY171215P207.5</stp>
        <tr r="P900" s="1"/>
      </tp>
      <tp t="s">
        <v>N/A</v>
        <stp/>
        <stp>VOLUME</stp>
        <stp>.SPY150930P210.5</stp>
        <tr r="P486" s="1"/>
      </tp>
      <tp t="s">
        <v>N/A</v>
        <stp/>
        <stp>VOLUME</stp>
        <stp>.SPY150930P200.5</stp>
        <tr r="P466" s="1"/>
      </tp>
      <tp t="s">
        <v>N/A</v>
        <stp/>
        <stp>VOLUME</stp>
        <stp>.SPY150918P218.5</stp>
        <tr r="P460" s="1"/>
      </tp>
      <tp t="s">
        <v>N/A</v>
        <stp/>
        <stp>VOLUME</stp>
        <stp>.SPY160916P215.5</stp>
        <tr r="P748" s="1"/>
      </tp>
      <tp t="s">
        <v>N/A</v>
        <stp/>
        <stp>VOLUME</stp>
        <stp>.SPY150918P208.5</stp>
        <tr r="P440" s="1"/>
      </tp>
      <tp t="s">
        <v>N/A</v>
        <stp/>
        <stp>VOLUME</stp>
        <stp>.SPY160916P205.5</stp>
        <tr r="P728" s="1"/>
      </tp>
      <tp t="s">
        <v>N/A</v>
        <stp/>
        <stp>VOLUME</stp>
        <stp>.SPY170317P215.5</stp>
        <tr r="P874" s="1"/>
      </tp>
      <tp t="s">
        <v>N/A</v>
        <stp/>
        <stp>VOLUME</stp>
        <stp>.SPY170317P205.5</stp>
        <tr r="P854" s="1"/>
      </tp>
      <tp t="s">
        <v>N/A</v>
        <stp/>
        <stp>VOLUME</stp>
        <stp>.SPY170120P202.5</stp>
        <tr r="P806" s="1"/>
      </tp>
      <tp t="s">
        <v>N/A</v>
        <stp/>
        <stp>VOLUME</stp>
        <stp>.SPY170120P212.5</stp>
        <tr r="P826" s="1"/>
      </tp>
      <tp t="s">
        <v>N/A</v>
        <stp/>
        <stp>VOLUME</stp>
        <stp>.SPY160115P216.5</stp>
        <tr r="P624" s="1"/>
      </tp>
      <tp t="s">
        <v>N/A</v>
        <stp/>
        <stp>VOLUME</stp>
        <stp>.SPY160115P206.5</stp>
        <tr r="P604" s="1"/>
      </tp>
      <tp t="s">
        <v>N/A</v>
        <stp/>
        <stp>VOLUME</stp>
        <stp>.SPY150717P217.5</stp>
        <tr r="P416" s="1"/>
      </tp>
      <tp t="s">
        <v>N/A</v>
        <stp/>
        <stp>VOLUME</stp>
        <stp>.SPY150717P207.5</stp>
        <tr r="P396" s="1"/>
      </tp>
      <tp t="s">
        <v>N/A</v>
        <stp/>
        <stp>VOLUME</stp>
        <stp>.SPY150630P210.5</stp>
        <tr r="P360" s="1"/>
      </tp>
      <tp t="s">
        <v>N/A</v>
        <stp/>
        <stp>VOLUME</stp>
        <stp>.SPY150630P200.5</stp>
        <tr r="P340" s="1"/>
      </tp>
      <tp t="s">
        <v>N/A</v>
        <stp/>
        <stp>VOLUME</stp>
        <stp>.SPY150619P219.5</stp>
        <tr r="P336" s="1"/>
      </tp>
      <tp t="s">
        <v>N/A</v>
        <stp/>
        <stp>VOLUME</stp>
        <stp>.SPY160617P214.5</stp>
        <tr r="P704" s="1"/>
      </tp>
      <tp t="s">
        <v>N/A</v>
        <stp/>
        <stp>VOLUME</stp>
        <stp>.SPY150619P209.5</stp>
        <tr r="P316" s="1"/>
      </tp>
      <tp t="s">
        <v>N/A</v>
        <stp/>
        <stp>VOLUME</stp>
        <stp>.SPY160617P204.5</stp>
        <tr r="P684" s="1"/>
      </tp>
      <tp>
        <v>53</v>
        <stp/>
        <stp>VOLUME</stp>
        <stp>.SPY150522P202.5</stp>
        <tr r="P218" s="1"/>
      </tp>
      <tp>
        <v>106</v>
        <stp/>
        <stp>VOLUME</stp>
        <stp>.SPY150529P209.5</stp>
        <tr r="P274" s="1"/>
      </tp>
      <tp>
        <v>70</v>
        <stp/>
        <stp>VOLUME</stp>
        <stp>.SPY150522P212.5</stp>
        <tr r="P238" s="1"/>
      </tp>
      <tp>
        <v>4</v>
        <stp/>
        <stp>VOLUME</stp>
        <stp>.SPY150529P219.5</stp>
        <tr r="P294" s="1"/>
      </tp>
      <tp>
        <v>0</v>
        <stp/>
        <stp>VOLUME</stp>
        <stp>.SPY150501P201.5</stp>
        <tr r="P90" s="1"/>
      </tp>
      <tp>
        <v>12923</v>
        <stp/>
        <stp>VOLUME</stp>
        <stp>.SPY150508P208.5</stp>
        <tr r="P146" s="1"/>
      </tp>
      <tp>
        <v>10</v>
        <stp/>
        <stp>VOLUME</stp>
        <stp>.SPY150515P215.5</stp>
        <tr r="P202" s="1"/>
      </tp>
      <tp>
        <v>0</v>
        <stp/>
        <stp>VOLUME</stp>
        <stp>.SPY150501P211.5</stp>
        <tr r="P110" s="1"/>
      </tp>
      <tp t="s">
        <v>N/A</v>
        <stp/>
        <stp>VOLUME</stp>
        <stp>.SPY150508P218.5</stp>
        <tr r="P166" s="1"/>
      </tp>
      <tp>
        <v>186</v>
        <stp/>
        <stp>VOLUME</stp>
        <stp>.SPY150515P205.5</stp>
        <tr r="P182" s="1"/>
      </tp>
      <tp>
        <v>0</v>
        <stp/>
        <stp>VOLUME</stp>
        <stp>.SPY150424P204.5</stp>
        <tr r="P54" s="1"/>
      </tp>
      <tp>
        <v>0</v>
        <stp/>
        <stp>VOLUME</stp>
        <stp>.SPY150424P214.5</stp>
        <tr r="P74" s="1"/>
      </tp>
      <tp>
        <v>0</v>
        <stp/>
        <stp>VOLUME</stp>
        <stp>.SPY150417P217.5</stp>
        <tr r="P38" s="1"/>
      </tp>
      <tp>
        <v>0</v>
        <stp/>
        <stp>VOLUME</stp>
        <stp>.SPY150417P207.5</stp>
        <tr r="P18" s="1"/>
      </tp>
      <tp t="s">
        <v>N/A</v>
        <stp/>
        <stp>VOLUME</stp>
        <stp>.SPY150930C210.5</stp>
        <tr r="E486" s="1"/>
      </tp>
      <tp t="s">
        <v>N/A</v>
        <stp/>
        <stp>VOLUME</stp>
        <stp>.SPY150930C200.5</stp>
        <tr r="E466" s="1"/>
      </tp>
      <tp t="s">
        <v>N/A</v>
        <stp/>
        <stp>VOLUME</stp>
        <stp>.SPY150918C218.5</stp>
        <tr r="E460" s="1"/>
      </tp>
      <tp t="s">
        <v>N/A</v>
        <stp/>
        <stp>VOLUME</stp>
        <stp>.SPY160916C215.5</stp>
        <tr r="E748" s="1"/>
      </tp>
      <tp t="s">
        <v>N/A</v>
        <stp/>
        <stp>VOLUME</stp>
        <stp>.SPY150918C208.5</stp>
        <tr r="E440" s="1"/>
      </tp>
      <tp t="s">
        <v>N/A</v>
        <stp/>
        <stp>VOLUME</stp>
        <stp>.SPY160916C205.5</stp>
        <tr r="E728" s="1"/>
      </tp>
      <tp t="s">
        <v>N/A</v>
        <stp/>
        <stp>VOLUME</stp>
        <stp>.SPY170317C215.5</stp>
        <tr r="E874" s="1"/>
      </tp>
      <tp t="s">
        <v>N/A</v>
        <stp/>
        <stp>VOLUME</stp>
        <stp>.SPY170317C205.5</stp>
        <tr r="E854" s="1"/>
      </tp>
      <tp t="s">
        <v>N/A</v>
        <stp/>
        <stp>VOLUME</stp>
        <stp>.SPY170120C202.5</stp>
        <tr r="E806" s="1"/>
      </tp>
      <tp t="s">
        <v>N/A</v>
        <stp/>
        <stp>VOLUME</stp>
        <stp>.SPY170120C212.5</stp>
        <tr r="E826" s="1"/>
      </tp>
      <tp t="s">
        <v>N/A</v>
        <stp/>
        <stp>VOLUME</stp>
        <stp>.SPY160115C216.5</stp>
        <tr r="E624" s="1"/>
      </tp>
      <tp t="s">
        <v>N/A</v>
        <stp/>
        <stp>VOLUME</stp>
        <stp>.SPY160115C206.5</stp>
        <tr r="E604" s="1"/>
      </tp>
      <tp t="s">
        <v>N/A</v>
        <stp/>
        <stp>VOLUME</stp>
        <stp>.SPY150717C217.5</stp>
        <tr r="E416" s="1"/>
      </tp>
      <tp t="s">
        <v>N/A</v>
        <stp/>
        <stp>VOLUME</stp>
        <stp>.SPY150717C207.5</stp>
        <tr r="E396" s="1"/>
      </tp>
      <tp t="s">
        <v>N/A</v>
        <stp/>
        <stp>VOLUME</stp>
        <stp>.SPY150630C210.5</stp>
        <tr r="E360" s="1"/>
      </tp>
      <tp t="s">
        <v>N/A</v>
        <stp/>
        <stp>VOLUME</stp>
        <stp>.SPY150630C200.5</stp>
        <tr r="E340" s="1"/>
      </tp>
      <tp t="s">
        <v>N/A</v>
        <stp/>
        <stp>VOLUME</stp>
        <stp>.SPY150619C219.5</stp>
        <tr r="E336" s="1"/>
      </tp>
      <tp t="s">
        <v>N/A</v>
        <stp/>
        <stp>VOLUME</stp>
        <stp>.SPY160617C214.5</stp>
        <tr r="E704" s="1"/>
      </tp>
      <tp t="s">
        <v>N/A</v>
        <stp/>
        <stp>VOLUME</stp>
        <stp>.SPY150619C209.5</stp>
        <tr r="E316" s="1"/>
      </tp>
      <tp t="s">
        <v>N/A</v>
        <stp/>
        <stp>VOLUME</stp>
        <stp>.SPY160617C204.5</stp>
        <tr r="E684" s="1"/>
      </tp>
      <tp>
        <v>25</v>
        <stp/>
        <stp>VOLUME</stp>
        <stp>.SPY150522C202.5</stp>
        <tr r="E218" s="1"/>
      </tp>
      <tp>
        <v>46</v>
        <stp/>
        <stp>VOLUME</stp>
        <stp>.SPY150529C209.5</stp>
        <tr r="E274" s="1"/>
      </tp>
      <tp>
        <v>632</v>
        <stp/>
        <stp>VOLUME</stp>
        <stp>.SPY150522C212.5</stp>
        <tr r="E238" s="1"/>
      </tp>
      <tp>
        <v>12</v>
        <stp/>
        <stp>VOLUME</stp>
        <stp>.SPY150529C219.5</stp>
        <tr r="E294" s="1"/>
      </tp>
      <tp>
        <v>0</v>
        <stp/>
        <stp>VOLUME</stp>
        <stp>.SPY150501C201.5</stp>
        <tr r="E90" s="1"/>
      </tp>
      <tp>
        <v>202</v>
        <stp/>
        <stp>VOLUME</stp>
        <stp>.SPY150508C208.5</stp>
        <tr r="E146" s="1"/>
      </tp>
      <tp>
        <v>994</v>
        <stp/>
        <stp>VOLUME</stp>
        <stp>.SPY150515C215.5</stp>
        <tr r="E202" s="1"/>
      </tp>
      <tp>
        <v>0</v>
        <stp/>
        <stp>VOLUME</stp>
        <stp>.SPY150501C211.5</stp>
        <tr r="E110" s="1"/>
      </tp>
      <tp>
        <v>0</v>
        <stp/>
        <stp>VOLUME</stp>
        <stp>.SPY150508C218.5</stp>
        <tr r="E166" s="1"/>
      </tp>
      <tp>
        <v>0</v>
        <stp/>
        <stp>VOLUME</stp>
        <stp>.SPY150515C205.5</stp>
        <tr r="E182" s="1"/>
      </tp>
      <tp>
        <v>0</v>
        <stp/>
        <stp>VOLUME</stp>
        <stp>.SPY150424C204.5</stp>
        <tr r="E54" s="1"/>
      </tp>
      <tp>
        <v>0</v>
        <stp/>
        <stp>VOLUME</stp>
        <stp>.SPY150424C214.5</stp>
        <tr r="E74" s="1"/>
      </tp>
      <tp>
        <v>0</v>
        <stp/>
        <stp>VOLUME</stp>
        <stp>.SPY150417C217.5</stp>
        <tr r="E38" s="1"/>
      </tp>
      <tp>
        <v>0</v>
        <stp/>
        <stp>VOLUME</stp>
        <stp>.SPY150417C207.5</stp>
        <tr r="E18" s="1"/>
      </tp>
      <tp t="s">
        <v>N/A</v>
        <stp/>
        <stp>VOLUME</stp>
        <stp>.SPY151231C211.5</stp>
        <tr r="E572" s="1"/>
      </tp>
      <tp t="s">
        <v>N/A</v>
        <stp/>
        <stp>VOLUME</stp>
        <stp>.SPY151231C201.5</stp>
        <tr r="E552" s="1"/>
      </tp>
      <tp t="s">
        <v>N/A</v>
        <stp/>
        <stp>VOLUME</stp>
        <stp>.SPY151219C219.5</stp>
        <tr r="E546" s="1"/>
      </tp>
      <tp t="s">
        <v>N/A</v>
        <stp/>
        <stp>VOLUME</stp>
        <stp>.SPY161216C215.5</stp>
        <tr r="E790" s="1"/>
      </tp>
      <tp t="s">
        <v>N/A</v>
        <stp/>
        <stp>VOLUME</stp>
        <stp>.SPY171215C217.5</stp>
        <tr r="E920" s="1"/>
      </tp>
      <tp t="s">
        <v>N/A</v>
        <stp/>
        <stp>VOLUME</stp>
        <stp>.SPY151219C209.5</stp>
        <tr r="E526" s="1"/>
      </tp>
      <tp t="s">
        <v>N/A</v>
        <stp/>
        <stp>VOLUME</stp>
        <stp>.SPY161216C205.5</stp>
        <tr r="E770" s="1"/>
      </tp>
      <tp t="s">
        <v>N/A</v>
        <stp/>
        <stp>VOLUME</stp>
        <stp>.SPY171215C207.5</stp>
        <tr r="E900" s="1"/>
      </tp>
      <tp t="s">
        <v>N/A</v>
        <stp/>
        <stp>VOLUME</stp>
        <stp>.SPY151231P210.5</stp>
        <tr r="P570" s="1"/>
      </tp>
      <tp t="s">
        <v>N/A</v>
        <stp/>
        <stp>VOLUME</stp>
        <stp>.SPY151231P200.5</stp>
        <tr r="P550" s="1"/>
      </tp>
      <tp t="s">
        <v>N/A</v>
        <stp/>
        <stp>VOLUME</stp>
        <stp>.SPY151219P218.5</stp>
        <tr r="P544" s="1"/>
      </tp>
      <tp t="s">
        <v>N/A</v>
        <stp/>
        <stp>VOLUME</stp>
        <stp>.SPY161216P214.5</stp>
        <tr r="P788" s="1"/>
      </tp>
      <tp t="s">
        <v>N/A</v>
        <stp/>
        <stp>VOLUME</stp>
        <stp>.SPY171215P216.5</stp>
        <tr r="P918" s="1"/>
      </tp>
      <tp t="s">
        <v>N/A</v>
        <stp/>
        <stp>VOLUME</stp>
        <stp>.SPY151219P208.5</stp>
        <tr r="P524" s="1"/>
      </tp>
      <tp t="s">
        <v>N/A</v>
        <stp/>
        <stp>VOLUME</stp>
        <stp>.SPY161216P204.5</stp>
        <tr r="P768" s="1"/>
      </tp>
      <tp t="s">
        <v>N/A</v>
        <stp/>
        <stp>VOLUME</stp>
        <stp>.SPY171215P206.5</stp>
        <tr r="P898" s="1"/>
      </tp>
      <tp t="s">
        <v>N/A</v>
        <stp/>
        <stp>VOLUME</stp>
        <stp>.SPY150930P211.5</stp>
        <tr r="P488" s="1"/>
      </tp>
      <tp t="s">
        <v>N/A</v>
        <stp/>
        <stp>VOLUME</stp>
        <stp>.SPY150930P201.5</stp>
        <tr r="P468" s="1"/>
      </tp>
      <tp t="s">
        <v>N/A</v>
        <stp/>
        <stp>VOLUME</stp>
        <stp>.SPY150918P219.5</stp>
        <tr r="P462" s="1"/>
      </tp>
      <tp t="s">
        <v>N/A</v>
        <stp/>
        <stp>VOLUME</stp>
        <stp>.SPY160916P214.5</stp>
        <tr r="P746" s="1"/>
      </tp>
      <tp t="s">
        <v>N/A</v>
        <stp/>
        <stp>VOLUME</stp>
        <stp>.SPY150918P209.5</stp>
        <tr r="P442" s="1"/>
      </tp>
      <tp t="s">
        <v>N/A</v>
        <stp/>
        <stp>VOLUME</stp>
        <stp>.SPY160916P204.5</stp>
        <tr r="P726" s="1"/>
      </tp>
      <tp t="s">
        <v>N/A</v>
        <stp/>
        <stp>VOLUME</stp>
        <stp>.SPY170317P214.5</stp>
        <tr r="P872" s="1"/>
      </tp>
      <tp t="s">
        <v>N/A</v>
        <stp/>
        <stp>VOLUME</stp>
        <stp>.SPY170317P204.5</stp>
        <tr r="P852" s="1"/>
      </tp>
      <tp t="s">
        <v>N/A</v>
        <stp/>
        <stp>VOLUME</stp>
        <stp>.SPY170120P203.5</stp>
        <tr r="P808" s="1"/>
      </tp>
      <tp t="s">
        <v>N/A</v>
        <stp/>
        <stp>VOLUME</stp>
        <stp>.SPY170120P213.5</stp>
        <tr r="P828" s="1"/>
      </tp>
      <tp t="s">
        <v>N/A</v>
        <stp/>
        <stp>VOLUME</stp>
        <stp>.SPY160115P217.5</stp>
        <tr r="P626" s="1"/>
      </tp>
      <tp t="s">
        <v>N/A</v>
        <stp/>
        <stp>VOLUME</stp>
        <stp>.SPY160115P207.5</stp>
        <tr r="P606" s="1"/>
      </tp>
      <tp t="s">
        <v>N/A</v>
        <stp/>
        <stp>VOLUME</stp>
        <stp>.SPY150717P216.5</stp>
        <tr r="P414" s="1"/>
      </tp>
      <tp t="s">
        <v>N/A</v>
        <stp/>
        <stp>VOLUME</stp>
        <stp>.SPY150717P206.5</stp>
        <tr r="P394" s="1"/>
      </tp>
      <tp t="s">
        <v>N/A</v>
        <stp/>
        <stp>VOLUME</stp>
        <stp>.SPY150630P211.5</stp>
        <tr r="P362" s="1"/>
      </tp>
      <tp t="s">
        <v>N/A</v>
        <stp/>
        <stp>VOLUME</stp>
        <stp>.SPY150630P201.5</stp>
        <tr r="P342" s="1"/>
      </tp>
      <tp t="s">
        <v>N/A</v>
        <stp/>
        <stp>VOLUME</stp>
        <stp>.SPY150619P218.5</stp>
        <tr r="P334" s="1"/>
      </tp>
      <tp t="s">
        <v>N/A</v>
        <stp/>
        <stp>VOLUME</stp>
        <stp>.SPY160617P215.5</stp>
        <tr r="P706" s="1"/>
      </tp>
      <tp t="s">
        <v>N/A</v>
        <stp/>
        <stp>VOLUME</stp>
        <stp>.SPY150619P208.5</stp>
        <tr r="P314" s="1"/>
      </tp>
      <tp t="s">
        <v>N/A</v>
        <stp/>
        <stp>VOLUME</stp>
        <stp>.SPY160617P205.5</stp>
        <tr r="P686" s="1"/>
      </tp>
      <tp>
        <v>21</v>
        <stp/>
        <stp>VOLUME</stp>
        <stp>.SPY150522P203.5</stp>
        <tr r="P220" s="1"/>
      </tp>
      <tp>
        <v>861</v>
        <stp/>
        <stp>VOLUME</stp>
        <stp>.SPY150529P208.5</stp>
        <tr r="P272" s="1"/>
      </tp>
      <tp>
        <v>55</v>
        <stp/>
        <stp>VOLUME</stp>
        <stp>.SPY150522P213.5</stp>
        <tr r="P240" s="1"/>
      </tp>
      <tp>
        <v>1</v>
        <stp/>
        <stp>VOLUME</stp>
        <stp>.SPY150529P218.5</stp>
        <tr r="P292" s="1"/>
      </tp>
      <tp>
        <v>0</v>
        <stp/>
        <stp>VOLUME</stp>
        <stp>.SPY150501P200.5</stp>
        <tr r="P88" s="1"/>
      </tp>
      <tp>
        <v>7021</v>
        <stp/>
        <stp>VOLUME</stp>
        <stp>.SPY150508P209.5</stp>
        <tr r="P148" s="1"/>
      </tp>
      <tp>
        <v>454</v>
        <stp/>
        <stp>VOLUME</stp>
        <stp>.SPY150515P214.5</stp>
        <tr r="P200" s="1"/>
      </tp>
      <tp>
        <v>0</v>
        <stp/>
        <stp>VOLUME</stp>
        <stp>.SPY150501P210.5</stp>
        <tr r="P108" s="1"/>
      </tp>
      <tp t="s">
        <v>N/A</v>
        <stp/>
        <stp>VOLUME</stp>
        <stp>.SPY150508P219.5</stp>
        <tr r="P168" s="1"/>
      </tp>
      <tp>
        <v>1155</v>
        <stp/>
        <stp>VOLUME</stp>
        <stp>.SPY150515P204.5</stp>
        <tr r="P180" s="1"/>
      </tp>
      <tp>
        <v>0</v>
        <stp/>
        <stp>VOLUME</stp>
        <stp>.SPY150424P205.5</stp>
        <tr r="P56" s="1"/>
      </tp>
      <tp>
        <v>0</v>
        <stp/>
        <stp>VOLUME</stp>
        <stp>.SPY150424P215.5</stp>
        <tr r="P76" s="1"/>
      </tp>
      <tp>
        <v>0</v>
        <stp/>
        <stp>VOLUME</stp>
        <stp>.SPY150417P216.5</stp>
        <tr r="P36" s="1"/>
      </tp>
      <tp>
        <v>0</v>
        <stp/>
        <stp>VOLUME</stp>
        <stp>.SPY150417P206.5</stp>
        <tr r="P16" s="1"/>
      </tp>
      <tp t="s">
        <v>N/A</v>
        <stp/>
        <stp>VOLUME</stp>
        <stp>.SPY150930C211.5</stp>
        <tr r="E488" s="1"/>
      </tp>
      <tp t="s">
        <v>N/A</v>
        <stp/>
        <stp>VOLUME</stp>
        <stp>.SPY150930C201.5</stp>
        <tr r="E468" s="1"/>
      </tp>
      <tp t="s">
        <v>N/A</v>
        <stp/>
        <stp>VOLUME</stp>
        <stp>.SPY150918C219.5</stp>
        <tr r="E462" s="1"/>
      </tp>
      <tp t="s">
        <v>N/A</v>
        <stp/>
        <stp>VOLUME</stp>
        <stp>.SPY160916C214.5</stp>
        <tr r="E746" s="1"/>
      </tp>
      <tp t="s">
        <v>N/A</v>
        <stp/>
        <stp>VOLUME</stp>
        <stp>.SPY150918C209.5</stp>
        <tr r="E442" s="1"/>
      </tp>
      <tp t="s">
        <v>N/A</v>
        <stp/>
        <stp>VOLUME</stp>
        <stp>.SPY160916C204.5</stp>
        <tr r="E726" s="1"/>
      </tp>
      <tp t="s">
        <v>N/A</v>
        <stp/>
        <stp>VOLUME</stp>
        <stp>.SPY170317C214.5</stp>
        <tr r="E872" s="1"/>
      </tp>
      <tp t="s">
        <v>N/A</v>
        <stp/>
        <stp>VOLUME</stp>
        <stp>.SPY170317C204.5</stp>
        <tr r="E852" s="1"/>
      </tp>
      <tp t="s">
        <v>N/A</v>
        <stp/>
        <stp>VOLUME</stp>
        <stp>.SPY170120C203.5</stp>
        <tr r="E808" s="1"/>
      </tp>
      <tp t="s">
        <v>N/A</v>
        <stp/>
        <stp>VOLUME</stp>
        <stp>.SPY170120C213.5</stp>
        <tr r="E828" s="1"/>
      </tp>
      <tp t="s">
        <v>N/A</v>
        <stp/>
        <stp>VOLUME</stp>
        <stp>.SPY160115C217.5</stp>
        <tr r="E626" s="1"/>
      </tp>
      <tp t="s">
        <v>N/A</v>
        <stp/>
        <stp>VOLUME</stp>
        <stp>.SPY160115C207.5</stp>
        <tr r="E606" s="1"/>
      </tp>
      <tp t="s">
        <v>N/A</v>
        <stp/>
        <stp>VOLUME</stp>
        <stp>.SPY150717C216.5</stp>
        <tr r="E414" s="1"/>
      </tp>
      <tp t="s">
        <v>N/A</v>
        <stp/>
        <stp>VOLUME</stp>
        <stp>.SPY150717C206.5</stp>
        <tr r="E394" s="1"/>
      </tp>
      <tp t="s">
        <v>N/A</v>
        <stp/>
        <stp>VOLUME</stp>
        <stp>.SPY150630C211.5</stp>
        <tr r="E362" s="1"/>
      </tp>
      <tp t="s">
        <v>N/A</v>
        <stp/>
        <stp>VOLUME</stp>
        <stp>.SPY150630C201.5</stp>
        <tr r="E342" s="1"/>
      </tp>
      <tp t="s">
        <v>N/A</v>
        <stp/>
        <stp>VOLUME</stp>
        <stp>.SPY150619C218.5</stp>
        <tr r="E334" s="1"/>
      </tp>
      <tp t="s">
        <v>N/A</v>
        <stp/>
        <stp>VOLUME</stp>
        <stp>.SPY160617C215.5</stp>
        <tr r="E706" s="1"/>
      </tp>
      <tp t="s">
        <v>N/A</v>
        <stp/>
        <stp>VOLUME</stp>
        <stp>.SPY150619C208.5</stp>
        <tr r="E314" s="1"/>
      </tp>
      <tp t="s">
        <v>N/A</v>
        <stp/>
        <stp>VOLUME</stp>
        <stp>.SPY160617C205.5</stp>
        <tr r="E686" s="1"/>
      </tp>
      <tp>
        <v>26</v>
        <stp/>
        <stp>VOLUME</stp>
        <stp>.SPY150522C203.5</stp>
        <tr r="E220" s="1"/>
      </tp>
      <tp>
        <v>3</v>
        <stp/>
        <stp>VOLUME</stp>
        <stp>.SPY150529C208.5</stp>
        <tr r="E272" s="1"/>
      </tp>
      <tp>
        <v>428</v>
        <stp/>
        <stp>VOLUME</stp>
        <stp>.SPY150522C213.5</stp>
        <tr r="E240" s="1"/>
      </tp>
      <tp>
        <v>0</v>
        <stp/>
        <stp>VOLUME</stp>
        <stp>.SPY150529C218.5</stp>
        <tr r="E292" s="1"/>
      </tp>
      <tp>
        <v>0</v>
        <stp/>
        <stp>VOLUME</stp>
        <stp>.SPY150501C200.5</stp>
        <tr r="E88" s="1"/>
      </tp>
      <tp>
        <v>905</v>
        <stp/>
        <stp>VOLUME</stp>
        <stp>.SPY150508C209.5</stp>
        <tr r="E148" s="1"/>
      </tp>
      <tp>
        <v>994</v>
        <stp/>
        <stp>VOLUME</stp>
        <stp>.SPY150515C214.5</stp>
        <tr r="E200" s="1"/>
      </tp>
      <tp>
        <v>0</v>
        <stp/>
        <stp>VOLUME</stp>
        <stp>.SPY150501C210.5</stp>
        <tr r="E108" s="1"/>
      </tp>
      <tp t="s">
        <v>N/A</v>
        <stp/>
        <stp>VOLUME</stp>
        <stp>.SPY150508C219.5</stp>
        <tr r="E168" s="1"/>
      </tp>
      <tp>
        <v>0</v>
        <stp/>
        <stp>VOLUME</stp>
        <stp>.SPY150515C204.5</stp>
        <tr r="E180" s="1"/>
      </tp>
      <tp>
        <v>0</v>
        <stp/>
        <stp>VOLUME</stp>
        <stp>.SPY150424C205.5</stp>
        <tr r="E56" s="1"/>
      </tp>
      <tp>
        <v>0</v>
        <stp/>
        <stp>VOLUME</stp>
        <stp>.SPY150424C215.5</stp>
        <tr r="E76" s="1"/>
      </tp>
      <tp>
        <v>0</v>
        <stp/>
        <stp>VOLUME</stp>
        <stp>.SPY150417C216.5</stp>
        <tr r="E36" s="1"/>
      </tp>
      <tp>
        <v>0</v>
        <stp/>
        <stp>VOLUME</stp>
        <stp>.SPY150417C206.5</stp>
        <tr r="E16" s="1"/>
      </tp>
      <tp t="s">
        <v>N/A</v>
        <stp/>
        <stp>VOLUME</stp>
        <stp>.SPY151231C210.5</stp>
        <tr r="E570" s="1"/>
      </tp>
      <tp t="s">
        <v>N/A</v>
        <stp/>
        <stp>VOLUME</stp>
        <stp>.SPY151231C200.5</stp>
        <tr r="E550" s="1"/>
      </tp>
      <tp t="s">
        <v>N/A</v>
        <stp/>
        <stp>VOLUME</stp>
        <stp>.SPY151219C218.5</stp>
        <tr r="E544" s="1"/>
      </tp>
      <tp t="s">
        <v>N/A</v>
        <stp/>
        <stp>VOLUME</stp>
        <stp>.SPY161216C214.5</stp>
        <tr r="E788" s="1"/>
      </tp>
      <tp t="s">
        <v>N/A</v>
        <stp/>
        <stp>VOLUME</stp>
        <stp>.SPY171215C216.5</stp>
        <tr r="E918" s="1"/>
      </tp>
      <tp t="s">
        <v>N/A</v>
        <stp/>
        <stp>VOLUME</stp>
        <stp>.SPY151219C208.5</stp>
        <tr r="E524" s="1"/>
      </tp>
      <tp t="s">
        <v>N/A</v>
        <stp/>
        <stp>VOLUME</stp>
        <stp>.SPY161216C204.5</stp>
        <tr r="E768" s="1"/>
      </tp>
      <tp t="s">
        <v>N/A</v>
        <stp/>
        <stp>VOLUME</stp>
        <stp>.SPY171215C206.5</stp>
        <tr r="E898" s="1"/>
      </tp>
      <tp t="s">
        <v>N/A</v>
        <stp/>
        <stp>VOLUME</stp>
        <stp>.SPY151219P217.5</stp>
        <tr r="P542" s="1"/>
      </tp>
      <tp t="s">
        <v>N/A</v>
        <stp/>
        <stp>VOLUME</stp>
        <stp>.SPY171215P219.5</stp>
        <tr r="P924" s="1"/>
      </tp>
      <tp t="s">
        <v>N/A</v>
        <stp/>
        <stp>VOLUME</stp>
        <stp>.SPY151219P207.5</stp>
        <tr r="P522" s="1"/>
      </tp>
      <tp t="s">
        <v>N/A</v>
        <stp/>
        <stp>VOLUME</stp>
        <stp>.SPY171215P209.5</stp>
        <tr r="P904" s="1"/>
      </tp>
      <tp t="s">
        <v>N/A</v>
        <stp/>
        <stp>VOLUME</stp>
        <stp>.SPY150918P216.5</stp>
        <tr r="P456" s="1"/>
      </tp>
      <tp t="s">
        <v>N/A</v>
        <stp/>
        <stp>VOLUME</stp>
        <stp>.SPY150918P206.5</stp>
        <tr r="P436" s="1"/>
      </tp>
      <tp t="s">
        <v>N/A</v>
        <stp/>
        <stp>VOLUME</stp>
        <stp>.SPY160318P215.5</stp>
        <tr r="P664" s="1"/>
      </tp>
      <tp t="s">
        <v>N/A</v>
        <stp/>
        <stp>VOLUME</stp>
        <stp>.SPY160318P205.5</stp>
        <tr r="P644" s="1"/>
      </tp>
      <tp t="s">
        <v>N/A</v>
        <stp/>
        <stp>VOLUME</stp>
        <stp>.SPY160115P218.5</stp>
        <tr r="P628" s="1"/>
      </tp>
      <tp t="s">
        <v>N/A</v>
        <stp/>
        <stp>VOLUME</stp>
        <stp>.SPY160115P208.5</stp>
        <tr r="P608" s="1"/>
      </tp>
      <tp t="s">
        <v>N/A</v>
        <stp/>
        <stp>VOLUME</stp>
        <stp>.SPY150717P219.5</stp>
        <tr r="P420" s="1"/>
      </tp>
      <tp t="s">
        <v>N/A</v>
        <stp/>
        <stp>VOLUME</stp>
        <stp>.SPY150717P209.5</stp>
        <tr r="P400" s="1"/>
      </tp>
      <tp t="s">
        <v>N/A</v>
        <stp/>
        <stp>VOLUME</stp>
        <stp>.SPY150619P217.5</stp>
        <tr r="P332" s="1"/>
      </tp>
      <tp t="s">
        <v>N/A</v>
        <stp/>
        <stp>VOLUME</stp>
        <stp>.SPY150619P207.5</stp>
        <tr r="P312" s="1"/>
      </tp>
      <tp>
        <v>290</v>
        <stp/>
        <stp>VOLUME</stp>
        <stp>.SPY150529P207.5</stp>
        <tr r="P270" s="1"/>
      </tp>
      <tp>
        <v>65</v>
        <stp/>
        <stp>VOLUME</stp>
        <stp>.SPY150529P217.5</stp>
        <tr r="P290" s="1"/>
      </tp>
      <tp>
        <v>1837</v>
        <stp/>
        <stp>VOLUME</stp>
        <stp>.SPY150508P206.5</stp>
        <tr r="P142" s="1"/>
      </tp>
      <tp>
        <v>0</v>
        <stp/>
        <stp>VOLUME</stp>
        <stp>.SPY150508P216.5</stp>
        <tr r="P162" s="1"/>
      </tp>
      <tp>
        <v>0</v>
        <stp/>
        <stp>VOLUME</stp>
        <stp>.SPY150417P219.5</stp>
        <tr r="P42" s="1"/>
      </tp>
      <tp>
        <v>0</v>
        <stp/>
        <stp>VOLUME</stp>
        <stp>.SPY150417P209.5</stp>
        <tr r="P22" s="1"/>
      </tp>
      <tp t="s">
        <v>N/A</v>
        <stp/>
        <stp>VOLUME</stp>
        <stp>.SPY150918C216.5</stp>
        <tr r="E456" s="1"/>
      </tp>
      <tp t="s">
        <v>N/A</v>
        <stp/>
        <stp>VOLUME</stp>
        <stp>.SPY150918C206.5</stp>
        <tr r="E436" s="1"/>
      </tp>
      <tp t="s">
        <v>N/A</v>
        <stp/>
        <stp>VOLUME</stp>
        <stp>.SPY160318C215.5</stp>
        <tr r="E664" s="1"/>
      </tp>
      <tp t="s">
        <v>N/A</v>
        <stp/>
        <stp>VOLUME</stp>
        <stp>.SPY160318C205.5</stp>
        <tr r="E644" s="1"/>
      </tp>
      <tp t="s">
        <v>N/A</v>
        <stp/>
        <stp>VOLUME</stp>
        <stp>.SPY160115C218.5</stp>
        <tr r="E628" s="1"/>
      </tp>
      <tp t="s">
        <v>N/A</v>
        <stp/>
        <stp>VOLUME</stp>
        <stp>.SPY160115C208.5</stp>
        <tr r="E608" s="1"/>
      </tp>
      <tp t="s">
        <v>N/A</v>
        <stp/>
        <stp>VOLUME</stp>
        <stp>.SPY150717C219.5</stp>
        <tr r="E420" s="1"/>
      </tp>
      <tp t="s">
        <v>N/A</v>
        <stp/>
        <stp>VOLUME</stp>
        <stp>.SPY150717C209.5</stp>
        <tr r="E400" s="1"/>
      </tp>
      <tp t="s">
        <v>N/A</v>
        <stp/>
        <stp>VOLUME</stp>
        <stp>.SPY150619C217.5</stp>
        <tr r="E332" s="1"/>
      </tp>
      <tp t="s">
        <v>N/A</v>
        <stp/>
        <stp>VOLUME</stp>
        <stp>.SPY150619C207.5</stp>
        <tr r="E312" s="1"/>
      </tp>
      <tp>
        <v>3</v>
        <stp/>
        <stp>VOLUME</stp>
        <stp>.SPY150529C207.5</stp>
        <tr r="E270" s="1"/>
      </tp>
      <tp>
        <v>433</v>
        <stp/>
        <stp>VOLUME</stp>
        <stp>.SPY150529C217.5</stp>
        <tr r="E290" s="1"/>
      </tp>
      <tp>
        <v>11</v>
        <stp/>
        <stp>VOLUME</stp>
        <stp>.SPY150508C206.5</stp>
        <tr r="E142" s="1"/>
      </tp>
      <tp>
        <v>2771</v>
        <stp/>
        <stp>VOLUME</stp>
        <stp>.SPY150508C216.5</stp>
        <tr r="E162" s="1"/>
      </tp>
      <tp>
        <v>0</v>
        <stp/>
        <stp>VOLUME</stp>
        <stp>.SPY150417C219.5</stp>
        <tr r="E42" s="1"/>
      </tp>
      <tp>
        <v>0</v>
        <stp/>
        <stp>VOLUME</stp>
        <stp>.SPY150417C209.5</stp>
        <tr r="E22" s="1"/>
      </tp>
      <tp t="s">
        <v>N/A</v>
        <stp/>
        <stp>VOLUME</stp>
        <stp>.SPY151219C217.5</stp>
        <tr r="E542" s="1"/>
      </tp>
      <tp t="s">
        <v>N/A</v>
        <stp/>
        <stp>VOLUME</stp>
        <stp>.SPY171215C219.5</stp>
        <tr r="E924" s="1"/>
      </tp>
      <tp t="s">
        <v>N/A</v>
        <stp/>
        <stp>VOLUME</stp>
        <stp>.SPY151219C207.5</stp>
        <tr r="E522" s="1"/>
      </tp>
      <tp t="s">
        <v>N/A</v>
        <stp/>
        <stp>VOLUME</stp>
        <stp>.SPY171215C209.5</stp>
        <tr r="E904" s="1"/>
      </tp>
      <tp t="s">
        <v>N/A</v>
        <stp/>
        <stp>VOLUME</stp>
        <stp>.SPY151219P216.5</stp>
        <tr r="P540" s="1"/>
      </tp>
      <tp t="s">
        <v>N/A</v>
        <stp/>
        <stp>VOLUME</stp>
        <stp>.SPY171215P218.5</stp>
        <tr r="P922" s="1"/>
      </tp>
      <tp t="s">
        <v>N/A</v>
        <stp/>
        <stp>VOLUME</stp>
        <stp>.SPY151219P206.5</stp>
        <tr r="P520" s="1"/>
      </tp>
      <tp t="s">
        <v>N/A</v>
        <stp/>
        <stp>VOLUME</stp>
        <stp>.SPY171215P208.5</stp>
        <tr r="P902" s="1"/>
      </tp>
      <tp t="s">
        <v>N/A</v>
        <stp/>
        <stp>VOLUME</stp>
        <stp>.SPY150918P217.5</stp>
        <tr r="P458" s="1"/>
      </tp>
      <tp t="s">
        <v>N/A</v>
        <stp/>
        <stp>VOLUME</stp>
        <stp>.SPY150918P207.5</stp>
        <tr r="P438" s="1"/>
      </tp>
      <tp t="s">
        <v>N/A</v>
        <stp/>
        <stp>VOLUME</stp>
        <stp>.SPY160318P214.5</stp>
        <tr r="P662" s="1"/>
      </tp>
      <tp t="s">
        <v>N/A</v>
        <stp/>
        <stp>VOLUME</stp>
        <stp>.SPY160318P204.5</stp>
        <tr r="P642" s="1"/>
      </tp>
      <tp t="s">
        <v>N/A</v>
        <stp/>
        <stp>VOLUME</stp>
        <stp>.SPY160115P219.5</stp>
        <tr r="P630" s="1"/>
      </tp>
      <tp t="s">
        <v>N/A</v>
        <stp/>
        <stp>VOLUME</stp>
        <stp>.SPY160115P209.5</stp>
        <tr r="P610" s="1"/>
      </tp>
      <tp t="s">
        <v>N/A</v>
        <stp/>
        <stp>VOLUME</stp>
        <stp>.SPY150717P218.5</stp>
        <tr r="P418" s="1"/>
      </tp>
      <tp t="s">
        <v>N/A</v>
        <stp/>
        <stp>VOLUME</stp>
        <stp>.SPY150717P208.5</stp>
        <tr r="P398" s="1"/>
      </tp>
      <tp t="s">
        <v>N/A</v>
        <stp/>
        <stp>VOLUME</stp>
        <stp>.SPY150619P216.5</stp>
        <tr r="P330" s="1"/>
      </tp>
      <tp t="s">
        <v>N/A</v>
        <stp/>
        <stp>VOLUME</stp>
        <stp>.SPY150619P206.5</stp>
        <tr r="P310" s="1"/>
      </tp>
      <tp>
        <v>205</v>
        <stp/>
        <stp>VOLUME</stp>
        <stp>.SPY150529P206.5</stp>
        <tr r="P268" s="1"/>
      </tp>
      <tp>
        <v>2</v>
        <stp/>
        <stp>VOLUME</stp>
        <stp>.SPY150529P216.5</stp>
        <tr r="P288" s="1"/>
      </tp>
      <tp>
        <v>2689</v>
        <stp/>
        <stp>VOLUME</stp>
        <stp>.SPY150508P207.5</stp>
        <tr r="P144" s="1"/>
      </tp>
      <tp>
        <v>0</v>
        <stp/>
        <stp>VOLUME</stp>
        <stp>.SPY150508P217.5</stp>
        <tr r="P164" s="1"/>
      </tp>
      <tp>
        <v>0</v>
        <stp/>
        <stp>VOLUME</stp>
        <stp>.SPY150417P218.5</stp>
        <tr r="P40" s="1"/>
      </tp>
      <tp>
        <v>0</v>
        <stp/>
        <stp>VOLUME</stp>
        <stp>.SPY150417P208.5</stp>
        <tr r="P20" s="1"/>
      </tp>
      <tp t="s">
        <v>N/A</v>
        <stp/>
        <stp>VOLUME</stp>
        <stp>.SPY150918C217.5</stp>
        <tr r="E458" s="1"/>
      </tp>
      <tp t="s">
        <v>N/A</v>
        <stp/>
        <stp>VOLUME</stp>
        <stp>.SPY150918C207.5</stp>
        <tr r="E438" s="1"/>
      </tp>
      <tp t="s">
        <v>N/A</v>
        <stp/>
        <stp>VOLUME</stp>
        <stp>.SPY160318C214.5</stp>
        <tr r="E662" s="1"/>
      </tp>
      <tp t="s">
        <v>N/A</v>
        <stp/>
        <stp>VOLUME</stp>
        <stp>.SPY160318C204.5</stp>
        <tr r="E642" s="1"/>
      </tp>
      <tp t="s">
        <v>N/A</v>
        <stp/>
        <stp>VOLUME</stp>
        <stp>.SPY160115C219.5</stp>
        <tr r="E630" s="1"/>
      </tp>
      <tp t="s">
        <v>N/A</v>
        <stp/>
        <stp>VOLUME</stp>
        <stp>.SPY160115C209.5</stp>
        <tr r="E610" s="1"/>
      </tp>
      <tp t="s">
        <v>N/A</v>
        <stp/>
        <stp>VOLUME</stp>
        <stp>.SPY150717C218.5</stp>
        <tr r="E418" s="1"/>
      </tp>
      <tp t="s">
        <v>N/A</v>
        <stp/>
        <stp>VOLUME</stp>
        <stp>.SPY150717C208.5</stp>
        <tr r="E398" s="1"/>
      </tp>
      <tp t="s">
        <v>N/A</v>
        <stp/>
        <stp>VOLUME</stp>
        <stp>.SPY150619C216.5</stp>
        <tr r="E330" s="1"/>
      </tp>
      <tp t="s">
        <v>N/A</v>
        <stp/>
        <stp>VOLUME</stp>
        <stp>.SPY150619C206.5</stp>
        <tr r="E310" s="1"/>
      </tp>
      <tp>
        <v>3</v>
        <stp/>
        <stp>VOLUME</stp>
        <stp>.SPY150529C206.5</stp>
        <tr r="E268" s="1"/>
      </tp>
      <tp>
        <v>63</v>
        <stp/>
        <stp>VOLUME</stp>
        <stp>.SPY150529C216.5</stp>
        <tr r="E288" s="1"/>
      </tp>
      <tp>
        <v>33</v>
        <stp/>
        <stp>VOLUME</stp>
        <stp>.SPY150508C207.5</stp>
        <tr r="E144" s="1"/>
      </tp>
      <tp>
        <v>45</v>
        <stp/>
        <stp>VOLUME</stp>
        <stp>.SPY150508C217.5</stp>
        <tr r="E164" s="1"/>
      </tp>
      <tp>
        <v>0</v>
        <stp/>
        <stp>VOLUME</stp>
        <stp>.SPY150417C218.5</stp>
        <tr r="E40" s="1"/>
      </tp>
      <tp>
        <v>0</v>
        <stp/>
        <stp>VOLUME</stp>
        <stp>.SPY150417C208.5</stp>
        <tr r="E20" s="1"/>
      </tp>
      <tp t="s">
        <v>N/A</v>
        <stp/>
        <stp>VOLUME</stp>
        <stp>.SPY151219C216.5</stp>
        <tr r="E540" s="1"/>
      </tp>
      <tp t="s">
        <v>N/A</v>
        <stp/>
        <stp>VOLUME</stp>
        <stp>.SPY171215C218.5</stp>
        <tr r="E922" s="1"/>
      </tp>
      <tp t="s">
        <v>N/A</v>
        <stp/>
        <stp>VOLUME</stp>
        <stp>.SPY151219C206.5</stp>
        <tr r="E520" s="1"/>
      </tp>
      <tp t="s">
        <v>N/A</v>
        <stp/>
        <stp>VOLUME</stp>
        <stp>.SPY171215C208.5</stp>
        <tr r="E902" s="1"/>
      </tp>
      <tp t="s">
        <v>N/A</v>
        <stp/>
        <stp>VOLUME</stp>
        <stp>.SPY151219P215.5</stp>
        <tr r="P538" s="1"/>
      </tp>
      <tp t="s">
        <v>N/A</v>
        <stp/>
        <stp>VOLUME</stp>
        <stp>.SPY161216P219.5</stp>
        <tr r="P798" s="1"/>
      </tp>
      <tp t="s">
        <v>N/A</v>
        <stp/>
        <stp>VOLUME</stp>
        <stp>.SPY151219P205.5</stp>
        <tr r="P518" s="1"/>
      </tp>
      <tp t="s">
        <v>N/A</v>
        <stp/>
        <stp>VOLUME</stp>
        <stp>.SPY161216P209.5</stp>
        <tr r="P778" s="1"/>
      </tp>
      <tp t="s">
        <v>N/A</v>
        <stp/>
        <stp>VOLUME</stp>
        <stp>.SPY150918P214.5</stp>
        <tr r="P452" s="1"/>
      </tp>
      <tp t="s">
        <v>N/A</v>
        <stp/>
        <stp>VOLUME</stp>
        <stp>.SPY160916P219.5</stp>
        <tr r="P756" s="1"/>
      </tp>
      <tp t="s">
        <v>N/A</v>
        <stp/>
        <stp>VOLUME</stp>
        <stp>.SPY150918P204.5</stp>
        <tr r="P432" s="1"/>
      </tp>
      <tp t="s">
        <v>N/A</v>
        <stp/>
        <stp>VOLUME</stp>
        <stp>.SPY160916P209.5</stp>
        <tr r="P736" s="1"/>
      </tp>
      <tp t="s">
        <v>N/A</v>
        <stp/>
        <stp>VOLUME</stp>
        <stp>.SPY160318P217.5</stp>
        <tr r="P668" s="1"/>
      </tp>
      <tp t="s">
        <v>N/A</v>
        <stp/>
        <stp>VOLUME</stp>
        <stp>.SPY170317P219.5</stp>
        <tr r="P882" s="1"/>
      </tp>
      <tp t="s">
        <v>N/A</v>
        <stp/>
        <stp>VOLUME</stp>
        <stp>.SPY160318P207.5</stp>
        <tr r="P648" s="1"/>
      </tp>
      <tp t="s">
        <v>N/A</v>
        <stp/>
        <stp>VOLUME</stp>
        <stp>.SPY170317P209.5</stp>
        <tr r="P862" s="1"/>
      </tp>
      <tp t="s">
        <v>N/A</v>
        <stp/>
        <stp>VOLUME</stp>
        <stp>.SPY150619P215.5</stp>
        <tr r="P328" s="1"/>
      </tp>
      <tp t="s">
        <v>N/A</v>
        <stp/>
        <stp>VOLUME</stp>
        <stp>.SPY160617P218.5</stp>
        <tr r="P712" s="1"/>
      </tp>
      <tp t="s">
        <v>N/A</v>
        <stp/>
        <stp>VOLUME</stp>
        <stp>.SPY150619P205.5</stp>
        <tr r="P308" s="1"/>
      </tp>
      <tp t="s">
        <v>N/A</v>
        <stp/>
        <stp>VOLUME</stp>
        <stp>.SPY160617P208.5</stp>
        <tr r="P692" s="1"/>
      </tp>
      <tp>
        <v>453</v>
        <stp/>
        <stp>VOLUME</stp>
        <stp>.SPY150529P205.5</stp>
        <tr r="P266" s="1"/>
      </tp>
      <tp>
        <v>3</v>
        <stp/>
        <stp>VOLUME</stp>
        <stp>.SPY150529P215.5</stp>
        <tr r="P286" s="1"/>
      </tp>
      <tp>
        <v>3436</v>
        <stp/>
        <stp>VOLUME</stp>
        <stp>.SPY150508P204.5</stp>
        <tr r="P138" s="1"/>
      </tp>
      <tp>
        <v>10</v>
        <stp/>
        <stp>VOLUME</stp>
        <stp>.SPY150515P219.5</stp>
        <tr r="P210" s="1"/>
      </tp>
      <tp>
        <v>186</v>
        <stp/>
        <stp>VOLUME</stp>
        <stp>.SPY150508P214.5</stp>
        <tr r="P158" s="1"/>
      </tp>
      <tp>
        <v>4486</v>
        <stp/>
        <stp>VOLUME</stp>
        <stp>.SPY150515P209.5</stp>
        <tr r="P190" s="1"/>
      </tp>
      <tp>
        <v>0</v>
        <stp/>
        <stp>VOLUME</stp>
        <stp>.SPY150424P208.5</stp>
        <tr r="P62" s="1"/>
      </tp>
      <tp>
        <v>0</v>
        <stp/>
        <stp>VOLUME</stp>
        <stp>.SPY150424P218.5</stp>
        <tr r="P82" s="1"/>
      </tp>
      <tp t="s">
        <v>N/A</v>
        <stp/>
        <stp>VOLUME</stp>
        <stp>.SPY150918C214.5</stp>
        <tr r="E452" s="1"/>
      </tp>
      <tp t="s">
        <v>N/A</v>
        <stp/>
        <stp>VOLUME</stp>
        <stp>.SPY160916C219.5</stp>
        <tr r="E756" s="1"/>
      </tp>
      <tp t="s">
        <v>N/A</v>
        <stp/>
        <stp>VOLUME</stp>
        <stp>.SPY150918C204.5</stp>
        <tr r="E432" s="1"/>
      </tp>
      <tp t="s">
        <v>N/A</v>
        <stp/>
        <stp>VOLUME</stp>
        <stp>.SPY160916C209.5</stp>
        <tr r="E736" s="1"/>
      </tp>
      <tp t="s">
        <v>N/A</v>
        <stp/>
        <stp>VOLUME</stp>
        <stp>.SPY160318C217.5</stp>
        <tr r="E668" s="1"/>
      </tp>
      <tp t="s">
        <v>N/A</v>
        <stp/>
        <stp>VOLUME</stp>
        <stp>.SPY170317C219.5</stp>
        <tr r="E882" s="1"/>
      </tp>
      <tp t="s">
        <v>N/A</v>
        <stp/>
        <stp>VOLUME</stp>
        <stp>.SPY160318C207.5</stp>
        <tr r="E648" s="1"/>
      </tp>
      <tp t="s">
        <v>N/A</v>
        <stp/>
        <stp>VOLUME</stp>
        <stp>.SPY170317C209.5</stp>
        <tr r="E862" s="1"/>
      </tp>
      <tp t="s">
        <v>N/A</v>
        <stp/>
        <stp>VOLUME</stp>
        <stp>.SPY150619C215.5</stp>
        <tr r="E328" s="1"/>
      </tp>
      <tp t="s">
        <v>N/A</v>
        <stp/>
        <stp>VOLUME</stp>
        <stp>.SPY160617C218.5</stp>
        <tr r="E712" s="1"/>
      </tp>
      <tp t="s">
        <v>N/A</v>
        <stp/>
        <stp>VOLUME</stp>
        <stp>.SPY150619C205.5</stp>
        <tr r="E308" s="1"/>
      </tp>
      <tp t="s">
        <v>N/A</v>
        <stp/>
        <stp>VOLUME</stp>
        <stp>.SPY160617C208.5</stp>
        <tr r="E692" s="1"/>
      </tp>
      <tp>
        <v>2</v>
        <stp/>
        <stp>VOLUME</stp>
        <stp>.SPY150529C205.5</stp>
        <tr r="E266" s="1"/>
      </tp>
      <tp>
        <v>30</v>
        <stp/>
        <stp>VOLUME</stp>
        <stp>.SPY150529C215.5</stp>
        <tr r="E286" s="1"/>
      </tp>
      <tp>
        <v>80</v>
        <stp/>
        <stp>VOLUME</stp>
        <stp>.SPY150508C204.5</stp>
        <tr r="E138" s="1"/>
      </tp>
      <tp>
        <v>89</v>
        <stp/>
        <stp>VOLUME</stp>
        <stp>.SPY150515C219.5</stp>
        <tr r="E210" s="1"/>
      </tp>
      <tp>
        <v>4680</v>
        <stp/>
        <stp>VOLUME</stp>
        <stp>.SPY150508C214.5</stp>
        <tr r="E158" s="1"/>
      </tp>
      <tp>
        <v>528</v>
        <stp/>
        <stp>VOLUME</stp>
        <stp>.SPY150515C209.5</stp>
        <tr r="E190" s="1"/>
      </tp>
      <tp>
        <v>0</v>
        <stp/>
        <stp>VOLUME</stp>
        <stp>.SPY150424C208.5</stp>
        <tr r="E62" s="1"/>
      </tp>
      <tp>
        <v>0</v>
        <stp/>
        <stp>VOLUME</stp>
        <stp>.SPY150424C218.5</stp>
        <tr r="E82" s="1"/>
      </tp>
      <tp t="s">
        <v>N/A</v>
        <stp/>
        <stp>VOLUME</stp>
        <stp>.SPY151219C215.5</stp>
        <tr r="E538" s="1"/>
      </tp>
      <tp t="s">
        <v>N/A</v>
        <stp/>
        <stp>VOLUME</stp>
        <stp>.SPY161216C219.5</stp>
        <tr r="E798" s="1"/>
      </tp>
      <tp t="s">
        <v>N/A</v>
        <stp/>
        <stp>VOLUME</stp>
        <stp>.SPY151219C205.5</stp>
        <tr r="E518" s="1"/>
      </tp>
      <tp t="s">
        <v>N/A</v>
        <stp/>
        <stp>VOLUME</stp>
        <stp>.SPY161216C209.5</stp>
        <tr r="E778" s="1"/>
      </tp>
      <tp t="s">
        <v>N/A</v>
        <stp/>
        <stp>VOLUME</stp>
        <stp>.SPY151219P214.5</stp>
        <tr r="P536" s="1"/>
      </tp>
      <tp t="s">
        <v>N/A</v>
        <stp/>
        <stp>VOLUME</stp>
        <stp>.SPY161216P218.5</stp>
        <tr r="P796" s="1"/>
      </tp>
      <tp t="s">
        <v>N/A</v>
        <stp/>
        <stp>VOLUME</stp>
        <stp>.SPY151219P204.5</stp>
        <tr r="P516" s="1"/>
      </tp>
      <tp t="s">
        <v>N/A</v>
        <stp/>
        <stp>VOLUME</stp>
        <stp>.SPY161216P208.5</stp>
        <tr r="P776" s="1"/>
      </tp>
      <tp t="s">
        <v>N/A</v>
        <stp/>
        <stp>VOLUME</stp>
        <stp>.SPY150918P215.5</stp>
        <tr r="P454" s="1"/>
      </tp>
      <tp t="s">
        <v>N/A</v>
        <stp/>
        <stp>VOLUME</stp>
        <stp>.SPY160916P218.5</stp>
        <tr r="P754" s="1"/>
      </tp>
      <tp t="s">
        <v>N/A</v>
        <stp/>
        <stp>VOLUME</stp>
        <stp>.SPY150918P205.5</stp>
        <tr r="P434" s="1"/>
      </tp>
      <tp t="s">
        <v>N/A</v>
        <stp/>
        <stp>VOLUME</stp>
        <stp>.SPY160916P208.5</stp>
        <tr r="P734" s="1"/>
      </tp>
      <tp t="s">
        <v>N/A</v>
        <stp/>
        <stp>VOLUME</stp>
        <stp>.SPY160318P216.5</stp>
        <tr r="P666" s="1"/>
      </tp>
      <tp t="s">
        <v>N/A</v>
        <stp/>
        <stp>VOLUME</stp>
        <stp>.SPY170317P218.5</stp>
        <tr r="P880" s="1"/>
      </tp>
      <tp t="s">
        <v>N/A</v>
        <stp/>
        <stp>VOLUME</stp>
        <stp>.SPY160318P206.5</stp>
        <tr r="P646" s="1"/>
      </tp>
      <tp t="s">
        <v>N/A</v>
        <stp/>
        <stp>VOLUME</stp>
        <stp>.SPY170317P208.5</stp>
        <tr r="P860" s="1"/>
      </tp>
      <tp t="s">
        <v>N/A</v>
        <stp/>
        <stp>VOLUME</stp>
        <stp>.SPY150619P214.5</stp>
        <tr r="P326" s="1"/>
      </tp>
      <tp t="s">
        <v>N/A</v>
        <stp/>
        <stp>VOLUME</stp>
        <stp>.SPY160617P219.5</stp>
        <tr r="P714" s="1"/>
      </tp>
      <tp t="s">
        <v>N/A</v>
        <stp/>
        <stp>VOLUME</stp>
        <stp>.SPY150619P204.5</stp>
        <tr r="P306" s="1"/>
      </tp>
      <tp t="s">
        <v>N/A</v>
        <stp/>
        <stp>VOLUME</stp>
        <stp>.SPY160617P209.5</stp>
        <tr r="P694" s="1"/>
      </tp>
      <tp>
        <v>723</v>
        <stp/>
        <stp>VOLUME</stp>
        <stp>.SPY150529P204.5</stp>
        <tr r="P264" s="1"/>
      </tp>
      <tp>
        <v>15</v>
        <stp/>
        <stp>VOLUME</stp>
        <stp>.SPY150529P214.5</stp>
        <tr r="P284" s="1"/>
      </tp>
      <tp>
        <v>1216</v>
        <stp/>
        <stp>VOLUME</stp>
        <stp>.SPY150508P205.5</stp>
        <tr r="P140" s="1"/>
      </tp>
      <tp>
        <v>0</v>
        <stp/>
        <stp>VOLUME</stp>
        <stp>.SPY150515P218.5</stp>
        <tr r="P208" s="1"/>
      </tp>
      <tp>
        <v>54</v>
        <stp/>
        <stp>VOLUME</stp>
        <stp>.SPY150508P215.5</stp>
        <tr r="P160" s="1"/>
      </tp>
      <tp>
        <v>3232</v>
        <stp/>
        <stp>VOLUME</stp>
        <stp>.SPY150515P208.5</stp>
        <tr r="P188" s="1"/>
      </tp>
      <tp>
        <v>0</v>
        <stp/>
        <stp>VOLUME</stp>
        <stp>.SPY150424P209.5</stp>
        <tr r="P64" s="1"/>
      </tp>
      <tp>
        <v>0</v>
        <stp/>
        <stp>VOLUME</stp>
        <stp>.SPY150424P219.5</stp>
        <tr r="P84" s="1"/>
      </tp>
      <tp t="s">
        <v>N/A</v>
        <stp/>
        <stp>VOLUME</stp>
        <stp>.SPY150918C215.5</stp>
        <tr r="E454" s="1"/>
      </tp>
      <tp t="s">
        <v>N/A</v>
        <stp/>
        <stp>VOLUME</stp>
        <stp>.SPY160916C218.5</stp>
        <tr r="E754" s="1"/>
      </tp>
      <tp t="s">
        <v>N/A</v>
        <stp/>
        <stp>VOLUME</stp>
        <stp>.SPY150918C205.5</stp>
        <tr r="E434" s="1"/>
      </tp>
      <tp t="s">
        <v>N/A</v>
        <stp/>
        <stp>VOLUME</stp>
        <stp>.SPY160916C208.5</stp>
        <tr r="E734" s="1"/>
      </tp>
      <tp t="s">
        <v>N/A</v>
        <stp/>
        <stp>VOLUME</stp>
        <stp>.SPY160318C216.5</stp>
        <tr r="E666" s="1"/>
      </tp>
      <tp t="s">
        <v>N/A</v>
        <stp/>
        <stp>VOLUME</stp>
        <stp>.SPY170317C218.5</stp>
        <tr r="E880" s="1"/>
      </tp>
      <tp t="s">
        <v>N/A</v>
        <stp/>
        <stp>VOLUME</stp>
        <stp>.SPY160318C206.5</stp>
        <tr r="E646" s="1"/>
      </tp>
      <tp t="s">
        <v>N/A</v>
        <stp/>
        <stp>VOLUME</stp>
        <stp>.SPY170317C208.5</stp>
        <tr r="E860" s="1"/>
      </tp>
      <tp t="s">
        <v>N/A</v>
        <stp/>
        <stp>VOLUME</stp>
        <stp>.SPY150619C214.5</stp>
        <tr r="E326" s="1"/>
      </tp>
      <tp t="s">
        <v>N/A</v>
        <stp/>
        <stp>VOLUME</stp>
        <stp>.SPY160617C219.5</stp>
        <tr r="E714" s="1"/>
      </tp>
      <tp t="s">
        <v>N/A</v>
        <stp/>
        <stp>VOLUME</stp>
        <stp>.SPY150619C204.5</stp>
        <tr r="E306" s="1"/>
      </tp>
      <tp t="s">
        <v>N/A</v>
        <stp/>
        <stp>VOLUME</stp>
        <stp>.SPY160617C209.5</stp>
        <tr r="E694" s="1"/>
      </tp>
      <tp>
        <v>2</v>
        <stp/>
        <stp>VOLUME</stp>
        <stp>.SPY150529C204.5</stp>
        <tr r="E264" s="1"/>
      </tp>
      <tp>
        <v>174</v>
        <stp/>
        <stp>VOLUME</stp>
        <stp>.SPY150529C214.5</stp>
        <tr r="E284" s="1"/>
      </tp>
      <tp>
        <v>0</v>
        <stp/>
        <stp>VOLUME</stp>
        <stp>.SPY150508C205.5</stp>
        <tr r="E140" s="1"/>
      </tp>
      <tp>
        <v>23</v>
        <stp/>
        <stp>VOLUME</stp>
        <stp>.SPY150515C218.5</stp>
        <tr r="E208" s="1"/>
      </tp>
      <tp>
        <v>1294</v>
        <stp/>
        <stp>VOLUME</stp>
        <stp>.SPY150508C215.5</stp>
        <tr r="E160" s="1"/>
      </tp>
      <tp>
        <v>166</v>
        <stp/>
        <stp>VOLUME</stp>
        <stp>.SPY150515C208.5</stp>
        <tr r="E188" s="1"/>
      </tp>
      <tp>
        <v>0</v>
        <stp/>
        <stp>VOLUME</stp>
        <stp>.SPY150424C209.5</stp>
        <tr r="E64" s="1"/>
      </tp>
      <tp>
        <v>0</v>
        <stp/>
        <stp>VOLUME</stp>
        <stp>.SPY150424C219.5</stp>
        <tr r="E84" s="1"/>
      </tp>
      <tp t="s">
        <v>N/A</v>
        <stp/>
        <stp>VOLUME</stp>
        <stp>.SPY151219C214.5</stp>
        <tr r="E536" s="1"/>
      </tp>
      <tp t="s">
        <v>N/A</v>
        <stp/>
        <stp>VOLUME</stp>
        <stp>.SPY161216C218.5</stp>
        <tr r="E796" s="1"/>
      </tp>
      <tp t="s">
        <v>N/A</v>
        <stp/>
        <stp>VOLUME</stp>
        <stp>.SPY151219C204.5</stp>
        <tr r="E516" s="1"/>
      </tp>
      <tp t="s">
        <v>N/A</v>
        <stp/>
        <stp>VOLUME</stp>
        <stp>.SPY161216C208.5</stp>
        <tr r="E776" s="1"/>
      </tp>
      <tp t="s">
        <v>N/A</v>
        <stp/>
        <stp>VOLUME</stp>
        <stp>.SPY151219P213.5</stp>
        <tr r="P534" s="1"/>
      </tp>
      <tp t="s">
        <v>N/A</v>
        <stp/>
        <stp>VOLUME</stp>
        <stp>.SPY151219P203.5</stp>
        <tr r="P514" s="1"/>
      </tp>
      <tp t="s">
        <v>N/A</v>
        <stp/>
        <stp>VOLUME</stp>
        <stp>.SPY150918P212.5</stp>
        <tr r="P448" s="1"/>
      </tp>
      <tp t="s">
        <v>N/A</v>
        <stp/>
        <stp>VOLUME</stp>
        <stp>.SPY150918P202.5</stp>
        <tr r="P428" s="1"/>
      </tp>
      <tp t="s">
        <v>N/A</v>
        <stp/>
        <stp>VOLUME</stp>
        <stp>.SPY160318P211.5</stp>
        <tr r="P656" s="1"/>
      </tp>
      <tp t="s">
        <v>N/A</v>
        <stp/>
        <stp>VOLUME</stp>
        <stp>.SPY160318P201.5</stp>
        <tr r="P636" s="1"/>
      </tp>
      <tp t="s">
        <v>N/A</v>
        <stp/>
        <stp>VOLUME</stp>
        <stp>.SPY170120P208.5</stp>
        <tr r="P818" s="1"/>
      </tp>
      <tp t="s">
        <v>N/A</v>
        <stp/>
        <stp>VOLUME</stp>
        <stp>.SPY170120P218.5</stp>
        <tr r="P838" s="1"/>
      </tp>
      <tp t="s">
        <v>N/A</v>
        <stp/>
        <stp>VOLUME</stp>
        <stp>.SPY150619P213.5</stp>
        <tr r="P324" s="1"/>
      </tp>
      <tp t="s">
        <v>N/A</v>
        <stp/>
        <stp>VOLUME</stp>
        <stp>.SPY150619P203.5</stp>
        <tr r="P304" s="1"/>
      </tp>
      <tp>
        <v>190</v>
        <stp/>
        <stp>VOLUME</stp>
        <stp>.SPY150522P208.5</stp>
        <tr r="P230" s="1"/>
      </tp>
      <tp>
        <v>841</v>
        <stp/>
        <stp>VOLUME</stp>
        <stp>.SPY150529P203.5</stp>
        <tr r="P262" s="1"/>
      </tp>
      <tp>
        <v>1</v>
        <stp/>
        <stp>VOLUME</stp>
        <stp>.SPY150522P218.5</stp>
        <tr r="P250" s="1"/>
      </tp>
      <tp>
        <v>1</v>
        <stp/>
        <stp>VOLUME</stp>
        <stp>.SPY150529P213.5</stp>
        <tr r="P282" s="1"/>
      </tp>
      <tp>
        <v>4039</v>
        <stp/>
        <stp>VOLUME</stp>
        <stp>.SPY150508P202.5</stp>
        <tr r="P134" s="1"/>
      </tp>
      <tp>
        <v>5230</v>
        <stp/>
        <stp>VOLUME</stp>
        <stp>.SPY150508P212.5</stp>
        <tr r="P154" s="1"/>
      </tp>
      <tp t="s">
        <v>N/A</v>
        <stp/>
        <stp>VOLUME</stp>
        <stp>.SPY150918C212.5</stp>
        <tr r="E448" s="1"/>
      </tp>
      <tp t="s">
        <v>N/A</v>
        <stp/>
        <stp>VOLUME</stp>
        <stp>.SPY150918C202.5</stp>
        <tr r="E428" s="1"/>
      </tp>
      <tp t="s">
        <v>N/A</v>
        <stp/>
        <stp>VOLUME</stp>
        <stp>.SPY160318C211.5</stp>
        <tr r="E656" s="1"/>
      </tp>
      <tp t="s">
        <v>N/A</v>
        <stp/>
        <stp>VOLUME</stp>
        <stp>.SPY160318C201.5</stp>
        <tr r="E636" s="1"/>
      </tp>
      <tp t="s">
        <v>N/A</v>
        <stp/>
        <stp>VOLUME</stp>
        <stp>.SPY170120C208.5</stp>
        <tr r="E818" s="1"/>
      </tp>
      <tp t="s">
        <v>N/A</v>
        <stp/>
        <stp>VOLUME</stp>
        <stp>.SPY170120C218.5</stp>
        <tr r="E838" s="1"/>
      </tp>
      <tp t="s">
        <v>N/A</v>
        <stp/>
        <stp>VOLUME</stp>
        <stp>.SPY150619C213.5</stp>
        <tr r="E324" s="1"/>
      </tp>
      <tp t="s">
        <v>N/A</v>
        <stp/>
        <stp>VOLUME</stp>
        <stp>.SPY150619C203.5</stp>
        <tr r="E304" s="1"/>
      </tp>
      <tp>
        <v>40</v>
        <stp/>
        <stp>VOLUME</stp>
        <stp>.SPY150522C208.5</stp>
        <tr r="E230" s="1"/>
      </tp>
      <tp>
        <v>2</v>
        <stp/>
        <stp>VOLUME</stp>
        <stp>.SPY150529C203.5</stp>
        <tr r="E262" s="1"/>
      </tp>
      <tp>
        <v>1</v>
        <stp/>
        <stp>VOLUME</stp>
        <stp>.SPY150522C218.5</stp>
        <tr r="E250" s="1"/>
      </tp>
      <tp>
        <v>191</v>
        <stp/>
        <stp>VOLUME</stp>
        <stp>.SPY150529C213.5</stp>
        <tr r="E282" s="1"/>
      </tp>
      <tp>
        <v>6</v>
        <stp/>
        <stp>VOLUME</stp>
        <stp>.SPY150508C202.5</stp>
        <tr r="E134" s="1"/>
      </tp>
      <tp>
        <v>15187</v>
        <stp/>
        <stp>VOLUME</stp>
        <stp>.SPY150508C212.5</stp>
        <tr r="E154" s="1"/>
      </tp>
      <tp t="s">
        <v>N/A</v>
        <stp/>
        <stp>VOLUME</stp>
        <stp>.SPY151219C213.5</stp>
        <tr r="E534" s="1"/>
      </tp>
      <tp t="s">
        <v>N/A</v>
        <stp/>
        <stp>VOLUME</stp>
        <stp>.SPY151219C203.5</stp>
        <tr r="E514" s="1"/>
      </tp>
      <tp t="s">
        <v>N/A</v>
        <stp/>
        <stp>VOLUME</stp>
        <stp>.SPY151219P212.5</stp>
        <tr r="P532" s="1"/>
      </tp>
      <tp t="s">
        <v>N/A</v>
        <stp/>
        <stp>VOLUME</stp>
        <stp>.SPY151219P202.5</stp>
        <tr r="P512" s="1"/>
      </tp>
      <tp t="s">
        <v>N/A</v>
        <stp/>
        <stp>VOLUME</stp>
        <stp>.SPY150918P213.5</stp>
        <tr r="P450" s="1"/>
      </tp>
      <tp t="s">
        <v>N/A</v>
        <stp/>
        <stp>VOLUME</stp>
        <stp>.SPY150918P203.5</stp>
        <tr r="P430" s="1"/>
      </tp>
      <tp t="s">
        <v>N/A</v>
        <stp/>
        <stp>VOLUME</stp>
        <stp>.SPY160318P210.5</stp>
        <tr r="P654" s="1"/>
      </tp>
      <tp t="s">
        <v>N/A</v>
        <stp/>
        <stp>VOLUME</stp>
        <stp>.SPY160318P200.5</stp>
        <tr r="P634" s="1"/>
      </tp>
      <tp t="s">
        <v>N/A</v>
        <stp/>
        <stp>VOLUME</stp>
        <stp>.SPY170120P209.5</stp>
        <tr r="P820" s="1"/>
      </tp>
      <tp t="s">
        <v>N/A</v>
        <stp/>
        <stp>VOLUME</stp>
        <stp>.SPY170120P219.5</stp>
        <tr r="P840" s="1"/>
      </tp>
      <tp t="s">
        <v>N/A</v>
        <stp/>
        <stp>VOLUME</stp>
        <stp>.SPY150619P212.5</stp>
        <tr r="P322" s="1"/>
      </tp>
      <tp t="s">
        <v>N/A</v>
        <stp/>
        <stp>VOLUME</stp>
        <stp>.SPY150619P202.5</stp>
        <tr r="P302" s="1"/>
      </tp>
      <tp>
        <v>1818</v>
        <stp/>
        <stp>VOLUME</stp>
        <stp>.SPY150522P209.5</stp>
        <tr r="P232" s="1"/>
      </tp>
      <tp>
        <v>28</v>
        <stp/>
        <stp>VOLUME</stp>
        <stp>.SPY150529P202.5</stp>
        <tr r="P260" s="1"/>
      </tp>
      <tp t="s">
        <v>N/A</v>
        <stp/>
        <stp>VOLUME</stp>
        <stp>.SPY150522P219.5</stp>
        <tr r="P252" s="1"/>
      </tp>
      <tp>
        <v>4</v>
        <stp/>
        <stp>VOLUME</stp>
        <stp>.SPY150529P212.5</stp>
        <tr r="P280" s="1"/>
      </tp>
      <tp>
        <v>4805</v>
        <stp/>
        <stp>VOLUME</stp>
        <stp>.SPY150508P203.5</stp>
        <tr r="P136" s="1"/>
      </tp>
      <tp>
        <v>830</v>
        <stp/>
        <stp>VOLUME</stp>
        <stp>.SPY150508P213.5</stp>
        <tr r="P156" s="1"/>
      </tp>
      <tp t="s">
        <v>N/A</v>
        <stp/>
        <stp>VOLUME</stp>
        <stp>.SPY150918C213.5</stp>
        <tr r="E450" s="1"/>
      </tp>
      <tp t="s">
        <v>N/A</v>
        <stp/>
        <stp>VOLUME</stp>
        <stp>.SPY150918C203.5</stp>
        <tr r="E430" s="1"/>
      </tp>
      <tp t="s">
        <v>N/A</v>
        <stp/>
        <stp>VOLUME</stp>
        <stp>.SPY160318C210.5</stp>
        <tr r="E654" s="1"/>
      </tp>
      <tp t="s">
        <v>N/A</v>
        <stp/>
        <stp>VOLUME</stp>
        <stp>.SPY160318C200.5</stp>
        <tr r="E634" s="1"/>
      </tp>
      <tp t="s">
        <v>N/A</v>
        <stp/>
        <stp>VOLUME</stp>
        <stp>.SPY170120C209.5</stp>
        <tr r="E820" s="1"/>
      </tp>
      <tp t="s">
        <v>N/A</v>
        <stp/>
        <stp>VOLUME</stp>
        <stp>.SPY170120C219.5</stp>
        <tr r="E840" s="1"/>
      </tp>
      <tp t="s">
        <v>N/A</v>
        <stp/>
        <stp>VOLUME</stp>
        <stp>.SPY150619C212.5</stp>
        <tr r="E322" s="1"/>
      </tp>
      <tp t="s">
        <v>N/A</v>
        <stp/>
        <stp>VOLUME</stp>
        <stp>.SPY150619C202.5</stp>
        <tr r="E302" s="1"/>
      </tp>
      <tp>
        <v>126</v>
        <stp/>
        <stp>VOLUME</stp>
        <stp>.SPY150522C209.5</stp>
        <tr r="E232" s="1"/>
      </tp>
      <tp>
        <v>1</v>
        <stp/>
        <stp>VOLUME</stp>
        <stp>.SPY150529C202.5</stp>
        <tr r="E260" s="1"/>
      </tp>
      <tp>
        <v>3</v>
        <stp/>
        <stp>VOLUME</stp>
        <stp>.SPY150522C219.5</stp>
        <tr r="E252" s="1"/>
      </tp>
      <tp>
        <v>74</v>
        <stp/>
        <stp>VOLUME</stp>
        <stp>.SPY150529C212.5</stp>
        <tr r="E280" s="1"/>
      </tp>
      <tp>
        <v>0</v>
        <stp/>
        <stp>VOLUME</stp>
        <stp>.SPY150508C203.5</stp>
        <tr r="E136" s="1"/>
      </tp>
      <tp>
        <v>19899</v>
        <stp/>
        <stp>VOLUME</stp>
        <stp>.SPY150508C213.5</stp>
        <tr r="E156" s="1"/>
      </tp>
      <tp t="s">
        <v>N/A</v>
        <stp/>
        <stp>VOLUME</stp>
        <stp>.SPY151219C212.5</stp>
        <tr r="E532" s="1"/>
      </tp>
      <tp t="s">
        <v>N/A</v>
        <stp/>
        <stp>VOLUME</stp>
        <stp>.SPY151219C202.5</stp>
        <tr r="E512" s="1"/>
      </tp>
      <tp t="s">
        <v>N/A</v>
        <stp/>
        <stp>VOLUME</stp>
        <stp>.SPY151231P219.5</stp>
        <tr r="P588" s="1"/>
      </tp>
      <tp t="s">
        <v>N/A</v>
        <stp/>
        <stp>VOLUME</stp>
        <stp>.SPY151231P209.5</stp>
        <tr r="P568" s="1"/>
      </tp>
      <tp t="s">
        <v>N/A</v>
        <stp/>
        <stp>VOLUME</stp>
        <stp>.SPY151219P211.5</stp>
        <tr r="P530" s="1"/>
      </tp>
      <tp t="s">
        <v>N/A</v>
        <stp/>
        <stp>VOLUME</stp>
        <stp>.SPY151219P201.5</stp>
        <tr r="P510" s="1"/>
      </tp>
      <tp t="s">
        <v>N/A</v>
        <stp/>
        <stp>VOLUME</stp>
        <stp>.SPY150930P218.5</stp>
        <tr r="P502" s="1"/>
      </tp>
      <tp t="s">
        <v>N/A</v>
        <stp/>
        <stp>VOLUME</stp>
        <stp>.SPY150930P208.5</stp>
        <tr r="P482" s="1"/>
      </tp>
      <tp t="s">
        <v>N/A</v>
        <stp/>
        <stp>VOLUME</stp>
        <stp>.SPY150918P210.5</stp>
        <tr r="P444" s="1"/>
      </tp>
      <tp t="s">
        <v>N/A</v>
        <stp/>
        <stp>VOLUME</stp>
        <stp>.SPY150918P200.5</stp>
        <tr r="P424" s="1"/>
      </tp>
      <tp t="s">
        <v>N/A</v>
        <stp/>
        <stp>VOLUME</stp>
        <stp>.SPY160318P213.5</stp>
        <tr r="P660" s="1"/>
      </tp>
      <tp t="s">
        <v>N/A</v>
        <stp/>
        <stp>VOLUME</stp>
        <stp>.SPY160318P203.5</stp>
        <tr r="P640" s="1"/>
      </tp>
      <tp t="s">
        <v>N/A</v>
        <stp/>
        <stp>VOLUME</stp>
        <stp>.SPY150630P218.5</stp>
        <tr r="P376" s="1"/>
      </tp>
      <tp t="s">
        <v>N/A</v>
        <stp/>
        <stp>VOLUME</stp>
        <stp>.SPY150630P208.5</stp>
        <tr r="P356" s="1"/>
      </tp>
      <tp t="s">
        <v>N/A</v>
        <stp/>
        <stp>VOLUME</stp>
        <stp>.SPY150619P211.5</stp>
        <tr r="P320" s="1"/>
      </tp>
      <tp t="s">
        <v>N/A</v>
        <stp/>
        <stp>VOLUME</stp>
        <stp>.SPY150619P201.5</stp>
        <tr r="P300" s="1"/>
      </tp>
      <tp>
        <v>308</v>
        <stp/>
        <stp>VOLUME</stp>
        <stp>.SPY150529P201.5</stp>
        <tr r="P258" s="1"/>
      </tp>
      <tp>
        <v>401</v>
        <stp/>
        <stp>VOLUME</stp>
        <stp>.SPY150529P211.5</stp>
        <tr r="P278" s="1"/>
      </tp>
      <tp>
        <v>0</v>
        <stp/>
        <stp>VOLUME</stp>
        <stp>.SPY150501P209.5</stp>
        <tr r="P106" s="1"/>
      </tp>
      <tp>
        <v>2378</v>
        <stp/>
        <stp>VOLUME</stp>
        <stp>.SPY150508P200.5</stp>
        <tr r="P130" s="1"/>
      </tp>
      <tp>
        <v>0</v>
        <stp/>
        <stp>VOLUME</stp>
        <stp>.SPY150501P219.5</stp>
        <tr r="P126" s="1"/>
      </tp>
      <tp>
        <v>10376</v>
        <stp/>
        <stp>VOLUME</stp>
        <stp>.SPY150508P210.5</stp>
        <tr r="P150" s="1"/>
      </tp>
      <tp t="s">
        <v>N/A</v>
        <stp/>
        <stp>VOLUME</stp>
        <stp>.SPY150930C218.5</stp>
        <tr r="E502" s="1"/>
      </tp>
      <tp t="s">
        <v>N/A</v>
        <stp/>
        <stp>VOLUME</stp>
        <stp>.SPY150930C208.5</stp>
        <tr r="E482" s="1"/>
      </tp>
      <tp t="s">
        <v>N/A</v>
        <stp/>
        <stp>VOLUME</stp>
        <stp>.SPY150918C210.5</stp>
        <tr r="E444" s="1"/>
      </tp>
      <tp t="s">
        <v>N/A</v>
        <stp/>
        <stp>VOLUME</stp>
        <stp>.SPY150918C200.5</stp>
        <tr r="E424" s="1"/>
      </tp>
      <tp t="s">
        <v>N/A</v>
        <stp/>
        <stp>VOLUME</stp>
        <stp>.SPY160318C213.5</stp>
        <tr r="E660" s="1"/>
      </tp>
      <tp t="s">
        <v>N/A</v>
        <stp/>
        <stp>VOLUME</stp>
        <stp>.SPY160318C203.5</stp>
        <tr r="E640" s="1"/>
      </tp>
      <tp t="s">
        <v>N/A</v>
        <stp/>
        <stp>VOLUME</stp>
        <stp>.SPY150630C218.5</stp>
        <tr r="E376" s="1"/>
      </tp>
      <tp t="s">
        <v>N/A</v>
        <stp/>
        <stp>VOLUME</stp>
        <stp>.SPY150630C208.5</stp>
        <tr r="E356" s="1"/>
      </tp>
      <tp t="s">
        <v>N/A</v>
        <stp/>
        <stp>VOLUME</stp>
        <stp>.SPY150619C211.5</stp>
        <tr r="E320" s="1"/>
      </tp>
      <tp t="s">
        <v>N/A</v>
        <stp/>
        <stp>VOLUME</stp>
        <stp>.SPY150619C201.5</stp>
        <tr r="E300" s="1"/>
      </tp>
      <tp>
        <v>3</v>
        <stp/>
        <stp>VOLUME</stp>
        <stp>.SPY150529C201.5</stp>
        <tr r="E258" s="1"/>
      </tp>
      <tp>
        <v>416</v>
        <stp/>
        <stp>VOLUME</stp>
        <stp>.SPY150529C211.5</stp>
        <tr r="E278" s="1"/>
      </tp>
      <tp>
        <v>0</v>
        <stp/>
        <stp>VOLUME</stp>
        <stp>.SPY150501C209.5</stp>
        <tr r="E106" s="1"/>
      </tp>
      <tp>
        <v>0</v>
        <stp/>
        <stp>VOLUME</stp>
        <stp>.SPY150508C200.5</stp>
        <tr r="E130" s="1"/>
      </tp>
      <tp>
        <v>0</v>
        <stp/>
        <stp>VOLUME</stp>
        <stp>.SPY150501C219.5</stp>
        <tr r="E126" s="1"/>
      </tp>
      <tp>
        <v>6088</v>
        <stp/>
        <stp>VOLUME</stp>
        <stp>.SPY150508C210.5</stp>
        <tr r="E150" s="1"/>
      </tp>
      <tp t="s">
        <v>N/A</v>
        <stp/>
        <stp>VOLUME</stp>
        <stp>.SPY151231C219.5</stp>
        <tr r="E588" s="1"/>
      </tp>
      <tp t="s">
        <v>N/A</v>
        <stp/>
        <stp>VOLUME</stp>
        <stp>.SPY151231C209.5</stp>
        <tr r="E568" s="1"/>
      </tp>
      <tp t="s">
        <v>N/A</v>
        <stp/>
        <stp>VOLUME</stp>
        <stp>.SPY151219C211.5</stp>
        <tr r="E530" s="1"/>
      </tp>
      <tp t="s">
        <v>N/A</v>
        <stp/>
        <stp>VOLUME</stp>
        <stp>.SPY151219C201.5</stp>
        <tr r="E510" s="1"/>
      </tp>
      <tp t="s">
        <v>N/A</v>
        <stp/>
        <stp>VOLUME</stp>
        <stp>.SPY151231P218.5</stp>
        <tr r="P586" s="1"/>
      </tp>
      <tp t="s">
        <v>N/A</v>
        <stp/>
        <stp>VOLUME</stp>
        <stp>.SPY151231P208.5</stp>
        <tr r="P566" s="1"/>
      </tp>
      <tp t="s">
        <v>N/A</v>
        <stp/>
        <stp>VOLUME</stp>
        <stp>.SPY151219P210.5</stp>
        <tr r="P528" s="1"/>
      </tp>
      <tp t="s">
        <v>N/A</v>
        <stp/>
        <stp>VOLUME</stp>
        <stp>.SPY151219P200.5</stp>
        <tr r="P508" s="1"/>
      </tp>
      <tp t="s">
        <v>N/A</v>
        <stp/>
        <stp>VOLUME</stp>
        <stp>.SPY150930P219.5</stp>
        <tr r="P504" s="1"/>
      </tp>
      <tp t="s">
        <v>N/A</v>
        <stp/>
        <stp>VOLUME</stp>
        <stp>.SPY150930P209.5</stp>
        <tr r="P484" s="1"/>
      </tp>
      <tp t="s">
        <v>N/A</v>
        <stp/>
        <stp>VOLUME</stp>
        <stp>.SPY150918P211.5</stp>
        <tr r="P446" s="1"/>
      </tp>
      <tp t="s">
        <v>N/A</v>
        <stp/>
        <stp>VOLUME</stp>
        <stp>.SPY150918P201.5</stp>
        <tr r="P426" s="1"/>
      </tp>
      <tp t="s">
        <v>N/A</v>
        <stp/>
        <stp>VOLUME</stp>
        <stp>.SPY160318P212.5</stp>
        <tr r="P658" s="1"/>
      </tp>
      <tp t="s">
        <v>N/A</v>
        <stp/>
        <stp>VOLUME</stp>
        <stp>.SPY160318P202.5</stp>
        <tr r="P638" s="1"/>
      </tp>
      <tp t="s">
        <v>N/A</v>
        <stp/>
        <stp>VOLUME</stp>
        <stp>.SPY150630P219.5</stp>
        <tr r="P378" s="1"/>
      </tp>
      <tp t="s">
        <v>N/A</v>
        <stp/>
        <stp>VOLUME</stp>
        <stp>.SPY150630P209.5</stp>
        <tr r="P358" s="1"/>
      </tp>
      <tp t="s">
        <v>N/A</v>
        <stp/>
        <stp>VOLUME</stp>
        <stp>.SPY150619P210.5</stp>
        <tr r="P318" s="1"/>
      </tp>
      <tp t="s">
        <v>N/A</v>
        <stp/>
        <stp>VOLUME</stp>
        <stp>.SPY150619P200.5</stp>
        <tr r="P298" s="1"/>
      </tp>
      <tp>
        <v>9</v>
        <stp/>
        <stp>VOLUME</stp>
        <stp>.SPY150529P200.5</stp>
        <tr r="P256" s="1"/>
      </tp>
      <tp>
        <v>40</v>
        <stp/>
        <stp>VOLUME</stp>
        <stp>.SPY150529P210.5</stp>
        <tr r="P276" s="1"/>
      </tp>
      <tp>
        <v>0</v>
        <stp/>
        <stp>VOLUME</stp>
        <stp>.SPY150501P208.5</stp>
        <tr r="P104" s="1"/>
      </tp>
      <tp>
        <v>570</v>
        <stp/>
        <stp>VOLUME</stp>
        <stp>.SPY150508P201.5</stp>
        <tr r="P132" s="1"/>
      </tp>
      <tp>
        <v>0</v>
        <stp/>
        <stp>VOLUME</stp>
        <stp>.SPY150501P218.5</stp>
        <tr r="P124" s="1"/>
      </tp>
      <tp>
        <v>26628</v>
        <stp/>
        <stp>VOLUME</stp>
        <stp>.SPY150508P211.5</stp>
        <tr r="P152" s="1"/>
      </tp>
      <tp t="s">
        <v>N/A</v>
        <stp/>
        <stp>VOLUME</stp>
        <stp>.SPY150930C219.5</stp>
        <tr r="E504" s="1"/>
      </tp>
      <tp t="s">
        <v>N/A</v>
        <stp/>
        <stp>VOLUME</stp>
        <stp>.SPY150930C209.5</stp>
        <tr r="E484" s="1"/>
      </tp>
      <tp t="s">
        <v>N/A</v>
        <stp/>
        <stp>VOLUME</stp>
        <stp>.SPY150918C211.5</stp>
        <tr r="E446" s="1"/>
      </tp>
      <tp t="s">
        <v>N/A</v>
        <stp/>
        <stp>VOLUME</stp>
        <stp>.SPY150918C201.5</stp>
        <tr r="E426" s="1"/>
      </tp>
      <tp t="s">
        <v>N/A</v>
        <stp/>
        <stp>VOLUME</stp>
        <stp>.SPY160318C212.5</stp>
        <tr r="E658" s="1"/>
      </tp>
      <tp t="s">
        <v>N/A</v>
        <stp/>
        <stp>VOLUME</stp>
        <stp>.SPY160318C202.5</stp>
        <tr r="E638" s="1"/>
      </tp>
      <tp t="s">
        <v>N/A</v>
        <stp/>
        <stp>VOLUME</stp>
        <stp>.SPY150630C219.5</stp>
        <tr r="E378" s="1"/>
      </tp>
      <tp t="s">
        <v>N/A</v>
        <stp/>
        <stp>VOLUME</stp>
        <stp>.SPY150630C209.5</stp>
        <tr r="E358" s="1"/>
      </tp>
      <tp t="s">
        <v>N/A</v>
        <stp/>
        <stp>VOLUME</stp>
        <stp>.SPY150619C210.5</stp>
        <tr r="E318" s="1"/>
      </tp>
      <tp t="s">
        <v>N/A</v>
        <stp/>
        <stp>VOLUME</stp>
        <stp>.SPY150619C200.5</stp>
        <tr r="E298" s="1"/>
      </tp>
      <tp>
        <v>0</v>
        <stp/>
        <stp>VOLUME</stp>
        <stp>.SPY150529C200.5</stp>
        <tr r="E256" s="1"/>
      </tp>
      <tp>
        <v>96</v>
        <stp/>
        <stp>VOLUME</stp>
        <stp>.SPY150529C210.5</stp>
        <tr r="E276" s="1"/>
      </tp>
      <tp>
        <v>0</v>
        <stp/>
        <stp>VOLUME</stp>
        <stp>.SPY150501C208.5</stp>
        <tr r="E104" s="1"/>
      </tp>
      <tp>
        <v>0</v>
        <stp/>
        <stp>VOLUME</stp>
        <stp>.SPY150508C201.5</stp>
        <tr r="E132" s="1"/>
      </tp>
      <tp>
        <v>0</v>
        <stp/>
        <stp>VOLUME</stp>
        <stp>.SPY150501C218.5</stp>
        <tr r="E124" s="1"/>
      </tp>
      <tp>
        <v>17086</v>
        <stp/>
        <stp>VOLUME</stp>
        <stp>.SPY150508C211.5</stp>
        <tr r="E152" s="1"/>
      </tp>
      <tp t="s">
        <v>N/A</v>
        <stp/>
        <stp>VOLUME</stp>
        <stp>.SPY151231C218.5</stp>
        <tr r="E586" s="1"/>
      </tp>
      <tp t="s">
        <v>N/A</v>
        <stp/>
        <stp>VOLUME</stp>
        <stp>.SPY151231C208.5</stp>
        <tr r="E566" s="1"/>
      </tp>
      <tp t="s">
        <v>N/A</v>
        <stp/>
        <stp>VOLUME</stp>
        <stp>.SPY151219C210.5</stp>
        <tr r="E528" s="1"/>
      </tp>
      <tp t="s">
        <v>N/A</v>
        <stp/>
        <stp>VOLUME</stp>
        <stp>.SPY151219C200.5</stp>
        <tr r="E508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924"/>
  <sheetViews>
    <sheetView tabSelected="1" workbookViewId="0"/>
  </sheetViews>
  <sheetFormatPr defaultRowHeight="15" x14ac:dyDescent="0.25"/>
  <sheetData>
    <row r="1" spans="1:22" x14ac:dyDescent="0.25">
      <c r="A1" t="s">
        <v>0</v>
      </c>
      <c r="B1">
        <v>40</v>
      </c>
    </row>
    <row r="2" spans="1:22" x14ac:dyDescent="0.25">
      <c r="A2">
        <f>RTD("tos.rtd", ,"LAST", "SPY")</f>
        <v>211.32</v>
      </c>
    </row>
    <row r="3" spans="1:22" x14ac:dyDescent="0.25">
      <c r="A3">
        <f>RTD("tos.rtd", , "ASK", ".SPY150417C200")</f>
        <v>8.2799999999999994</v>
      </c>
      <c r="B3">
        <f>RTD("tos.rtd", , "ASK_SIZE", ".SPY150417C200")</f>
        <v>0</v>
      </c>
      <c r="C3">
        <f>RTD("tos.rtd", , "BID", ".SPY150417C200")</f>
        <v>7.99</v>
      </c>
      <c r="D3">
        <f>RTD("tos.rtd", , "BID_SIZE", ".SPY150417C200")</f>
        <v>0</v>
      </c>
      <c r="E3">
        <f>RTD("tos.rtd", , "VOLUME", ".SPY150417C200")</f>
        <v>0</v>
      </c>
      <c r="F3">
        <f>RTD("tos.rtd", , "OPEN_INT", ".SPY150417C200")</f>
        <v>0</v>
      </c>
      <c r="G3" t="str">
        <f>RTD("tos.rtd", , "DELTA", ".SPY150417C200")</f>
        <v>N/A</v>
      </c>
      <c r="H3" t="str">
        <f>RTD("tos.rtd", , "THETA", ".SPY150417C200")</f>
        <v>N/A</v>
      </c>
      <c r="I3" t="str">
        <f>RTD("tos.rtd", , "GAMMA", ".SPY150417C200")</f>
        <v>N/A</v>
      </c>
      <c r="J3" t="str">
        <f>RTD("tos.rtd", , "VEGA", ".SPY150417C200")</f>
        <v>N/A</v>
      </c>
      <c r="K3" t="str">
        <f>RTD("tos.rtd", , "RHO", ".SPY150417C200")</f>
        <v>N/A</v>
      </c>
      <c r="L3">
        <f>RTD("tos.rtd", , "ASK", ".SPY150417P200")</f>
        <v>0.01</v>
      </c>
      <c r="M3">
        <f>RTD("tos.rtd", , "ASK_SIZE", ".SPY150417P200")</f>
        <v>0</v>
      </c>
      <c r="N3">
        <f>RTD("tos.rtd", , "BID", ".SPY150417P200")</f>
        <v>0</v>
      </c>
      <c r="O3">
        <f>RTD("tos.rtd", , "BID_SIZE", ".SPY150417P200")</f>
        <v>0</v>
      </c>
      <c r="P3">
        <f>RTD("tos.rtd", , "VOLUME", ".SPY150417P200")</f>
        <v>0</v>
      </c>
      <c r="Q3">
        <f>RTD("tos.rtd", , "OPEN_INT", ".SPY150417P200")</f>
        <v>143670</v>
      </c>
      <c r="R3" t="str">
        <f>RTD("tos.rtd", , "DELTA", ".SPY150417P200")</f>
        <v>N/A</v>
      </c>
      <c r="S3" t="str">
        <f>RTD("tos.rtd", , "THETA", ".SPY150417P200")</f>
        <v>N/A</v>
      </c>
      <c r="T3" t="str">
        <f>RTD("tos.rtd", , "GAMMA", ".SPY150417P200")</f>
        <v>N/A</v>
      </c>
      <c r="U3" t="str">
        <f>RTD("tos.rtd", , "VEGA", ".SPY150417P200")</f>
        <v>N/A</v>
      </c>
      <c r="V3" t="str">
        <f>RTD("tos.rtd", , "RHO", ".SPY150417P200")</f>
        <v>N/A</v>
      </c>
    </row>
    <row r="4" spans="1:22" x14ac:dyDescent="0.25">
      <c r="A4">
        <f>RTD("tos.rtd", , "ASK", ".SPY150417C200.5")</f>
        <v>7.78</v>
      </c>
      <c r="B4">
        <f>RTD("tos.rtd", , "ASK_SIZE", ".SPY150417C200.5")</f>
        <v>0</v>
      </c>
      <c r="C4">
        <f>RTD("tos.rtd", , "BID", ".SPY150417C200.5")</f>
        <v>7.49</v>
      </c>
      <c r="D4">
        <f>RTD("tos.rtd", , "BID_SIZE", ".SPY150417C200.5")</f>
        <v>0</v>
      </c>
      <c r="E4">
        <f>RTD("tos.rtd", , "VOLUME", ".SPY150417C200.5")</f>
        <v>0</v>
      </c>
      <c r="F4">
        <f>RTD("tos.rtd", , "OPEN_INT", ".SPY150417C200.5")</f>
        <v>0</v>
      </c>
      <c r="G4" t="str">
        <f>RTD("tos.rtd", , "DELTA", ".SPY150417C200.5")</f>
        <v>N/A</v>
      </c>
      <c r="H4" t="str">
        <f>RTD("tos.rtd", , "THETA", ".SPY150417C200.5")</f>
        <v>N/A</v>
      </c>
      <c r="I4" t="str">
        <f>RTD("tos.rtd", , "GAMMA", ".SPY150417C200.5")</f>
        <v>N/A</v>
      </c>
      <c r="J4" t="str">
        <f>RTD("tos.rtd", , "VEGA", ".SPY150417C200.5")</f>
        <v>N/A</v>
      </c>
      <c r="K4" t="str">
        <f>RTD("tos.rtd", , "RHO", ".SPY150417C200.5")</f>
        <v>N/A</v>
      </c>
      <c r="L4">
        <f>RTD("tos.rtd", , "ASK", ".SPY150417P200.5")</f>
        <v>0.01</v>
      </c>
      <c r="M4">
        <f>RTD("tos.rtd", , "ASK_SIZE", ".SPY150417P200.5")</f>
        <v>0</v>
      </c>
      <c r="N4">
        <f>RTD("tos.rtd", , "BID", ".SPY150417P200.5")</f>
        <v>0</v>
      </c>
      <c r="O4">
        <f>RTD("tos.rtd", , "BID_SIZE", ".SPY150417P200.5")</f>
        <v>0</v>
      </c>
      <c r="P4">
        <f>RTD("tos.rtd", , "VOLUME", ".SPY150417P200.5")</f>
        <v>0</v>
      </c>
      <c r="Q4">
        <f>RTD("tos.rtd", , "OPEN_INT", ".SPY150417P200.5")</f>
        <v>8406</v>
      </c>
      <c r="R4" t="str">
        <f>RTD("tos.rtd", , "DELTA", ".SPY150417P200.5")</f>
        <v>N/A</v>
      </c>
      <c r="S4" t="str">
        <f>RTD("tos.rtd", , "THETA", ".SPY150417P200.5")</f>
        <v>N/A</v>
      </c>
      <c r="T4" t="str">
        <f>RTD("tos.rtd", , "GAMMA", ".SPY150417P200.5")</f>
        <v>N/A</v>
      </c>
      <c r="U4" t="str">
        <f>RTD("tos.rtd", , "VEGA", ".SPY150417P200.5")</f>
        <v>N/A</v>
      </c>
      <c r="V4" t="str">
        <f>RTD("tos.rtd", , "RHO", ".SPY150417P200.5")</f>
        <v>N/A</v>
      </c>
    </row>
    <row r="5" spans="1:22" x14ac:dyDescent="0.25">
      <c r="A5">
        <f>RTD("tos.rtd", , "ASK", ".SPY150417C201")</f>
        <v>7.28</v>
      </c>
      <c r="B5">
        <f>RTD("tos.rtd", , "ASK_SIZE", ".SPY150417C201")</f>
        <v>0</v>
      </c>
      <c r="C5">
        <f>RTD("tos.rtd", , "BID", ".SPY150417C201")</f>
        <v>6.99</v>
      </c>
      <c r="D5">
        <f>RTD("tos.rtd", , "BID_SIZE", ".SPY150417C201")</f>
        <v>0</v>
      </c>
      <c r="E5">
        <f>RTD("tos.rtd", , "VOLUME", ".SPY150417C201")</f>
        <v>0</v>
      </c>
      <c r="F5">
        <f>RTD("tos.rtd", , "OPEN_INT", ".SPY150417C201")</f>
        <v>0</v>
      </c>
      <c r="G5" t="str">
        <f>RTD("tos.rtd", , "DELTA", ".SPY150417C201")</f>
        <v>N/A</v>
      </c>
      <c r="H5" t="str">
        <f>RTD("tos.rtd", , "THETA", ".SPY150417C201")</f>
        <v>N/A</v>
      </c>
      <c r="I5" t="str">
        <f>RTD("tos.rtd", , "GAMMA", ".SPY150417C201")</f>
        <v>N/A</v>
      </c>
      <c r="J5" t="str">
        <f>RTD("tos.rtd", , "VEGA", ".SPY150417C201")</f>
        <v>N/A</v>
      </c>
      <c r="K5" t="str">
        <f>RTD("tos.rtd", , "RHO", ".SPY150417C201")</f>
        <v>N/A</v>
      </c>
      <c r="L5">
        <f>RTD("tos.rtd", , "ASK", ".SPY150417P201")</f>
        <v>0.01</v>
      </c>
      <c r="M5">
        <f>RTD("tos.rtd", , "ASK_SIZE", ".SPY150417P201")</f>
        <v>0</v>
      </c>
      <c r="N5">
        <f>RTD("tos.rtd", , "BID", ".SPY150417P201")</f>
        <v>0</v>
      </c>
      <c r="O5">
        <f>RTD("tos.rtd", , "BID_SIZE", ".SPY150417P201")</f>
        <v>0</v>
      </c>
      <c r="P5">
        <f>RTD("tos.rtd", , "VOLUME", ".SPY150417P201")</f>
        <v>0</v>
      </c>
      <c r="Q5">
        <f>RTD("tos.rtd", , "OPEN_INT", ".SPY150417P201")</f>
        <v>55076</v>
      </c>
      <c r="R5" t="str">
        <f>RTD("tos.rtd", , "DELTA", ".SPY150417P201")</f>
        <v>N/A</v>
      </c>
      <c r="S5" t="str">
        <f>RTD("tos.rtd", , "THETA", ".SPY150417P201")</f>
        <v>N/A</v>
      </c>
      <c r="T5" t="str">
        <f>RTD("tos.rtd", , "GAMMA", ".SPY150417P201")</f>
        <v>N/A</v>
      </c>
      <c r="U5" t="str">
        <f>RTD("tos.rtd", , "VEGA", ".SPY150417P201")</f>
        <v>N/A</v>
      </c>
      <c r="V5" t="str">
        <f>RTD("tos.rtd", , "RHO", ".SPY150417P201")</f>
        <v>N/A</v>
      </c>
    </row>
    <row r="6" spans="1:22" x14ac:dyDescent="0.25">
      <c r="A6">
        <f>RTD("tos.rtd", , "ASK", ".SPY150417C201.5")</f>
        <v>6.78</v>
      </c>
      <c r="B6">
        <f>RTD("tos.rtd", , "ASK_SIZE", ".SPY150417C201.5")</f>
        <v>0</v>
      </c>
      <c r="C6">
        <f>RTD("tos.rtd", , "BID", ".SPY150417C201.5")</f>
        <v>6.49</v>
      </c>
      <c r="D6">
        <f>RTD("tos.rtd", , "BID_SIZE", ".SPY150417C201.5")</f>
        <v>0</v>
      </c>
      <c r="E6">
        <f>RTD("tos.rtd", , "VOLUME", ".SPY150417C201.5")</f>
        <v>0</v>
      </c>
      <c r="F6">
        <f>RTD("tos.rtd", , "OPEN_INT", ".SPY150417C201.5")</f>
        <v>0</v>
      </c>
      <c r="G6" t="str">
        <f>RTD("tos.rtd", , "DELTA", ".SPY150417C201.5")</f>
        <v>N/A</v>
      </c>
      <c r="H6" t="str">
        <f>RTD("tos.rtd", , "THETA", ".SPY150417C201.5")</f>
        <v>N/A</v>
      </c>
      <c r="I6" t="str">
        <f>RTD("tos.rtd", , "GAMMA", ".SPY150417C201.5")</f>
        <v>N/A</v>
      </c>
      <c r="J6" t="str">
        <f>RTD("tos.rtd", , "VEGA", ".SPY150417C201.5")</f>
        <v>N/A</v>
      </c>
      <c r="K6" t="str">
        <f>RTD("tos.rtd", , "RHO", ".SPY150417C201.5")</f>
        <v>N/A</v>
      </c>
      <c r="L6">
        <f>RTD("tos.rtd", , "ASK", ".SPY150417P201.5")</f>
        <v>0.01</v>
      </c>
      <c r="M6">
        <f>RTD("tos.rtd", , "ASK_SIZE", ".SPY150417P201.5")</f>
        <v>0</v>
      </c>
      <c r="N6">
        <f>RTD("tos.rtd", , "BID", ".SPY150417P201.5")</f>
        <v>0</v>
      </c>
      <c r="O6">
        <f>RTD("tos.rtd", , "BID_SIZE", ".SPY150417P201.5")</f>
        <v>0</v>
      </c>
      <c r="P6">
        <f>RTD("tos.rtd", , "VOLUME", ".SPY150417P201.5")</f>
        <v>0</v>
      </c>
      <c r="Q6">
        <f>RTD("tos.rtd", , "OPEN_INT", ".SPY150417P201.5")</f>
        <v>19717</v>
      </c>
      <c r="R6" t="str">
        <f>RTD("tos.rtd", , "DELTA", ".SPY150417P201.5")</f>
        <v>N/A</v>
      </c>
      <c r="S6" t="str">
        <f>RTD("tos.rtd", , "THETA", ".SPY150417P201.5")</f>
        <v>N/A</v>
      </c>
      <c r="T6" t="str">
        <f>RTD("tos.rtd", , "GAMMA", ".SPY150417P201.5")</f>
        <v>N/A</v>
      </c>
      <c r="U6" t="str">
        <f>RTD("tos.rtd", , "VEGA", ".SPY150417P201.5")</f>
        <v>N/A</v>
      </c>
      <c r="V6" t="str">
        <f>RTD("tos.rtd", , "RHO", ".SPY150417P201.5")</f>
        <v>N/A</v>
      </c>
    </row>
    <row r="7" spans="1:22" x14ac:dyDescent="0.25">
      <c r="A7">
        <f>RTD("tos.rtd", , "ASK", ".SPY150417C202")</f>
        <v>6.28</v>
      </c>
      <c r="B7">
        <f>RTD("tos.rtd", , "ASK_SIZE", ".SPY150417C202")</f>
        <v>0</v>
      </c>
      <c r="C7">
        <f>RTD("tos.rtd", , "BID", ".SPY150417C202")</f>
        <v>5.99</v>
      </c>
      <c r="D7">
        <f>RTD("tos.rtd", , "BID_SIZE", ".SPY150417C202")</f>
        <v>0</v>
      </c>
      <c r="E7">
        <f>RTD("tos.rtd", , "VOLUME", ".SPY150417C202")</f>
        <v>0</v>
      </c>
      <c r="F7">
        <f>RTD("tos.rtd", , "OPEN_INT", ".SPY150417C202")</f>
        <v>0</v>
      </c>
      <c r="G7" t="str">
        <f>RTD("tos.rtd", , "DELTA", ".SPY150417C202")</f>
        <v>N/A</v>
      </c>
      <c r="H7" t="str">
        <f>RTD("tos.rtd", , "THETA", ".SPY150417C202")</f>
        <v>N/A</v>
      </c>
      <c r="I7" t="str">
        <f>RTD("tos.rtd", , "GAMMA", ".SPY150417C202")</f>
        <v>N/A</v>
      </c>
      <c r="J7" t="str">
        <f>RTD("tos.rtd", , "VEGA", ".SPY150417C202")</f>
        <v>N/A</v>
      </c>
      <c r="K7" t="str">
        <f>RTD("tos.rtd", , "RHO", ".SPY150417C202")</f>
        <v>N/A</v>
      </c>
      <c r="L7">
        <f>RTD("tos.rtd", , "ASK", ".SPY150417P202")</f>
        <v>0.01</v>
      </c>
      <c r="M7">
        <f>RTD("tos.rtd", , "ASK_SIZE", ".SPY150417P202")</f>
        <v>0</v>
      </c>
      <c r="N7">
        <f>RTD("tos.rtd", , "BID", ".SPY150417P202")</f>
        <v>0</v>
      </c>
      <c r="O7">
        <f>RTD("tos.rtd", , "BID_SIZE", ".SPY150417P202")</f>
        <v>0</v>
      </c>
      <c r="P7">
        <f>RTD("tos.rtd", , "VOLUME", ".SPY150417P202")</f>
        <v>0</v>
      </c>
      <c r="Q7">
        <f>RTD("tos.rtd", , "OPEN_INT", ".SPY150417P202")</f>
        <v>84817</v>
      </c>
      <c r="R7" t="str">
        <f>RTD("tos.rtd", , "DELTA", ".SPY150417P202")</f>
        <v>N/A</v>
      </c>
      <c r="S7" t="str">
        <f>RTD("tos.rtd", , "THETA", ".SPY150417P202")</f>
        <v>N/A</v>
      </c>
      <c r="T7" t="str">
        <f>RTD("tos.rtd", , "GAMMA", ".SPY150417P202")</f>
        <v>N/A</v>
      </c>
      <c r="U7" t="str">
        <f>RTD("tos.rtd", , "VEGA", ".SPY150417P202")</f>
        <v>N/A</v>
      </c>
      <c r="V7" t="str">
        <f>RTD("tos.rtd", , "RHO", ".SPY150417P202")</f>
        <v>N/A</v>
      </c>
    </row>
    <row r="8" spans="1:22" x14ac:dyDescent="0.25">
      <c r="A8">
        <f>RTD("tos.rtd", , "ASK", ".SPY150417C202.5")</f>
        <v>5.78</v>
      </c>
      <c r="B8">
        <f>RTD("tos.rtd", , "ASK_SIZE", ".SPY150417C202.5")</f>
        <v>0</v>
      </c>
      <c r="C8">
        <f>RTD("tos.rtd", , "BID", ".SPY150417C202.5")</f>
        <v>5.49</v>
      </c>
      <c r="D8">
        <f>RTD("tos.rtd", , "BID_SIZE", ".SPY150417C202.5")</f>
        <v>0</v>
      </c>
      <c r="E8">
        <f>RTD("tos.rtd", , "VOLUME", ".SPY150417C202.5")</f>
        <v>0</v>
      </c>
      <c r="F8">
        <f>RTD("tos.rtd", , "OPEN_INT", ".SPY150417C202.5")</f>
        <v>0</v>
      </c>
      <c r="G8" t="str">
        <f>RTD("tos.rtd", , "DELTA", ".SPY150417C202.5")</f>
        <v>N/A</v>
      </c>
      <c r="H8" t="str">
        <f>RTD("tos.rtd", , "THETA", ".SPY150417C202.5")</f>
        <v>N/A</v>
      </c>
      <c r="I8" t="str">
        <f>RTD("tos.rtd", , "GAMMA", ".SPY150417C202.5")</f>
        <v>N/A</v>
      </c>
      <c r="J8" t="str">
        <f>RTD("tos.rtd", , "VEGA", ".SPY150417C202.5")</f>
        <v>N/A</v>
      </c>
      <c r="K8" t="str">
        <f>RTD("tos.rtd", , "RHO", ".SPY150417C202.5")</f>
        <v>N/A</v>
      </c>
      <c r="L8">
        <f>RTD("tos.rtd", , "ASK", ".SPY150417P202.5")</f>
        <v>0.01</v>
      </c>
      <c r="M8">
        <f>RTD("tos.rtd", , "ASK_SIZE", ".SPY150417P202.5")</f>
        <v>0</v>
      </c>
      <c r="N8">
        <f>RTD("tos.rtd", , "BID", ".SPY150417P202.5")</f>
        <v>0</v>
      </c>
      <c r="O8">
        <f>RTD("tos.rtd", , "BID_SIZE", ".SPY150417P202.5")</f>
        <v>0</v>
      </c>
      <c r="P8">
        <f>RTD("tos.rtd", , "VOLUME", ".SPY150417P202.5")</f>
        <v>0</v>
      </c>
      <c r="Q8">
        <f>RTD("tos.rtd", , "OPEN_INT", ".SPY150417P202.5")</f>
        <v>14553</v>
      </c>
      <c r="R8" t="str">
        <f>RTD("tos.rtd", , "DELTA", ".SPY150417P202.5")</f>
        <v>N/A</v>
      </c>
      <c r="S8" t="str">
        <f>RTD("tos.rtd", , "THETA", ".SPY150417P202.5")</f>
        <v>N/A</v>
      </c>
      <c r="T8" t="str">
        <f>RTD("tos.rtd", , "GAMMA", ".SPY150417P202.5")</f>
        <v>N/A</v>
      </c>
      <c r="U8" t="str">
        <f>RTD("tos.rtd", , "VEGA", ".SPY150417P202.5")</f>
        <v>N/A</v>
      </c>
      <c r="V8" t="str">
        <f>RTD("tos.rtd", , "RHO", ".SPY150417P202.5")</f>
        <v>N/A</v>
      </c>
    </row>
    <row r="9" spans="1:22" x14ac:dyDescent="0.25">
      <c r="A9">
        <f>RTD("tos.rtd", , "ASK", ".SPY150417C203")</f>
        <v>5.26</v>
      </c>
      <c r="B9">
        <f>RTD("tos.rtd", , "ASK_SIZE", ".SPY150417C203")</f>
        <v>0</v>
      </c>
      <c r="C9">
        <f>RTD("tos.rtd", , "BID", ".SPY150417C203")</f>
        <v>5.01</v>
      </c>
      <c r="D9">
        <f>RTD("tos.rtd", , "BID_SIZE", ".SPY150417C203")</f>
        <v>0</v>
      </c>
      <c r="E9">
        <f>RTD("tos.rtd", , "VOLUME", ".SPY150417C203")</f>
        <v>0</v>
      </c>
      <c r="F9">
        <f>RTD("tos.rtd", , "OPEN_INT", ".SPY150417C203")</f>
        <v>0</v>
      </c>
      <c r="G9" t="str">
        <f>RTD("tos.rtd", , "DELTA", ".SPY150417C203")</f>
        <v>N/A</v>
      </c>
      <c r="H9" t="str">
        <f>RTD("tos.rtd", , "THETA", ".SPY150417C203")</f>
        <v>N/A</v>
      </c>
      <c r="I9" t="str">
        <f>RTD("tos.rtd", , "GAMMA", ".SPY150417C203")</f>
        <v>N/A</v>
      </c>
      <c r="J9" t="str">
        <f>RTD("tos.rtd", , "VEGA", ".SPY150417C203")</f>
        <v>N/A</v>
      </c>
      <c r="K9" t="str">
        <f>RTD("tos.rtd", , "RHO", ".SPY150417C203")</f>
        <v>N/A</v>
      </c>
      <c r="L9">
        <f>RTD("tos.rtd", , "ASK", ".SPY150417P203")</f>
        <v>0.01</v>
      </c>
      <c r="M9">
        <f>RTD("tos.rtd", , "ASK_SIZE", ".SPY150417P203")</f>
        <v>0</v>
      </c>
      <c r="N9">
        <f>RTD("tos.rtd", , "BID", ".SPY150417P203")</f>
        <v>0</v>
      </c>
      <c r="O9">
        <f>RTD("tos.rtd", , "BID_SIZE", ".SPY150417P203")</f>
        <v>0</v>
      </c>
      <c r="P9">
        <f>RTD("tos.rtd", , "VOLUME", ".SPY150417P203")</f>
        <v>0</v>
      </c>
      <c r="Q9">
        <f>RTD("tos.rtd", , "OPEN_INT", ".SPY150417P203")</f>
        <v>81343</v>
      </c>
      <c r="R9" t="str">
        <f>RTD("tos.rtd", , "DELTA", ".SPY150417P203")</f>
        <v>N/A</v>
      </c>
      <c r="S9" t="str">
        <f>RTD("tos.rtd", , "THETA", ".SPY150417P203")</f>
        <v>N/A</v>
      </c>
      <c r="T9" t="str">
        <f>RTD("tos.rtd", , "GAMMA", ".SPY150417P203")</f>
        <v>N/A</v>
      </c>
      <c r="U9" t="str">
        <f>RTD("tos.rtd", , "VEGA", ".SPY150417P203")</f>
        <v>N/A</v>
      </c>
      <c r="V9" t="str">
        <f>RTD("tos.rtd", , "RHO", ".SPY150417P203")</f>
        <v>N/A</v>
      </c>
    </row>
    <row r="10" spans="1:22" x14ac:dyDescent="0.25">
      <c r="A10">
        <f>RTD("tos.rtd", , "ASK", ".SPY150417C203.5")</f>
        <v>4.76</v>
      </c>
      <c r="B10">
        <f>RTD("tos.rtd", , "ASK_SIZE", ".SPY150417C203.5")</f>
        <v>0</v>
      </c>
      <c r="C10">
        <f>RTD("tos.rtd", , "BID", ".SPY150417C203.5")</f>
        <v>4.5</v>
      </c>
      <c r="D10">
        <f>RTD("tos.rtd", , "BID_SIZE", ".SPY150417C203.5")</f>
        <v>0</v>
      </c>
      <c r="E10">
        <f>RTD("tos.rtd", , "VOLUME", ".SPY150417C203.5")</f>
        <v>0</v>
      </c>
      <c r="F10">
        <f>RTD("tos.rtd", , "OPEN_INT", ".SPY150417C203.5")</f>
        <v>0</v>
      </c>
      <c r="G10" t="str">
        <f>RTD("tos.rtd", , "DELTA", ".SPY150417C203.5")</f>
        <v>N/A</v>
      </c>
      <c r="H10" t="str">
        <f>RTD("tos.rtd", , "THETA", ".SPY150417C203.5")</f>
        <v>N/A</v>
      </c>
      <c r="I10" t="str">
        <f>RTD("tos.rtd", , "GAMMA", ".SPY150417C203.5")</f>
        <v>N/A</v>
      </c>
      <c r="J10" t="str">
        <f>RTD("tos.rtd", , "VEGA", ".SPY150417C203.5")</f>
        <v>N/A</v>
      </c>
      <c r="K10" t="str">
        <f>RTD("tos.rtd", , "RHO", ".SPY150417C203.5")</f>
        <v>N/A</v>
      </c>
      <c r="L10">
        <f>RTD("tos.rtd", , "ASK", ".SPY150417P203.5")</f>
        <v>0.01</v>
      </c>
      <c r="M10">
        <f>RTD("tos.rtd", , "ASK_SIZE", ".SPY150417P203.5")</f>
        <v>0</v>
      </c>
      <c r="N10">
        <f>RTD("tos.rtd", , "BID", ".SPY150417P203.5")</f>
        <v>0</v>
      </c>
      <c r="O10">
        <f>RTD("tos.rtd", , "BID_SIZE", ".SPY150417P203.5")</f>
        <v>0</v>
      </c>
      <c r="P10">
        <f>RTD("tos.rtd", , "VOLUME", ".SPY150417P203.5")</f>
        <v>0</v>
      </c>
      <c r="Q10">
        <f>RTD("tos.rtd", , "OPEN_INT", ".SPY150417P203.5")</f>
        <v>14045</v>
      </c>
      <c r="R10" t="str">
        <f>RTD("tos.rtd", , "DELTA", ".SPY150417P203.5")</f>
        <v>N/A</v>
      </c>
      <c r="S10" t="str">
        <f>RTD("tos.rtd", , "THETA", ".SPY150417P203.5")</f>
        <v>N/A</v>
      </c>
      <c r="T10" t="str">
        <f>RTD("tos.rtd", , "GAMMA", ".SPY150417P203.5")</f>
        <v>N/A</v>
      </c>
      <c r="U10" t="str">
        <f>RTD("tos.rtd", , "VEGA", ".SPY150417P203.5")</f>
        <v>N/A</v>
      </c>
      <c r="V10" t="str">
        <f>RTD("tos.rtd", , "RHO", ".SPY150417P203.5")</f>
        <v>N/A</v>
      </c>
    </row>
    <row r="11" spans="1:22" x14ac:dyDescent="0.25">
      <c r="A11">
        <f>RTD("tos.rtd", , "ASK", ".SPY150417C204")</f>
        <v>4.26</v>
      </c>
      <c r="B11">
        <f>RTD("tos.rtd", , "ASK_SIZE", ".SPY150417C204")</f>
        <v>0</v>
      </c>
      <c r="C11">
        <f>RTD("tos.rtd", , "BID", ".SPY150417C204")</f>
        <v>4</v>
      </c>
      <c r="D11">
        <f>RTD("tos.rtd", , "BID_SIZE", ".SPY150417C204")</f>
        <v>0</v>
      </c>
      <c r="E11">
        <f>RTD("tos.rtd", , "VOLUME", ".SPY150417C204")</f>
        <v>0</v>
      </c>
      <c r="F11">
        <f>RTD("tos.rtd", , "OPEN_INT", ".SPY150417C204")</f>
        <v>0</v>
      </c>
      <c r="G11" t="str">
        <f>RTD("tos.rtd", , "DELTA", ".SPY150417C204")</f>
        <v>N/A</v>
      </c>
      <c r="H11" t="str">
        <f>RTD("tos.rtd", , "THETA", ".SPY150417C204")</f>
        <v>N/A</v>
      </c>
      <c r="I11" t="str">
        <f>RTD("tos.rtd", , "GAMMA", ".SPY150417C204")</f>
        <v>N/A</v>
      </c>
      <c r="J11" t="str">
        <f>RTD("tos.rtd", , "VEGA", ".SPY150417C204")</f>
        <v>N/A</v>
      </c>
      <c r="K11" t="str">
        <f>RTD("tos.rtd", , "RHO", ".SPY150417C204")</f>
        <v>N/A</v>
      </c>
      <c r="L11">
        <f>RTD("tos.rtd", , "ASK", ".SPY150417P204")</f>
        <v>0.01</v>
      </c>
      <c r="M11">
        <f>RTD("tos.rtd", , "ASK_SIZE", ".SPY150417P204")</f>
        <v>0</v>
      </c>
      <c r="N11">
        <f>RTD("tos.rtd", , "BID", ".SPY150417P204")</f>
        <v>0</v>
      </c>
      <c r="O11">
        <f>RTD("tos.rtd", , "BID_SIZE", ".SPY150417P204")</f>
        <v>0</v>
      </c>
      <c r="P11">
        <f>RTD("tos.rtd", , "VOLUME", ".SPY150417P204")</f>
        <v>0</v>
      </c>
      <c r="Q11">
        <f>RTD("tos.rtd", , "OPEN_INT", ".SPY150417P204")</f>
        <v>100332</v>
      </c>
      <c r="R11" t="str">
        <f>RTD("tos.rtd", , "DELTA", ".SPY150417P204")</f>
        <v>N/A</v>
      </c>
      <c r="S11" t="str">
        <f>RTD("tos.rtd", , "THETA", ".SPY150417P204")</f>
        <v>N/A</v>
      </c>
      <c r="T11" t="str">
        <f>RTD("tos.rtd", , "GAMMA", ".SPY150417P204")</f>
        <v>N/A</v>
      </c>
      <c r="U11" t="str">
        <f>RTD("tos.rtd", , "VEGA", ".SPY150417P204")</f>
        <v>N/A</v>
      </c>
      <c r="V11" t="str">
        <f>RTD("tos.rtd", , "RHO", ".SPY150417P204")</f>
        <v>N/A</v>
      </c>
    </row>
    <row r="12" spans="1:22" x14ac:dyDescent="0.25">
      <c r="A12">
        <f>RTD("tos.rtd", , "ASK", ".SPY150417C204.5")</f>
        <v>3.74</v>
      </c>
      <c r="B12">
        <f>RTD("tos.rtd", , "ASK_SIZE", ".SPY150417C204.5")</f>
        <v>0</v>
      </c>
      <c r="C12">
        <f>RTD("tos.rtd", , "BID", ".SPY150417C204.5")</f>
        <v>3.51</v>
      </c>
      <c r="D12">
        <f>RTD("tos.rtd", , "BID_SIZE", ".SPY150417C204.5")</f>
        <v>0</v>
      </c>
      <c r="E12">
        <f>RTD("tos.rtd", , "VOLUME", ".SPY150417C204.5")</f>
        <v>0</v>
      </c>
      <c r="F12">
        <f>RTD("tos.rtd", , "OPEN_INT", ".SPY150417C204.5")</f>
        <v>0</v>
      </c>
      <c r="G12" t="str">
        <f>RTD("tos.rtd", , "DELTA", ".SPY150417C204.5")</f>
        <v>N/A</v>
      </c>
      <c r="H12" t="str">
        <f>RTD("tos.rtd", , "THETA", ".SPY150417C204.5")</f>
        <v>N/A</v>
      </c>
      <c r="I12" t="str">
        <f>RTD("tos.rtd", , "GAMMA", ".SPY150417C204.5")</f>
        <v>N/A</v>
      </c>
      <c r="J12" t="str">
        <f>RTD("tos.rtd", , "VEGA", ".SPY150417C204.5")</f>
        <v>N/A</v>
      </c>
      <c r="K12" t="str">
        <f>RTD("tos.rtd", , "RHO", ".SPY150417C204.5")</f>
        <v>N/A</v>
      </c>
      <c r="L12">
        <f>RTD("tos.rtd", , "ASK", ".SPY150417P204.5")</f>
        <v>0.01</v>
      </c>
      <c r="M12">
        <f>RTD("tos.rtd", , "ASK_SIZE", ".SPY150417P204.5")</f>
        <v>0</v>
      </c>
      <c r="N12">
        <f>RTD("tos.rtd", , "BID", ".SPY150417P204.5")</f>
        <v>0</v>
      </c>
      <c r="O12">
        <f>RTD("tos.rtd", , "BID_SIZE", ".SPY150417P204.5")</f>
        <v>0</v>
      </c>
      <c r="P12">
        <f>RTD("tos.rtd", , "VOLUME", ".SPY150417P204.5")</f>
        <v>0</v>
      </c>
      <c r="Q12">
        <f>RTD("tos.rtd", , "OPEN_INT", ".SPY150417P204.5")</f>
        <v>25356</v>
      </c>
      <c r="R12" t="str">
        <f>RTD("tos.rtd", , "DELTA", ".SPY150417P204.5")</f>
        <v>N/A</v>
      </c>
      <c r="S12" t="str">
        <f>RTD("tos.rtd", , "THETA", ".SPY150417P204.5")</f>
        <v>N/A</v>
      </c>
      <c r="T12" t="str">
        <f>RTD("tos.rtd", , "GAMMA", ".SPY150417P204.5")</f>
        <v>N/A</v>
      </c>
      <c r="U12" t="str">
        <f>RTD("tos.rtd", , "VEGA", ".SPY150417P204.5")</f>
        <v>N/A</v>
      </c>
      <c r="V12" t="str">
        <f>RTD("tos.rtd", , "RHO", ".SPY150417P204.5")</f>
        <v>N/A</v>
      </c>
    </row>
    <row r="13" spans="1:22" x14ac:dyDescent="0.25">
      <c r="A13">
        <f>RTD("tos.rtd", , "ASK", ".SPY150417C205")</f>
        <v>3.24</v>
      </c>
      <c r="B13">
        <f>RTD("tos.rtd", , "ASK_SIZE", ".SPY150417C205")</f>
        <v>0</v>
      </c>
      <c r="C13">
        <f>RTD("tos.rtd", , "BID", ".SPY150417C205")</f>
        <v>3.03</v>
      </c>
      <c r="D13">
        <f>RTD("tos.rtd", , "BID_SIZE", ".SPY150417C205")</f>
        <v>0</v>
      </c>
      <c r="E13">
        <f>RTD("tos.rtd", , "VOLUME", ".SPY150417C205")</f>
        <v>0</v>
      </c>
      <c r="F13">
        <f>RTD("tos.rtd", , "OPEN_INT", ".SPY150417C205")</f>
        <v>0</v>
      </c>
      <c r="G13" t="str">
        <f>RTD("tos.rtd", , "DELTA", ".SPY150417C205")</f>
        <v>N/A</v>
      </c>
      <c r="H13" t="str">
        <f>RTD("tos.rtd", , "THETA", ".SPY150417C205")</f>
        <v>N/A</v>
      </c>
      <c r="I13" t="str">
        <f>RTD("tos.rtd", , "GAMMA", ".SPY150417C205")</f>
        <v>N/A</v>
      </c>
      <c r="J13" t="str">
        <f>RTD("tos.rtd", , "VEGA", ".SPY150417C205")</f>
        <v>N/A</v>
      </c>
      <c r="K13" t="str">
        <f>RTD("tos.rtd", , "RHO", ".SPY150417C205")</f>
        <v>N/A</v>
      </c>
      <c r="L13">
        <f>RTD("tos.rtd", , "ASK", ".SPY150417P205")</f>
        <v>0.01</v>
      </c>
      <c r="M13">
        <f>RTD("tos.rtd", , "ASK_SIZE", ".SPY150417P205")</f>
        <v>0</v>
      </c>
      <c r="N13">
        <f>RTD("tos.rtd", , "BID", ".SPY150417P205")</f>
        <v>0</v>
      </c>
      <c r="O13">
        <f>RTD("tos.rtd", , "BID_SIZE", ".SPY150417P205")</f>
        <v>0</v>
      </c>
      <c r="P13">
        <f>RTD("tos.rtd", , "VOLUME", ".SPY150417P205")</f>
        <v>0</v>
      </c>
      <c r="Q13">
        <f>RTD("tos.rtd", , "OPEN_INT", ".SPY150417P205")</f>
        <v>161563</v>
      </c>
      <c r="R13" t="str">
        <f>RTD("tos.rtd", , "DELTA", ".SPY150417P205")</f>
        <v>N/A</v>
      </c>
      <c r="S13" t="str">
        <f>RTD("tos.rtd", , "THETA", ".SPY150417P205")</f>
        <v>N/A</v>
      </c>
      <c r="T13" t="str">
        <f>RTD("tos.rtd", , "GAMMA", ".SPY150417P205")</f>
        <v>N/A</v>
      </c>
      <c r="U13" t="str">
        <f>RTD("tos.rtd", , "VEGA", ".SPY150417P205")</f>
        <v>N/A</v>
      </c>
      <c r="V13" t="str">
        <f>RTD("tos.rtd", , "RHO", ".SPY150417P205")</f>
        <v>N/A</v>
      </c>
    </row>
    <row r="14" spans="1:22" x14ac:dyDescent="0.25">
      <c r="A14">
        <f>RTD("tos.rtd", , "ASK", ".SPY150417C205.5")</f>
        <v>2.74</v>
      </c>
      <c r="B14">
        <f>RTD("tos.rtd", , "ASK_SIZE", ".SPY150417C205.5")</f>
        <v>0</v>
      </c>
      <c r="C14">
        <f>RTD("tos.rtd", , "BID", ".SPY150417C205.5")</f>
        <v>2.5299999999999998</v>
      </c>
      <c r="D14">
        <f>RTD("tos.rtd", , "BID_SIZE", ".SPY150417C205.5")</f>
        <v>0</v>
      </c>
      <c r="E14">
        <f>RTD("tos.rtd", , "VOLUME", ".SPY150417C205.5")</f>
        <v>0</v>
      </c>
      <c r="F14">
        <f>RTD("tos.rtd", , "OPEN_INT", ".SPY150417C205.5")</f>
        <v>0</v>
      </c>
      <c r="G14" t="str">
        <f>RTD("tos.rtd", , "DELTA", ".SPY150417C205.5")</f>
        <v>N/A</v>
      </c>
      <c r="H14" t="str">
        <f>RTD("tos.rtd", , "THETA", ".SPY150417C205.5")</f>
        <v>N/A</v>
      </c>
      <c r="I14" t="str">
        <f>RTD("tos.rtd", , "GAMMA", ".SPY150417C205.5")</f>
        <v>N/A</v>
      </c>
      <c r="J14" t="str">
        <f>RTD("tos.rtd", , "VEGA", ".SPY150417C205.5")</f>
        <v>N/A</v>
      </c>
      <c r="K14" t="str">
        <f>RTD("tos.rtd", , "RHO", ".SPY150417C205.5")</f>
        <v>N/A</v>
      </c>
      <c r="L14">
        <f>RTD("tos.rtd", , "ASK", ".SPY150417P205.5")</f>
        <v>0.01</v>
      </c>
      <c r="M14">
        <f>RTD("tos.rtd", , "ASK_SIZE", ".SPY150417P205.5")</f>
        <v>0</v>
      </c>
      <c r="N14">
        <f>RTD("tos.rtd", , "BID", ".SPY150417P205.5")</f>
        <v>0</v>
      </c>
      <c r="O14">
        <f>RTD("tos.rtd", , "BID_SIZE", ".SPY150417P205.5")</f>
        <v>0</v>
      </c>
      <c r="P14">
        <f>RTD("tos.rtd", , "VOLUME", ".SPY150417P205.5")</f>
        <v>0</v>
      </c>
      <c r="Q14">
        <f>RTD("tos.rtd", , "OPEN_INT", ".SPY150417P205.5")</f>
        <v>41137</v>
      </c>
      <c r="R14" t="str">
        <f>RTD("tos.rtd", , "DELTA", ".SPY150417P205.5")</f>
        <v>N/A</v>
      </c>
      <c r="S14" t="str">
        <f>RTD("tos.rtd", , "THETA", ".SPY150417P205.5")</f>
        <v>N/A</v>
      </c>
      <c r="T14" t="str">
        <f>RTD("tos.rtd", , "GAMMA", ".SPY150417P205.5")</f>
        <v>N/A</v>
      </c>
      <c r="U14" t="str">
        <f>RTD("tos.rtd", , "VEGA", ".SPY150417P205.5")</f>
        <v>N/A</v>
      </c>
      <c r="V14" t="str">
        <f>RTD("tos.rtd", , "RHO", ".SPY150417P205.5")</f>
        <v>N/A</v>
      </c>
    </row>
    <row r="15" spans="1:22" x14ac:dyDescent="0.25">
      <c r="A15">
        <f>RTD("tos.rtd", , "ASK", ".SPY150417C206")</f>
        <v>2.15</v>
      </c>
      <c r="B15">
        <f>RTD("tos.rtd", , "ASK_SIZE", ".SPY150417C206")</f>
        <v>0</v>
      </c>
      <c r="C15">
        <f>RTD("tos.rtd", , "BID", ".SPY150417C206")</f>
        <v>2.08</v>
      </c>
      <c r="D15">
        <f>RTD("tos.rtd", , "BID_SIZE", ".SPY150417C206")</f>
        <v>0</v>
      </c>
      <c r="E15">
        <f>RTD("tos.rtd", , "VOLUME", ".SPY150417C206")</f>
        <v>0</v>
      </c>
      <c r="F15">
        <f>RTD("tos.rtd", , "OPEN_INT", ".SPY150417C206")</f>
        <v>0</v>
      </c>
      <c r="G15" t="str">
        <f>RTD("tos.rtd", , "DELTA", ".SPY150417C206")</f>
        <v>N/A</v>
      </c>
      <c r="H15" t="str">
        <f>RTD("tos.rtd", , "THETA", ".SPY150417C206")</f>
        <v>N/A</v>
      </c>
      <c r="I15" t="str">
        <f>RTD("tos.rtd", , "GAMMA", ".SPY150417C206")</f>
        <v>N/A</v>
      </c>
      <c r="J15" t="str">
        <f>RTD("tos.rtd", , "VEGA", ".SPY150417C206")</f>
        <v>N/A</v>
      </c>
      <c r="K15" t="str">
        <f>RTD("tos.rtd", , "RHO", ".SPY150417C206")</f>
        <v>N/A</v>
      </c>
      <c r="L15">
        <f>RTD("tos.rtd", , "ASK", ".SPY150417P206")</f>
        <v>0.01</v>
      </c>
      <c r="M15">
        <f>RTD("tos.rtd", , "ASK_SIZE", ".SPY150417P206")</f>
        <v>0</v>
      </c>
      <c r="N15">
        <f>RTD("tos.rtd", , "BID", ".SPY150417P206")</f>
        <v>0</v>
      </c>
      <c r="O15">
        <f>RTD("tos.rtd", , "BID_SIZE", ".SPY150417P206")</f>
        <v>0</v>
      </c>
      <c r="P15">
        <f>RTD("tos.rtd", , "VOLUME", ".SPY150417P206")</f>
        <v>0</v>
      </c>
      <c r="Q15">
        <f>RTD("tos.rtd", , "OPEN_INT", ".SPY150417P206")</f>
        <v>114485</v>
      </c>
      <c r="R15" t="str">
        <f>RTD("tos.rtd", , "DELTA", ".SPY150417P206")</f>
        <v>N/A</v>
      </c>
      <c r="S15" t="str">
        <f>RTD("tos.rtd", , "THETA", ".SPY150417P206")</f>
        <v>N/A</v>
      </c>
      <c r="T15" t="str">
        <f>RTD("tos.rtd", , "GAMMA", ".SPY150417P206")</f>
        <v>N/A</v>
      </c>
      <c r="U15" t="str">
        <f>RTD("tos.rtd", , "VEGA", ".SPY150417P206")</f>
        <v>N/A</v>
      </c>
      <c r="V15" t="str">
        <f>RTD("tos.rtd", , "RHO", ".SPY150417P206")</f>
        <v>N/A</v>
      </c>
    </row>
    <row r="16" spans="1:22" x14ac:dyDescent="0.25">
      <c r="A16">
        <f>RTD("tos.rtd", , "ASK", ".SPY150417C206.5")</f>
        <v>1.65</v>
      </c>
      <c r="B16">
        <f>RTD("tos.rtd", , "ASK_SIZE", ".SPY150417C206.5")</f>
        <v>0</v>
      </c>
      <c r="C16">
        <f>RTD("tos.rtd", , "BID", ".SPY150417C206.5")</f>
        <v>1.58</v>
      </c>
      <c r="D16">
        <f>RTD("tos.rtd", , "BID_SIZE", ".SPY150417C206.5")</f>
        <v>0</v>
      </c>
      <c r="E16">
        <f>RTD("tos.rtd", , "VOLUME", ".SPY150417C206.5")</f>
        <v>0</v>
      </c>
      <c r="F16">
        <f>RTD("tos.rtd", , "OPEN_INT", ".SPY150417C206.5")</f>
        <v>0</v>
      </c>
      <c r="G16" t="str">
        <f>RTD("tos.rtd", , "DELTA", ".SPY150417C206.5")</f>
        <v>N/A</v>
      </c>
      <c r="H16" t="str">
        <f>RTD("tos.rtd", , "THETA", ".SPY150417C206.5")</f>
        <v>N/A</v>
      </c>
      <c r="I16" t="str">
        <f>RTD("tos.rtd", , "GAMMA", ".SPY150417C206.5")</f>
        <v>N/A</v>
      </c>
      <c r="J16" t="str">
        <f>RTD("tos.rtd", , "VEGA", ".SPY150417C206.5")</f>
        <v>N/A</v>
      </c>
      <c r="K16" t="str">
        <f>RTD("tos.rtd", , "RHO", ".SPY150417C206.5")</f>
        <v>N/A</v>
      </c>
      <c r="L16">
        <f>RTD("tos.rtd", , "ASK", ".SPY150417P206.5")</f>
        <v>0.01</v>
      </c>
      <c r="M16">
        <f>RTD("tos.rtd", , "ASK_SIZE", ".SPY150417P206.5")</f>
        <v>0</v>
      </c>
      <c r="N16">
        <f>RTD("tos.rtd", , "BID", ".SPY150417P206.5")</f>
        <v>0</v>
      </c>
      <c r="O16">
        <f>RTD("tos.rtd", , "BID_SIZE", ".SPY150417P206.5")</f>
        <v>0</v>
      </c>
      <c r="P16">
        <f>RTD("tos.rtd", , "VOLUME", ".SPY150417P206.5")</f>
        <v>0</v>
      </c>
      <c r="Q16">
        <f>RTD("tos.rtd", , "OPEN_INT", ".SPY150417P206.5")</f>
        <v>19003</v>
      </c>
      <c r="R16" t="str">
        <f>RTD("tos.rtd", , "DELTA", ".SPY150417P206.5")</f>
        <v>N/A</v>
      </c>
      <c r="S16" t="str">
        <f>RTD("tos.rtd", , "THETA", ".SPY150417P206.5")</f>
        <v>N/A</v>
      </c>
      <c r="T16" t="str">
        <f>RTD("tos.rtd", , "GAMMA", ".SPY150417P206.5")</f>
        <v>N/A</v>
      </c>
      <c r="U16" t="str">
        <f>RTD("tos.rtd", , "VEGA", ".SPY150417P206.5")</f>
        <v>N/A</v>
      </c>
      <c r="V16" t="str">
        <f>RTD("tos.rtd", , "RHO", ".SPY150417P206.5")</f>
        <v>N/A</v>
      </c>
    </row>
    <row r="17" spans="1:22" x14ac:dyDescent="0.25">
      <c r="A17">
        <f>RTD("tos.rtd", , "ASK", ".SPY150417C207")</f>
        <v>1.1499999999999999</v>
      </c>
      <c r="B17">
        <f>RTD("tos.rtd", , "ASK_SIZE", ".SPY150417C207")</f>
        <v>0</v>
      </c>
      <c r="C17">
        <f>RTD("tos.rtd", , "BID", ".SPY150417C207")</f>
        <v>1.08</v>
      </c>
      <c r="D17">
        <f>RTD("tos.rtd", , "BID_SIZE", ".SPY150417C207")</f>
        <v>0</v>
      </c>
      <c r="E17">
        <f>RTD("tos.rtd", , "VOLUME", ".SPY150417C207")</f>
        <v>0</v>
      </c>
      <c r="F17">
        <f>RTD("tos.rtd", , "OPEN_INT", ".SPY150417C207")</f>
        <v>0</v>
      </c>
      <c r="G17" t="str">
        <f>RTD("tos.rtd", , "DELTA", ".SPY150417C207")</f>
        <v>N/A</v>
      </c>
      <c r="H17" t="str">
        <f>RTD("tos.rtd", , "THETA", ".SPY150417C207")</f>
        <v>N/A</v>
      </c>
      <c r="I17" t="str">
        <f>RTD("tos.rtd", , "GAMMA", ".SPY150417C207")</f>
        <v>N/A</v>
      </c>
      <c r="J17" t="str">
        <f>RTD("tos.rtd", , "VEGA", ".SPY150417C207")</f>
        <v>N/A</v>
      </c>
      <c r="K17" t="str">
        <f>RTD("tos.rtd", , "RHO", ".SPY150417C207")</f>
        <v>N/A</v>
      </c>
      <c r="L17">
        <f>RTD("tos.rtd", , "ASK", ".SPY150417P207")</f>
        <v>0.01</v>
      </c>
      <c r="M17">
        <f>RTD("tos.rtd", , "ASK_SIZE", ".SPY150417P207")</f>
        <v>0</v>
      </c>
      <c r="N17">
        <f>RTD("tos.rtd", , "BID", ".SPY150417P207")</f>
        <v>0</v>
      </c>
      <c r="O17">
        <f>RTD("tos.rtd", , "BID_SIZE", ".SPY150417P207")</f>
        <v>0</v>
      </c>
      <c r="P17">
        <f>RTD("tos.rtd", , "VOLUME", ".SPY150417P207")</f>
        <v>0</v>
      </c>
      <c r="Q17">
        <f>RTD("tos.rtd", , "OPEN_INT", ".SPY150417P207")</f>
        <v>90198</v>
      </c>
      <c r="R17" t="str">
        <f>RTD("tos.rtd", , "DELTA", ".SPY150417P207")</f>
        <v>N/A</v>
      </c>
      <c r="S17" t="str">
        <f>RTD("tos.rtd", , "THETA", ".SPY150417P207")</f>
        <v>N/A</v>
      </c>
      <c r="T17" t="str">
        <f>RTD("tos.rtd", , "GAMMA", ".SPY150417P207")</f>
        <v>N/A</v>
      </c>
      <c r="U17" t="str">
        <f>RTD("tos.rtd", , "VEGA", ".SPY150417P207")</f>
        <v>N/A</v>
      </c>
      <c r="V17" t="str">
        <f>RTD("tos.rtd", , "RHO", ".SPY150417P207")</f>
        <v>N/A</v>
      </c>
    </row>
    <row r="18" spans="1:22" x14ac:dyDescent="0.25">
      <c r="A18">
        <f>RTD("tos.rtd", , "ASK", ".SPY150417C207.5")</f>
        <v>0.65</v>
      </c>
      <c r="B18">
        <f>RTD("tos.rtd", , "ASK_SIZE", ".SPY150417C207.5")</f>
        <v>0</v>
      </c>
      <c r="C18">
        <f>RTD("tos.rtd", , "BID", ".SPY150417C207.5")</f>
        <v>0.59</v>
      </c>
      <c r="D18">
        <f>RTD("tos.rtd", , "BID_SIZE", ".SPY150417C207.5")</f>
        <v>0</v>
      </c>
      <c r="E18">
        <f>RTD("tos.rtd", , "VOLUME", ".SPY150417C207.5")</f>
        <v>0</v>
      </c>
      <c r="F18">
        <f>RTD("tos.rtd", , "OPEN_INT", ".SPY150417C207.5")</f>
        <v>0</v>
      </c>
      <c r="G18" t="str">
        <f>RTD("tos.rtd", , "DELTA", ".SPY150417C207.5")</f>
        <v>N/A</v>
      </c>
      <c r="H18" t="str">
        <f>RTD("tos.rtd", , "THETA", ".SPY150417C207.5")</f>
        <v>N/A</v>
      </c>
      <c r="I18" t="str">
        <f>RTD("tos.rtd", , "GAMMA", ".SPY150417C207.5")</f>
        <v>N/A</v>
      </c>
      <c r="J18" t="str">
        <f>RTD("tos.rtd", , "VEGA", ".SPY150417C207.5")</f>
        <v>N/A</v>
      </c>
      <c r="K18" t="str">
        <f>RTD("tos.rtd", , "RHO", ".SPY150417C207.5")</f>
        <v>N/A</v>
      </c>
      <c r="L18">
        <f>RTD("tos.rtd", , "ASK", ".SPY150417P207.5")</f>
        <v>0.01</v>
      </c>
      <c r="M18">
        <f>RTD("tos.rtd", , "ASK_SIZE", ".SPY150417P207.5")</f>
        <v>0</v>
      </c>
      <c r="N18">
        <f>RTD("tos.rtd", , "BID", ".SPY150417P207.5")</f>
        <v>0</v>
      </c>
      <c r="O18">
        <f>RTD("tos.rtd", , "BID_SIZE", ".SPY150417P207.5")</f>
        <v>0</v>
      </c>
      <c r="P18">
        <f>RTD("tos.rtd", , "VOLUME", ".SPY150417P207.5")</f>
        <v>0</v>
      </c>
      <c r="Q18">
        <f>RTD("tos.rtd", , "OPEN_INT", ".SPY150417P207.5")</f>
        <v>23279</v>
      </c>
      <c r="R18" t="str">
        <f>RTD("tos.rtd", , "DELTA", ".SPY150417P207.5")</f>
        <v>N/A</v>
      </c>
      <c r="S18" t="str">
        <f>RTD("tos.rtd", , "THETA", ".SPY150417P207.5")</f>
        <v>N/A</v>
      </c>
      <c r="T18" t="str">
        <f>RTD("tos.rtd", , "GAMMA", ".SPY150417P207.5")</f>
        <v>N/A</v>
      </c>
      <c r="U18" t="str">
        <f>RTD("tos.rtd", , "VEGA", ".SPY150417P207.5")</f>
        <v>N/A</v>
      </c>
      <c r="V18" t="str">
        <f>RTD("tos.rtd", , "RHO", ".SPY150417P207.5")</f>
        <v>N/A</v>
      </c>
    </row>
    <row r="19" spans="1:22" x14ac:dyDescent="0.25">
      <c r="A19">
        <f>RTD("tos.rtd", , "ASK", ".SPY150417C208")</f>
        <v>0.13</v>
      </c>
      <c r="B19">
        <f>RTD("tos.rtd", , "ASK_SIZE", ".SPY150417C208")</f>
        <v>0</v>
      </c>
      <c r="C19">
        <f>RTD("tos.rtd", , "BID", ".SPY150417C208")</f>
        <v>0.12</v>
      </c>
      <c r="D19">
        <f>RTD("tos.rtd", , "BID_SIZE", ".SPY150417C208")</f>
        <v>0</v>
      </c>
      <c r="E19">
        <f>RTD("tos.rtd", , "VOLUME", ".SPY150417C208")</f>
        <v>0</v>
      </c>
      <c r="F19">
        <f>RTD("tos.rtd", , "OPEN_INT", ".SPY150417C208")</f>
        <v>2651</v>
      </c>
      <c r="G19" t="str">
        <f>RTD("tos.rtd", , "DELTA", ".SPY150417C208")</f>
        <v>N/A</v>
      </c>
      <c r="H19" t="str">
        <f>RTD("tos.rtd", , "THETA", ".SPY150417C208")</f>
        <v>N/A</v>
      </c>
      <c r="I19" t="str">
        <f>RTD("tos.rtd", , "GAMMA", ".SPY150417C208")</f>
        <v>N/A</v>
      </c>
      <c r="J19" t="str">
        <f>RTD("tos.rtd", , "VEGA", ".SPY150417C208")</f>
        <v>N/A</v>
      </c>
      <c r="K19" t="str">
        <f>RTD("tos.rtd", , "RHO", ".SPY150417C208")</f>
        <v>N/A</v>
      </c>
      <c r="L19">
        <f>RTD("tos.rtd", , "ASK", ".SPY150417P208")</f>
        <v>0.02</v>
      </c>
      <c r="M19">
        <f>RTD("tos.rtd", , "ASK_SIZE", ".SPY150417P208")</f>
        <v>0</v>
      </c>
      <c r="N19">
        <f>RTD("tos.rtd", , "BID", ".SPY150417P208")</f>
        <v>0.01</v>
      </c>
      <c r="O19">
        <f>RTD("tos.rtd", , "BID_SIZE", ".SPY150417P208")</f>
        <v>0</v>
      </c>
      <c r="P19">
        <f>RTD("tos.rtd", , "VOLUME", ".SPY150417P208")</f>
        <v>0</v>
      </c>
      <c r="Q19">
        <f>RTD("tos.rtd", , "OPEN_INT", ".SPY150417P208")</f>
        <v>26003</v>
      </c>
      <c r="R19" t="str">
        <f>RTD("tos.rtd", , "DELTA", ".SPY150417P208")</f>
        <v>N/A</v>
      </c>
      <c r="S19" t="str">
        <f>RTD("tos.rtd", , "THETA", ".SPY150417P208")</f>
        <v>N/A</v>
      </c>
      <c r="T19" t="str">
        <f>RTD("tos.rtd", , "GAMMA", ".SPY150417P208")</f>
        <v>N/A</v>
      </c>
      <c r="U19" t="str">
        <f>RTD("tos.rtd", , "VEGA", ".SPY150417P208")</f>
        <v>N/A</v>
      </c>
      <c r="V19" t="str">
        <f>RTD("tos.rtd", , "RHO", ".SPY150417P208")</f>
        <v>N/A</v>
      </c>
    </row>
    <row r="20" spans="1:22" x14ac:dyDescent="0.25">
      <c r="A20">
        <f>RTD("tos.rtd", , "ASK", ".SPY150417C208.5")</f>
        <v>0.01</v>
      </c>
      <c r="B20">
        <f>RTD("tos.rtd", , "ASK_SIZE", ".SPY150417C208.5")</f>
        <v>0</v>
      </c>
      <c r="C20">
        <f>RTD("tos.rtd", , "BID", ".SPY150417C208.5")</f>
        <v>0</v>
      </c>
      <c r="D20">
        <f>RTD("tos.rtd", , "BID_SIZE", ".SPY150417C208.5")</f>
        <v>0</v>
      </c>
      <c r="E20">
        <f>RTD("tos.rtd", , "VOLUME", ".SPY150417C208.5")</f>
        <v>0</v>
      </c>
      <c r="F20">
        <f>RTD("tos.rtd", , "OPEN_INT", ".SPY150417C208.5")</f>
        <v>28543</v>
      </c>
      <c r="G20" t="str">
        <f>RTD("tos.rtd", , "DELTA", ".SPY150417C208.5")</f>
        <v>N/A</v>
      </c>
      <c r="H20" t="str">
        <f>RTD("tos.rtd", , "THETA", ".SPY150417C208.5")</f>
        <v>N/A</v>
      </c>
      <c r="I20" t="str">
        <f>RTD("tos.rtd", , "GAMMA", ".SPY150417C208.5")</f>
        <v>N/A</v>
      </c>
      <c r="J20" t="str">
        <f>RTD("tos.rtd", , "VEGA", ".SPY150417C208.5")</f>
        <v>N/A</v>
      </c>
      <c r="K20" t="str">
        <f>RTD("tos.rtd", , "RHO", ".SPY150417C208.5")</f>
        <v>N/A</v>
      </c>
      <c r="L20">
        <f>RTD("tos.rtd", , "ASK", ".SPY150417P208.5")</f>
        <v>0.4</v>
      </c>
      <c r="M20">
        <f>RTD("tos.rtd", , "ASK_SIZE", ".SPY150417P208.5")</f>
        <v>0</v>
      </c>
      <c r="N20">
        <f>RTD("tos.rtd", , "BID", ".SPY150417P208.5")</f>
        <v>0.36</v>
      </c>
      <c r="O20">
        <f>RTD("tos.rtd", , "BID_SIZE", ".SPY150417P208.5")</f>
        <v>0</v>
      </c>
      <c r="P20">
        <f>RTD("tos.rtd", , "VOLUME", ".SPY150417P208.5")</f>
        <v>0</v>
      </c>
      <c r="Q20">
        <f>RTD("tos.rtd", , "OPEN_INT", ".SPY150417P208.5")</f>
        <v>1</v>
      </c>
      <c r="R20" t="str">
        <f>RTD("tos.rtd", , "DELTA", ".SPY150417P208.5")</f>
        <v>N/A</v>
      </c>
      <c r="S20" t="str">
        <f>RTD("tos.rtd", , "THETA", ".SPY150417P208.5")</f>
        <v>N/A</v>
      </c>
      <c r="T20" t="str">
        <f>RTD("tos.rtd", , "GAMMA", ".SPY150417P208.5")</f>
        <v>N/A</v>
      </c>
      <c r="U20" t="str">
        <f>RTD("tos.rtd", , "VEGA", ".SPY150417P208.5")</f>
        <v>N/A</v>
      </c>
      <c r="V20" t="str">
        <f>RTD("tos.rtd", , "RHO", ".SPY150417P208.5")</f>
        <v>N/A</v>
      </c>
    </row>
    <row r="21" spans="1:22" x14ac:dyDescent="0.25">
      <c r="A21">
        <f>RTD("tos.rtd", , "ASK", ".SPY150417C209")</f>
        <v>0.01</v>
      </c>
      <c r="B21">
        <f>RTD("tos.rtd", , "ASK_SIZE", ".SPY150417C209")</f>
        <v>0</v>
      </c>
      <c r="C21">
        <f>RTD("tos.rtd", , "BID", ".SPY150417C209")</f>
        <v>0</v>
      </c>
      <c r="D21">
        <f>RTD("tos.rtd", , "BID_SIZE", ".SPY150417C209")</f>
        <v>0</v>
      </c>
      <c r="E21">
        <f>RTD("tos.rtd", , "VOLUME", ".SPY150417C209")</f>
        <v>0</v>
      </c>
      <c r="F21">
        <f>RTD("tos.rtd", , "OPEN_INT", ".SPY150417C209")</f>
        <v>44198</v>
      </c>
      <c r="G21" t="str">
        <f>RTD("tos.rtd", , "DELTA", ".SPY150417C209")</f>
        <v>N/A</v>
      </c>
      <c r="H21" t="str">
        <f>RTD("tos.rtd", , "THETA", ".SPY150417C209")</f>
        <v>N/A</v>
      </c>
      <c r="I21" t="str">
        <f>RTD("tos.rtd", , "GAMMA", ".SPY150417C209")</f>
        <v>N/A</v>
      </c>
      <c r="J21" t="str">
        <f>RTD("tos.rtd", , "VEGA", ".SPY150417C209")</f>
        <v>N/A</v>
      </c>
      <c r="K21" t="str">
        <f>RTD("tos.rtd", , "RHO", ".SPY150417C209")</f>
        <v>N/A</v>
      </c>
      <c r="L21">
        <f>RTD("tos.rtd", , "ASK", ".SPY150417P209")</f>
        <v>0.97</v>
      </c>
      <c r="M21">
        <f>RTD("tos.rtd", , "ASK_SIZE", ".SPY150417P209")</f>
        <v>0</v>
      </c>
      <c r="N21">
        <f>RTD("tos.rtd", , "BID", ".SPY150417P209")</f>
        <v>0.83</v>
      </c>
      <c r="O21">
        <f>RTD("tos.rtd", , "BID_SIZE", ".SPY150417P209")</f>
        <v>0</v>
      </c>
      <c r="P21">
        <f>RTD("tos.rtd", , "VOLUME", ".SPY150417P209")</f>
        <v>0</v>
      </c>
      <c r="Q21">
        <f>RTD("tos.rtd", , "OPEN_INT", ".SPY150417P209")</f>
        <v>10</v>
      </c>
      <c r="R21" t="str">
        <f>RTD("tos.rtd", , "DELTA", ".SPY150417P209")</f>
        <v>N/A</v>
      </c>
      <c r="S21" t="str">
        <f>RTD("tos.rtd", , "THETA", ".SPY150417P209")</f>
        <v>N/A</v>
      </c>
      <c r="T21" t="str">
        <f>RTD("tos.rtd", , "GAMMA", ".SPY150417P209")</f>
        <v>N/A</v>
      </c>
      <c r="U21" t="str">
        <f>RTD("tos.rtd", , "VEGA", ".SPY150417P209")</f>
        <v>N/A</v>
      </c>
      <c r="V21" t="str">
        <f>RTD("tos.rtd", , "RHO", ".SPY150417P209")</f>
        <v>N/A</v>
      </c>
    </row>
    <row r="22" spans="1:22" x14ac:dyDescent="0.25">
      <c r="A22">
        <f>RTD("tos.rtd", , "ASK", ".SPY150417C209.5")</f>
        <v>0.01</v>
      </c>
      <c r="B22">
        <f>RTD("tos.rtd", , "ASK_SIZE", ".SPY150417C209.5")</f>
        <v>0</v>
      </c>
      <c r="C22">
        <f>RTD("tos.rtd", , "BID", ".SPY150417C209.5")</f>
        <v>0</v>
      </c>
      <c r="D22">
        <f>RTD("tos.rtd", , "BID_SIZE", ".SPY150417C209.5")</f>
        <v>0</v>
      </c>
      <c r="E22">
        <f>RTD("tos.rtd", , "VOLUME", ".SPY150417C209.5")</f>
        <v>0</v>
      </c>
      <c r="F22">
        <f>RTD("tos.rtd", , "OPEN_INT", ".SPY150417C209.5")</f>
        <v>39560</v>
      </c>
      <c r="G22" t="str">
        <f>RTD("tos.rtd", , "DELTA", ".SPY150417C209.5")</f>
        <v>N/A</v>
      </c>
      <c r="H22" t="str">
        <f>RTD("tos.rtd", , "THETA", ".SPY150417C209.5")</f>
        <v>N/A</v>
      </c>
      <c r="I22" t="str">
        <f>RTD("tos.rtd", , "GAMMA", ".SPY150417C209.5")</f>
        <v>N/A</v>
      </c>
      <c r="J22" t="str">
        <f>RTD("tos.rtd", , "VEGA", ".SPY150417C209.5")</f>
        <v>N/A</v>
      </c>
      <c r="K22" t="str">
        <f>RTD("tos.rtd", , "RHO", ".SPY150417C209.5")</f>
        <v>N/A</v>
      </c>
      <c r="L22">
        <f>RTD("tos.rtd", , "ASK", ".SPY150417P209.5")</f>
        <v>1.47</v>
      </c>
      <c r="M22">
        <f>RTD("tos.rtd", , "ASK_SIZE", ".SPY150417P209.5")</f>
        <v>0</v>
      </c>
      <c r="N22">
        <f>RTD("tos.rtd", , "BID", ".SPY150417P209.5")</f>
        <v>1.28</v>
      </c>
      <c r="O22">
        <f>RTD("tos.rtd", , "BID_SIZE", ".SPY150417P209.5")</f>
        <v>0</v>
      </c>
      <c r="P22">
        <f>RTD("tos.rtd", , "VOLUME", ".SPY150417P209.5")</f>
        <v>0</v>
      </c>
      <c r="Q22">
        <f>RTD("tos.rtd", , "OPEN_INT", ".SPY150417P209.5")</f>
        <v>0</v>
      </c>
      <c r="R22" t="str">
        <f>RTD("tos.rtd", , "DELTA", ".SPY150417P209.5")</f>
        <v>N/A</v>
      </c>
      <c r="S22" t="str">
        <f>RTD("tos.rtd", , "THETA", ".SPY150417P209.5")</f>
        <v>N/A</v>
      </c>
      <c r="T22" t="str">
        <f>RTD("tos.rtd", , "GAMMA", ".SPY150417P209.5")</f>
        <v>N/A</v>
      </c>
      <c r="U22" t="str">
        <f>RTD("tos.rtd", , "VEGA", ".SPY150417P209.5")</f>
        <v>N/A</v>
      </c>
      <c r="V22" t="str">
        <f>RTD("tos.rtd", , "RHO", ".SPY150417P209.5")</f>
        <v>N/A</v>
      </c>
    </row>
    <row r="23" spans="1:22" x14ac:dyDescent="0.25">
      <c r="A23">
        <f>RTD("tos.rtd", , "ASK", ".SPY150417C210")</f>
        <v>0.01</v>
      </c>
      <c r="B23">
        <f>RTD("tos.rtd", , "ASK_SIZE", ".SPY150417C210")</f>
        <v>0</v>
      </c>
      <c r="C23">
        <f>RTD("tos.rtd", , "BID", ".SPY150417C210")</f>
        <v>0</v>
      </c>
      <c r="D23">
        <f>RTD("tos.rtd", , "BID_SIZE", ".SPY150417C210")</f>
        <v>0</v>
      </c>
      <c r="E23">
        <f>RTD("tos.rtd", , "VOLUME", ".SPY150417C210")</f>
        <v>0</v>
      </c>
      <c r="F23">
        <f>RTD("tos.rtd", , "OPEN_INT", ".SPY150417C210")</f>
        <v>132449</v>
      </c>
      <c r="G23" t="str">
        <f>RTD("tos.rtd", , "DELTA", ".SPY150417C210")</f>
        <v>N/A</v>
      </c>
      <c r="H23" t="str">
        <f>RTD("tos.rtd", , "THETA", ".SPY150417C210")</f>
        <v>N/A</v>
      </c>
      <c r="I23" t="str">
        <f>RTD("tos.rtd", , "GAMMA", ".SPY150417C210")</f>
        <v>N/A</v>
      </c>
      <c r="J23" t="str">
        <f>RTD("tos.rtd", , "VEGA", ".SPY150417C210")</f>
        <v>N/A</v>
      </c>
      <c r="K23" t="str">
        <f>RTD("tos.rtd", , "RHO", ".SPY150417C210")</f>
        <v>N/A</v>
      </c>
      <c r="L23">
        <f>RTD("tos.rtd", , "ASK", ".SPY150417P210")</f>
        <v>1.97</v>
      </c>
      <c r="M23">
        <f>RTD("tos.rtd", , "ASK_SIZE", ".SPY150417P210")</f>
        <v>0</v>
      </c>
      <c r="N23">
        <f>RTD("tos.rtd", , "BID", ".SPY150417P210")</f>
        <v>1.78</v>
      </c>
      <c r="O23">
        <f>RTD("tos.rtd", , "BID_SIZE", ".SPY150417P210")</f>
        <v>0</v>
      </c>
      <c r="P23">
        <f>RTD("tos.rtd", , "VOLUME", ".SPY150417P210")</f>
        <v>0</v>
      </c>
      <c r="Q23">
        <f>RTD("tos.rtd", , "OPEN_INT", ".SPY150417P210")</f>
        <v>0</v>
      </c>
      <c r="R23" t="str">
        <f>RTD("tos.rtd", , "DELTA", ".SPY150417P210")</f>
        <v>N/A</v>
      </c>
      <c r="S23" t="str">
        <f>RTD("tos.rtd", , "THETA", ".SPY150417P210")</f>
        <v>N/A</v>
      </c>
      <c r="T23" t="str">
        <f>RTD("tos.rtd", , "GAMMA", ".SPY150417P210")</f>
        <v>N/A</v>
      </c>
      <c r="U23" t="str">
        <f>RTD("tos.rtd", , "VEGA", ".SPY150417P210")</f>
        <v>N/A</v>
      </c>
      <c r="V23" t="str">
        <f>RTD("tos.rtd", , "RHO", ".SPY150417P210")</f>
        <v>N/A</v>
      </c>
    </row>
    <row r="24" spans="1:22" x14ac:dyDescent="0.25">
      <c r="A24">
        <f>RTD("tos.rtd", , "ASK", ".SPY150417C210.5")</f>
        <v>0.01</v>
      </c>
      <c r="B24">
        <f>RTD("tos.rtd", , "ASK_SIZE", ".SPY150417C210.5")</f>
        <v>0</v>
      </c>
      <c r="C24">
        <f>RTD("tos.rtd", , "BID", ".SPY150417C210.5")</f>
        <v>0</v>
      </c>
      <c r="D24">
        <f>RTD("tos.rtd", , "BID_SIZE", ".SPY150417C210.5")</f>
        <v>0</v>
      </c>
      <c r="E24">
        <f>RTD("tos.rtd", , "VOLUME", ".SPY150417C210.5")</f>
        <v>0</v>
      </c>
      <c r="F24">
        <f>RTD("tos.rtd", , "OPEN_INT", ".SPY150417C210.5")</f>
        <v>34769</v>
      </c>
      <c r="G24" t="str">
        <f>RTD("tos.rtd", , "DELTA", ".SPY150417C210.5")</f>
        <v>N/A</v>
      </c>
      <c r="H24" t="str">
        <f>RTD("tos.rtd", , "THETA", ".SPY150417C210.5")</f>
        <v>N/A</v>
      </c>
      <c r="I24" t="str">
        <f>RTD("tos.rtd", , "GAMMA", ".SPY150417C210.5")</f>
        <v>N/A</v>
      </c>
      <c r="J24" t="str">
        <f>RTD("tos.rtd", , "VEGA", ".SPY150417C210.5")</f>
        <v>N/A</v>
      </c>
      <c r="K24" t="str">
        <f>RTD("tos.rtd", , "RHO", ".SPY150417C210.5")</f>
        <v>N/A</v>
      </c>
      <c r="L24">
        <f>RTD("tos.rtd", , "ASK", ".SPY150417P210.5")</f>
        <v>2.4700000000000002</v>
      </c>
      <c r="M24">
        <f>RTD("tos.rtd", , "ASK_SIZE", ".SPY150417P210.5")</f>
        <v>0</v>
      </c>
      <c r="N24">
        <f>RTD("tos.rtd", , "BID", ".SPY150417P210.5")</f>
        <v>2.2799999999999998</v>
      </c>
      <c r="O24">
        <f>RTD("tos.rtd", , "BID_SIZE", ".SPY150417P210.5")</f>
        <v>0</v>
      </c>
      <c r="P24">
        <f>RTD("tos.rtd", , "VOLUME", ".SPY150417P210.5")</f>
        <v>0</v>
      </c>
      <c r="Q24">
        <f>RTD("tos.rtd", , "OPEN_INT", ".SPY150417P210.5")</f>
        <v>0</v>
      </c>
      <c r="R24" t="str">
        <f>RTD("tos.rtd", , "DELTA", ".SPY150417P210.5")</f>
        <v>N/A</v>
      </c>
      <c r="S24" t="str">
        <f>RTD("tos.rtd", , "THETA", ".SPY150417P210.5")</f>
        <v>N/A</v>
      </c>
      <c r="T24" t="str">
        <f>RTD("tos.rtd", , "GAMMA", ".SPY150417P210.5")</f>
        <v>N/A</v>
      </c>
      <c r="U24" t="str">
        <f>RTD("tos.rtd", , "VEGA", ".SPY150417P210.5")</f>
        <v>N/A</v>
      </c>
      <c r="V24" t="str">
        <f>RTD("tos.rtd", , "RHO", ".SPY150417P210.5")</f>
        <v>N/A</v>
      </c>
    </row>
    <row r="25" spans="1:22" x14ac:dyDescent="0.25">
      <c r="A25">
        <f>RTD("tos.rtd", , "ASK", ".SPY150417C211")</f>
        <v>0.01</v>
      </c>
      <c r="B25">
        <f>RTD("tos.rtd", , "ASK_SIZE", ".SPY150417C211")</f>
        <v>0</v>
      </c>
      <c r="C25">
        <f>RTD("tos.rtd", , "BID", ".SPY150417C211")</f>
        <v>0</v>
      </c>
      <c r="D25">
        <f>RTD("tos.rtd", , "BID_SIZE", ".SPY150417C211")</f>
        <v>0</v>
      </c>
      <c r="E25">
        <f>RTD("tos.rtd", , "VOLUME", ".SPY150417C211")</f>
        <v>0</v>
      </c>
      <c r="F25">
        <f>RTD("tos.rtd", , "OPEN_INT", ".SPY150417C211")</f>
        <v>106603</v>
      </c>
      <c r="G25" t="str">
        <f>RTD("tos.rtd", , "DELTA", ".SPY150417C211")</f>
        <v>N/A</v>
      </c>
      <c r="H25" t="str">
        <f>RTD("tos.rtd", , "THETA", ".SPY150417C211")</f>
        <v>N/A</v>
      </c>
      <c r="I25" t="str">
        <f>RTD("tos.rtd", , "GAMMA", ".SPY150417C211")</f>
        <v>N/A</v>
      </c>
      <c r="J25" t="str">
        <f>RTD("tos.rtd", , "VEGA", ".SPY150417C211")</f>
        <v>N/A</v>
      </c>
      <c r="K25" t="str">
        <f>RTD("tos.rtd", , "RHO", ".SPY150417C211")</f>
        <v>N/A</v>
      </c>
      <c r="L25">
        <f>RTD("tos.rtd", , "ASK", ".SPY150417P211")</f>
        <v>2.97</v>
      </c>
      <c r="M25">
        <f>RTD("tos.rtd", , "ASK_SIZE", ".SPY150417P211")</f>
        <v>0</v>
      </c>
      <c r="N25">
        <f>RTD("tos.rtd", , "BID", ".SPY150417P211")</f>
        <v>2.76</v>
      </c>
      <c r="O25">
        <f>RTD("tos.rtd", , "BID_SIZE", ".SPY150417P211")</f>
        <v>0</v>
      </c>
      <c r="P25">
        <f>RTD("tos.rtd", , "VOLUME", ".SPY150417P211")</f>
        <v>0</v>
      </c>
      <c r="Q25">
        <f>RTD("tos.rtd", , "OPEN_INT", ".SPY150417P211")</f>
        <v>0</v>
      </c>
      <c r="R25" t="str">
        <f>RTD("tos.rtd", , "DELTA", ".SPY150417P211")</f>
        <v>N/A</v>
      </c>
      <c r="S25" t="str">
        <f>RTD("tos.rtd", , "THETA", ".SPY150417P211")</f>
        <v>N/A</v>
      </c>
      <c r="T25" t="str">
        <f>RTD("tos.rtd", , "GAMMA", ".SPY150417P211")</f>
        <v>N/A</v>
      </c>
      <c r="U25" t="str">
        <f>RTD("tos.rtd", , "VEGA", ".SPY150417P211")</f>
        <v>N/A</v>
      </c>
      <c r="V25" t="str">
        <f>RTD("tos.rtd", , "RHO", ".SPY150417P211")</f>
        <v>N/A</v>
      </c>
    </row>
    <row r="26" spans="1:22" x14ac:dyDescent="0.25">
      <c r="A26">
        <f>RTD("tos.rtd", , "ASK", ".SPY150417C211.5")</f>
        <v>0.01</v>
      </c>
      <c r="B26">
        <f>RTD("tos.rtd", , "ASK_SIZE", ".SPY150417C211.5")</f>
        <v>0</v>
      </c>
      <c r="C26">
        <f>RTD("tos.rtd", , "BID", ".SPY150417C211.5")</f>
        <v>0</v>
      </c>
      <c r="D26">
        <f>RTD("tos.rtd", , "BID_SIZE", ".SPY150417C211.5")</f>
        <v>0</v>
      </c>
      <c r="E26">
        <f>RTD("tos.rtd", , "VOLUME", ".SPY150417C211.5")</f>
        <v>0</v>
      </c>
      <c r="F26">
        <f>RTD("tos.rtd", , "OPEN_INT", ".SPY150417C211.5")</f>
        <v>27345</v>
      </c>
      <c r="G26" t="str">
        <f>RTD("tos.rtd", , "DELTA", ".SPY150417C211.5")</f>
        <v>N/A</v>
      </c>
      <c r="H26" t="str">
        <f>RTD("tos.rtd", , "THETA", ".SPY150417C211.5")</f>
        <v>N/A</v>
      </c>
      <c r="I26" t="str">
        <f>RTD("tos.rtd", , "GAMMA", ".SPY150417C211.5")</f>
        <v>N/A</v>
      </c>
      <c r="J26" t="str">
        <f>RTD("tos.rtd", , "VEGA", ".SPY150417C211.5")</f>
        <v>N/A</v>
      </c>
      <c r="K26" t="str">
        <f>RTD("tos.rtd", , "RHO", ".SPY150417C211.5")</f>
        <v>N/A</v>
      </c>
      <c r="L26">
        <f>RTD("tos.rtd", , "ASK", ".SPY150417P211.5")</f>
        <v>3.49</v>
      </c>
      <c r="M26">
        <f>RTD("tos.rtd", , "ASK_SIZE", ".SPY150417P211.5")</f>
        <v>0</v>
      </c>
      <c r="N26">
        <f>RTD("tos.rtd", , "BID", ".SPY150417P211.5")</f>
        <v>3.26</v>
      </c>
      <c r="O26">
        <f>RTD("tos.rtd", , "BID_SIZE", ".SPY150417P211.5")</f>
        <v>0</v>
      </c>
      <c r="P26">
        <f>RTD("tos.rtd", , "VOLUME", ".SPY150417P211.5")</f>
        <v>0</v>
      </c>
      <c r="Q26">
        <f>RTD("tos.rtd", , "OPEN_INT", ".SPY150417P211.5")</f>
        <v>0</v>
      </c>
      <c r="R26" t="str">
        <f>RTD("tos.rtd", , "DELTA", ".SPY150417P211.5")</f>
        <v>N/A</v>
      </c>
      <c r="S26" t="str">
        <f>RTD("tos.rtd", , "THETA", ".SPY150417P211.5")</f>
        <v>N/A</v>
      </c>
      <c r="T26" t="str">
        <f>RTD("tos.rtd", , "GAMMA", ".SPY150417P211.5")</f>
        <v>N/A</v>
      </c>
      <c r="U26" t="str">
        <f>RTD("tos.rtd", , "VEGA", ".SPY150417P211.5")</f>
        <v>N/A</v>
      </c>
      <c r="V26" t="str">
        <f>RTD("tos.rtd", , "RHO", ".SPY150417P211.5")</f>
        <v>N/A</v>
      </c>
    </row>
    <row r="27" spans="1:22" x14ac:dyDescent="0.25">
      <c r="A27">
        <f>RTD("tos.rtd", , "ASK", ".SPY150417C212")</f>
        <v>0.01</v>
      </c>
      <c r="B27">
        <f>RTD("tos.rtd", , "ASK_SIZE", ".SPY150417C212")</f>
        <v>0</v>
      </c>
      <c r="C27">
        <f>RTD("tos.rtd", , "BID", ".SPY150417C212")</f>
        <v>0</v>
      </c>
      <c r="D27">
        <f>RTD("tos.rtd", , "BID_SIZE", ".SPY150417C212")</f>
        <v>0</v>
      </c>
      <c r="E27">
        <f>RTD("tos.rtd", , "VOLUME", ".SPY150417C212")</f>
        <v>0</v>
      </c>
      <c r="F27">
        <f>RTD("tos.rtd", , "OPEN_INT", ".SPY150417C212")</f>
        <v>95308</v>
      </c>
      <c r="G27" t="str">
        <f>RTD("tos.rtd", , "DELTA", ".SPY150417C212")</f>
        <v>N/A</v>
      </c>
      <c r="H27" t="str">
        <f>RTD("tos.rtd", , "THETA", ".SPY150417C212")</f>
        <v>N/A</v>
      </c>
      <c r="I27" t="str">
        <f>RTD("tos.rtd", , "GAMMA", ".SPY150417C212")</f>
        <v>N/A</v>
      </c>
      <c r="J27" t="str">
        <f>RTD("tos.rtd", , "VEGA", ".SPY150417C212")</f>
        <v>N/A</v>
      </c>
      <c r="K27" t="str">
        <f>RTD("tos.rtd", , "RHO", ".SPY150417C212")</f>
        <v>N/A</v>
      </c>
      <c r="L27">
        <f>RTD("tos.rtd", , "ASK", ".SPY150417P212")</f>
        <v>3.99</v>
      </c>
      <c r="M27">
        <f>RTD("tos.rtd", , "ASK_SIZE", ".SPY150417P212")</f>
        <v>0</v>
      </c>
      <c r="N27">
        <f>RTD("tos.rtd", , "BID", ".SPY150417P212")</f>
        <v>3.76</v>
      </c>
      <c r="O27">
        <f>RTD("tos.rtd", , "BID_SIZE", ".SPY150417P212")</f>
        <v>0</v>
      </c>
      <c r="P27">
        <f>RTD("tos.rtd", , "VOLUME", ".SPY150417P212")</f>
        <v>0</v>
      </c>
      <c r="Q27">
        <f>RTD("tos.rtd", , "OPEN_INT", ".SPY150417P212")</f>
        <v>0</v>
      </c>
      <c r="R27" t="str">
        <f>RTD("tos.rtd", , "DELTA", ".SPY150417P212")</f>
        <v>N/A</v>
      </c>
      <c r="S27" t="str">
        <f>RTD("tos.rtd", , "THETA", ".SPY150417P212")</f>
        <v>N/A</v>
      </c>
      <c r="T27" t="str">
        <f>RTD("tos.rtd", , "GAMMA", ".SPY150417P212")</f>
        <v>N/A</v>
      </c>
      <c r="U27" t="str">
        <f>RTD("tos.rtd", , "VEGA", ".SPY150417P212")</f>
        <v>N/A</v>
      </c>
      <c r="V27" t="str">
        <f>RTD("tos.rtd", , "RHO", ".SPY150417P212")</f>
        <v>N/A</v>
      </c>
    </row>
    <row r="28" spans="1:22" x14ac:dyDescent="0.25">
      <c r="A28">
        <f>RTD("tos.rtd", , "ASK", ".SPY150417C212.5")</f>
        <v>0.01</v>
      </c>
      <c r="B28">
        <f>RTD("tos.rtd", , "ASK_SIZE", ".SPY150417C212.5")</f>
        <v>0</v>
      </c>
      <c r="C28">
        <f>RTD("tos.rtd", , "BID", ".SPY150417C212.5")</f>
        <v>0</v>
      </c>
      <c r="D28">
        <f>RTD("tos.rtd", , "BID_SIZE", ".SPY150417C212.5")</f>
        <v>0</v>
      </c>
      <c r="E28">
        <f>RTD("tos.rtd", , "VOLUME", ".SPY150417C212.5")</f>
        <v>0</v>
      </c>
      <c r="F28">
        <f>RTD("tos.rtd", , "OPEN_INT", ".SPY150417C212.5")</f>
        <v>42921</v>
      </c>
      <c r="G28" t="str">
        <f>RTD("tos.rtd", , "DELTA", ".SPY150417C212.5")</f>
        <v>N/A</v>
      </c>
      <c r="H28" t="str">
        <f>RTD("tos.rtd", , "THETA", ".SPY150417C212.5")</f>
        <v>N/A</v>
      </c>
      <c r="I28" t="str">
        <f>RTD("tos.rtd", , "GAMMA", ".SPY150417C212.5")</f>
        <v>N/A</v>
      </c>
      <c r="J28" t="str">
        <f>RTD("tos.rtd", , "VEGA", ".SPY150417C212.5")</f>
        <v>N/A</v>
      </c>
      <c r="K28" t="str">
        <f>RTD("tos.rtd", , "RHO", ".SPY150417C212.5")</f>
        <v>N/A</v>
      </c>
      <c r="L28">
        <f>RTD("tos.rtd", , "ASK", ".SPY150417P212.5")</f>
        <v>4.49</v>
      </c>
      <c r="M28">
        <f>RTD("tos.rtd", , "ASK_SIZE", ".SPY150417P212.5")</f>
        <v>0</v>
      </c>
      <c r="N28">
        <f>RTD("tos.rtd", , "BID", ".SPY150417P212.5")</f>
        <v>4.26</v>
      </c>
      <c r="O28">
        <f>RTD("tos.rtd", , "BID_SIZE", ".SPY150417P212.5")</f>
        <v>0</v>
      </c>
      <c r="P28">
        <f>RTD("tos.rtd", , "VOLUME", ".SPY150417P212.5")</f>
        <v>0</v>
      </c>
      <c r="Q28">
        <f>RTD("tos.rtd", , "OPEN_INT", ".SPY150417P212.5")</f>
        <v>0</v>
      </c>
      <c r="R28" t="str">
        <f>RTD("tos.rtd", , "DELTA", ".SPY150417P212.5")</f>
        <v>N/A</v>
      </c>
      <c r="S28" t="str">
        <f>RTD("tos.rtd", , "THETA", ".SPY150417P212.5")</f>
        <v>N/A</v>
      </c>
      <c r="T28" t="str">
        <f>RTD("tos.rtd", , "GAMMA", ".SPY150417P212.5")</f>
        <v>N/A</v>
      </c>
      <c r="U28" t="str">
        <f>RTD("tos.rtd", , "VEGA", ".SPY150417P212.5")</f>
        <v>N/A</v>
      </c>
      <c r="V28" t="str">
        <f>RTD("tos.rtd", , "RHO", ".SPY150417P212.5")</f>
        <v>N/A</v>
      </c>
    </row>
    <row r="29" spans="1:22" x14ac:dyDescent="0.25">
      <c r="A29">
        <f>RTD("tos.rtd", , "ASK", ".SPY150417C213")</f>
        <v>0.01</v>
      </c>
      <c r="B29">
        <f>RTD("tos.rtd", , "ASK_SIZE", ".SPY150417C213")</f>
        <v>0</v>
      </c>
      <c r="C29">
        <f>RTD("tos.rtd", , "BID", ".SPY150417C213")</f>
        <v>0</v>
      </c>
      <c r="D29">
        <f>RTD("tos.rtd", , "BID_SIZE", ".SPY150417C213")</f>
        <v>0</v>
      </c>
      <c r="E29">
        <f>RTD("tos.rtd", , "VOLUME", ".SPY150417C213")</f>
        <v>0</v>
      </c>
      <c r="F29">
        <f>RTD("tos.rtd", , "OPEN_INT", ".SPY150417C213")</f>
        <v>92030</v>
      </c>
      <c r="G29" t="str">
        <f>RTD("tos.rtd", , "DELTA", ".SPY150417C213")</f>
        <v>N/A</v>
      </c>
      <c r="H29" t="str">
        <f>RTD("tos.rtd", , "THETA", ".SPY150417C213")</f>
        <v>N/A</v>
      </c>
      <c r="I29" t="str">
        <f>RTD("tos.rtd", , "GAMMA", ".SPY150417C213")</f>
        <v>N/A</v>
      </c>
      <c r="J29" t="str">
        <f>RTD("tos.rtd", , "VEGA", ".SPY150417C213")</f>
        <v>N/A</v>
      </c>
      <c r="K29" t="str">
        <f>RTD("tos.rtd", , "RHO", ".SPY150417C213")</f>
        <v>N/A</v>
      </c>
      <c r="L29">
        <f>RTD("tos.rtd", , "ASK", ".SPY150417P213")</f>
        <v>4.99</v>
      </c>
      <c r="M29">
        <f>RTD("tos.rtd", , "ASK_SIZE", ".SPY150417P213")</f>
        <v>0</v>
      </c>
      <c r="N29">
        <f>RTD("tos.rtd", , "BID", ".SPY150417P213")</f>
        <v>4.76</v>
      </c>
      <c r="O29">
        <f>RTD("tos.rtd", , "BID_SIZE", ".SPY150417P213")</f>
        <v>0</v>
      </c>
      <c r="P29">
        <f>RTD("tos.rtd", , "VOLUME", ".SPY150417P213")</f>
        <v>0</v>
      </c>
      <c r="Q29">
        <f>RTD("tos.rtd", , "OPEN_INT", ".SPY150417P213")</f>
        <v>0</v>
      </c>
      <c r="R29" t="str">
        <f>RTD("tos.rtd", , "DELTA", ".SPY150417P213")</f>
        <v>N/A</v>
      </c>
      <c r="S29" t="str">
        <f>RTD("tos.rtd", , "THETA", ".SPY150417P213")</f>
        <v>N/A</v>
      </c>
      <c r="T29" t="str">
        <f>RTD("tos.rtd", , "GAMMA", ".SPY150417P213")</f>
        <v>N/A</v>
      </c>
      <c r="U29" t="str">
        <f>RTD("tos.rtd", , "VEGA", ".SPY150417P213")</f>
        <v>N/A</v>
      </c>
      <c r="V29" t="str">
        <f>RTD("tos.rtd", , "RHO", ".SPY150417P213")</f>
        <v>N/A</v>
      </c>
    </row>
    <row r="30" spans="1:22" x14ac:dyDescent="0.25">
      <c r="A30">
        <f>RTD("tos.rtd", , "ASK", ".SPY150417C213.5")</f>
        <v>0.01</v>
      </c>
      <c r="B30">
        <f>RTD("tos.rtd", , "ASK_SIZE", ".SPY150417C213.5")</f>
        <v>0</v>
      </c>
      <c r="C30">
        <f>RTD("tos.rtd", , "BID", ".SPY150417C213.5")</f>
        <v>0</v>
      </c>
      <c r="D30">
        <f>RTD("tos.rtd", , "BID_SIZE", ".SPY150417C213.5")</f>
        <v>0</v>
      </c>
      <c r="E30">
        <f>RTD("tos.rtd", , "VOLUME", ".SPY150417C213.5")</f>
        <v>0</v>
      </c>
      <c r="F30">
        <f>RTD("tos.rtd", , "OPEN_INT", ".SPY150417C213.5")</f>
        <v>79109</v>
      </c>
      <c r="G30" t="str">
        <f>RTD("tos.rtd", , "DELTA", ".SPY150417C213.5")</f>
        <v>N/A</v>
      </c>
      <c r="H30" t="str">
        <f>RTD("tos.rtd", , "THETA", ".SPY150417C213.5")</f>
        <v>N/A</v>
      </c>
      <c r="I30" t="str">
        <f>RTD("tos.rtd", , "GAMMA", ".SPY150417C213.5")</f>
        <v>N/A</v>
      </c>
      <c r="J30" t="str">
        <f>RTD("tos.rtd", , "VEGA", ".SPY150417C213.5")</f>
        <v>N/A</v>
      </c>
      <c r="K30" t="str">
        <f>RTD("tos.rtd", , "RHO", ".SPY150417C213.5")</f>
        <v>N/A</v>
      </c>
      <c r="L30">
        <f>RTD("tos.rtd", , "ASK", ".SPY150417P213.5")</f>
        <v>5.52</v>
      </c>
      <c r="M30">
        <f>RTD("tos.rtd", , "ASK_SIZE", ".SPY150417P213.5")</f>
        <v>0</v>
      </c>
      <c r="N30">
        <f>RTD("tos.rtd", , "BID", ".SPY150417P213.5")</f>
        <v>5.25</v>
      </c>
      <c r="O30">
        <f>RTD("tos.rtd", , "BID_SIZE", ".SPY150417P213.5")</f>
        <v>0</v>
      </c>
      <c r="P30">
        <f>RTD("tos.rtd", , "VOLUME", ".SPY150417P213.5")</f>
        <v>0</v>
      </c>
      <c r="Q30">
        <f>RTD("tos.rtd", , "OPEN_INT", ".SPY150417P213.5")</f>
        <v>0</v>
      </c>
      <c r="R30" t="str">
        <f>RTD("tos.rtd", , "DELTA", ".SPY150417P213.5")</f>
        <v>N/A</v>
      </c>
      <c r="S30" t="str">
        <f>RTD("tos.rtd", , "THETA", ".SPY150417P213.5")</f>
        <v>N/A</v>
      </c>
      <c r="T30" t="str">
        <f>RTD("tos.rtd", , "GAMMA", ".SPY150417P213.5")</f>
        <v>N/A</v>
      </c>
      <c r="U30" t="str">
        <f>RTD("tos.rtd", , "VEGA", ".SPY150417P213.5")</f>
        <v>N/A</v>
      </c>
      <c r="V30" t="str">
        <f>RTD("tos.rtd", , "RHO", ".SPY150417P213.5")</f>
        <v>N/A</v>
      </c>
    </row>
    <row r="31" spans="1:22" x14ac:dyDescent="0.25">
      <c r="A31">
        <f>RTD("tos.rtd", , "ASK", ".SPY150417C214")</f>
        <v>0.01</v>
      </c>
      <c r="B31">
        <f>RTD("tos.rtd", , "ASK_SIZE", ".SPY150417C214")</f>
        <v>0</v>
      </c>
      <c r="C31">
        <f>RTD("tos.rtd", , "BID", ".SPY150417C214")</f>
        <v>0</v>
      </c>
      <c r="D31">
        <f>RTD("tos.rtd", , "BID_SIZE", ".SPY150417C214")</f>
        <v>0</v>
      </c>
      <c r="E31">
        <f>RTD("tos.rtd", , "VOLUME", ".SPY150417C214")</f>
        <v>0</v>
      </c>
      <c r="F31">
        <f>RTD("tos.rtd", , "OPEN_INT", ".SPY150417C214")</f>
        <v>65394</v>
      </c>
      <c r="G31" t="str">
        <f>RTD("tos.rtd", , "DELTA", ".SPY150417C214")</f>
        <v>N/A</v>
      </c>
      <c r="H31" t="str">
        <f>RTD("tos.rtd", , "THETA", ".SPY150417C214")</f>
        <v>N/A</v>
      </c>
      <c r="I31" t="str">
        <f>RTD("tos.rtd", , "GAMMA", ".SPY150417C214")</f>
        <v>N/A</v>
      </c>
      <c r="J31" t="str">
        <f>RTD("tos.rtd", , "VEGA", ".SPY150417C214")</f>
        <v>N/A</v>
      </c>
      <c r="K31" t="str">
        <f>RTD("tos.rtd", , "RHO", ".SPY150417C214")</f>
        <v>N/A</v>
      </c>
      <c r="L31">
        <f>RTD("tos.rtd", , "ASK", ".SPY150417P214")</f>
        <v>6.02</v>
      </c>
      <c r="M31">
        <f>RTD("tos.rtd", , "ASK_SIZE", ".SPY150417P214")</f>
        <v>0</v>
      </c>
      <c r="N31">
        <f>RTD("tos.rtd", , "BID", ".SPY150417P214")</f>
        <v>5.75</v>
      </c>
      <c r="O31">
        <f>RTD("tos.rtd", , "BID_SIZE", ".SPY150417P214")</f>
        <v>0</v>
      </c>
      <c r="P31">
        <f>RTD("tos.rtd", , "VOLUME", ".SPY150417P214")</f>
        <v>0</v>
      </c>
      <c r="Q31">
        <f>RTD("tos.rtd", , "OPEN_INT", ".SPY150417P214")</f>
        <v>0</v>
      </c>
      <c r="R31" t="str">
        <f>RTD("tos.rtd", , "DELTA", ".SPY150417P214")</f>
        <v>N/A</v>
      </c>
      <c r="S31" t="str">
        <f>RTD("tos.rtd", , "THETA", ".SPY150417P214")</f>
        <v>N/A</v>
      </c>
      <c r="T31" t="str">
        <f>RTD("tos.rtd", , "GAMMA", ".SPY150417P214")</f>
        <v>N/A</v>
      </c>
      <c r="U31" t="str">
        <f>RTD("tos.rtd", , "VEGA", ".SPY150417P214")</f>
        <v>N/A</v>
      </c>
      <c r="V31" t="str">
        <f>RTD("tos.rtd", , "RHO", ".SPY150417P214")</f>
        <v>N/A</v>
      </c>
    </row>
    <row r="32" spans="1:22" x14ac:dyDescent="0.25">
      <c r="A32">
        <f>RTD("tos.rtd", , "ASK", ".SPY150417C214.5")</f>
        <v>0.01</v>
      </c>
      <c r="B32">
        <f>RTD("tos.rtd", , "ASK_SIZE", ".SPY150417C214.5")</f>
        <v>0</v>
      </c>
      <c r="C32">
        <f>RTD("tos.rtd", , "BID", ".SPY150417C214.5")</f>
        <v>0</v>
      </c>
      <c r="D32">
        <f>RTD("tos.rtd", , "BID_SIZE", ".SPY150417C214.5")</f>
        <v>0</v>
      </c>
      <c r="E32">
        <f>RTD("tos.rtd", , "VOLUME", ".SPY150417C214.5")</f>
        <v>0</v>
      </c>
      <c r="F32">
        <f>RTD("tos.rtd", , "OPEN_INT", ".SPY150417C214.5")</f>
        <v>35124</v>
      </c>
      <c r="G32" t="str">
        <f>RTD("tos.rtd", , "DELTA", ".SPY150417C214.5")</f>
        <v>N/A</v>
      </c>
      <c r="H32" t="str">
        <f>RTD("tos.rtd", , "THETA", ".SPY150417C214.5")</f>
        <v>N/A</v>
      </c>
      <c r="I32" t="str">
        <f>RTD("tos.rtd", , "GAMMA", ".SPY150417C214.5")</f>
        <v>N/A</v>
      </c>
      <c r="J32" t="str">
        <f>RTD("tos.rtd", , "VEGA", ".SPY150417C214.5")</f>
        <v>N/A</v>
      </c>
      <c r="K32" t="str">
        <f>RTD("tos.rtd", , "RHO", ".SPY150417C214.5")</f>
        <v>N/A</v>
      </c>
      <c r="L32">
        <f>RTD("tos.rtd", , "ASK", ".SPY150417P214.5")</f>
        <v>6.52</v>
      </c>
      <c r="M32">
        <f>RTD("tos.rtd", , "ASK_SIZE", ".SPY150417P214.5")</f>
        <v>0</v>
      </c>
      <c r="N32">
        <f>RTD("tos.rtd", , "BID", ".SPY150417P214.5")</f>
        <v>6.25</v>
      </c>
      <c r="O32">
        <f>RTD("tos.rtd", , "BID_SIZE", ".SPY150417P214.5")</f>
        <v>0</v>
      </c>
      <c r="P32">
        <f>RTD("tos.rtd", , "VOLUME", ".SPY150417P214.5")</f>
        <v>0</v>
      </c>
      <c r="Q32">
        <f>RTD("tos.rtd", , "OPEN_INT", ".SPY150417P214.5")</f>
        <v>0</v>
      </c>
      <c r="R32" t="str">
        <f>RTD("tos.rtd", , "DELTA", ".SPY150417P214.5")</f>
        <v>N/A</v>
      </c>
      <c r="S32" t="str">
        <f>RTD("tos.rtd", , "THETA", ".SPY150417P214.5")</f>
        <v>N/A</v>
      </c>
      <c r="T32" t="str">
        <f>RTD("tos.rtd", , "GAMMA", ".SPY150417P214.5")</f>
        <v>N/A</v>
      </c>
      <c r="U32" t="str">
        <f>RTD("tos.rtd", , "VEGA", ".SPY150417P214.5")</f>
        <v>N/A</v>
      </c>
      <c r="V32" t="str">
        <f>RTD("tos.rtd", , "RHO", ".SPY150417P214.5")</f>
        <v>N/A</v>
      </c>
    </row>
    <row r="33" spans="1:22" x14ac:dyDescent="0.25">
      <c r="A33">
        <f>RTD("tos.rtd", , "ASK", ".SPY150417C215")</f>
        <v>0.01</v>
      </c>
      <c r="B33">
        <f>RTD("tos.rtd", , "ASK_SIZE", ".SPY150417C215")</f>
        <v>0</v>
      </c>
      <c r="C33">
        <f>RTD("tos.rtd", , "BID", ".SPY150417C215")</f>
        <v>0</v>
      </c>
      <c r="D33">
        <f>RTD("tos.rtd", , "BID_SIZE", ".SPY150417C215")</f>
        <v>0</v>
      </c>
      <c r="E33">
        <f>RTD("tos.rtd", , "VOLUME", ".SPY150417C215")</f>
        <v>0</v>
      </c>
      <c r="F33">
        <f>RTD("tos.rtd", , "OPEN_INT", ".SPY150417C215")</f>
        <v>154187</v>
      </c>
      <c r="G33" t="str">
        <f>RTD("tos.rtd", , "DELTA", ".SPY150417C215")</f>
        <v>N/A</v>
      </c>
      <c r="H33" t="str">
        <f>RTD("tos.rtd", , "THETA", ".SPY150417C215")</f>
        <v>N/A</v>
      </c>
      <c r="I33" t="str">
        <f>RTD("tos.rtd", , "GAMMA", ".SPY150417C215")</f>
        <v>N/A</v>
      </c>
      <c r="J33" t="str">
        <f>RTD("tos.rtd", , "VEGA", ".SPY150417C215")</f>
        <v>N/A</v>
      </c>
      <c r="K33" t="str">
        <f>RTD("tos.rtd", , "RHO", ".SPY150417C215")</f>
        <v>N/A</v>
      </c>
      <c r="L33">
        <f>RTD("tos.rtd", , "ASK", ".SPY150417P215")</f>
        <v>7.02</v>
      </c>
      <c r="M33">
        <f>RTD("tos.rtd", , "ASK_SIZE", ".SPY150417P215")</f>
        <v>0</v>
      </c>
      <c r="N33">
        <f>RTD("tos.rtd", , "BID", ".SPY150417P215")</f>
        <v>6.75</v>
      </c>
      <c r="O33">
        <f>RTD("tos.rtd", , "BID_SIZE", ".SPY150417P215")</f>
        <v>0</v>
      </c>
      <c r="P33">
        <f>RTD("tos.rtd", , "VOLUME", ".SPY150417P215")</f>
        <v>0</v>
      </c>
      <c r="Q33">
        <f>RTD("tos.rtd", , "OPEN_INT", ".SPY150417P215")</f>
        <v>0</v>
      </c>
      <c r="R33" t="str">
        <f>RTD("tos.rtd", , "DELTA", ".SPY150417P215")</f>
        <v>N/A</v>
      </c>
      <c r="S33" t="str">
        <f>RTD("tos.rtd", , "THETA", ".SPY150417P215")</f>
        <v>N/A</v>
      </c>
      <c r="T33" t="str">
        <f>RTD("tos.rtd", , "GAMMA", ".SPY150417P215")</f>
        <v>N/A</v>
      </c>
      <c r="U33" t="str">
        <f>RTD("tos.rtd", , "VEGA", ".SPY150417P215")</f>
        <v>N/A</v>
      </c>
      <c r="V33" t="str">
        <f>RTD("tos.rtd", , "RHO", ".SPY150417P215")</f>
        <v>N/A</v>
      </c>
    </row>
    <row r="34" spans="1:22" x14ac:dyDescent="0.25">
      <c r="A34">
        <f>RTD("tos.rtd", , "ASK", ".SPY150417C215.5")</f>
        <v>0.01</v>
      </c>
      <c r="B34">
        <f>RTD("tos.rtd", , "ASK_SIZE", ".SPY150417C215.5")</f>
        <v>0</v>
      </c>
      <c r="C34">
        <f>RTD("tos.rtd", , "BID", ".SPY150417C215.5")</f>
        <v>0</v>
      </c>
      <c r="D34">
        <f>RTD("tos.rtd", , "BID_SIZE", ".SPY150417C215.5")</f>
        <v>0</v>
      </c>
      <c r="E34">
        <f>RTD("tos.rtd", , "VOLUME", ".SPY150417C215.5")</f>
        <v>0</v>
      </c>
      <c r="F34">
        <f>RTD("tos.rtd", , "OPEN_INT", ".SPY150417C215.5")</f>
        <v>4816</v>
      </c>
      <c r="G34" t="str">
        <f>RTD("tos.rtd", , "DELTA", ".SPY150417C215.5")</f>
        <v>N/A</v>
      </c>
      <c r="H34" t="str">
        <f>RTD("tos.rtd", , "THETA", ".SPY150417C215.5")</f>
        <v>N/A</v>
      </c>
      <c r="I34" t="str">
        <f>RTD("tos.rtd", , "GAMMA", ".SPY150417C215.5")</f>
        <v>N/A</v>
      </c>
      <c r="J34" t="str">
        <f>RTD("tos.rtd", , "VEGA", ".SPY150417C215.5")</f>
        <v>N/A</v>
      </c>
      <c r="K34" t="str">
        <f>RTD("tos.rtd", , "RHO", ".SPY150417C215.5")</f>
        <v>N/A</v>
      </c>
      <c r="L34">
        <f>RTD("tos.rtd", , "ASK", ".SPY150417P215.5")</f>
        <v>7.52</v>
      </c>
      <c r="M34">
        <f>RTD("tos.rtd", , "ASK_SIZE", ".SPY150417P215.5")</f>
        <v>0</v>
      </c>
      <c r="N34">
        <f>RTD("tos.rtd", , "BID", ".SPY150417P215.5")</f>
        <v>7.25</v>
      </c>
      <c r="O34">
        <f>RTD("tos.rtd", , "BID_SIZE", ".SPY150417P215.5")</f>
        <v>0</v>
      </c>
      <c r="P34">
        <f>RTD("tos.rtd", , "VOLUME", ".SPY150417P215.5")</f>
        <v>0</v>
      </c>
      <c r="Q34">
        <f>RTD("tos.rtd", , "OPEN_INT", ".SPY150417P215.5")</f>
        <v>0</v>
      </c>
      <c r="R34" t="str">
        <f>RTD("tos.rtd", , "DELTA", ".SPY150417P215.5")</f>
        <v>N/A</v>
      </c>
      <c r="S34" t="str">
        <f>RTD("tos.rtd", , "THETA", ".SPY150417P215.5")</f>
        <v>N/A</v>
      </c>
      <c r="T34" t="str">
        <f>RTD("tos.rtd", , "GAMMA", ".SPY150417P215.5")</f>
        <v>N/A</v>
      </c>
      <c r="U34" t="str">
        <f>RTD("tos.rtd", , "VEGA", ".SPY150417P215.5")</f>
        <v>N/A</v>
      </c>
      <c r="V34" t="str">
        <f>RTD("tos.rtd", , "RHO", ".SPY150417P215.5")</f>
        <v>N/A</v>
      </c>
    </row>
    <row r="35" spans="1:22" x14ac:dyDescent="0.25">
      <c r="A35">
        <f>RTD("tos.rtd", , "ASK", ".SPY150417C216")</f>
        <v>0.01</v>
      </c>
      <c r="B35">
        <f>RTD("tos.rtd", , "ASK_SIZE", ".SPY150417C216")</f>
        <v>0</v>
      </c>
      <c r="C35">
        <f>RTD("tos.rtd", , "BID", ".SPY150417C216")</f>
        <v>0</v>
      </c>
      <c r="D35">
        <f>RTD("tos.rtd", , "BID_SIZE", ".SPY150417C216")</f>
        <v>0</v>
      </c>
      <c r="E35">
        <f>RTD("tos.rtd", , "VOLUME", ".SPY150417C216")</f>
        <v>0</v>
      </c>
      <c r="F35">
        <f>RTD("tos.rtd", , "OPEN_INT", ".SPY150417C216")</f>
        <v>40746</v>
      </c>
      <c r="G35" t="str">
        <f>RTD("tos.rtd", , "DELTA", ".SPY150417C216")</f>
        <v>N/A</v>
      </c>
      <c r="H35" t="str">
        <f>RTD("tos.rtd", , "THETA", ".SPY150417C216")</f>
        <v>N/A</v>
      </c>
      <c r="I35" t="str">
        <f>RTD("tos.rtd", , "GAMMA", ".SPY150417C216")</f>
        <v>N/A</v>
      </c>
      <c r="J35" t="str">
        <f>RTD("tos.rtd", , "VEGA", ".SPY150417C216")</f>
        <v>N/A</v>
      </c>
      <c r="K35" t="str">
        <f>RTD("tos.rtd", , "RHO", ".SPY150417C216")</f>
        <v>N/A</v>
      </c>
      <c r="L35">
        <f>RTD("tos.rtd", , "ASK", ".SPY150417P216")</f>
        <v>8.02</v>
      </c>
      <c r="M35">
        <f>RTD("tos.rtd", , "ASK_SIZE", ".SPY150417P216")</f>
        <v>0</v>
      </c>
      <c r="N35">
        <f>RTD("tos.rtd", , "BID", ".SPY150417P216")</f>
        <v>7.75</v>
      </c>
      <c r="O35">
        <f>RTD("tos.rtd", , "BID_SIZE", ".SPY150417P216")</f>
        <v>0</v>
      </c>
      <c r="P35">
        <f>RTD("tos.rtd", , "VOLUME", ".SPY150417P216")</f>
        <v>0</v>
      </c>
      <c r="Q35">
        <f>RTD("tos.rtd", , "OPEN_INT", ".SPY150417P216")</f>
        <v>0</v>
      </c>
      <c r="R35" t="str">
        <f>RTD("tos.rtd", , "DELTA", ".SPY150417P216")</f>
        <v>N/A</v>
      </c>
      <c r="S35" t="str">
        <f>RTD("tos.rtd", , "THETA", ".SPY150417P216")</f>
        <v>N/A</v>
      </c>
      <c r="T35" t="str">
        <f>RTD("tos.rtd", , "GAMMA", ".SPY150417P216")</f>
        <v>N/A</v>
      </c>
      <c r="U35" t="str">
        <f>RTD("tos.rtd", , "VEGA", ".SPY150417P216")</f>
        <v>N/A</v>
      </c>
      <c r="V35" t="str">
        <f>RTD("tos.rtd", , "RHO", ".SPY150417P216")</f>
        <v>N/A</v>
      </c>
    </row>
    <row r="36" spans="1:22" x14ac:dyDescent="0.25">
      <c r="A36">
        <f>RTD("tos.rtd", , "ASK", ".SPY150417C216.5")</f>
        <v>0.01</v>
      </c>
      <c r="B36">
        <f>RTD("tos.rtd", , "ASK_SIZE", ".SPY150417C216.5")</f>
        <v>0</v>
      </c>
      <c r="C36">
        <f>RTD("tos.rtd", , "BID", ".SPY150417C216.5")</f>
        <v>0</v>
      </c>
      <c r="D36">
        <f>RTD("tos.rtd", , "BID_SIZE", ".SPY150417C216.5")</f>
        <v>0</v>
      </c>
      <c r="E36">
        <f>RTD("tos.rtd", , "VOLUME", ".SPY150417C216.5")</f>
        <v>0</v>
      </c>
      <c r="F36">
        <f>RTD("tos.rtd", , "OPEN_INT", ".SPY150417C216.5")</f>
        <v>5092</v>
      </c>
      <c r="G36" t="str">
        <f>RTD("tos.rtd", , "DELTA", ".SPY150417C216.5")</f>
        <v>N/A</v>
      </c>
      <c r="H36" t="str">
        <f>RTD("tos.rtd", , "THETA", ".SPY150417C216.5")</f>
        <v>N/A</v>
      </c>
      <c r="I36" t="str">
        <f>RTD("tos.rtd", , "GAMMA", ".SPY150417C216.5")</f>
        <v>N/A</v>
      </c>
      <c r="J36" t="str">
        <f>RTD("tos.rtd", , "VEGA", ".SPY150417C216.5")</f>
        <v>N/A</v>
      </c>
      <c r="K36" t="str">
        <f>RTD("tos.rtd", , "RHO", ".SPY150417C216.5")</f>
        <v>N/A</v>
      </c>
      <c r="L36">
        <f>RTD("tos.rtd", , "ASK", ".SPY150417P216.5")</f>
        <v>8.52</v>
      </c>
      <c r="M36">
        <f>RTD("tos.rtd", , "ASK_SIZE", ".SPY150417P216.5")</f>
        <v>0</v>
      </c>
      <c r="N36">
        <f>RTD("tos.rtd", , "BID", ".SPY150417P216.5")</f>
        <v>8.25</v>
      </c>
      <c r="O36">
        <f>RTD("tos.rtd", , "BID_SIZE", ".SPY150417P216.5")</f>
        <v>0</v>
      </c>
      <c r="P36">
        <f>RTD("tos.rtd", , "VOLUME", ".SPY150417P216.5")</f>
        <v>0</v>
      </c>
      <c r="Q36">
        <f>RTD("tos.rtd", , "OPEN_INT", ".SPY150417P216.5")</f>
        <v>0</v>
      </c>
      <c r="R36" t="str">
        <f>RTD("tos.rtd", , "DELTA", ".SPY150417P216.5")</f>
        <v>N/A</v>
      </c>
      <c r="S36" t="str">
        <f>RTD("tos.rtd", , "THETA", ".SPY150417P216.5")</f>
        <v>N/A</v>
      </c>
      <c r="T36" t="str">
        <f>RTD("tos.rtd", , "GAMMA", ".SPY150417P216.5")</f>
        <v>N/A</v>
      </c>
      <c r="U36" t="str">
        <f>RTD("tos.rtd", , "VEGA", ".SPY150417P216.5")</f>
        <v>N/A</v>
      </c>
      <c r="V36" t="str">
        <f>RTD("tos.rtd", , "RHO", ".SPY150417P216.5")</f>
        <v>N/A</v>
      </c>
    </row>
    <row r="37" spans="1:22" x14ac:dyDescent="0.25">
      <c r="A37">
        <f>RTD("tos.rtd", , "ASK", ".SPY150417C217")</f>
        <v>0.01</v>
      </c>
      <c r="B37">
        <f>RTD("tos.rtd", , "ASK_SIZE", ".SPY150417C217")</f>
        <v>0</v>
      </c>
      <c r="C37">
        <f>RTD("tos.rtd", , "BID", ".SPY150417C217")</f>
        <v>0</v>
      </c>
      <c r="D37">
        <f>RTD("tos.rtd", , "BID_SIZE", ".SPY150417C217")</f>
        <v>0</v>
      </c>
      <c r="E37">
        <f>RTD("tos.rtd", , "VOLUME", ".SPY150417C217")</f>
        <v>0</v>
      </c>
      <c r="F37">
        <f>RTD("tos.rtd", , "OPEN_INT", ".SPY150417C217")</f>
        <v>154422</v>
      </c>
      <c r="G37" t="str">
        <f>RTD("tos.rtd", , "DELTA", ".SPY150417C217")</f>
        <v>N/A</v>
      </c>
      <c r="H37" t="str">
        <f>RTD("tos.rtd", , "THETA", ".SPY150417C217")</f>
        <v>N/A</v>
      </c>
      <c r="I37" t="str">
        <f>RTD("tos.rtd", , "GAMMA", ".SPY150417C217")</f>
        <v>N/A</v>
      </c>
      <c r="J37" t="str">
        <f>RTD("tos.rtd", , "VEGA", ".SPY150417C217")</f>
        <v>N/A</v>
      </c>
      <c r="K37" t="str">
        <f>RTD("tos.rtd", , "RHO", ".SPY150417C217")</f>
        <v>N/A</v>
      </c>
      <c r="L37">
        <f>RTD("tos.rtd", , "ASK", ".SPY150417P217")</f>
        <v>9.02</v>
      </c>
      <c r="M37">
        <f>RTD("tos.rtd", , "ASK_SIZE", ".SPY150417P217")</f>
        <v>0</v>
      </c>
      <c r="N37">
        <f>RTD("tos.rtd", , "BID", ".SPY150417P217")</f>
        <v>8.75</v>
      </c>
      <c r="O37">
        <f>RTD("tos.rtd", , "BID_SIZE", ".SPY150417P217")</f>
        <v>0</v>
      </c>
      <c r="P37">
        <f>RTD("tos.rtd", , "VOLUME", ".SPY150417P217")</f>
        <v>0</v>
      </c>
      <c r="Q37">
        <f>RTD("tos.rtd", , "OPEN_INT", ".SPY150417P217")</f>
        <v>0</v>
      </c>
      <c r="R37" t="str">
        <f>RTD("tos.rtd", , "DELTA", ".SPY150417P217")</f>
        <v>N/A</v>
      </c>
      <c r="S37" t="str">
        <f>RTD("tos.rtd", , "THETA", ".SPY150417P217")</f>
        <v>N/A</v>
      </c>
      <c r="T37" t="str">
        <f>RTD("tos.rtd", , "GAMMA", ".SPY150417P217")</f>
        <v>N/A</v>
      </c>
      <c r="U37" t="str">
        <f>RTD("tos.rtd", , "VEGA", ".SPY150417P217")</f>
        <v>N/A</v>
      </c>
      <c r="V37" t="str">
        <f>RTD("tos.rtd", , "RHO", ".SPY150417P217")</f>
        <v>N/A</v>
      </c>
    </row>
    <row r="38" spans="1:22" x14ac:dyDescent="0.25">
      <c r="A38">
        <f>RTD("tos.rtd", , "ASK", ".SPY150417C217.5")</f>
        <v>0.01</v>
      </c>
      <c r="B38">
        <f>RTD("tos.rtd", , "ASK_SIZE", ".SPY150417C217.5")</f>
        <v>0</v>
      </c>
      <c r="C38">
        <f>RTD("tos.rtd", , "BID", ".SPY150417C217.5")</f>
        <v>0</v>
      </c>
      <c r="D38">
        <f>RTD("tos.rtd", , "BID_SIZE", ".SPY150417C217.5")</f>
        <v>0</v>
      </c>
      <c r="E38">
        <f>RTD("tos.rtd", , "VOLUME", ".SPY150417C217.5")</f>
        <v>0</v>
      </c>
      <c r="F38">
        <f>RTD("tos.rtd", , "OPEN_INT", ".SPY150417C217.5")</f>
        <v>2205</v>
      </c>
      <c r="G38" t="str">
        <f>RTD("tos.rtd", , "DELTA", ".SPY150417C217.5")</f>
        <v>N/A</v>
      </c>
      <c r="H38" t="str">
        <f>RTD("tos.rtd", , "THETA", ".SPY150417C217.5")</f>
        <v>N/A</v>
      </c>
      <c r="I38" t="str">
        <f>RTD("tos.rtd", , "GAMMA", ".SPY150417C217.5")</f>
        <v>N/A</v>
      </c>
      <c r="J38" t="str">
        <f>RTD("tos.rtd", , "VEGA", ".SPY150417C217.5")</f>
        <v>N/A</v>
      </c>
      <c r="K38" t="str">
        <f>RTD("tos.rtd", , "RHO", ".SPY150417C217.5")</f>
        <v>N/A</v>
      </c>
      <c r="L38">
        <f>RTD("tos.rtd", , "ASK", ".SPY150417P217.5")</f>
        <v>9.52</v>
      </c>
      <c r="M38">
        <f>RTD("tos.rtd", , "ASK_SIZE", ".SPY150417P217.5")</f>
        <v>0</v>
      </c>
      <c r="N38">
        <f>RTD("tos.rtd", , "BID", ".SPY150417P217.5")</f>
        <v>9.25</v>
      </c>
      <c r="O38">
        <f>RTD("tos.rtd", , "BID_SIZE", ".SPY150417P217.5")</f>
        <v>0</v>
      </c>
      <c r="P38">
        <f>RTD("tos.rtd", , "VOLUME", ".SPY150417P217.5")</f>
        <v>0</v>
      </c>
      <c r="Q38">
        <f>RTD("tos.rtd", , "OPEN_INT", ".SPY150417P217.5")</f>
        <v>0</v>
      </c>
      <c r="R38" t="str">
        <f>RTD("tos.rtd", , "DELTA", ".SPY150417P217.5")</f>
        <v>N/A</v>
      </c>
      <c r="S38" t="str">
        <f>RTD("tos.rtd", , "THETA", ".SPY150417P217.5")</f>
        <v>N/A</v>
      </c>
      <c r="T38" t="str">
        <f>RTD("tos.rtd", , "GAMMA", ".SPY150417P217.5")</f>
        <v>N/A</v>
      </c>
      <c r="U38" t="str">
        <f>RTD("tos.rtd", , "VEGA", ".SPY150417P217.5")</f>
        <v>N/A</v>
      </c>
      <c r="V38" t="str">
        <f>RTD("tos.rtd", , "RHO", ".SPY150417P217.5")</f>
        <v>N/A</v>
      </c>
    </row>
    <row r="39" spans="1:22" x14ac:dyDescent="0.25">
      <c r="A39">
        <f>RTD("tos.rtd", , "ASK", ".SPY150417C218")</f>
        <v>0.01</v>
      </c>
      <c r="B39">
        <f>RTD("tos.rtd", , "ASK_SIZE", ".SPY150417C218")</f>
        <v>0</v>
      </c>
      <c r="C39">
        <f>RTD("tos.rtd", , "BID", ".SPY150417C218")</f>
        <v>0</v>
      </c>
      <c r="D39">
        <f>RTD("tos.rtd", , "BID_SIZE", ".SPY150417C218")</f>
        <v>0</v>
      </c>
      <c r="E39">
        <f>RTD("tos.rtd", , "VOLUME", ".SPY150417C218")</f>
        <v>0</v>
      </c>
      <c r="F39">
        <f>RTD("tos.rtd", , "OPEN_INT", ".SPY150417C218")</f>
        <v>204372</v>
      </c>
      <c r="G39" t="str">
        <f>RTD("tos.rtd", , "DELTA", ".SPY150417C218")</f>
        <v>N/A</v>
      </c>
      <c r="H39" t="str">
        <f>RTD("tos.rtd", , "THETA", ".SPY150417C218")</f>
        <v>N/A</v>
      </c>
      <c r="I39" t="str">
        <f>RTD("tos.rtd", , "GAMMA", ".SPY150417C218")</f>
        <v>N/A</v>
      </c>
      <c r="J39" t="str">
        <f>RTD("tos.rtd", , "VEGA", ".SPY150417C218")</f>
        <v>N/A</v>
      </c>
      <c r="K39" t="str">
        <f>RTD("tos.rtd", , "RHO", ".SPY150417C218")</f>
        <v>N/A</v>
      </c>
      <c r="L39">
        <f>RTD("tos.rtd", , "ASK", ".SPY150417P218")</f>
        <v>10.02</v>
      </c>
      <c r="M39">
        <f>RTD("tos.rtd", , "ASK_SIZE", ".SPY150417P218")</f>
        <v>0</v>
      </c>
      <c r="N39">
        <f>RTD("tos.rtd", , "BID", ".SPY150417P218")</f>
        <v>9.75</v>
      </c>
      <c r="O39">
        <f>RTD("tos.rtd", , "BID_SIZE", ".SPY150417P218")</f>
        <v>0</v>
      </c>
      <c r="P39">
        <f>RTD("tos.rtd", , "VOLUME", ".SPY150417P218")</f>
        <v>0</v>
      </c>
      <c r="Q39">
        <f>RTD("tos.rtd", , "OPEN_INT", ".SPY150417P218")</f>
        <v>0</v>
      </c>
      <c r="R39" t="str">
        <f>RTD("tos.rtd", , "DELTA", ".SPY150417P218")</f>
        <v>N/A</v>
      </c>
      <c r="S39" t="str">
        <f>RTD("tos.rtd", , "THETA", ".SPY150417P218")</f>
        <v>N/A</v>
      </c>
      <c r="T39" t="str">
        <f>RTD("tos.rtd", , "GAMMA", ".SPY150417P218")</f>
        <v>N/A</v>
      </c>
      <c r="U39" t="str">
        <f>RTD("tos.rtd", , "VEGA", ".SPY150417P218")</f>
        <v>N/A</v>
      </c>
      <c r="V39" t="str">
        <f>RTD("tos.rtd", , "RHO", ".SPY150417P218")</f>
        <v>N/A</v>
      </c>
    </row>
    <row r="40" spans="1:22" x14ac:dyDescent="0.25">
      <c r="A40">
        <f>RTD("tos.rtd", , "ASK", ".SPY150417C218.5")</f>
        <v>0.01</v>
      </c>
      <c r="B40">
        <f>RTD("tos.rtd", , "ASK_SIZE", ".SPY150417C218.5")</f>
        <v>0</v>
      </c>
      <c r="C40">
        <f>RTD("tos.rtd", , "BID", ".SPY150417C218.5")</f>
        <v>0</v>
      </c>
      <c r="D40">
        <f>RTD("tos.rtd", , "BID_SIZE", ".SPY150417C218.5")</f>
        <v>0</v>
      </c>
      <c r="E40">
        <f>RTD("tos.rtd", , "VOLUME", ".SPY150417C218.5")</f>
        <v>0</v>
      </c>
      <c r="F40">
        <f>RTD("tos.rtd", , "OPEN_INT", ".SPY150417C218.5")</f>
        <v>5966</v>
      </c>
      <c r="G40" t="str">
        <f>RTD("tos.rtd", , "DELTA", ".SPY150417C218.5")</f>
        <v>N/A</v>
      </c>
      <c r="H40" t="str">
        <f>RTD("tos.rtd", , "THETA", ".SPY150417C218.5")</f>
        <v>N/A</v>
      </c>
      <c r="I40" t="str">
        <f>RTD("tos.rtd", , "GAMMA", ".SPY150417C218.5")</f>
        <v>N/A</v>
      </c>
      <c r="J40" t="str">
        <f>RTD("tos.rtd", , "VEGA", ".SPY150417C218.5")</f>
        <v>N/A</v>
      </c>
      <c r="K40" t="str">
        <f>RTD("tos.rtd", , "RHO", ".SPY150417C218.5")</f>
        <v>N/A</v>
      </c>
      <c r="L40">
        <f>RTD("tos.rtd", , "ASK", ".SPY150417P218.5")</f>
        <v>10.52</v>
      </c>
      <c r="M40">
        <f>RTD("tos.rtd", , "ASK_SIZE", ".SPY150417P218.5")</f>
        <v>0</v>
      </c>
      <c r="N40">
        <f>RTD("tos.rtd", , "BID", ".SPY150417P218.5")</f>
        <v>10.25</v>
      </c>
      <c r="O40">
        <f>RTD("tos.rtd", , "BID_SIZE", ".SPY150417P218.5")</f>
        <v>0</v>
      </c>
      <c r="P40">
        <f>RTD("tos.rtd", , "VOLUME", ".SPY150417P218.5")</f>
        <v>0</v>
      </c>
      <c r="Q40">
        <f>RTD("tos.rtd", , "OPEN_INT", ".SPY150417P218.5")</f>
        <v>0</v>
      </c>
      <c r="R40" t="str">
        <f>RTD("tos.rtd", , "DELTA", ".SPY150417P218.5")</f>
        <v>N/A</v>
      </c>
      <c r="S40" t="str">
        <f>RTD("tos.rtd", , "THETA", ".SPY150417P218.5")</f>
        <v>N/A</v>
      </c>
      <c r="T40" t="str">
        <f>RTD("tos.rtd", , "GAMMA", ".SPY150417P218.5")</f>
        <v>N/A</v>
      </c>
      <c r="U40" t="str">
        <f>RTD("tos.rtd", , "VEGA", ".SPY150417P218.5")</f>
        <v>N/A</v>
      </c>
      <c r="V40" t="str">
        <f>RTD("tos.rtd", , "RHO", ".SPY150417P218.5")</f>
        <v>N/A</v>
      </c>
    </row>
    <row r="41" spans="1:22" x14ac:dyDescent="0.25">
      <c r="A41">
        <f>RTD("tos.rtd", , "ASK", ".SPY150417C219")</f>
        <v>0.01</v>
      </c>
      <c r="B41">
        <f>RTD("tos.rtd", , "ASK_SIZE", ".SPY150417C219")</f>
        <v>0</v>
      </c>
      <c r="C41">
        <f>RTD("tos.rtd", , "BID", ".SPY150417C219")</f>
        <v>0</v>
      </c>
      <c r="D41">
        <f>RTD("tos.rtd", , "BID_SIZE", ".SPY150417C219")</f>
        <v>0</v>
      </c>
      <c r="E41">
        <f>RTD("tos.rtd", , "VOLUME", ".SPY150417C219")</f>
        <v>0</v>
      </c>
      <c r="F41">
        <f>RTD("tos.rtd", , "OPEN_INT", ".SPY150417C219")</f>
        <v>29198</v>
      </c>
      <c r="G41" t="str">
        <f>RTD("tos.rtd", , "DELTA", ".SPY150417C219")</f>
        <v>N/A</v>
      </c>
      <c r="H41" t="str">
        <f>RTD("tos.rtd", , "THETA", ".SPY150417C219")</f>
        <v>N/A</v>
      </c>
      <c r="I41" t="str">
        <f>RTD("tos.rtd", , "GAMMA", ".SPY150417C219")</f>
        <v>N/A</v>
      </c>
      <c r="J41" t="str">
        <f>RTD("tos.rtd", , "VEGA", ".SPY150417C219")</f>
        <v>N/A</v>
      </c>
      <c r="K41" t="str">
        <f>RTD("tos.rtd", , "RHO", ".SPY150417C219")</f>
        <v>N/A</v>
      </c>
      <c r="L41">
        <f>RTD("tos.rtd", , "ASK", ".SPY150417P219")</f>
        <v>11.02</v>
      </c>
      <c r="M41">
        <f>RTD("tos.rtd", , "ASK_SIZE", ".SPY150417P219")</f>
        <v>0</v>
      </c>
      <c r="N41">
        <f>RTD("tos.rtd", , "BID", ".SPY150417P219")</f>
        <v>10.75</v>
      </c>
      <c r="O41">
        <f>RTD("tos.rtd", , "BID_SIZE", ".SPY150417P219")</f>
        <v>0</v>
      </c>
      <c r="P41">
        <f>RTD("tos.rtd", , "VOLUME", ".SPY150417P219")</f>
        <v>0</v>
      </c>
      <c r="Q41">
        <f>RTD("tos.rtd", , "OPEN_INT", ".SPY150417P219")</f>
        <v>0</v>
      </c>
      <c r="R41" t="str">
        <f>RTD("tos.rtd", , "DELTA", ".SPY150417P219")</f>
        <v>N/A</v>
      </c>
      <c r="S41" t="str">
        <f>RTD("tos.rtd", , "THETA", ".SPY150417P219")</f>
        <v>N/A</v>
      </c>
      <c r="T41" t="str">
        <f>RTD("tos.rtd", , "GAMMA", ".SPY150417P219")</f>
        <v>N/A</v>
      </c>
      <c r="U41" t="str">
        <f>RTD("tos.rtd", , "VEGA", ".SPY150417P219")</f>
        <v>N/A</v>
      </c>
      <c r="V41" t="str">
        <f>RTD("tos.rtd", , "RHO", ".SPY150417P219")</f>
        <v>N/A</v>
      </c>
    </row>
    <row r="42" spans="1:22" x14ac:dyDescent="0.25">
      <c r="A42">
        <f>RTD("tos.rtd", , "ASK", ".SPY150417C219.5")</f>
        <v>0.01</v>
      </c>
      <c r="B42">
        <f>RTD("tos.rtd", , "ASK_SIZE", ".SPY150417C219.5")</f>
        <v>0</v>
      </c>
      <c r="C42">
        <f>RTD("tos.rtd", , "BID", ".SPY150417C219.5")</f>
        <v>0</v>
      </c>
      <c r="D42">
        <f>RTD("tos.rtd", , "BID_SIZE", ".SPY150417C219.5")</f>
        <v>0</v>
      </c>
      <c r="E42">
        <f>RTD("tos.rtd", , "VOLUME", ".SPY150417C219.5")</f>
        <v>0</v>
      </c>
      <c r="F42">
        <f>RTD("tos.rtd", , "OPEN_INT", ".SPY150417C219.5")</f>
        <v>29</v>
      </c>
      <c r="G42" t="str">
        <f>RTD("tos.rtd", , "DELTA", ".SPY150417C219.5")</f>
        <v>N/A</v>
      </c>
      <c r="H42" t="str">
        <f>RTD("tos.rtd", , "THETA", ".SPY150417C219.5")</f>
        <v>N/A</v>
      </c>
      <c r="I42" t="str">
        <f>RTD("tos.rtd", , "GAMMA", ".SPY150417C219.5")</f>
        <v>N/A</v>
      </c>
      <c r="J42" t="str">
        <f>RTD("tos.rtd", , "VEGA", ".SPY150417C219.5")</f>
        <v>N/A</v>
      </c>
      <c r="K42" t="str">
        <f>RTD("tos.rtd", , "RHO", ".SPY150417C219.5")</f>
        <v>N/A</v>
      </c>
      <c r="L42">
        <f>RTD("tos.rtd", , "ASK", ".SPY150417P219.5")</f>
        <v>11.52</v>
      </c>
      <c r="M42">
        <f>RTD("tos.rtd", , "ASK_SIZE", ".SPY150417P219.5")</f>
        <v>0</v>
      </c>
      <c r="N42">
        <f>RTD("tos.rtd", , "BID", ".SPY150417P219.5")</f>
        <v>11.25</v>
      </c>
      <c r="O42">
        <f>RTD("tos.rtd", , "BID_SIZE", ".SPY150417P219.5")</f>
        <v>0</v>
      </c>
      <c r="P42">
        <f>RTD("tos.rtd", , "VOLUME", ".SPY150417P219.5")</f>
        <v>0</v>
      </c>
      <c r="Q42">
        <f>RTD("tos.rtd", , "OPEN_INT", ".SPY150417P219.5")</f>
        <v>0</v>
      </c>
      <c r="R42" t="str">
        <f>RTD("tos.rtd", , "DELTA", ".SPY150417P219.5")</f>
        <v>N/A</v>
      </c>
      <c r="S42" t="str">
        <f>RTD("tos.rtd", , "THETA", ".SPY150417P219.5")</f>
        <v>N/A</v>
      </c>
      <c r="T42" t="str">
        <f>RTD("tos.rtd", , "GAMMA", ".SPY150417P219.5")</f>
        <v>N/A</v>
      </c>
      <c r="U42" t="str">
        <f>RTD("tos.rtd", , "VEGA", ".SPY150417P219.5")</f>
        <v>N/A</v>
      </c>
      <c r="V42" t="str">
        <f>RTD("tos.rtd", , "RHO", ".SPY150417P219.5")</f>
        <v>N/A</v>
      </c>
    </row>
    <row r="43" spans="1:22" x14ac:dyDescent="0.25">
      <c r="A43" t="s">
        <v>1</v>
      </c>
      <c r="B43">
        <v>40</v>
      </c>
    </row>
    <row r="44" spans="1:22" x14ac:dyDescent="0.25">
      <c r="A44">
        <f>RTD("tos.rtd", ,"LAST", "SPY")</f>
        <v>211.32</v>
      </c>
    </row>
    <row r="45" spans="1:22" x14ac:dyDescent="0.25">
      <c r="A45">
        <f>RTD("tos.rtd", , "ASK", ".SPY150424C200")</f>
        <v>11.82</v>
      </c>
      <c r="B45">
        <f>RTD("tos.rtd", , "ASK_SIZE", ".SPY150424C200")</f>
        <v>0</v>
      </c>
      <c r="C45">
        <f>RTD("tos.rtd", , "BID", ".SPY150424C200")</f>
        <v>11.55</v>
      </c>
      <c r="D45">
        <f>RTD("tos.rtd", , "BID_SIZE", ".SPY150424C200")</f>
        <v>0</v>
      </c>
      <c r="E45">
        <f>RTD("tos.rtd", , "VOLUME", ".SPY150424C200")</f>
        <v>0</v>
      </c>
      <c r="F45">
        <f>RTD("tos.rtd", , "OPEN_INT", ".SPY150424C200")</f>
        <v>0</v>
      </c>
      <c r="G45" t="str">
        <f>RTD("tos.rtd", , "DELTA", ".SPY150424C200")</f>
        <v>N/A</v>
      </c>
      <c r="H45" t="str">
        <f>RTD("tos.rtd", , "THETA", ".SPY150424C200")</f>
        <v>N/A</v>
      </c>
      <c r="I45" t="str">
        <f>RTD("tos.rtd", , "GAMMA", ".SPY150424C200")</f>
        <v>N/A</v>
      </c>
      <c r="J45" t="str">
        <f>RTD("tos.rtd", , "VEGA", ".SPY150424C200")</f>
        <v>N/A</v>
      </c>
      <c r="K45" t="str">
        <f>RTD("tos.rtd", , "RHO", ".SPY150424C200")</f>
        <v>N/A</v>
      </c>
      <c r="L45">
        <f>RTD("tos.rtd", , "ASK", ".SPY150424P200")</f>
        <v>0.01</v>
      </c>
      <c r="M45">
        <f>RTD("tos.rtd", , "ASK_SIZE", ".SPY150424P200")</f>
        <v>0</v>
      </c>
      <c r="N45">
        <f>RTD("tos.rtd", , "BID", ".SPY150424P200")</f>
        <v>0</v>
      </c>
      <c r="O45">
        <f>RTD("tos.rtd", , "BID_SIZE", ".SPY150424P200")</f>
        <v>0</v>
      </c>
      <c r="P45">
        <f>RTD("tos.rtd", , "VOLUME", ".SPY150424P200")</f>
        <v>0</v>
      </c>
      <c r="Q45">
        <f>RTD("tos.rtd", , "OPEN_INT", ".SPY150424P200")</f>
        <v>21883</v>
      </c>
      <c r="R45" t="str">
        <f>RTD("tos.rtd", , "DELTA", ".SPY150424P200")</f>
        <v>N/A</v>
      </c>
      <c r="S45" t="str">
        <f>RTD("tos.rtd", , "THETA", ".SPY150424P200")</f>
        <v>N/A</v>
      </c>
      <c r="T45" t="str">
        <f>RTD("tos.rtd", , "GAMMA", ".SPY150424P200")</f>
        <v>N/A</v>
      </c>
      <c r="U45" t="str">
        <f>RTD("tos.rtd", , "VEGA", ".SPY150424P200")</f>
        <v>N/A</v>
      </c>
      <c r="V45" t="str">
        <f>RTD("tos.rtd", , "RHO", ".SPY150424P200")</f>
        <v>N/A</v>
      </c>
    </row>
    <row r="46" spans="1:22" x14ac:dyDescent="0.25">
      <c r="A46">
        <f>RTD("tos.rtd", , "ASK", ".SPY150424C200.5")</f>
        <v>11.32</v>
      </c>
      <c r="B46">
        <f>RTD("tos.rtd", , "ASK_SIZE", ".SPY150424C200.5")</f>
        <v>0</v>
      </c>
      <c r="C46">
        <f>RTD("tos.rtd", , "BID", ".SPY150424C200.5")</f>
        <v>11.05</v>
      </c>
      <c r="D46">
        <f>RTD("tos.rtd", , "BID_SIZE", ".SPY150424C200.5")</f>
        <v>0</v>
      </c>
      <c r="E46">
        <f>RTD("tos.rtd", , "VOLUME", ".SPY150424C200.5")</f>
        <v>0</v>
      </c>
      <c r="F46">
        <f>RTD("tos.rtd", , "OPEN_INT", ".SPY150424C200.5")</f>
        <v>0</v>
      </c>
      <c r="G46" t="str">
        <f>RTD("tos.rtd", , "DELTA", ".SPY150424C200.5")</f>
        <v>N/A</v>
      </c>
      <c r="H46" t="str">
        <f>RTD("tos.rtd", , "THETA", ".SPY150424C200.5")</f>
        <v>N/A</v>
      </c>
      <c r="I46" t="str">
        <f>RTD("tos.rtd", , "GAMMA", ".SPY150424C200.5")</f>
        <v>N/A</v>
      </c>
      <c r="J46" t="str">
        <f>RTD("tos.rtd", , "VEGA", ".SPY150424C200.5")</f>
        <v>N/A</v>
      </c>
      <c r="K46" t="str">
        <f>RTD("tos.rtd", , "RHO", ".SPY150424C200.5")</f>
        <v>N/A</v>
      </c>
      <c r="L46">
        <f>RTD("tos.rtd", , "ASK", ".SPY150424P200.5")</f>
        <v>0.01</v>
      </c>
      <c r="M46">
        <f>RTD("tos.rtd", , "ASK_SIZE", ".SPY150424P200.5")</f>
        <v>0</v>
      </c>
      <c r="N46">
        <f>RTD("tos.rtd", , "BID", ".SPY150424P200.5")</f>
        <v>0</v>
      </c>
      <c r="O46">
        <f>RTD("tos.rtd", , "BID_SIZE", ".SPY150424P200.5")</f>
        <v>0</v>
      </c>
      <c r="P46">
        <f>RTD("tos.rtd", , "VOLUME", ".SPY150424P200.5")</f>
        <v>0</v>
      </c>
      <c r="Q46">
        <f>RTD("tos.rtd", , "OPEN_INT", ".SPY150424P200.5")</f>
        <v>1989</v>
      </c>
      <c r="R46" t="str">
        <f>RTD("tos.rtd", , "DELTA", ".SPY150424P200.5")</f>
        <v>N/A</v>
      </c>
      <c r="S46" t="str">
        <f>RTD("tos.rtd", , "THETA", ".SPY150424P200.5")</f>
        <v>N/A</v>
      </c>
      <c r="T46" t="str">
        <f>RTD("tos.rtd", , "GAMMA", ".SPY150424P200.5")</f>
        <v>N/A</v>
      </c>
      <c r="U46" t="str">
        <f>RTD("tos.rtd", , "VEGA", ".SPY150424P200.5")</f>
        <v>N/A</v>
      </c>
      <c r="V46" t="str">
        <f>RTD("tos.rtd", , "RHO", ".SPY150424P200.5")</f>
        <v>N/A</v>
      </c>
    </row>
    <row r="47" spans="1:22" x14ac:dyDescent="0.25">
      <c r="A47">
        <f>RTD("tos.rtd", , "ASK", ".SPY150424C201")</f>
        <v>10.81</v>
      </c>
      <c r="B47">
        <f>RTD("tos.rtd", , "ASK_SIZE", ".SPY150424C201")</f>
        <v>0</v>
      </c>
      <c r="C47">
        <f>RTD("tos.rtd", , "BID", ".SPY150424C201")</f>
        <v>10.55</v>
      </c>
      <c r="D47">
        <f>RTD("tos.rtd", , "BID_SIZE", ".SPY150424C201")</f>
        <v>0</v>
      </c>
      <c r="E47">
        <f>RTD("tos.rtd", , "VOLUME", ".SPY150424C201")</f>
        <v>0</v>
      </c>
      <c r="F47">
        <f>RTD("tos.rtd", , "OPEN_INT", ".SPY150424C201")</f>
        <v>0</v>
      </c>
      <c r="G47" t="str">
        <f>RTD("tos.rtd", , "DELTA", ".SPY150424C201")</f>
        <v>N/A</v>
      </c>
      <c r="H47" t="str">
        <f>RTD("tos.rtd", , "THETA", ".SPY150424C201")</f>
        <v>N/A</v>
      </c>
      <c r="I47" t="str">
        <f>RTD("tos.rtd", , "GAMMA", ".SPY150424C201")</f>
        <v>N/A</v>
      </c>
      <c r="J47" t="str">
        <f>RTD("tos.rtd", , "VEGA", ".SPY150424C201")</f>
        <v>N/A</v>
      </c>
      <c r="K47" t="str">
        <f>RTD("tos.rtd", , "RHO", ".SPY150424C201")</f>
        <v>N/A</v>
      </c>
      <c r="L47">
        <f>RTD("tos.rtd", , "ASK", ".SPY150424P201")</f>
        <v>0.01</v>
      </c>
      <c r="M47">
        <f>RTD("tos.rtd", , "ASK_SIZE", ".SPY150424P201")</f>
        <v>0</v>
      </c>
      <c r="N47">
        <f>RTD("tos.rtd", , "BID", ".SPY150424P201")</f>
        <v>0</v>
      </c>
      <c r="O47">
        <f>RTD("tos.rtd", , "BID_SIZE", ".SPY150424P201")</f>
        <v>0</v>
      </c>
      <c r="P47">
        <f>RTD("tos.rtd", , "VOLUME", ".SPY150424P201")</f>
        <v>0</v>
      </c>
      <c r="Q47">
        <f>RTD("tos.rtd", , "OPEN_INT", ".SPY150424P201")</f>
        <v>11464</v>
      </c>
      <c r="R47" t="str">
        <f>RTD("tos.rtd", , "DELTA", ".SPY150424P201")</f>
        <v>N/A</v>
      </c>
      <c r="S47" t="str">
        <f>RTD("tos.rtd", , "THETA", ".SPY150424P201")</f>
        <v>N/A</v>
      </c>
      <c r="T47" t="str">
        <f>RTD("tos.rtd", , "GAMMA", ".SPY150424P201")</f>
        <v>N/A</v>
      </c>
      <c r="U47" t="str">
        <f>RTD("tos.rtd", , "VEGA", ".SPY150424P201")</f>
        <v>N/A</v>
      </c>
      <c r="V47" t="str">
        <f>RTD("tos.rtd", , "RHO", ".SPY150424P201")</f>
        <v>N/A</v>
      </c>
    </row>
    <row r="48" spans="1:22" x14ac:dyDescent="0.25">
      <c r="A48">
        <f>RTD("tos.rtd", , "ASK", ".SPY150424C201.5")</f>
        <v>10.32</v>
      </c>
      <c r="B48">
        <f>RTD("tos.rtd", , "ASK_SIZE", ".SPY150424C201.5")</f>
        <v>0</v>
      </c>
      <c r="C48">
        <f>RTD("tos.rtd", , "BID", ".SPY150424C201.5")</f>
        <v>10.050000000000001</v>
      </c>
      <c r="D48">
        <f>RTD("tos.rtd", , "BID_SIZE", ".SPY150424C201.5")</f>
        <v>0</v>
      </c>
      <c r="E48">
        <f>RTD("tos.rtd", , "VOLUME", ".SPY150424C201.5")</f>
        <v>0</v>
      </c>
      <c r="F48">
        <f>RTD("tos.rtd", , "OPEN_INT", ".SPY150424C201.5")</f>
        <v>0</v>
      </c>
      <c r="G48" t="str">
        <f>RTD("tos.rtd", , "DELTA", ".SPY150424C201.5")</f>
        <v>N/A</v>
      </c>
      <c r="H48" t="str">
        <f>RTD("tos.rtd", , "THETA", ".SPY150424C201.5")</f>
        <v>N/A</v>
      </c>
      <c r="I48" t="str">
        <f>RTD("tos.rtd", , "GAMMA", ".SPY150424C201.5")</f>
        <v>N/A</v>
      </c>
      <c r="J48" t="str">
        <f>RTD("tos.rtd", , "VEGA", ".SPY150424C201.5")</f>
        <v>N/A</v>
      </c>
      <c r="K48" t="str">
        <f>RTD("tos.rtd", , "RHO", ".SPY150424C201.5")</f>
        <v>N/A</v>
      </c>
      <c r="L48">
        <f>RTD("tos.rtd", , "ASK", ".SPY150424P201.5")</f>
        <v>0.01</v>
      </c>
      <c r="M48">
        <f>RTD("tos.rtd", , "ASK_SIZE", ".SPY150424P201.5")</f>
        <v>0</v>
      </c>
      <c r="N48">
        <f>RTD("tos.rtd", , "BID", ".SPY150424P201.5")</f>
        <v>0</v>
      </c>
      <c r="O48">
        <f>RTD("tos.rtd", , "BID_SIZE", ".SPY150424P201.5")</f>
        <v>0</v>
      </c>
      <c r="P48">
        <f>RTD("tos.rtd", , "VOLUME", ".SPY150424P201.5")</f>
        <v>0</v>
      </c>
      <c r="Q48">
        <f>RTD("tos.rtd", , "OPEN_INT", ".SPY150424P201.5")</f>
        <v>5384</v>
      </c>
      <c r="R48" t="str">
        <f>RTD("tos.rtd", , "DELTA", ".SPY150424P201.5")</f>
        <v>N/A</v>
      </c>
      <c r="S48" t="str">
        <f>RTD("tos.rtd", , "THETA", ".SPY150424P201.5")</f>
        <v>N/A</v>
      </c>
      <c r="T48" t="str">
        <f>RTD("tos.rtd", , "GAMMA", ".SPY150424P201.5")</f>
        <v>N/A</v>
      </c>
      <c r="U48" t="str">
        <f>RTD("tos.rtd", , "VEGA", ".SPY150424P201.5")</f>
        <v>N/A</v>
      </c>
      <c r="V48" t="str">
        <f>RTD("tos.rtd", , "RHO", ".SPY150424P201.5")</f>
        <v>N/A</v>
      </c>
    </row>
    <row r="49" spans="1:22" x14ac:dyDescent="0.25">
      <c r="A49">
        <f>RTD("tos.rtd", , "ASK", ".SPY150424C202")</f>
        <v>9.81</v>
      </c>
      <c r="B49">
        <f>RTD("tos.rtd", , "ASK_SIZE", ".SPY150424C202")</f>
        <v>0</v>
      </c>
      <c r="C49">
        <f>RTD("tos.rtd", , "BID", ".SPY150424C202")</f>
        <v>9.5500000000000007</v>
      </c>
      <c r="D49">
        <f>RTD("tos.rtd", , "BID_SIZE", ".SPY150424C202")</f>
        <v>0</v>
      </c>
      <c r="E49">
        <f>RTD("tos.rtd", , "VOLUME", ".SPY150424C202")</f>
        <v>0</v>
      </c>
      <c r="F49">
        <f>RTD("tos.rtd", , "OPEN_INT", ".SPY150424C202")</f>
        <v>0</v>
      </c>
      <c r="G49" t="str">
        <f>RTD("tos.rtd", , "DELTA", ".SPY150424C202")</f>
        <v>N/A</v>
      </c>
      <c r="H49" t="str">
        <f>RTD("tos.rtd", , "THETA", ".SPY150424C202")</f>
        <v>N/A</v>
      </c>
      <c r="I49" t="str">
        <f>RTD("tos.rtd", , "GAMMA", ".SPY150424C202")</f>
        <v>N/A</v>
      </c>
      <c r="J49" t="str">
        <f>RTD("tos.rtd", , "VEGA", ".SPY150424C202")</f>
        <v>N/A</v>
      </c>
      <c r="K49" t="str">
        <f>RTD("tos.rtd", , "RHO", ".SPY150424C202")</f>
        <v>N/A</v>
      </c>
      <c r="L49">
        <f>RTD("tos.rtd", , "ASK", ".SPY150424P202")</f>
        <v>0.01</v>
      </c>
      <c r="M49">
        <f>RTD("tos.rtd", , "ASK_SIZE", ".SPY150424P202")</f>
        <v>0</v>
      </c>
      <c r="N49">
        <f>RTD("tos.rtd", , "BID", ".SPY150424P202")</f>
        <v>0</v>
      </c>
      <c r="O49">
        <f>RTD("tos.rtd", , "BID_SIZE", ".SPY150424P202")</f>
        <v>0</v>
      </c>
      <c r="P49">
        <f>RTD("tos.rtd", , "VOLUME", ".SPY150424P202")</f>
        <v>0</v>
      </c>
      <c r="Q49">
        <f>RTD("tos.rtd", , "OPEN_INT", ".SPY150424P202")</f>
        <v>18740</v>
      </c>
      <c r="R49" t="str">
        <f>RTD("tos.rtd", , "DELTA", ".SPY150424P202")</f>
        <v>N/A</v>
      </c>
      <c r="S49" t="str">
        <f>RTD("tos.rtd", , "THETA", ".SPY150424P202")</f>
        <v>N/A</v>
      </c>
      <c r="T49" t="str">
        <f>RTD("tos.rtd", , "GAMMA", ".SPY150424P202")</f>
        <v>N/A</v>
      </c>
      <c r="U49" t="str">
        <f>RTD("tos.rtd", , "VEGA", ".SPY150424P202")</f>
        <v>N/A</v>
      </c>
      <c r="V49" t="str">
        <f>RTD("tos.rtd", , "RHO", ".SPY150424P202")</f>
        <v>N/A</v>
      </c>
    </row>
    <row r="50" spans="1:22" x14ac:dyDescent="0.25">
      <c r="A50">
        <f>RTD("tos.rtd", , "ASK", ".SPY150424C202.5")</f>
        <v>9.31</v>
      </c>
      <c r="B50">
        <f>RTD("tos.rtd", , "ASK_SIZE", ".SPY150424C202.5")</f>
        <v>0</v>
      </c>
      <c r="C50">
        <f>RTD("tos.rtd", , "BID", ".SPY150424C202.5")</f>
        <v>9.0500000000000007</v>
      </c>
      <c r="D50">
        <f>RTD("tos.rtd", , "BID_SIZE", ".SPY150424C202.5")</f>
        <v>0</v>
      </c>
      <c r="E50">
        <f>RTD("tos.rtd", , "VOLUME", ".SPY150424C202.5")</f>
        <v>0</v>
      </c>
      <c r="F50">
        <f>RTD("tos.rtd", , "OPEN_INT", ".SPY150424C202.5")</f>
        <v>0</v>
      </c>
      <c r="G50" t="str">
        <f>RTD("tos.rtd", , "DELTA", ".SPY150424C202.5")</f>
        <v>N/A</v>
      </c>
      <c r="H50" t="str">
        <f>RTD("tos.rtd", , "THETA", ".SPY150424C202.5")</f>
        <v>N/A</v>
      </c>
      <c r="I50" t="str">
        <f>RTD("tos.rtd", , "GAMMA", ".SPY150424C202.5")</f>
        <v>N/A</v>
      </c>
      <c r="J50" t="str">
        <f>RTD("tos.rtd", , "VEGA", ".SPY150424C202.5")</f>
        <v>N/A</v>
      </c>
      <c r="K50" t="str">
        <f>RTD("tos.rtd", , "RHO", ".SPY150424C202.5")</f>
        <v>N/A</v>
      </c>
      <c r="L50">
        <f>RTD("tos.rtd", , "ASK", ".SPY150424P202.5")</f>
        <v>0.01</v>
      </c>
      <c r="M50">
        <f>RTD("tos.rtd", , "ASK_SIZE", ".SPY150424P202.5")</f>
        <v>0</v>
      </c>
      <c r="N50">
        <f>RTD("tos.rtd", , "BID", ".SPY150424P202.5")</f>
        <v>0</v>
      </c>
      <c r="O50">
        <f>RTD("tos.rtd", , "BID_SIZE", ".SPY150424P202.5")</f>
        <v>0</v>
      </c>
      <c r="P50">
        <f>RTD("tos.rtd", , "VOLUME", ".SPY150424P202.5")</f>
        <v>0</v>
      </c>
      <c r="Q50">
        <f>RTD("tos.rtd", , "OPEN_INT", ".SPY150424P202.5")</f>
        <v>7419</v>
      </c>
      <c r="R50" t="str">
        <f>RTD("tos.rtd", , "DELTA", ".SPY150424P202.5")</f>
        <v>N/A</v>
      </c>
      <c r="S50" t="str">
        <f>RTD("tos.rtd", , "THETA", ".SPY150424P202.5")</f>
        <v>N/A</v>
      </c>
      <c r="T50" t="str">
        <f>RTD("tos.rtd", , "GAMMA", ".SPY150424P202.5")</f>
        <v>N/A</v>
      </c>
      <c r="U50" t="str">
        <f>RTD("tos.rtd", , "VEGA", ".SPY150424P202.5")</f>
        <v>N/A</v>
      </c>
      <c r="V50" t="str">
        <f>RTD("tos.rtd", , "RHO", ".SPY150424P202.5")</f>
        <v>N/A</v>
      </c>
    </row>
    <row r="51" spans="1:22" x14ac:dyDescent="0.25">
      <c r="A51">
        <f>RTD("tos.rtd", , "ASK", ".SPY150424C203")</f>
        <v>8.81</v>
      </c>
      <c r="B51">
        <f>RTD("tos.rtd", , "ASK_SIZE", ".SPY150424C203")</f>
        <v>0</v>
      </c>
      <c r="C51">
        <f>RTD("tos.rtd", , "BID", ".SPY150424C203")</f>
        <v>8.5500000000000007</v>
      </c>
      <c r="D51">
        <f>RTD("tos.rtd", , "BID_SIZE", ".SPY150424C203")</f>
        <v>0</v>
      </c>
      <c r="E51">
        <f>RTD("tos.rtd", , "VOLUME", ".SPY150424C203")</f>
        <v>0</v>
      </c>
      <c r="F51">
        <f>RTD("tos.rtd", , "OPEN_INT", ".SPY150424C203")</f>
        <v>0</v>
      </c>
      <c r="G51" t="str">
        <f>RTD("tos.rtd", , "DELTA", ".SPY150424C203")</f>
        <v>N/A</v>
      </c>
      <c r="H51" t="str">
        <f>RTD("tos.rtd", , "THETA", ".SPY150424C203")</f>
        <v>N/A</v>
      </c>
      <c r="I51" t="str">
        <f>RTD("tos.rtd", , "GAMMA", ".SPY150424C203")</f>
        <v>N/A</v>
      </c>
      <c r="J51" t="str">
        <f>RTD("tos.rtd", , "VEGA", ".SPY150424C203")</f>
        <v>N/A</v>
      </c>
      <c r="K51" t="str">
        <f>RTD("tos.rtd", , "RHO", ".SPY150424C203")</f>
        <v>N/A</v>
      </c>
      <c r="L51">
        <f>RTD("tos.rtd", , "ASK", ".SPY150424P203")</f>
        <v>0.01</v>
      </c>
      <c r="M51">
        <f>RTD("tos.rtd", , "ASK_SIZE", ".SPY150424P203")</f>
        <v>0</v>
      </c>
      <c r="N51">
        <f>RTD("tos.rtd", , "BID", ".SPY150424P203")</f>
        <v>0</v>
      </c>
      <c r="O51">
        <f>RTD("tos.rtd", , "BID_SIZE", ".SPY150424P203")</f>
        <v>0</v>
      </c>
      <c r="P51">
        <f>RTD("tos.rtd", , "VOLUME", ".SPY150424P203")</f>
        <v>0</v>
      </c>
      <c r="Q51">
        <f>RTD("tos.rtd", , "OPEN_INT", ".SPY150424P203")</f>
        <v>43922</v>
      </c>
      <c r="R51" t="str">
        <f>RTD("tos.rtd", , "DELTA", ".SPY150424P203")</f>
        <v>N/A</v>
      </c>
      <c r="S51" t="str">
        <f>RTD("tos.rtd", , "THETA", ".SPY150424P203")</f>
        <v>N/A</v>
      </c>
      <c r="T51" t="str">
        <f>RTD("tos.rtd", , "GAMMA", ".SPY150424P203")</f>
        <v>N/A</v>
      </c>
      <c r="U51" t="str">
        <f>RTD("tos.rtd", , "VEGA", ".SPY150424P203")</f>
        <v>N/A</v>
      </c>
      <c r="V51" t="str">
        <f>RTD("tos.rtd", , "RHO", ".SPY150424P203")</f>
        <v>N/A</v>
      </c>
    </row>
    <row r="52" spans="1:22" x14ac:dyDescent="0.25">
      <c r="A52">
        <f>RTD("tos.rtd", , "ASK", ".SPY150424C203.5")</f>
        <v>8.31</v>
      </c>
      <c r="B52">
        <f>RTD("tos.rtd", , "ASK_SIZE", ".SPY150424C203.5")</f>
        <v>0</v>
      </c>
      <c r="C52">
        <f>RTD("tos.rtd", , "BID", ".SPY150424C203.5")</f>
        <v>8.0500000000000007</v>
      </c>
      <c r="D52">
        <f>RTD("tos.rtd", , "BID_SIZE", ".SPY150424C203.5")</f>
        <v>0</v>
      </c>
      <c r="E52">
        <f>RTD("tos.rtd", , "VOLUME", ".SPY150424C203.5")</f>
        <v>0</v>
      </c>
      <c r="F52">
        <f>RTD("tos.rtd", , "OPEN_INT", ".SPY150424C203.5")</f>
        <v>0</v>
      </c>
      <c r="G52" t="str">
        <f>RTD("tos.rtd", , "DELTA", ".SPY150424C203.5")</f>
        <v>N/A</v>
      </c>
      <c r="H52" t="str">
        <f>RTD("tos.rtd", , "THETA", ".SPY150424C203.5")</f>
        <v>N/A</v>
      </c>
      <c r="I52" t="str">
        <f>RTD("tos.rtd", , "GAMMA", ".SPY150424C203.5")</f>
        <v>N/A</v>
      </c>
      <c r="J52" t="str">
        <f>RTD("tos.rtd", , "VEGA", ".SPY150424C203.5")</f>
        <v>N/A</v>
      </c>
      <c r="K52" t="str">
        <f>RTD("tos.rtd", , "RHO", ".SPY150424C203.5")</f>
        <v>N/A</v>
      </c>
      <c r="L52">
        <f>RTD("tos.rtd", , "ASK", ".SPY150424P203.5")</f>
        <v>0.01</v>
      </c>
      <c r="M52">
        <f>RTD("tos.rtd", , "ASK_SIZE", ".SPY150424P203.5")</f>
        <v>0</v>
      </c>
      <c r="N52">
        <f>RTD("tos.rtd", , "BID", ".SPY150424P203.5")</f>
        <v>0</v>
      </c>
      <c r="O52">
        <f>RTD("tos.rtd", , "BID_SIZE", ".SPY150424P203.5")</f>
        <v>0</v>
      </c>
      <c r="P52">
        <f>RTD("tos.rtd", , "VOLUME", ".SPY150424P203.5")</f>
        <v>0</v>
      </c>
      <c r="Q52">
        <f>RTD("tos.rtd", , "OPEN_INT", ".SPY150424P203.5")</f>
        <v>4507</v>
      </c>
      <c r="R52" t="str">
        <f>RTD("tos.rtd", , "DELTA", ".SPY150424P203.5")</f>
        <v>N/A</v>
      </c>
      <c r="S52" t="str">
        <f>RTD("tos.rtd", , "THETA", ".SPY150424P203.5")</f>
        <v>N/A</v>
      </c>
      <c r="T52" t="str">
        <f>RTD("tos.rtd", , "GAMMA", ".SPY150424P203.5")</f>
        <v>N/A</v>
      </c>
      <c r="U52" t="str">
        <f>RTD("tos.rtd", , "VEGA", ".SPY150424P203.5")</f>
        <v>N/A</v>
      </c>
      <c r="V52" t="str">
        <f>RTD("tos.rtd", , "RHO", ".SPY150424P203.5")</f>
        <v>N/A</v>
      </c>
    </row>
    <row r="53" spans="1:22" x14ac:dyDescent="0.25">
      <c r="A53">
        <f>RTD("tos.rtd", , "ASK", ".SPY150424C204")</f>
        <v>7.81</v>
      </c>
      <c r="B53">
        <f>RTD("tos.rtd", , "ASK_SIZE", ".SPY150424C204")</f>
        <v>0</v>
      </c>
      <c r="C53">
        <f>RTD("tos.rtd", , "BID", ".SPY150424C204")</f>
        <v>7.55</v>
      </c>
      <c r="D53">
        <f>RTD("tos.rtd", , "BID_SIZE", ".SPY150424C204")</f>
        <v>0</v>
      </c>
      <c r="E53">
        <f>RTD("tos.rtd", , "VOLUME", ".SPY150424C204")</f>
        <v>0</v>
      </c>
      <c r="F53">
        <f>RTD("tos.rtd", , "OPEN_INT", ".SPY150424C204")</f>
        <v>0</v>
      </c>
      <c r="G53" t="str">
        <f>RTD("tos.rtd", , "DELTA", ".SPY150424C204")</f>
        <v>N/A</v>
      </c>
      <c r="H53" t="str">
        <f>RTD("tos.rtd", , "THETA", ".SPY150424C204")</f>
        <v>N/A</v>
      </c>
      <c r="I53" t="str">
        <f>RTD("tos.rtd", , "GAMMA", ".SPY150424C204")</f>
        <v>N/A</v>
      </c>
      <c r="J53" t="str">
        <f>RTD("tos.rtd", , "VEGA", ".SPY150424C204")</f>
        <v>N/A</v>
      </c>
      <c r="K53" t="str">
        <f>RTD("tos.rtd", , "RHO", ".SPY150424C204")</f>
        <v>N/A</v>
      </c>
      <c r="L53">
        <f>RTD("tos.rtd", , "ASK", ".SPY150424P204")</f>
        <v>0.01</v>
      </c>
      <c r="M53">
        <f>RTD("tos.rtd", , "ASK_SIZE", ".SPY150424P204")</f>
        <v>0</v>
      </c>
      <c r="N53">
        <f>RTD("tos.rtd", , "BID", ".SPY150424P204")</f>
        <v>0</v>
      </c>
      <c r="O53">
        <f>RTD("tos.rtd", , "BID_SIZE", ".SPY150424P204")</f>
        <v>0</v>
      </c>
      <c r="P53">
        <f>RTD("tos.rtd", , "VOLUME", ".SPY150424P204")</f>
        <v>0</v>
      </c>
      <c r="Q53">
        <f>RTD("tos.rtd", , "OPEN_INT", ".SPY150424P204")</f>
        <v>16082</v>
      </c>
      <c r="R53" t="str">
        <f>RTD("tos.rtd", , "DELTA", ".SPY150424P204")</f>
        <v>N/A</v>
      </c>
      <c r="S53" t="str">
        <f>RTD("tos.rtd", , "THETA", ".SPY150424P204")</f>
        <v>N/A</v>
      </c>
      <c r="T53" t="str">
        <f>RTD("tos.rtd", , "GAMMA", ".SPY150424P204")</f>
        <v>N/A</v>
      </c>
      <c r="U53" t="str">
        <f>RTD("tos.rtd", , "VEGA", ".SPY150424P204")</f>
        <v>N/A</v>
      </c>
      <c r="V53" t="str">
        <f>RTD("tos.rtd", , "RHO", ".SPY150424P204")</f>
        <v>N/A</v>
      </c>
    </row>
    <row r="54" spans="1:22" x14ac:dyDescent="0.25">
      <c r="A54">
        <f>RTD("tos.rtd", , "ASK", ".SPY150424C204.5")</f>
        <v>7.31</v>
      </c>
      <c r="B54">
        <f>RTD("tos.rtd", , "ASK_SIZE", ".SPY150424C204.5")</f>
        <v>0</v>
      </c>
      <c r="C54">
        <f>RTD("tos.rtd", , "BID", ".SPY150424C204.5")</f>
        <v>7.05</v>
      </c>
      <c r="D54">
        <f>RTD("tos.rtd", , "BID_SIZE", ".SPY150424C204.5")</f>
        <v>0</v>
      </c>
      <c r="E54">
        <f>RTD("tos.rtd", , "VOLUME", ".SPY150424C204.5")</f>
        <v>0</v>
      </c>
      <c r="F54">
        <f>RTD("tos.rtd", , "OPEN_INT", ".SPY150424C204.5")</f>
        <v>0</v>
      </c>
      <c r="G54" t="str">
        <f>RTD("tos.rtd", , "DELTA", ".SPY150424C204.5")</f>
        <v>N/A</v>
      </c>
      <c r="H54" t="str">
        <f>RTD("tos.rtd", , "THETA", ".SPY150424C204.5")</f>
        <v>N/A</v>
      </c>
      <c r="I54" t="str">
        <f>RTD("tos.rtd", , "GAMMA", ".SPY150424C204.5")</f>
        <v>N/A</v>
      </c>
      <c r="J54" t="str">
        <f>RTD("tos.rtd", , "VEGA", ".SPY150424C204.5")</f>
        <v>N/A</v>
      </c>
      <c r="K54" t="str">
        <f>RTD("tos.rtd", , "RHO", ".SPY150424C204.5")</f>
        <v>N/A</v>
      </c>
      <c r="L54">
        <f>RTD("tos.rtd", , "ASK", ".SPY150424P204.5")</f>
        <v>0.01</v>
      </c>
      <c r="M54">
        <f>RTD("tos.rtd", , "ASK_SIZE", ".SPY150424P204.5")</f>
        <v>0</v>
      </c>
      <c r="N54">
        <f>RTD("tos.rtd", , "BID", ".SPY150424P204.5")</f>
        <v>0</v>
      </c>
      <c r="O54">
        <f>RTD("tos.rtd", , "BID_SIZE", ".SPY150424P204.5")</f>
        <v>0</v>
      </c>
      <c r="P54">
        <f>RTD("tos.rtd", , "VOLUME", ".SPY150424P204.5")</f>
        <v>0</v>
      </c>
      <c r="Q54">
        <f>RTD("tos.rtd", , "OPEN_INT", ".SPY150424P204.5")</f>
        <v>9339</v>
      </c>
      <c r="R54" t="str">
        <f>RTD("tos.rtd", , "DELTA", ".SPY150424P204.5")</f>
        <v>N/A</v>
      </c>
      <c r="S54" t="str">
        <f>RTD("tos.rtd", , "THETA", ".SPY150424P204.5")</f>
        <v>N/A</v>
      </c>
      <c r="T54" t="str">
        <f>RTD("tos.rtd", , "GAMMA", ".SPY150424P204.5")</f>
        <v>N/A</v>
      </c>
      <c r="U54" t="str">
        <f>RTD("tos.rtd", , "VEGA", ".SPY150424P204.5")</f>
        <v>N/A</v>
      </c>
      <c r="V54" t="str">
        <f>RTD("tos.rtd", , "RHO", ".SPY150424P204.5")</f>
        <v>N/A</v>
      </c>
    </row>
    <row r="55" spans="1:22" x14ac:dyDescent="0.25">
      <c r="A55">
        <f>RTD("tos.rtd", , "ASK", ".SPY150424C205")</f>
        <v>6.81</v>
      </c>
      <c r="B55">
        <f>RTD("tos.rtd", , "ASK_SIZE", ".SPY150424C205")</f>
        <v>0</v>
      </c>
      <c r="C55">
        <f>RTD("tos.rtd", , "BID", ".SPY150424C205")</f>
        <v>6.49</v>
      </c>
      <c r="D55">
        <f>RTD("tos.rtd", , "BID_SIZE", ".SPY150424C205")</f>
        <v>0</v>
      </c>
      <c r="E55">
        <f>RTD("tos.rtd", , "VOLUME", ".SPY150424C205")</f>
        <v>0</v>
      </c>
      <c r="F55">
        <f>RTD("tos.rtd", , "OPEN_INT", ".SPY150424C205")</f>
        <v>0</v>
      </c>
      <c r="G55" t="str">
        <f>RTD("tos.rtd", , "DELTA", ".SPY150424C205")</f>
        <v>N/A</v>
      </c>
      <c r="H55" t="str">
        <f>RTD("tos.rtd", , "THETA", ".SPY150424C205")</f>
        <v>N/A</v>
      </c>
      <c r="I55" t="str">
        <f>RTD("tos.rtd", , "GAMMA", ".SPY150424C205")</f>
        <v>N/A</v>
      </c>
      <c r="J55" t="str">
        <f>RTD("tos.rtd", , "VEGA", ".SPY150424C205")</f>
        <v>N/A</v>
      </c>
      <c r="K55" t="str">
        <f>RTD("tos.rtd", , "RHO", ".SPY150424C205")</f>
        <v>N/A</v>
      </c>
      <c r="L55">
        <f>RTD("tos.rtd", , "ASK", ".SPY150424P205")</f>
        <v>0.01</v>
      </c>
      <c r="M55">
        <f>RTD("tos.rtd", , "ASK_SIZE", ".SPY150424P205")</f>
        <v>0</v>
      </c>
      <c r="N55">
        <f>RTD("tos.rtd", , "BID", ".SPY150424P205")</f>
        <v>0</v>
      </c>
      <c r="O55">
        <f>RTD("tos.rtd", , "BID_SIZE", ".SPY150424P205")</f>
        <v>0</v>
      </c>
      <c r="P55">
        <f>RTD("tos.rtd", , "VOLUME", ".SPY150424P205")</f>
        <v>0</v>
      </c>
      <c r="Q55">
        <f>RTD("tos.rtd", , "OPEN_INT", ".SPY150424P205")</f>
        <v>39807</v>
      </c>
      <c r="R55" t="str">
        <f>RTD("tos.rtd", , "DELTA", ".SPY150424P205")</f>
        <v>N/A</v>
      </c>
      <c r="S55" t="str">
        <f>RTD("tos.rtd", , "THETA", ".SPY150424P205")</f>
        <v>N/A</v>
      </c>
      <c r="T55" t="str">
        <f>RTD("tos.rtd", , "GAMMA", ".SPY150424P205")</f>
        <v>N/A</v>
      </c>
      <c r="U55" t="str">
        <f>RTD("tos.rtd", , "VEGA", ".SPY150424P205")</f>
        <v>N/A</v>
      </c>
      <c r="V55" t="str">
        <f>RTD("tos.rtd", , "RHO", ".SPY150424P205")</f>
        <v>N/A</v>
      </c>
    </row>
    <row r="56" spans="1:22" x14ac:dyDescent="0.25">
      <c r="A56">
        <f>RTD("tos.rtd", , "ASK", ".SPY150424C205.5")</f>
        <v>6.31</v>
      </c>
      <c r="B56">
        <f>RTD("tos.rtd", , "ASK_SIZE", ".SPY150424C205.5")</f>
        <v>0</v>
      </c>
      <c r="C56">
        <f>RTD("tos.rtd", , "BID", ".SPY150424C205.5")</f>
        <v>6.05</v>
      </c>
      <c r="D56">
        <f>RTD("tos.rtd", , "BID_SIZE", ".SPY150424C205.5")</f>
        <v>0</v>
      </c>
      <c r="E56">
        <f>RTD("tos.rtd", , "VOLUME", ".SPY150424C205.5")</f>
        <v>0</v>
      </c>
      <c r="F56">
        <f>RTD("tos.rtd", , "OPEN_INT", ".SPY150424C205.5")</f>
        <v>0</v>
      </c>
      <c r="G56" t="str">
        <f>RTD("tos.rtd", , "DELTA", ".SPY150424C205.5")</f>
        <v>N/A</v>
      </c>
      <c r="H56" t="str">
        <f>RTD("tos.rtd", , "THETA", ".SPY150424C205.5")</f>
        <v>N/A</v>
      </c>
      <c r="I56" t="str">
        <f>RTD("tos.rtd", , "GAMMA", ".SPY150424C205.5")</f>
        <v>N/A</v>
      </c>
      <c r="J56" t="str">
        <f>RTD("tos.rtd", , "VEGA", ".SPY150424C205.5")</f>
        <v>N/A</v>
      </c>
      <c r="K56" t="str">
        <f>RTD("tos.rtd", , "RHO", ".SPY150424C205.5")</f>
        <v>N/A</v>
      </c>
      <c r="L56">
        <f>RTD("tos.rtd", , "ASK", ".SPY150424P205.5")</f>
        <v>0.01</v>
      </c>
      <c r="M56">
        <f>RTD("tos.rtd", , "ASK_SIZE", ".SPY150424P205.5")</f>
        <v>0</v>
      </c>
      <c r="N56">
        <f>RTD("tos.rtd", , "BID", ".SPY150424P205.5")</f>
        <v>0</v>
      </c>
      <c r="O56">
        <f>RTD("tos.rtd", , "BID_SIZE", ".SPY150424P205.5")</f>
        <v>0</v>
      </c>
      <c r="P56">
        <f>RTD("tos.rtd", , "VOLUME", ".SPY150424P205.5")</f>
        <v>0</v>
      </c>
      <c r="Q56">
        <f>RTD("tos.rtd", , "OPEN_INT", ".SPY150424P205.5")</f>
        <v>7944</v>
      </c>
      <c r="R56" t="str">
        <f>RTD("tos.rtd", , "DELTA", ".SPY150424P205.5")</f>
        <v>N/A</v>
      </c>
      <c r="S56" t="str">
        <f>RTD("tos.rtd", , "THETA", ".SPY150424P205.5")</f>
        <v>N/A</v>
      </c>
      <c r="T56" t="str">
        <f>RTD("tos.rtd", , "GAMMA", ".SPY150424P205.5")</f>
        <v>N/A</v>
      </c>
      <c r="U56" t="str">
        <f>RTD("tos.rtd", , "VEGA", ".SPY150424P205.5")</f>
        <v>N/A</v>
      </c>
      <c r="V56" t="str">
        <f>RTD("tos.rtd", , "RHO", ".SPY150424P205.5")</f>
        <v>N/A</v>
      </c>
    </row>
    <row r="57" spans="1:22" x14ac:dyDescent="0.25">
      <c r="A57">
        <f>RTD("tos.rtd", , "ASK", ".SPY150424C206")</f>
        <v>5.81</v>
      </c>
      <c r="B57">
        <f>RTD("tos.rtd", , "ASK_SIZE", ".SPY150424C206")</f>
        <v>0</v>
      </c>
      <c r="C57">
        <f>RTD("tos.rtd", , "BID", ".SPY150424C206")</f>
        <v>5.55</v>
      </c>
      <c r="D57">
        <f>RTD("tos.rtd", , "BID_SIZE", ".SPY150424C206")</f>
        <v>0</v>
      </c>
      <c r="E57">
        <f>RTD("tos.rtd", , "VOLUME", ".SPY150424C206")</f>
        <v>0</v>
      </c>
      <c r="F57">
        <f>RTD("tos.rtd", , "OPEN_INT", ".SPY150424C206")</f>
        <v>0</v>
      </c>
      <c r="G57" t="str">
        <f>RTD("tos.rtd", , "DELTA", ".SPY150424C206")</f>
        <v>N/A</v>
      </c>
      <c r="H57" t="str">
        <f>RTD("tos.rtd", , "THETA", ".SPY150424C206")</f>
        <v>N/A</v>
      </c>
      <c r="I57" t="str">
        <f>RTD("tos.rtd", , "GAMMA", ".SPY150424C206")</f>
        <v>N/A</v>
      </c>
      <c r="J57" t="str">
        <f>RTD("tos.rtd", , "VEGA", ".SPY150424C206")</f>
        <v>N/A</v>
      </c>
      <c r="K57" t="str">
        <f>RTD("tos.rtd", , "RHO", ".SPY150424C206")</f>
        <v>N/A</v>
      </c>
      <c r="L57">
        <f>RTD("tos.rtd", , "ASK", ".SPY150424P206")</f>
        <v>0.01</v>
      </c>
      <c r="M57">
        <f>RTD("tos.rtd", , "ASK_SIZE", ".SPY150424P206")</f>
        <v>0</v>
      </c>
      <c r="N57">
        <f>RTD("tos.rtd", , "BID", ".SPY150424P206")</f>
        <v>0</v>
      </c>
      <c r="O57">
        <f>RTD("tos.rtd", , "BID_SIZE", ".SPY150424P206")</f>
        <v>0</v>
      </c>
      <c r="P57">
        <f>RTD("tos.rtd", , "VOLUME", ".SPY150424P206")</f>
        <v>0</v>
      </c>
      <c r="Q57">
        <f>RTD("tos.rtd", , "OPEN_INT", ".SPY150424P206")</f>
        <v>32009</v>
      </c>
      <c r="R57" t="str">
        <f>RTD("tos.rtd", , "DELTA", ".SPY150424P206")</f>
        <v>N/A</v>
      </c>
      <c r="S57" t="str">
        <f>RTD("tos.rtd", , "THETA", ".SPY150424P206")</f>
        <v>N/A</v>
      </c>
      <c r="T57" t="str">
        <f>RTD("tos.rtd", , "GAMMA", ".SPY150424P206")</f>
        <v>N/A</v>
      </c>
      <c r="U57" t="str">
        <f>RTD("tos.rtd", , "VEGA", ".SPY150424P206")</f>
        <v>N/A</v>
      </c>
      <c r="V57" t="str">
        <f>RTD("tos.rtd", , "RHO", ".SPY150424P206")</f>
        <v>N/A</v>
      </c>
    </row>
    <row r="58" spans="1:22" x14ac:dyDescent="0.25">
      <c r="A58">
        <f>RTD("tos.rtd", , "ASK", ".SPY150424C206.5")</f>
        <v>5.31</v>
      </c>
      <c r="B58">
        <f>RTD("tos.rtd", , "ASK_SIZE", ".SPY150424C206.5")</f>
        <v>0</v>
      </c>
      <c r="C58">
        <f>RTD("tos.rtd", , "BID", ".SPY150424C206.5")</f>
        <v>5.05</v>
      </c>
      <c r="D58">
        <f>RTD("tos.rtd", , "BID_SIZE", ".SPY150424C206.5")</f>
        <v>0</v>
      </c>
      <c r="E58">
        <f>RTD("tos.rtd", , "VOLUME", ".SPY150424C206.5")</f>
        <v>0</v>
      </c>
      <c r="F58">
        <f>RTD("tos.rtd", , "OPEN_INT", ".SPY150424C206.5")</f>
        <v>0</v>
      </c>
      <c r="G58" t="str">
        <f>RTD("tos.rtd", , "DELTA", ".SPY150424C206.5")</f>
        <v>N/A</v>
      </c>
      <c r="H58" t="str">
        <f>RTD("tos.rtd", , "THETA", ".SPY150424C206.5")</f>
        <v>N/A</v>
      </c>
      <c r="I58" t="str">
        <f>RTD("tos.rtd", , "GAMMA", ".SPY150424C206.5")</f>
        <v>N/A</v>
      </c>
      <c r="J58" t="str">
        <f>RTD("tos.rtd", , "VEGA", ".SPY150424C206.5")</f>
        <v>N/A</v>
      </c>
      <c r="K58" t="str">
        <f>RTD("tos.rtd", , "RHO", ".SPY150424C206.5")</f>
        <v>N/A</v>
      </c>
      <c r="L58">
        <f>RTD("tos.rtd", , "ASK", ".SPY150424P206.5")</f>
        <v>0.01</v>
      </c>
      <c r="M58">
        <f>RTD("tos.rtd", , "ASK_SIZE", ".SPY150424P206.5")</f>
        <v>0</v>
      </c>
      <c r="N58">
        <f>RTD("tos.rtd", , "BID", ".SPY150424P206.5")</f>
        <v>0</v>
      </c>
      <c r="O58">
        <f>RTD("tos.rtd", , "BID_SIZE", ".SPY150424P206.5")</f>
        <v>0</v>
      </c>
      <c r="P58">
        <f>RTD("tos.rtd", , "VOLUME", ".SPY150424P206.5")</f>
        <v>0</v>
      </c>
      <c r="Q58">
        <f>RTD("tos.rtd", , "OPEN_INT", ".SPY150424P206.5")</f>
        <v>19835</v>
      </c>
      <c r="R58" t="str">
        <f>RTD("tos.rtd", , "DELTA", ".SPY150424P206.5")</f>
        <v>N/A</v>
      </c>
      <c r="S58" t="str">
        <f>RTD("tos.rtd", , "THETA", ".SPY150424P206.5")</f>
        <v>N/A</v>
      </c>
      <c r="T58" t="str">
        <f>RTD("tos.rtd", , "GAMMA", ".SPY150424P206.5")</f>
        <v>N/A</v>
      </c>
      <c r="U58" t="str">
        <f>RTD("tos.rtd", , "VEGA", ".SPY150424P206.5")</f>
        <v>N/A</v>
      </c>
      <c r="V58" t="str">
        <f>RTD("tos.rtd", , "RHO", ".SPY150424P206.5")</f>
        <v>N/A</v>
      </c>
    </row>
    <row r="59" spans="1:22" x14ac:dyDescent="0.25">
      <c r="A59">
        <f>RTD("tos.rtd", , "ASK", ".SPY150424C207")</f>
        <v>4.79</v>
      </c>
      <c r="B59">
        <f>RTD("tos.rtd", , "ASK_SIZE", ".SPY150424C207")</f>
        <v>0</v>
      </c>
      <c r="C59">
        <f>RTD("tos.rtd", , "BID", ".SPY150424C207")</f>
        <v>4.59</v>
      </c>
      <c r="D59">
        <f>RTD("tos.rtd", , "BID_SIZE", ".SPY150424C207")</f>
        <v>0</v>
      </c>
      <c r="E59">
        <f>RTD("tos.rtd", , "VOLUME", ".SPY150424C207")</f>
        <v>0</v>
      </c>
      <c r="F59">
        <f>RTD("tos.rtd", , "OPEN_INT", ".SPY150424C207")</f>
        <v>0</v>
      </c>
      <c r="G59" t="str">
        <f>RTD("tos.rtd", , "DELTA", ".SPY150424C207")</f>
        <v>N/A</v>
      </c>
      <c r="H59" t="str">
        <f>RTD("tos.rtd", , "THETA", ".SPY150424C207")</f>
        <v>N/A</v>
      </c>
      <c r="I59" t="str">
        <f>RTD("tos.rtd", , "GAMMA", ".SPY150424C207")</f>
        <v>N/A</v>
      </c>
      <c r="J59" t="str">
        <f>RTD("tos.rtd", , "VEGA", ".SPY150424C207")</f>
        <v>N/A</v>
      </c>
      <c r="K59" t="str">
        <f>RTD("tos.rtd", , "RHO", ".SPY150424C207")</f>
        <v>N/A</v>
      </c>
      <c r="L59">
        <f>RTD("tos.rtd", , "ASK", ".SPY150424P207")</f>
        <v>0.01</v>
      </c>
      <c r="M59">
        <f>RTD("tos.rtd", , "ASK_SIZE", ".SPY150424P207")</f>
        <v>0</v>
      </c>
      <c r="N59">
        <f>RTD("tos.rtd", , "BID", ".SPY150424P207")</f>
        <v>0</v>
      </c>
      <c r="O59">
        <f>RTD("tos.rtd", , "BID_SIZE", ".SPY150424P207")</f>
        <v>0</v>
      </c>
      <c r="P59">
        <f>RTD("tos.rtd", , "VOLUME", ".SPY150424P207")</f>
        <v>0</v>
      </c>
      <c r="Q59">
        <f>RTD("tos.rtd", , "OPEN_INT", ".SPY150424P207")</f>
        <v>48559</v>
      </c>
      <c r="R59" t="str">
        <f>RTD("tos.rtd", , "DELTA", ".SPY150424P207")</f>
        <v>N/A</v>
      </c>
      <c r="S59" t="str">
        <f>RTD("tos.rtd", , "THETA", ".SPY150424P207")</f>
        <v>N/A</v>
      </c>
      <c r="T59" t="str">
        <f>RTD("tos.rtd", , "GAMMA", ".SPY150424P207")</f>
        <v>N/A</v>
      </c>
      <c r="U59" t="str">
        <f>RTD("tos.rtd", , "VEGA", ".SPY150424P207")</f>
        <v>N/A</v>
      </c>
      <c r="V59" t="str">
        <f>RTD("tos.rtd", , "RHO", ".SPY150424P207")</f>
        <v>N/A</v>
      </c>
    </row>
    <row r="60" spans="1:22" x14ac:dyDescent="0.25">
      <c r="A60">
        <f>RTD("tos.rtd", , "ASK", ".SPY150424C207.5")</f>
        <v>4.29</v>
      </c>
      <c r="B60">
        <f>RTD("tos.rtd", , "ASK_SIZE", ".SPY150424C207.5")</f>
        <v>0</v>
      </c>
      <c r="C60">
        <f>RTD("tos.rtd", , "BID", ".SPY150424C207.5")</f>
        <v>4.07</v>
      </c>
      <c r="D60">
        <f>RTD("tos.rtd", , "BID_SIZE", ".SPY150424C207.5")</f>
        <v>0</v>
      </c>
      <c r="E60">
        <f>RTD("tos.rtd", , "VOLUME", ".SPY150424C207.5")</f>
        <v>0</v>
      </c>
      <c r="F60">
        <f>RTD("tos.rtd", , "OPEN_INT", ".SPY150424C207.5")</f>
        <v>0</v>
      </c>
      <c r="G60" t="str">
        <f>RTD("tos.rtd", , "DELTA", ".SPY150424C207.5")</f>
        <v>N/A</v>
      </c>
      <c r="H60" t="str">
        <f>RTD("tos.rtd", , "THETA", ".SPY150424C207.5")</f>
        <v>N/A</v>
      </c>
      <c r="I60" t="str">
        <f>RTD("tos.rtd", , "GAMMA", ".SPY150424C207.5")</f>
        <v>N/A</v>
      </c>
      <c r="J60" t="str">
        <f>RTD("tos.rtd", , "VEGA", ".SPY150424C207.5")</f>
        <v>N/A</v>
      </c>
      <c r="K60" t="str">
        <f>RTD("tos.rtd", , "RHO", ".SPY150424C207.5")</f>
        <v>N/A</v>
      </c>
      <c r="L60">
        <f>RTD("tos.rtd", , "ASK", ".SPY150424P207.5")</f>
        <v>0.01</v>
      </c>
      <c r="M60">
        <f>RTD("tos.rtd", , "ASK_SIZE", ".SPY150424P207.5")</f>
        <v>0</v>
      </c>
      <c r="N60">
        <f>RTD("tos.rtd", , "BID", ".SPY150424P207.5")</f>
        <v>0</v>
      </c>
      <c r="O60">
        <f>RTD("tos.rtd", , "BID_SIZE", ".SPY150424P207.5")</f>
        <v>0</v>
      </c>
      <c r="P60">
        <f>RTD("tos.rtd", , "VOLUME", ".SPY150424P207.5")</f>
        <v>0</v>
      </c>
      <c r="Q60">
        <f>RTD("tos.rtd", , "OPEN_INT", ".SPY150424P207.5")</f>
        <v>53463</v>
      </c>
      <c r="R60" t="str">
        <f>RTD("tos.rtd", , "DELTA", ".SPY150424P207.5")</f>
        <v>N/A</v>
      </c>
      <c r="S60" t="str">
        <f>RTD("tos.rtd", , "THETA", ".SPY150424P207.5")</f>
        <v>N/A</v>
      </c>
      <c r="T60" t="str">
        <f>RTD("tos.rtd", , "GAMMA", ".SPY150424P207.5")</f>
        <v>N/A</v>
      </c>
      <c r="U60" t="str">
        <f>RTD("tos.rtd", , "VEGA", ".SPY150424P207.5")</f>
        <v>N/A</v>
      </c>
      <c r="V60" t="str">
        <f>RTD("tos.rtd", , "RHO", ".SPY150424P207.5")</f>
        <v>N/A</v>
      </c>
    </row>
    <row r="61" spans="1:22" x14ac:dyDescent="0.25">
      <c r="A61">
        <f>RTD("tos.rtd", , "ASK", ".SPY150424C208")</f>
        <v>3.79</v>
      </c>
      <c r="B61">
        <f>RTD("tos.rtd", , "ASK_SIZE", ".SPY150424C208")</f>
        <v>0</v>
      </c>
      <c r="C61">
        <f>RTD("tos.rtd", , "BID", ".SPY150424C208")</f>
        <v>3.65</v>
      </c>
      <c r="D61">
        <f>RTD("tos.rtd", , "BID_SIZE", ".SPY150424C208")</f>
        <v>0</v>
      </c>
      <c r="E61">
        <f>RTD("tos.rtd", , "VOLUME", ".SPY150424C208")</f>
        <v>0</v>
      </c>
      <c r="F61">
        <f>RTD("tos.rtd", , "OPEN_INT", ".SPY150424C208")</f>
        <v>0</v>
      </c>
      <c r="G61" t="str">
        <f>RTD("tos.rtd", , "DELTA", ".SPY150424C208")</f>
        <v>N/A</v>
      </c>
      <c r="H61" t="str">
        <f>RTD("tos.rtd", , "THETA", ".SPY150424C208")</f>
        <v>N/A</v>
      </c>
      <c r="I61" t="str">
        <f>RTD("tos.rtd", , "GAMMA", ".SPY150424C208")</f>
        <v>N/A</v>
      </c>
      <c r="J61" t="str">
        <f>RTD("tos.rtd", , "VEGA", ".SPY150424C208")</f>
        <v>N/A</v>
      </c>
      <c r="K61" t="str">
        <f>RTD("tos.rtd", , "RHO", ".SPY150424C208")</f>
        <v>N/A</v>
      </c>
      <c r="L61">
        <f>RTD("tos.rtd", , "ASK", ".SPY150424P208")</f>
        <v>0.01</v>
      </c>
      <c r="M61">
        <f>RTD("tos.rtd", , "ASK_SIZE", ".SPY150424P208")</f>
        <v>0</v>
      </c>
      <c r="N61">
        <f>RTD("tos.rtd", , "BID", ".SPY150424P208")</f>
        <v>0</v>
      </c>
      <c r="O61">
        <f>RTD("tos.rtd", , "BID_SIZE", ".SPY150424P208")</f>
        <v>0</v>
      </c>
      <c r="P61">
        <f>RTD("tos.rtd", , "VOLUME", ".SPY150424P208")</f>
        <v>0</v>
      </c>
      <c r="Q61">
        <f>RTD("tos.rtd", , "OPEN_INT", ".SPY150424P208")</f>
        <v>49190</v>
      </c>
      <c r="R61" t="str">
        <f>RTD("tos.rtd", , "DELTA", ".SPY150424P208")</f>
        <v>N/A</v>
      </c>
      <c r="S61" t="str">
        <f>RTD("tos.rtd", , "THETA", ".SPY150424P208")</f>
        <v>N/A</v>
      </c>
      <c r="T61" t="str">
        <f>RTD("tos.rtd", , "GAMMA", ".SPY150424P208")</f>
        <v>N/A</v>
      </c>
      <c r="U61" t="str">
        <f>RTD("tos.rtd", , "VEGA", ".SPY150424P208")</f>
        <v>N/A</v>
      </c>
      <c r="V61" t="str">
        <f>RTD("tos.rtd", , "RHO", ".SPY150424P208")</f>
        <v>N/A</v>
      </c>
    </row>
    <row r="62" spans="1:22" x14ac:dyDescent="0.25">
      <c r="A62">
        <f>RTD("tos.rtd", , "ASK", ".SPY150424C208.5")</f>
        <v>3.29</v>
      </c>
      <c r="B62">
        <f>RTD("tos.rtd", , "ASK_SIZE", ".SPY150424C208.5")</f>
        <v>0</v>
      </c>
      <c r="C62">
        <f>RTD("tos.rtd", , "BID", ".SPY150424C208.5")</f>
        <v>3.07</v>
      </c>
      <c r="D62">
        <f>RTD("tos.rtd", , "BID_SIZE", ".SPY150424C208.5")</f>
        <v>0</v>
      </c>
      <c r="E62">
        <f>RTD("tos.rtd", , "VOLUME", ".SPY150424C208.5")</f>
        <v>0</v>
      </c>
      <c r="F62">
        <f>RTD("tos.rtd", , "OPEN_INT", ".SPY150424C208.5")</f>
        <v>0</v>
      </c>
      <c r="G62" t="str">
        <f>RTD("tos.rtd", , "DELTA", ".SPY150424C208.5")</f>
        <v>N/A</v>
      </c>
      <c r="H62" t="str">
        <f>RTD("tos.rtd", , "THETA", ".SPY150424C208.5")</f>
        <v>N/A</v>
      </c>
      <c r="I62" t="str">
        <f>RTD("tos.rtd", , "GAMMA", ".SPY150424C208.5")</f>
        <v>N/A</v>
      </c>
      <c r="J62" t="str">
        <f>RTD("tos.rtd", , "VEGA", ".SPY150424C208.5")</f>
        <v>N/A</v>
      </c>
      <c r="K62" t="str">
        <f>RTD("tos.rtd", , "RHO", ".SPY150424C208.5")</f>
        <v>N/A</v>
      </c>
      <c r="L62">
        <f>RTD("tos.rtd", , "ASK", ".SPY150424P208.5")</f>
        <v>0.01</v>
      </c>
      <c r="M62">
        <f>RTD("tos.rtd", , "ASK_SIZE", ".SPY150424P208.5")</f>
        <v>0</v>
      </c>
      <c r="N62">
        <f>RTD("tos.rtd", , "BID", ".SPY150424P208.5")</f>
        <v>0</v>
      </c>
      <c r="O62">
        <f>RTD("tos.rtd", , "BID_SIZE", ".SPY150424P208.5")</f>
        <v>0</v>
      </c>
      <c r="P62">
        <f>RTD("tos.rtd", , "VOLUME", ".SPY150424P208.5")</f>
        <v>0</v>
      </c>
      <c r="Q62">
        <f>RTD("tos.rtd", , "OPEN_INT", ".SPY150424P208.5")</f>
        <v>28621</v>
      </c>
      <c r="R62" t="str">
        <f>RTD("tos.rtd", , "DELTA", ".SPY150424P208.5")</f>
        <v>N/A</v>
      </c>
      <c r="S62" t="str">
        <f>RTD("tos.rtd", , "THETA", ".SPY150424P208.5")</f>
        <v>N/A</v>
      </c>
      <c r="T62" t="str">
        <f>RTD("tos.rtd", , "GAMMA", ".SPY150424P208.5")</f>
        <v>N/A</v>
      </c>
      <c r="U62" t="str">
        <f>RTD("tos.rtd", , "VEGA", ".SPY150424P208.5")</f>
        <v>N/A</v>
      </c>
      <c r="V62" t="str">
        <f>RTD("tos.rtd", , "RHO", ".SPY150424P208.5")</f>
        <v>N/A</v>
      </c>
    </row>
    <row r="63" spans="1:22" x14ac:dyDescent="0.25">
      <c r="A63">
        <f>RTD("tos.rtd", , "ASK", ".SPY150424C209")</f>
        <v>2.79</v>
      </c>
      <c r="B63">
        <f>RTD("tos.rtd", , "ASK_SIZE", ".SPY150424C209")</f>
        <v>0</v>
      </c>
      <c r="C63">
        <f>RTD("tos.rtd", , "BID", ".SPY150424C209")</f>
        <v>2.57</v>
      </c>
      <c r="D63">
        <f>RTD("tos.rtd", , "BID_SIZE", ".SPY150424C209")</f>
        <v>0</v>
      </c>
      <c r="E63">
        <f>RTD("tos.rtd", , "VOLUME", ".SPY150424C209")</f>
        <v>0</v>
      </c>
      <c r="F63">
        <f>RTD("tos.rtd", , "OPEN_INT", ".SPY150424C209")</f>
        <v>0</v>
      </c>
      <c r="G63" t="str">
        <f>RTD("tos.rtd", , "DELTA", ".SPY150424C209")</f>
        <v>N/A</v>
      </c>
      <c r="H63" t="str">
        <f>RTD("tos.rtd", , "THETA", ".SPY150424C209")</f>
        <v>N/A</v>
      </c>
      <c r="I63" t="str">
        <f>RTD("tos.rtd", , "GAMMA", ".SPY150424C209")</f>
        <v>N/A</v>
      </c>
      <c r="J63" t="str">
        <f>RTD("tos.rtd", , "VEGA", ".SPY150424C209")</f>
        <v>N/A</v>
      </c>
      <c r="K63" t="str">
        <f>RTD("tos.rtd", , "RHO", ".SPY150424C209")</f>
        <v>N/A</v>
      </c>
      <c r="L63">
        <f>RTD("tos.rtd", , "ASK", ".SPY150424P209")</f>
        <v>0.01</v>
      </c>
      <c r="M63">
        <f>RTD("tos.rtd", , "ASK_SIZE", ".SPY150424P209")</f>
        <v>0</v>
      </c>
      <c r="N63">
        <f>RTD("tos.rtd", , "BID", ".SPY150424P209")</f>
        <v>0</v>
      </c>
      <c r="O63">
        <f>RTD("tos.rtd", , "BID_SIZE", ".SPY150424P209")</f>
        <v>0</v>
      </c>
      <c r="P63">
        <f>RTD("tos.rtd", , "VOLUME", ".SPY150424P209")</f>
        <v>0</v>
      </c>
      <c r="Q63">
        <f>RTD("tos.rtd", , "OPEN_INT", ".SPY150424P209")</f>
        <v>61753</v>
      </c>
      <c r="R63" t="str">
        <f>RTD("tos.rtd", , "DELTA", ".SPY150424P209")</f>
        <v>N/A</v>
      </c>
      <c r="S63" t="str">
        <f>RTD("tos.rtd", , "THETA", ".SPY150424P209")</f>
        <v>N/A</v>
      </c>
      <c r="T63" t="str">
        <f>RTD("tos.rtd", , "GAMMA", ".SPY150424P209")</f>
        <v>N/A</v>
      </c>
      <c r="U63" t="str">
        <f>RTD("tos.rtd", , "VEGA", ".SPY150424P209")</f>
        <v>N/A</v>
      </c>
      <c r="V63" t="str">
        <f>RTD("tos.rtd", , "RHO", ".SPY150424P209")</f>
        <v>N/A</v>
      </c>
    </row>
    <row r="64" spans="1:22" x14ac:dyDescent="0.25">
      <c r="A64">
        <f>RTD("tos.rtd", , "ASK", ".SPY150424C209.5")</f>
        <v>2.2000000000000002</v>
      </c>
      <c r="B64">
        <f>RTD("tos.rtd", , "ASK_SIZE", ".SPY150424C209.5")</f>
        <v>0</v>
      </c>
      <c r="C64">
        <f>RTD("tos.rtd", , "BID", ".SPY150424C209.5")</f>
        <v>2.08</v>
      </c>
      <c r="D64">
        <f>RTD("tos.rtd", , "BID_SIZE", ".SPY150424C209.5")</f>
        <v>0</v>
      </c>
      <c r="E64">
        <f>RTD("tos.rtd", , "VOLUME", ".SPY150424C209.5")</f>
        <v>0</v>
      </c>
      <c r="F64">
        <f>RTD("tos.rtd", , "OPEN_INT", ".SPY150424C209.5")</f>
        <v>0</v>
      </c>
      <c r="G64" t="str">
        <f>RTD("tos.rtd", , "DELTA", ".SPY150424C209.5")</f>
        <v>N/A</v>
      </c>
      <c r="H64" t="str">
        <f>RTD("tos.rtd", , "THETA", ".SPY150424C209.5")</f>
        <v>N/A</v>
      </c>
      <c r="I64" t="str">
        <f>RTD("tos.rtd", , "GAMMA", ".SPY150424C209.5")</f>
        <v>N/A</v>
      </c>
      <c r="J64" t="str">
        <f>RTD("tos.rtd", , "VEGA", ".SPY150424C209.5")</f>
        <v>N/A</v>
      </c>
      <c r="K64" t="str">
        <f>RTD("tos.rtd", , "RHO", ".SPY150424C209.5")</f>
        <v>N/A</v>
      </c>
      <c r="L64">
        <f>RTD("tos.rtd", , "ASK", ".SPY150424P209.5")</f>
        <v>0.01</v>
      </c>
      <c r="M64">
        <f>RTD("tos.rtd", , "ASK_SIZE", ".SPY150424P209.5")</f>
        <v>0</v>
      </c>
      <c r="N64">
        <f>RTD("tos.rtd", , "BID", ".SPY150424P209.5")</f>
        <v>0</v>
      </c>
      <c r="O64">
        <f>RTD("tos.rtd", , "BID_SIZE", ".SPY150424P209.5")</f>
        <v>0</v>
      </c>
      <c r="P64">
        <f>RTD("tos.rtd", , "VOLUME", ".SPY150424P209.5")</f>
        <v>0</v>
      </c>
      <c r="Q64">
        <f>RTD("tos.rtd", , "OPEN_INT", ".SPY150424P209.5")</f>
        <v>40122</v>
      </c>
      <c r="R64" t="str">
        <f>RTD("tos.rtd", , "DELTA", ".SPY150424P209.5")</f>
        <v>N/A</v>
      </c>
      <c r="S64" t="str">
        <f>RTD("tos.rtd", , "THETA", ".SPY150424P209.5")</f>
        <v>N/A</v>
      </c>
      <c r="T64" t="str">
        <f>RTD("tos.rtd", , "GAMMA", ".SPY150424P209.5")</f>
        <v>N/A</v>
      </c>
      <c r="U64" t="str">
        <f>RTD("tos.rtd", , "VEGA", ".SPY150424P209.5")</f>
        <v>N/A</v>
      </c>
      <c r="V64" t="str">
        <f>RTD("tos.rtd", , "RHO", ".SPY150424P209.5")</f>
        <v>N/A</v>
      </c>
    </row>
    <row r="65" spans="1:22" x14ac:dyDescent="0.25">
      <c r="A65">
        <f>RTD("tos.rtd", , "ASK", ".SPY150424C210")</f>
        <v>1.79</v>
      </c>
      <c r="B65">
        <f>RTD("tos.rtd", , "ASK_SIZE", ".SPY150424C210")</f>
        <v>0</v>
      </c>
      <c r="C65">
        <f>RTD("tos.rtd", , "BID", ".SPY150424C210")</f>
        <v>1.58</v>
      </c>
      <c r="D65">
        <f>RTD("tos.rtd", , "BID_SIZE", ".SPY150424C210")</f>
        <v>0</v>
      </c>
      <c r="E65">
        <f>RTD("tos.rtd", , "VOLUME", ".SPY150424C210")</f>
        <v>0</v>
      </c>
      <c r="F65">
        <f>RTD("tos.rtd", , "OPEN_INT", ".SPY150424C210")</f>
        <v>0</v>
      </c>
      <c r="G65" t="str">
        <f>RTD("tos.rtd", , "DELTA", ".SPY150424C210")</f>
        <v>N/A</v>
      </c>
      <c r="H65" t="str">
        <f>RTD("tos.rtd", , "THETA", ".SPY150424C210")</f>
        <v>N/A</v>
      </c>
      <c r="I65" t="str">
        <f>RTD("tos.rtd", , "GAMMA", ".SPY150424C210")</f>
        <v>N/A</v>
      </c>
      <c r="J65" t="str">
        <f>RTD("tos.rtd", , "VEGA", ".SPY150424C210")</f>
        <v>N/A</v>
      </c>
      <c r="K65" t="str">
        <f>RTD("tos.rtd", , "RHO", ".SPY150424C210")</f>
        <v>N/A</v>
      </c>
      <c r="L65">
        <f>RTD("tos.rtd", , "ASK", ".SPY150424P210")</f>
        <v>0.01</v>
      </c>
      <c r="M65">
        <f>RTD("tos.rtd", , "ASK_SIZE", ".SPY150424P210")</f>
        <v>0</v>
      </c>
      <c r="N65">
        <f>RTD("tos.rtd", , "BID", ".SPY150424P210")</f>
        <v>0</v>
      </c>
      <c r="O65">
        <f>RTD("tos.rtd", , "BID_SIZE", ".SPY150424P210")</f>
        <v>0</v>
      </c>
      <c r="P65">
        <f>RTD("tos.rtd", , "VOLUME", ".SPY150424P210")</f>
        <v>0</v>
      </c>
      <c r="Q65">
        <f>RTD("tos.rtd", , "OPEN_INT", ".SPY150424P210")</f>
        <v>44714</v>
      </c>
      <c r="R65" t="str">
        <f>RTD("tos.rtd", , "DELTA", ".SPY150424P210")</f>
        <v>N/A</v>
      </c>
      <c r="S65" t="str">
        <f>RTD("tos.rtd", , "THETA", ".SPY150424P210")</f>
        <v>N/A</v>
      </c>
      <c r="T65" t="str">
        <f>RTD("tos.rtd", , "GAMMA", ".SPY150424P210")</f>
        <v>N/A</v>
      </c>
      <c r="U65" t="str">
        <f>RTD("tos.rtd", , "VEGA", ".SPY150424P210")</f>
        <v>N/A</v>
      </c>
      <c r="V65" t="str">
        <f>RTD("tos.rtd", , "RHO", ".SPY150424P210")</f>
        <v>N/A</v>
      </c>
    </row>
    <row r="66" spans="1:22" x14ac:dyDescent="0.25">
      <c r="A66">
        <f>RTD("tos.rtd", , "ASK", ".SPY150424C210.5")</f>
        <v>1.2</v>
      </c>
      <c r="B66">
        <f>RTD("tos.rtd", , "ASK_SIZE", ".SPY150424C210.5")</f>
        <v>0</v>
      </c>
      <c r="C66">
        <f>RTD("tos.rtd", , "BID", ".SPY150424C210.5")</f>
        <v>1.07</v>
      </c>
      <c r="D66">
        <f>RTD("tos.rtd", , "BID_SIZE", ".SPY150424C210.5")</f>
        <v>0</v>
      </c>
      <c r="E66">
        <f>RTD("tos.rtd", , "VOLUME", ".SPY150424C210.5")</f>
        <v>0</v>
      </c>
      <c r="F66">
        <f>RTD("tos.rtd", , "OPEN_INT", ".SPY150424C210.5")</f>
        <v>0</v>
      </c>
      <c r="G66" t="str">
        <f>RTD("tos.rtd", , "DELTA", ".SPY150424C210.5")</f>
        <v>N/A</v>
      </c>
      <c r="H66" t="str">
        <f>RTD("tos.rtd", , "THETA", ".SPY150424C210.5")</f>
        <v>N/A</v>
      </c>
      <c r="I66" t="str">
        <f>RTD("tos.rtd", , "GAMMA", ".SPY150424C210.5")</f>
        <v>N/A</v>
      </c>
      <c r="J66" t="str">
        <f>RTD("tos.rtd", , "VEGA", ".SPY150424C210.5")</f>
        <v>N/A</v>
      </c>
      <c r="K66" t="str">
        <f>RTD("tos.rtd", , "RHO", ".SPY150424C210.5")</f>
        <v>N/A</v>
      </c>
      <c r="L66">
        <f>RTD("tos.rtd", , "ASK", ".SPY150424P210.5")</f>
        <v>0.01</v>
      </c>
      <c r="M66">
        <f>RTD("tos.rtd", , "ASK_SIZE", ".SPY150424P210.5")</f>
        <v>0</v>
      </c>
      <c r="N66">
        <f>RTD("tos.rtd", , "BID", ".SPY150424P210.5")</f>
        <v>0</v>
      </c>
      <c r="O66">
        <f>RTD("tos.rtd", , "BID_SIZE", ".SPY150424P210.5")</f>
        <v>0</v>
      </c>
      <c r="P66">
        <f>RTD("tos.rtd", , "VOLUME", ".SPY150424P210.5")</f>
        <v>0</v>
      </c>
      <c r="Q66">
        <f>RTD("tos.rtd", , "OPEN_INT", ".SPY150424P210.5")</f>
        <v>32114</v>
      </c>
      <c r="R66" t="str">
        <f>RTD("tos.rtd", , "DELTA", ".SPY150424P210.5")</f>
        <v>N/A</v>
      </c>
      <c r="S66" t="str">
        <f>RTD("tos.rtd", , "THETA", ".SPY150424P210.5")</f>
        <v>N/A</v>
      </c>
      <c r="T66" t="str">
        <f>RTD("tos.rtd", , "GAMMA", ".SPY150424P210.5")</f>
        <v>N/A</v>
      </c>
      <c r="U66" t="str">
        <f>RTD("tos.rtd", , "VEGA", ".SPY150424P210.5")</f>
        <v>N/A</v>
      </c>
      <c r="V66" t="str">
        <f>RTD("tos.rtd", , "RHO", ".SPY150424P210.5")</f>
        <v>N/A</v>
      </c>
    </row>
    <row r="67" spans="1:22" x14ac:dyDescent="0.25">
      <c r="A67">
        <f>RTD("tos.rtd", , "ASK", ".SPY150424C211")</f>
        <v>0.71</v>
      </c>
      <c r="B67">
        <f>RTD("tos.rtd", , "ASK_SIZE", ".SPY150424C211")</f>
        <v>0</v>
      </c>
      <c r="C67">
        <f>RTD("tos.rtd", , "BID", ".SPY150424C211")</f>
        <v>0.65</v>
      </c>
      <c r="D67">
        <f>RTD("tos.rtd", , "BID_SIZE", ".SPY150424C211")</f>
        <v>0</v>
      </c>
      <c r="E67">
        <f>RTD("tos.rtd", , "VOLUME", ".SPY150424C211")</f>
        <v>0</v>
      </c>
      <c r="F67">
        <f>RTD("tos.rtd", , "OPEN_INT", ".SPY150424C211")</f>
        <v>0</v>
      </c>
      <c r="G67" t="str">
        <f>RTD("tos.rtd", , "DELTA", ".SPY150424C211")</f>
        <v>N/A</v>
      </c>
      <c r="H67" t="str">
        <f>RTD("tos.rtd", , "THETA", ".SPY150424C211")</f>
        <v>N/A</v>
      </c>
      <c r="I67" t="str">
        <f>RTD("tos.rtd", , "GAMMA", ".SPY150424C211")</f>
        <v>N/A</v>
      </c>
      <c r="J67" t="str">
        <f>RTD("tos.rtd", , "VEGA", ".SPY150424C211")</f>
        <v>N/A</v>
      </c>
      <c r="K67" t="str">
        <f>RTD("tos.rtd", , "RHO", ".SPY150424C211")</f>
        <v>N/A</v>
      </c>
      <c r="L67">
        <f>RTD("tos.rtd", , "ASK", ".SPY150424P211")</f>
        <v>0.01</v>
      </c>
      <c r="M67">
        <f>RTD("tos.rtd", , "ASK_SIZE", ".SPY150424P211")</f>
        <v>0</v>
      </c>
      <c r="N67">
        <f>RTD("tos.rtd", , "BID", ".SPY150424P211")</f>
        <v>0</v>
      </c>
      <c r="O67">
        <f>RTD("tos.rtd", , "BID_SIZE", ".SPY150424P211")</f>
        <v>0</v>
      </c>
      <c r="P67">
        <f>RTD("tos.rtd", , "VOLUME", ".SPY150424P211")</f>
        <v>0</v>
      </c>
      <c r="Q67">
        <f>RTD("tos.rtd", , "OPEN_INT", ".SPY150424P211")</f>
        <v>32913</v>
      </c>
      <c r="R67" t="str">
        <f>RTD("tos.rtd", , "DELTA", ".SPY150424P211")</f>
        <v>N/A</v>
      </c>
      <c r="S67" t="str">
        <f>RTD("tos.rtd", , "THETA", ".SPY150424P211")</f>
        <v>N/A</v>
      </c>
      <c r="T67" t="str">
        <f>RTD("tos.rtd", , "GAMMA", ".SPY150424P211")</f>
        <v>N/A</v>
      </c>
      <c r="U67" t="str">
        <f>RTD("tos.rtd", , "VEGA", ".SPY150424P211")</f>
        <v>N/A</v>
      </c>
      <c r="V67" t="str">
        <f>RTD("tos.rtd", , "RHO", ".SPY150424P211")</f>
        <v>N/A</v>
      </c>
    </row>
    <row r="68" spans="1:22" x14ac:dyDescent="0.25">
      <c r="A68">
        <f>RTD("tos.rtd", , "ASK", ".SPY150424C211.5")</f>
        <v>0.21</v>
      </c>
      <c r="B68">
        <f>RTD("tos.rtd", , "ASK_SIZE", ".SPY150424C211.5")</f>
        <v>0</v>
      </c>
      <c r="C68">
        <f>RTD("tos.rtd", , "BID", ".SPY150424C211.5")</f>
        <v>0.19</v>
      </c>
      <c r="D68">
        <f>RTD("tos.rtd", , "BID_SIZE", ".SPY150424C211.5")</f>
        <v>0</v>
      </c>
      <c r="E68">
        <f>RTD("tos.rtd", , "VOLUME", ".SPY150424C211.5")</f>
        <v>0</v>
      </c>
      <c r="F68">
        <f>RTD("tos.rtd", , "OPEN_INT", ".SPY150424C211.5")</f>
        <v>1</v>
      </c>
      <c r="G68" t="str">
        <f>RTD("tos.rtd", , "DELTA", ".SPY150424C211.5")</f>
        <v>N/A</v>
      </c>
      <c r="H68" t="str">
        <f>RTD("tos.rtd", , "THETA", ".SPY150424C211.5")</f>
        <v>N/A</v>
      </c>
      <c r="I68" t="str">
        <f>RTD("tos.rtd", , "GAMMA", ".SPY150424C211.5")</f>
        <v>N/A</v>
      </c>
      <c r="J68" t="str">
        <f>RTD("tos.rtd", , "VEGA", ".SPY150424C211.5")</f>
        <v>N/A</v>
      </c>
      <c r="K68" t="str">
        <f>RTD("tos.rtd", , "RHO", ".SPY150424C211.5")</f>
        <v>N/A</v>
      </c>
      <c r="L68">
        <f>RTD("tos.rtd", , "ASK", ".SPY150424P211.5")</f>
        <v>0.01</v>
      </c>
      <c r="M68">
        <f>RTD("tos.rtd", , "ASK_SIZE", ".SPY150424P211.5")</f>
        <v>0</v>
      </c>
      <c r="N68">
        <f>RTD("tos.rtd", , "BID", ".SPY150424P211.5")</f>
        <v>0</v>
      </c>
      <c r="O68">
        <f>RTD("tos.rtd", , "BID_SIZE", ".SPY150424P211.5")</f>
        <v>0</v>
      </c>
      <c r="P68">
        <f>RTD("tos.rtd", , "VOLUME", ".SPY150424P211.5")</f>
        <v>0</v>
      </c>
      <c r="Q68">
        <f>RTD("tos.rtd", , "OPEN_INT", ".SPY150424P211.5")</f>
        <v>13639</v>
      </c>
      <c r="R68" t="str">
        <f>RTD("tos.rtd", , "DELTA", ".SPY150424P211.5")</f>
        <v>N/A</v>
      </c>
      <c r="S68" t="str">
        <f>RTD("tos.rtd", , "THETA", ".SPY150424P211.5")</f>
        <v>N/A</v>
      </c>
      <c r="T68" t="str">
        <f>RTD("tos.rtd", , "GAMMA", ".SPY150424P211.5")</f>
        <v>N/A</v>
      </c>
      <c r="U68" t="str">
        <f>RTD("tos.rtd", , "VEGA", ".SPY150424P211.5")</f>
        <v>N/A</v>
      </c>
      <c r="V68" t="str">
        <f>RTD("tos.rtd", , "RHO", ".SPY150424P211.5")</f>
        <v>N/A</v>
      </c>
    </row>
    <row r="69" spans="1:22" x14ac:dyDescent="0.25">
      <c r="A69">
        <f>RTD("tos.rtd", , "ASK", ".SPY150424C212")</f>
        <v>0.01</v>
      </c>
      <c r="B69">
        <f>RTD("tos.rtd", , "ASK_SIZE", ".SPY150424C212")</f>
        <v>0</v>
      </c>
      <c r="C69">
        <f>RTD("tos.rtd", , "BID", ".SPY150424C212")</f>
        <v>0</v>
      </c>
      <c r="D69">
        <f>RTD("tos.rtd", , "BID_SIZE", ".SPY150424C212")</f>
        <v>0</v>
      </c>
      <c r="E69">
        <f>RTD("tos.rtd", , "VOLUME", ".SPY150424C212")</f>
        <v>0</v>
      </c>
      <c r="F69">
        <f>RTD("tos.rtd", , "OPEN_INT", ".SPY150424C212")</f>
        <v>32471</v>
      </c>
      <c r="G69" t="str">
        <f>RTD("tos.rtd", , "DELTA", ".SPY150424C212")</f>
        <v>N/A</v>
      </c>
      <c r="H69" t="str">
        <f>RTD("tos.rtd", , "THETA", ".SPY150424C212")</f>
        <v>N/A</v>
      </c>
      <c r="I69" t="str">
        <f>RTD("tos.rtd", , "GAMMA", ".SPY150424C212")</f>
        <v>N/A</v>
      </c>
      <c r="J69" t="str">
        <f>RTD("tos.rtd", , "VEGA", ".SPY150424C212")</f>
        <v>N/A</v>
      </c>
      <c r="K69" t="str">
        <f>RTD("tos.rtd", , "RHO", ".SPY150424C212")</f>
        <v>N/A</v>
      </c>
      <c r="L69">
        <f>RTD("tos.rtd", , "ASK", ".SPY150424P212")</f>
        <v>0.33</v>
      </c>
      <c r="M69">
        <f>RTD("tos.rtd", , "ASK_SIZE", ".SPY150424P212")</f>
        <v>0</v>
      </c>
      <c r="N69">
        <f>RTD("tos.rtd", , "BID", ".SPY150424P212")</f>
        <v>0.28999999999999998</v>
      </c>
      <c r="O69">
        <f>RTD("tos.rtd", , "BID_SIZE", ".SPY150424P212")</f>
        <v>0</v>
      </c>
      <c r="P69">
        <f>RTD("tos.rtd", , "VOLUME", ".SPY150424P212")</f>
        <v>0</v>
      </c>
      <c r="Q69">
        <f>RTD("tos.rtd", , "OPEN_INT", ".SPY150424P212")</f>
        <v>0</v>
      </c>
      <c r="R69" t="str">
        <f>RTD("tos.rtd", , "DELTA", ".SPY150424P212")</f>
        <v>N/A</v>
      </c>
      <c r="S69" t="str">
        <f>RTD("tos.rtd", , "THETA", ".SPY150424P212")</f>
        <v>N/A</v>
      </c>
      <c r="T69" t="str">
        <f>RTD("tos.rtd", , "GAMMA", ".SPY150424P212")</f>
        <v>N/A</v>
      </c>
      <c r="U69" t="str">
        <f>RTD("tos.rtd", , "VEGA", ".SPY150424P212")</f>
        <v>N/A</v>
      </c>
      <c r="V69" t="str">
        <f>RTD("tos.rtd", , "RHO", ".SPY150424P212")</f>
        <v>N/A</v>
      </c>
    </row>
    <row r="70" spans="1:22" x14ac:dyDescent="0.25">
      <c r="A70">
        <f>RTD("tos.rtd", , "ASK", ".SPY150424C212.5")</f>
        <v>0.01</v>
      </c>
      <c r="B70">
        <f>RTD("tos.rtd", , "ASK_SIZE", ".SPY150424C212.5")</f>
        <v>0</v>
      </c>
      <c r="C70">
        <f>RTD("tos.rtd", , "BID", ".SPY150424C212.5")</f>
        <v>0</v>
      </c>
      <c r="D70">
        <f>RTD("tos.rtd", , "BID_SIZE", ".SPY150424C212.5")</f>
        <v>0</v>
      </c>
      <c r="E70">
        <f>RTD("tos.rtd", , "VOLUME", ".SPY150424C212.5")</f>
        <v>0</v>
      </c>
      <c r="F70">
        <f>RTD("tos.rtd", , "OPEN_INT", ".SPY150424C212.5")</f>
        <v>26460</v>
      </c>
      <c r="G70" t="str">
        <f>RTD("tos.rtd", , "DELTA", ".SPY150424C212.5")</f>
        <v>N/A</v>
      </c>
      <c r="H70" t="str">
        <f>RTD("tos.rtd", , "THETA", ".SPY150424C212.5")</f>
        <v>N/A</v>
      </c>
      <c r="I70" t="str">
        <f>RTD("tos.rtd", , "GAMMA", ".SPY150424C212.5")</f>
        <v>N/A</v>
      </c>
      <c r="J70" t="str">
        <f>RTD("tos.rtd", , "VEGA", ".SPY150424C212.5")</f>
        <v>N/A</v>
      </c>
      <c r="K70" t="str">
        <f>RTD("tos.rtd", , "RHO", ".SPY150424C212.5")</f>
        <v>N/A</v>
      </c>
      <c r="L70">
        <f>RTD("tos.rtd", , "ASK", ".SPY150424P212.5")</f>
        <v>0.93</v>
      </c>
      <c r="M70">
        <f>RTD("tos.rtd", , "ASK_SIZE", ".SPY150424P212.5")</f>
        <v>0</v>
      </c>
      <c r="N70">
        <f>RTD("tos.rtd", , "BID", ".SPY150424P212.5")</f>
        <v>0.73</v>
      </c>
      <c r="O70">
        <f>RTD("tos.rtd", , "BID_SIZE", ".SPY150424P212.5")</f>
        <v>0</v>
      </c>
      <c r="P70">
        <f>RTD("tos.rtd", , "VOLUME", ".SPY150424P212.5")</f>
        <v>0</v>
      </c>
      <c r="Q70">
        <f>RTD("tos.rtd", , "OPEN_INT", ".SPY150424P212.5")</f>
        <v>0</v>
      </c>
      <c r="R70" t="str">
        <f>RTD("tos.rtd", , "DELTA", ".SPY150424P212.5")</f>
        <v>N/A</v>
      </c>
      <c r="S70" t="str">
        <f>RTD("tos.rtd", , "THETA", ".SPY150424P212.5")</f>
        <v>N/A</v>
      </c>
      <c r="T70" t="str">
        <f>RTD("tos.rtd", , "GAMMA", ".SPY150424P212.5")</f>
        <v>N/A</v>
      </c>
      <c r="U70" t="str">
        <f>RTD("tos.rtd", , "VEGA", ".SPY150424P212.5")</f>
        <v>N/A</v>
      </c>
      <c r="V70" t="str">
        <f>RTD("tos.rtd", , "RHO", ".SPY150424P212.5")</f>
        <v>N/A</v>
      </c>
    </row>
    <row r="71" spans="1:22" x14ac:dyDescent="0.25">
      <c r="A71">
        <f>RTD("tos.rtd", , "ASK", ".SPY150424C213")</f>
        <v>0.01</v>
      </c>
      <c r="B71">
        <f>RTD("tos.rtd", , "ASK_SIZE", ".SPY150424C213")</f>
        <v>0</v>
      </c>
      <c r="C71">
        <f>RTD("tos.rtd", , "BID", ".SPY150424C213")</f>
        <v>0</v>
      </c>
      <c r="D71">
        <f>RTD("tos.rtd", , "BID_SIZE", ".SPY150424C213")</f>
        <v>0</v>
      </c>
      <c r="E71">
        <f>RTD("tos.rtd", , "VOLUME", ".SPY150424C213")</f>
        <v>0</v>
      </c>
      <c r="F71">
        <f>RTD("tos.rtd", , "OPEN_INT", ".SPY150424C213")</f>
        <v>38591</v>
      </c>
      <c r="G71" t="str">
        <f>RTD("tos.rtd", , "DELTA", ".SPY150424C213")</f>
        <v>N/A</v>
      </c>
      <c r="H71" t="str">
        <f>RTD("tos.rtd", , "THETA", ".SPY150424C213")</f>
        <v>N/A</v>
      </c>
      <c r="I71" t="str">
        <f>RTD("tos.rtd", , "GAMMA", ".SPY150424C213")</f>
        <v>N/A</v>
      </c>
      <c r="J71" t="str">
        <f>RTD("tos.rtd", , "VEGA", ".SPY150424C213")</f>
        <v>N/A</v>
      </c>
      <c r="K71" t="str">
        <f>RTD("tos.rtd", , "RHO", ".SPY150424C213")</f>
        <v>N/A</v>
      </c>
      <c r="L71">
        <f>RTD("tos.rtd", , "ASK", ".SPY150424P213")</f>
        <v>1.43</v>
      </c>
      <c r="M71">
        <f>RTD("tos.rtd", , "ASK_SIZE", ".SPY150424P213")</f>
        <v>0</v>
      </c>
      <c r="N71">
        <f>RTD("tos.rtd", , "BID", ".SPY150424P213")</f>
        <v>1.21</v>
      </c>
      <c r="O71">
        <f>RTD("tos.rtd", , "BID_SIZE", ".SPY150424P213")</f>
        <v>0</v>
      </c>
      <c r="P71">
        <f>RTD("tos.rtd", , "VOLUME", ".SPY150424P213")</f>
        <v>0</v>
      </c>
      <c r="Q71">
        <f>RTD("tos.rtd", , "OPEN_INT", ".SPY150424P213")</f>
        <v>0</v>
      </c>
      <c r="R71" t="str">
        <f>RTD("tos.rtd", , "DELTA", ".SPY150424P213")</f>
        <v>N/A</v>
      </c>
      <c r="S71" t="str">
        <f>RTD("tos.rtd", , "THETA", ".SPY150424P213")</f>
        <v>N/A</v>
      </c>
      <c r="T71" t="str">
        <f>RTD("tos.rtd", , "GAMMA", ".SPY150424P213")</f>
        <v>N/A</v>
      </c>
      <c r="U71" t="str">
        <f>RTD("tos.rtd", , "VEGA", ".SPY150424P213")</f>
        <v>N/A</v>
      </c>
      <c r="V71" t="str">
        <f>RTD("tos.rtd", , "RHO", ".SPY150424P213")</f>
        <v>N/A</v>
      </c>
    </row>
    <row r="72" spans="1:22" x14ac:dyDescent="0.25">
      <c r="A72">
        <f>RTD("tos.rtd", , "ASK", ".SPY150424C213.5")</f>
        <v>0.01</v>
      </c>
      <c r="B72">
        <f>RTD("tos.rtd", , "ASK_SIZE", ".SPY150424C213.5")</f>
        <v>0</v>
      </c>
      <c r="C72">
        <f>RTD("tos.rtd", , "BID", ".SPY150424C213.5")</f>
        <v>0</v>
      </c>
      <c r="D72">
        <f>RTD("tos.rtd", , "BID_SIZE", ".SPY150424C213.5")</f>
        <v>0</v>
      </c>
      <c r="E72">
        <f>RTD("tos.rtd", , "VOLUME", ".SPY150424C213.5")</f>
        <v>0</v>
      </c>
      <c r="F72">
        <f>RTD("tos.rtd", , "OPEN_INT", ".SPY150424C213.5")</f>
        <v>43394</v>
      </c>
      <c r="G72" t="str">
        <f>RTD("tos.rtd", , "DELTA", ".SPY150424C213.5")</f>
        <v>N/A</v>
      </c>
      <c r="H72" t="str">
        <f>RTD("tos.rtd", , "THETA", ".SPY150424C213.5")</f>
        <v>N/A</v>
      </c>
      <c r="I72" t="str">
        <f>RTD("tos.rtd", , "GAMMA", ".SPY150424C213.5")</f>
        <v>N/A</v>
      </c>
      <c r="J72" t="str">
        <f>RTD("tos.rtd", , "VEGA", ".SPY150424C213.5")</f>
        <v>N/A</v>
      </c>
      <c r="K72" t="str">
        <f>RTD("tos.rtd", , "RHO", ".SPY150424C213.5")</f>
        <v>N/A</v>
      </c>
      <c r="L72">
        <f>RTD("tos.rtd", , "ASK", ".SPY150424P213.5")</f>
        <v>1.93</v>
      </c>
      <c r="M72">
        <f>RTD("tos.rtd", , "ASK_SIZE", ".SPY150424P213.5")</f>
        <v>0</v>
      </c>
      <c r="N72">
        <f>RTD("tos.rtd", , "BID", ".SPY150424P213.5")</f>
        <v>1.71</v>
      </c>
      <c r="O72">
        <f>RTD("tos.rtd", , "BID_SIZE", ".SPY150424P213.5")</f>
        <v>0</v>
      </c>
      <c r="P72">
        <f>RTD("tos.rtd", , "VOLUME", ".SPY150424P213.5")</f>
        <v>0</v>
      </c>
      <c r="Q72">
        <f>RTD("tos.rtd", , "OPEN_INT", ".SPY150424P213.5")</f>
        <v>0</v>
      </c>
      <c r="R72" t="str">
        <f>RTD("tos.rtd", , "DELTA", ".SPY150424P213.5")</f>
        <v>N/A</v>
      </c>
      <c r="S72" t="str">
        <f>RTD("tos.rtd", , "THETA", ".SPY150424P213.5")</f>
        <v>N/A</v>
      </c>
      <c r="T72" t="str">
        <f>RTD("tos.rtd", , "GAMMA", ".SPY150424P213.5")</f>
        <v>N/A</v>
      </c>
      <c r="U72" t="str">
        <f>RTD("tos.rtd", , "VEGA", ".SPY150424P213.5")</f>
        <v>N/A</v>
      </c>
      <c r="V72" t="str">
        <f>RTD("tos.rtd", , "RHO", ".SPY150424P213.5")</f>
        <v>N/A</v>
      </c>
    </row>
    <row r="73" spans="1:22" x14ac:dyDescent="0.25">
      <c r="A73">
        <f>RTD("tos.rtd", , "ASK", ".SPY150424C214")</f>
        <v>0.01</v>
      </c>
      <c r="B73">
        <f>RTD("tos.rtd", , "ASK_SIZE", ".SPY150424C214")</f>
        <v>0</v>
      </c>
      <c r="C73">
        <f>RTD("tos.rtd", , "BID", ".SPY150424C214")</f>
        <v>0</v>
      </c>
      <c r="D73">
        <f>RTD("tos.rtd", , "BID_SIZE", ".SPY150424C214")</f>
        <v>0</v>
      </c>
      <c r="E73">
        <f>RTD("tos.rtd", , "VOLUME", ".SPY150424C214")</f>
        <v>0</v>
      </c>
      <c r="F73">
        <f>RTD("tos.rtd", , "OPEN_INT", ".SPY150424C214")</f>
        <v>33824</v>
      </c>
      <c r="G73" t="str">
        <f>RTD("tos.rtd", , "DELTA", ".SPY150424C214")</f>
        <v>N/A</v>
      </c>
      <c r="H73" t="str">
        <f>RTD("tos.rtd", , "THETA", ".SPY150424C214")</f>
        <v>N/A</v>
      </c>
      <c r="I73" t="str">
        <f>RTD("tos.rtd", , "GAMMA", ".SPY150424C214")</f>
        <v>N/A</v>
      </c>
      <c r="J73" t="str">
        <f>RTD("tos.rtd", , "VEGA", ".SPY150424C214")</f>
        <v>N/A</v>
      </c>
      <c r="K73" t="str">
        <f>RTD("tos.rtd", , "RHO", ".SPY150424C214")</f>
        <v>N/A</v>
      </c>
      <c r="L73">
        <f>RTD("tos.rtd", , "ASK", ".SPY150424P214")</f>
        <v>2.4300000000000002</v>
      </c>
      <c r="M73">
        <f>RTD("tos.rtd", , "ASK_SIZE", ".SPY150424P214")</f>
        <v>0</v>
      </c>
      <c r="N73">
        <f>RTD("tos.rtd", , "BID", ".SPY150424P214")</f>
        <v>2.21</v>
      </c>
      <c r="O73">
        <f>RTD("tos.rtd", , "BID_SIZE", ".SPY150424P214")</f>
        <v>0</v>
      </c>
      <c r="P73">
        <f>RTD("tos.rtd", , "VOLUME", ".SPY150424P214")</f>
        <v>0</v>
      </c>
      <c r="Q73">
        <f>RTD("tos.rtd", , "OPEN_INT", ".SPY150424P214")</f>
        <v>0</v>
      </c>
      <c r="R73" t="str">
        <f>RTD("tos.rtd", , "DELTA", ".SPY150424P214")</f>
        <v>N/A</v>
      </c>
      <c r="S73" t="str">
        <f>RTD("tos.rtd", , "THETA", ".SPY150424P214")</f>
        <v>N/A</v>
      </c>
      <c r="T73" t="str">
        <f>RTD("tos.rtd", , "GAMMA", ".SPY150424P214")</f>
        <v>N/A</v>
      </c>
      <c r="U73" t="str">
        <f>RTD("tos.rtd", , "VEGA", ".SPY150424P214")</f>
        <v>N/A</v>
      </c>
      <c r="V73" t="str">
        <f>RTD("tos.rtd", , "RHO", ".SPY150424P214")</f>
        <v>N/A</v>
      </c>
    </row>
    <row r="74" spans="1:22" x14ac:dyDescent="0.25">
      <c r="A74">
        <f>RTD("tos.rtd", , "ASK", ".SPY150424C214.5")</f>
        <v>0.01</v>
      </c>
      <c r="B74">
        <f>RTD("tos.rtd", , "ASK_SIZE", ".SPY150424C214.5")</f>
        <v>0</v>
      </c>
      <c r="C74">
        <f>RTD("tos.rtd", , "BID", ".SPY150424C214.5")</f>
        <v>0</v>
      </c>
      <c r="D74">
        <f>RTD("tos.rtd", , "BID_SIZE", ".SPY150424C214.5")</f>
        <v>0</v>
      </c>
      <c r="E74">
        <f>RTD("tos.rtd", , "VOLUME", ".SPY150424C214.5")</f>
        <v>0</v>
      </c>
      <c r="F74">
        <f>RTD("tos.rtd", , "OPEN_INT", ".SPY150424C214.5")</f>
        <v>15181</v>
      </c>
      <c r="G74" t="str">
        <f>RTD("tos.rtd", , "DELTA", ".SPY150424C214.5")</f>
        <v>N/A</v>
      </c>
      <c r="H74" t="str">
        <f>RTD("tos.rtd", , "THETA", ".SPY150424C214.5")</f>
        <v>N/A</v>
      </c>
      <c r="I74" t="str">
        <f>RTD("tos.rtd", , "GAMMA", ".SPY150424C214.5")</f>
        <v>N/A</v>
      </c>
      <c r="J74" t="str">
        <f>RTD("tos.rtd", , "VEGA", ".SPY150424C214.5")</f>
        <v>N/A</v>
      </c>
      <c r="K74" t="str">
        <f>RTD("tos.rtd", , "RHO", ".SPY150424C214.5")</f>
        <v>N/A</v>
      </c>
      <c r="L74">
        <f>RTD("tos.rtd", , "ASK", ".SPY150424P214.5")</f>
        <v>2.94</v>
      </c>
      <c r="M74">
        <f>RTD("tos.rtd", , "ASK_SIZE", ".SPY150424P214.5")</f>
        <v>0</v>
      </c>
      <c r="N74">
        <f>RTD("tos.rtd", , "BID", ".SPY150424P214.5")</f>
        <v>2.69</v>
      </c>
      <c r="O74">
        <f>RTD("tos.rtd", , "BID_SIZE", ".SPY150424P214.5")</f>
        <v>0</v>
      </c>
      <c r="P74">
        <f>RTD("tos.rtd", , "VOLUME", ".SPY150424P214.5")</f>
        <v>0</v>
      </c>
      <c r="Q74">
        <f>RTD("tos.rtd", , "OPEN_INT", ".SPY150424P214.5")</f>
        <v>0</v>
      </c>
      <c r="R74" t="str">
        <f>RTD("tos.rtd", , "DELTA", ".SPY150424P214.5")</f>
        <v>N/A</v>
      </c>
      <c r="S74" t="str">
        <f>RTD("tos.rtd", , "THETA", ".SPY150424P214.5")</f>
        <v>N/A</v>
      </c>
      <c r="T74" t="str">
        <f>RTD("tos.rtd", , "GAMMA", ".SPY150424P214.5")</f>
        <v>N/A</v>
      </c>
      <c r="U74" t="str">
        <f>RTD("tos.rtd", , "VEGA", ".SPY150424P214.5")</f>
        <v>N/A</v>
      </c>
      <c r="V74" t="str">
        <f>RTD("tos.rtd", , "RHO", ".SPY150424P214.5")</f>
        <v>N/A</v>
      </c>
    </row>
    <row r="75" spans="1:22" x14ac:dyDescent="0.25">
      <c r="A75">
        <f>RTD("tos.rtd", , "ASK", ".SPY150424C215")</f>
        <v>0.01</v>
      </c>
      <c r="B75">
        <f>RTD("tos.rtd", , "ASK_SIZE", ".SPY150424C215")</f>
        <v>0</v>
      </c>
      <c r="C75">
        <f>RTD("tos.rtd", , "BID", ".SPY150424C215")</f>
        <v>0</v>
      </c>
      <c r="D75">
        <f>RTD("tos.rtd", , "BID_SIZE", ".SPY150424C215")</f>
        <v>0</v>
      </c>
      <c r="E75">
        <f>RTD("tos.rtd", , "VOLUME", ".SPY150424C215")</f>
        <v>0</v>
      </c>
      <c r="F75">
        <f>RTD("tos.rtd", , "OPEN_INT", ".SPY150424C215")</f>
        <v>42961</v>
      </c>
      <c r="G75" t="str">
        <f>RTD("tos.rtd", , "DELTA", ".SPY150424C215")</f>
        <v>N/A</v>
      </c>
      <c r="H75" t="str">
        <f>RTD("tos.rtd", , "THETA", ".SPY150424C215")</f>
        <v>N/A</v>
      </c>
      <c r="I75" t="str">
        <f>RTD("tos.rtd", , "GAMMA", ".SPY150424C215")</f>
        <v>N/A</v>
      </c>
      <c r="J75" t="str">
        <f>RTD("tos.rtd", , "VEGA", ".SPY150424C215")</f>
        <v>N/A</v>
      </c>
      <c r="K75" t="str">
        <f>RTD("tos.rtd", , "RHO", ".SPY150424C215")</f>
        <v>N/A</v>
      </c>
      <c r="L75">
        <f>RTD("tos.rtd", , "ASK", ".SPY150424P215")</f>
        <v>3.45</v>
      </c>
      <c r="M75">
        <f>RTD("tos.rtd", , "ASK_SIZE", ".SPY150424P215")</f>
        <v>0</v>
      </c>
      <c r="N75">
        <f>RTD("tos.rtd", , "BID", ".SPY150424P215")</f>
        <v>3.21</v>
      </c>
      <c r="O75">
        <f>RTD("tos.rtd", , "BID_SIZE", ".SPY150424P215")</f>
        <v>0</v>
      </c>
      <c r="P75">
        <f>RTD("tos.rtd", , "VOLUME", ".SPY150424P215")</f>
        <v>0</v>
      </c>
      <c r="Q75">
        <f>RTD("tos.rtd", , "OPEN_INT", ".SPY150424P215")</f>
        <v>0</v>
      </c>
      <c r="R75" t="str">
        <f>RTD("tos.rtd", , "DELTA", ".SPY150424P215")</f>
        <v>N/A</v>
      </c>
      <c r="S75" t="str">
        <f>RTD("tos.rtd", , "THETA", ".SPY150424P215")</f>
        <v>N/A</v>
      </c>
      <c r="T75" t="str">
        <f>RTD("tos.rtd", , "GAMMA", ".SPY150424P215")</f>
        <v>N/A</v>
      </c>
      <c r="U75" t="str">
        <f>RTD("tos.rtd", , "VEGA", ".SPY150424P215")</f>
        <v>N/A</v>
      </c>
      <c r="V75" t="str">
        <f>RTD("tos.rtd", , "RHO", ".SPY150424P215")</f>
        <v>N/A</v>
      </c>
    </row>
    <row r="76" spans="1:22" x14ac:dyDescent="0.25">
      <c r="A76">
        <f>RTD("tos.rtd", , "ASK", ".SPY150424C215.5")</f>
        <v>0.01</v>
      </c>
      <c r="B76">
        <f>RTD("tos.rtd", , "ASK_SIZE", ".SPY150424C215.5")</f>
        <v>0</v>
      </c>
      <c r="C76">
        <f>RTD("tos.rtd", , "BID", ".SPY150424C215.5")</f>
        <v>0</v>
      </c>
      <c r="D76">
        <f>RTD("tos.rtd", , "BID_SIZE", ".SPY150424C215.5")</f>
        <v>0</v>
      </c>
      <c r="E76">
        <f>RTD("tos.rtd", , "VOLUME", ".SPY150424C215.5")</f>
        <v>0</v>
      </c>
      <c r="F76">
        <f>RTD("tos.rtd", , "OPEN_INT", ".SPY150424C215.5")</f>
        <v>3144</v>
      </c>
      <c r="G76" t="str">
        <f>RTD("tos.rtd", , "DELTA", ".SPY150424C215.5")</f>
        <v>N/A</v>
      </c>
      <c r="H76" t="str">
        <f>RTD("tos.rtd", , "THETA", ".SPY150424C215.5")</f>
        <v>N/A</v>
      </c>
      <c r="I76" t="str">
        <f>RTD("tos.rtd", , "GAMMA", ".SPY150424C215.5")</f>
        <v>N/A</v>
      </c>
      <c r="J76" t="str">
        <f>RTD("tos.rtd", , "VEGA", ".SPY150424C215.5")</f>
        <v>N/A</v>
      </c>
      <c r="K76" t="str">
        <f>RTD("tos.rtd", , "RHO", ".SPY150424C215.5")</f>
        <v>N/A</v>
      </c>
      <c r="L76">
        <f>RTD("tos.rtd", , "ASK", ".SPY150424P215.5")</f>
        <v>3.94</v>
      </c>
      <c r="M76">
        <f>RTD("tos.rtd", , "ASK_SIZE", ".SPY150424P215.5")</f>
        <v>0</v>
      </c>
      <c r="N76">
        <f>RTD("tos.rtd", , "BID", ".SPY150424P215.5")</f>
        <v>3.71</v>
      </c>
      <c r="O76">
        <f>RTD("tos.rtd", , "BID_SIZE", ".SPY150424P215.5")</f>
        <v>0</v>
      </c>
      <c r="P76">
        <f>RTD("tos.rtd", , "VOLUME", ".SPY150424P215.5")</f>
        <v>0</v>
      </c>
      <c r="Q76">
        <f>RTD("tos.rtd", , "OPEN_INT", ".SPY150424P215.5")</f>
        <v>0</v>
      </c>
      <c r="R76" t="str">
        <f>RTD("tos.rtd", , "DELTA", ".SPY150424P215.5")</f>
        <v>N/A</v>
      </c>
      <c r="S76" t="str">
        <f>RTD("tos.rtd", , "THETA", ".SPY150424P215.5")</f>
        <v>N/A</v>
      </c>
      <c r="T76" t="str">
        <f>RTD("tos.rtd", , "GAMMA", ".SPY150424P215.5")</f>
        <v>N/A</v>
      </c>
      <c r="U76" t="str">
        <f>RTD("tos.rtd", , "VEGA", ".SPY150424P215.5")</f>
        <v>N/A</v>
      </c>
      <c r="V76" t="str">
        <f>RTD("tos.rtd", , "RHO", ".SPY150424P215.5")</f>
        <v>N/A</v>
      </c>
    </row>
    <row r="77" spans="1:22" x14ac:dyDescent="0.25">
      <c r="A77">
        <f>RTD("tos.rtd", , "ASK", ".SPY150424C216")</f>
        <v>0.01</v>
      </c>
      <c r="B77">
        <f>RTD("tos.rtd", , "ASK_SIZE", ".SPY150424C216")</f>
        <v>0</v>
      </c>
      <c r="C77">
        <f>RTD("tos.rtd", , "BID", ".SPY150424C216")</f>
        <v>0</v>
      </c>
      <c r="D77">
        <f>RTD("tos.rtd", , "BID_SIZE", ".SPY150424C216")</f>
        <v>0</v>
      </c>
      <c r="E77">
        <f>RTD("tos.rtd", , "VOLUME", ".SPY150424C216")</f>
        <v>0</v>
      </c>
      <c r="F77">
        <f>RTD("tos.rtd", , "OPEN_INT", ".SPY150424C216")</f>
        <v>2750</v>
      </c>
      <c r="G77" t="str">
        <f>RTD("tos.rtd", , "DELTA", ".SPY150424C216")</f>
        <v>N/A</v>
      </c>
      <c r="H77" t="str">
        <f>RTD("tos.rtd", , "THETA", ".SPY150424C216")</f>
        <v>N/A</v>
      </c>
      <c r="I77" t="str">
        <f>RTD("tos.rtd", , "GAMMA", ".SPY150424C216")</f>
        <v>N/A</v>
      </c>
      <c r="J77" t="str">
        <f>RTD("tos.rtd", , "VEGA", ".SPY150424C216")</f>
        <v>N/A</v>
      </c>
      <c r="K77" t="str">
        <f>RTD("tos.rtd", , "RHO", ".SPY150424C216")</f>
        <v>N/A</v>
      </c>
      <c r="L77">
        <f>RTD("tos.rtd", , "ASK", ".SPY150424P216")</f>
        <v>4.4400000000000004</v>
      </c>
      <c r="M77">
        <f>RTD("tos.rtd", , "ASK_SIZE", ".SPY150424P216")</f>
        <v>0</v>
      </c>
      <c r="N77">
        <f>RTD("tos.rtd", , "BID", ".SPY150424P216")</f>
        <v>4.17</v>
      </c>
      <c r="O77">
        <f>RTD("tos.rtd", , "BID_SIZE", ".SPY150424P216")</f>
        <v>0</v>
      </c>
      <c r="P77">
        <f>RTD("tos.rtd", , "VOLUME", ".SPY150424P216")</f>
        <v>0</v>
      </c>
      <c r="Q77">
        <f>RTD("tos.rtd", , "OPEN_INT", ".SPY150424P216")</f>
        <v>0</v>
      </c>
      <c r="R77" t="str">
        <f>RTD("tos.rtd", , "DELTA", ".SPY150424P216")</f>
        <v>N/A</v>
      </c>
      <c r="S77" t="str">
        <f>RTD("tos.rtd", , "THETA", ".SPY150424P216")</f>
        <v>N/A</v>
      </c>
      <c r="T77" t="str">
        <f>RTD("tos.rtd", , "GAMMA", ".SPY150424P216")</f>
        <v>N/A</v>
      </c>
      <c r="U77" t="str">
        <f>RTD("tos.rtd", , "VEGA", ".SPY150424P216")</f>
        <v>N/A</v>
      </c>
      <c r="V77" t="str">
        <f>RTD("tos.rtd", , "RHO", ".SPY150424P216")</f>
        <v>N/A</v>
      </c>
    </row>
    <row r="78" spans="1:22" x14ac:dyDescent="0.25">
      <c r="A78">
        <f>RTD("tos.rtd", , "ASK", ".SPY150424C216.5")</f>
        <v>0.01</v>
      </c>
      <c r="B78">
        <f>RTD("tos.rtd", , "ASK_SIZE", ".SPY150424C216.5")</f>
        <v>0</v>
      </c>
      <c r="C78">
        <f>RTD("tos.rtd", , "BID", ".SPY150424C216.5")</f>
        <v>0</v>
      </c>
      <c r="D78">
        <f>RTD("tos.rtd", , "BID_SIZE", ".SPY150424C216.5")</f>
        <v>0</v>
      </c>
      <c r="E78">
        <f>RTD("tos.rtd", , "VOLUME", ".SPY150424C216.5")</f>
        <v>0</v>
      </c>
      <c r="F78">
        <f>RTD("tos.rtd", , "OPEN_INT", ".SPY150424C216.5")</f>
        <v>5305</v>
      </c>
      <c r="G78" t="str">
        <f>RTD("tos.rtd", , "DELTA", ".SPY150424C216.5")</f>
        <v>N/A</v>
      </c>
      <c r="H78" t="str">
        <f>RTD("tos.rtd", , "THETA", ".SPY150424C216.5")</f>
        <v>N/A</v>
      </c>
      <c r="I78" t="str">
        <f>RTD("tos.rtd", , "GAMMA", ".SPY150424C216.5")</f>
        <v>N/A</v>
      </c>
      <c r="J78" t="str">
        <f>RTD("tos.rtd", , "VEGA", ".SPY150424C216.5")</f>
        <v>N/A</v>
      </c>
      <c r="K78" t="str">
        <f>RTD("tos.rtd", , "RHO", ".SPY150424C216.5")</f>
        <v>N/A</v>
      </c>
      <c r="L78">
        <f>RTD("tos.rtd", , "ASK", ".SPY150424P216.5")</f>
        <v>4.9400000000000004</v>
      </c>
      <c r="M78">
        <f>RTD("tos.rtd", , "ASK_SIZE", ".SPY150424P216.5")</f>
        <v>0</v>
      </c>
      <c r="N78">
        <f>RTD("tos.rtd", , "BID", ".SPY150424P216.5")</f>
        <v>4.71</v>
      </c>
      <c r="O78">
        <f>RTD("tos.rtd", , "BID_SIZE", ".SPY150424P216.5")</f>
        <v>0</v>
      </c>
      <c r="P78">
        <f>RTD("tos.rtd", , "VOLUME", ".SPY150424P216.5")</f>
        <v>0</v>
      </c>
      <c r="Q78">
        <f>RTD("tos.rtd", , "OPEN_INT", ".SPY150424P216.5")</f>
        <v>0</v>
      </c>
      <c r="R78" t="str">
        <f>RTD("tos.rtd", , "DELTA", ".SPY150424P216.5")</f>
        <v>N/A</v>
      </c>
      <c r="S78" t="str">
        <f>RTD("tos.rtd", , "THETA", ".SPY150424P216.5")</f>
        <v>N/A</v>
      </c>
      <c r="T78" t="str">
        <f>RTD("tos.rtd", , "GAMMA", ".SPY150424P216.5")</f>
        <v>N/A</v>
      </c>
      <c r="U78" t="str">
        <f>RTD("tos.rtd", , "VEGA", ".SPY150424P216.5")</f>
        <v>N/A</v>
      </c>
      <c r="V78" t="str">
        <f>RTD("tos.rtd", , "RHO", ".SPY150424P216.5")</f>
        <v>N/A</v>
      </c>
    </row>
    <row r="79" spans="1:22" x14ac:dyDescent="0.25">
      <c r="A79">
        <f>RTD("tos.rtd", , "ASK", ".SPY150424C217")</f>
        <v>0.01</v>
      </c>
      <c r="B79">
        <f>RTD("tos.rtd", , "ASK_SIZE", ".SPY150424C217")</f>
        <v>0</v>
      </c>
      <c r="C79">
        <f>RTD("tos.rtd", , "BID", ".SPY150424C217")</f>
        <v>0</v>
      </c>
      <c r="D79">
        <f>RTD("tos.rtd", , "BID_SIZE", ".SPY150424C217")</f>
        <v>0</v>
      </c>
      <c r="E79">
        <f>RTD("tos.rtd", , "VOLUME", ".SPY150424C217")</f>
        <v>0</v>
      </c>
      <c r="F79">
        <f>RTD("tos.rtd", , "OPEN_INT", ".SPY150424C217")</f>
        <v>3228</v>
      </c>
      <c r="G79" t="str">
        <f>RTD("tos.rtd", , "DELTA", ".SPY150424C217")</f>
        <v>N/A</v>
      </c>
      <c r="H79" t="str">
        <f>RTD("tos.rtd", , "THETA", ".SPY150424C217")</f>
        <v>N/A</v>
      </c>
      <c r="I79" t="str">
        <f>RTD("tos.rtd", , "GAMMA", ".SPY150424C217")</f>
        <v>N/A</v>
      </c>
      <c r="J79" t="str">
        <f>RTD("tos.rtd", , "VEGA", ".SPY150424C217")</f>
        <v>N/A</v>
      </c>
      <c r="K79" t="str">
        <f>RTD("tos.rtd", , "RHO", ".SPY150424C217")</f>
        <v>N/A</v>
      </c>
      <c r="L79">
        <f>RTD("tos.rtd", , "ASK", ".SPY150424P217")</f>
        <v>5.45</v>
      </c>
      <c r="M79">
        <f>RTD("tos.rtd", , "ASK_SIZE", ".SPY150424P217")</f>
        <v>0</v>
      </c>
      <c r="N79">
        <f>RTD("tos.rtd", , "BID", ".SPY150424P217")</f>
        <v>5.19</v>
      </c>
      <c r="O79">
        <f>RTD("tos.rtd", , "BID_SIZE", ".SPY150424P217")</f>
        <v>0</v>
      </c>
      <c r="P79">
        <f>RTD("tos.rtd", , "VOLUME", ".SPY150424P217")</f>
        <v>0</v>
      </c>
      <c r="Q79">
        <f>RTD("tos.rtd", , "OPEN_INT", ".SPY150424P217")</f>
        <v>0</v>
      </c>
      <c r="R79" t="str">
        <f>RTD("tos.rtd", , "DELTA", ".SPY150424P217")</f>
        <v>N/A</v>
      </c>
      <c r="S79" t="str">
        <f>RTD("tos.rtd", , "THETA", ".SPY150424P217")</f>
        <v>N/A</v>
      </c>
      <c r="T79" t="str">
        <f>RTD("tos.rtd", , "GAMMA", ".SPY150424P217")</f>
        <v>N/A</v>
      </c>
      <c r="U79" t="str">
        <f>RTD("tos.rtd", , "VEGA", ".SPY150424P217")</f>
        <v>N/A</v>
      </c>
      <c r="V79" t="str">
        <f>RTD("tos.rtd", , "RHO", ".SPY150424P217")</f>
        <v>N/A</v>
      </c>
    </row>
    <row r="80" spans="1:22" x14ac:dyDescent="0.25">
      <c r="A80">
        <f>RTD("tos.rtd", , "ASK", ".SPY150424C217.5")</f>
        <v>0.01</v>
      </c>
      <c r="B80">
        <f>RTD("tos.rtd", , "ASK_SIZE", ".SPY150424C217.5")</f>
        <v>0</v>
      </c>
      <c r="C80">
        <f>RTD("tos.rtd", , "BID", ".SPY150424C217.5")</f>
        <v>0</v>
      </c>
      <c r="D80">
        <f>RTD("tos.rtd", , "BID_SIZE", ".SPY150424C217.5")</f>
        <v>0</v>
      </c>
      <c r="E80">
        <f>RTD("tos.rtd", , "VOLUME", ".SPY150424C217.5")</f>
        <v>0</v>
      </c>
      <c r="F80">
        <f>RTD("tos.rtd", , "OPEN_INT", ".SPY150424C217.5")</f>
        <v>2176</v>
      </c>
      <c r="G80" t="str">
        <f>RTD("tos.rtd", , "DELTA", ".SPY150424C217.5")</f>
        <v>N/A</v>
      </c>
      <c r="H80" t="str">
        <f>RTD("tos.rtd", , "THETA", ".SPY150424C217.5")</f>
        <v>N/A</v>
      </c>
      <c r="I80" t="str">
        <f>RTD("tos.rtd", , "GAMMA", ".SPY150424C217.5")</f>
        <v>N/A</v>
      </c>
      <c r="J80" t="str">
        <f>RTD("tos.rtd", , "VEGA", ".SPY150424C217.5")</f>
        <v>N/A</v>
      </c>
      <c r="K80" t="str">
        <f>RTD("tos.rtd", , "RHO", ".SPY150424C217.5")</f>
        <v>N/A</v>
      </c>
      <c r="L80">
        <f>RTD("tos.rtd", , "ASK", ".SPY150424P217.5")</f>
        <v>5.94</v>
      </c>
      <c r="M80">
        <f>RTD("tos.rtd", , "ASK_SIZE", ".SPY150424P217.5")</f>
        <v>0</v>
      </c>
      <c r="N80">
        <f>RTD("tos.rtd", , "BID", ".SPY150424P217.5")</f>
        <v>5.67</v>
      </c>
      <c r="O80">
        <f>RTD("tos.rtd", , "BID_SIZE", ".SPY150424P217.5")</f>
        <v>0</v>
      </c>
      <c r="P80">
        <f>RTD("tos.rtd", , "VOLUME", ".SPY150424P217.5")</f>
        <v>0</v>
      </c>
      <c r="Q80">
        <f>RTD("tos.rtd", , "OPEN_INT", ".SPY150424P217.5")</f>
        <v>0</v>
      </c>
      <c r="R80" t="str">
        <f>RTD("tos.rtd", , "DELTA", ".SPY150424P217.5")</f>
        <v>N/A</v>
      </c>
      <c r="S80" t="str">
        <f>RTD("tos.rtd", , "THETA", ".SPY150424P217.5")</f>
        <v>N/A</v>
      </c>
      <c r="T80" t="str">
        <f>RTD("tos.rtd", , "GAMMA", ".SPY150424P217.5")</f>
        <v>N/A</v>
      </c>
      <c r="U80" t="str">
        <f>RTD("tos.rtd", , "VEGA", ".SPY150424P217.5")</f>
        <v>N/A</v>
      </c>
      <c r="V80" t="str">
        <f>RTD("tos.rtd", , "RHO", ".SPY150424P217.5")</f>
        <v>N/A</v>
      </c>
    </row>
    <row r="81" spans="1:22" x14ac:dyDescent="0.25">
      <c r="A81">
        <f>RTD("tos.rtd", , "ASK", ".SPY150424C218")</f>
        <v>0.01</v>
      </c>
      <c r="B81">
        <f>RTD("tos.rtd", , "ASK_SIZE", ".SPY150424C218")</f>
        <v>0</v>
      </c>
      <c r="C81">
        <f>RTD("tos.rtd", , "BID", ".SPY150424C218")</f>
        <v>0</v>
      </c>
      <c r="D81">
        <f>RTD("tos.rtd", , "BID_SIZE", ".SPY150424C218")</f>
        <v>0</v>
      </c>
      <c r="E81">
        <f>RTD("tos.rtd", , "VOLUME", ".SPY150424C218")</f>
        <v>0</v>
      </c>
      <c r="F81">
        <f>RTD("tos.rtd", , "OPEN_INT", ".SPY150424C218")</f>
        <v>1464</v>
      </c>
      <c r="G81" t="str">
        <f>RTD("tos.rtd", , "DELTA", ".SPY150424C218")</f>
        <v>N/A</v>
      </c>
      <c r="H81" t="str">
        <f>RTD("tos.rtd", , "THETA", ".SPY150424C218")</f>
        <v>N/A</v>
      </c>
      <c r="I81" t="str">
        <f>RTD("tos.rtd", , "GAMMA", ".SPY150424C218")</f>
        <v>N/A</v>
      </c>
      <c r="J81" t="str">
        <f>RTD("tos.rtd", , "VEGA", ".SPY150424C218")</f>
        <v>N/A</v>
      </c>
      <c r="K81" t="str">
        <f>RTD("tos.rtd", , "RHO", ".SPY150424C218")</f>
        <v>N/A</v>
      </c>
      <c r="L81">
        <f>RTD("tos.rtd", , "ASK", ".SPY150424P218")</f>
        <v>6.44</v>
      </c>
      <c r="M81">
        <f>RTD("tos.rtd", , "ASK_SIZE", ".SPY150424P218")</f>
        <v>0</v>
      </c>
      <c r="N81">
        <f>RTD("tos.rtd", , "BID", ".SPY150424P218")</f>
        <v>6.21</v>
      </c>
      <c r="O81">
        <f>RTD("tos.rtd", , "BID_SIZE", ".SPY150424P218")</f>
        <v>0</v>
      </c>
      <c r="P81">
        <f>RTD("tos.rtd", , "VOLUME", ".SPY150424P218")</f>
        <v>0</v>
      </c>
      <c r="Q81">
        <f>RTD("tos.rtd", , "OPEN_INT", ".SPY150424P218")</f>
        <v>0</v>
      </c>
      <c r="R81" t="str">
        <f>RTD("tos.rtd", , "DELTA", ".SPY150424P218")</f>
        <v>N/A</v>
      </c>
      <c r="S81" t="str">
        <f>RTD("tos.rtd", , "THETA", ".SPY150424P218")</f>
        <v>N/A</v>
      </c>
      <c r="T81" t="str">
        <f>RTD("tos.rtd", , "GAMMA", ".SPY150424P218")</f>
        <v>N/A</v>
      </c>
      <c r="U81" t="str">
        <f>RTD("tos.rtd", , "VEGA", ".SPY150424P218")</f>
        <v>N/A</v>
      </c>
      <c r="V81" t="str">
        <f>RTD("tos.rtd", , "RHO", ".SPY150424P218")</f>
        <v>N/A</v>
      </c>
    </row>
    <row r="82" spans="1:22" x14ac:dyDescent="0.25">
      <c r="A82">
        <f>RTD("tos.rtd", , "ASK", ".SPY150424C218.5")</f>
        <v>0.01</v>
      </c>
      <c r="B82">
        <f>RTD("tos.rtd", , "ASK_SIZE", ".SPY150424C218.5")</f>
        <v>0</v>
      </c>
      <c r="C82">
        <f>RTD("tos.rtd", , "BID", ".SPY150424C218.5")</f>
        <v>0</v>
      </c>
      <c r="D82">
        <f>RTD("tos.rtd", , "BID_SIZE", ".SPY150424C218.5")</f>
        <v>0</v>
      </c>
      <c r="E82">
        <f>RTD("tos.rtd", , "VOLUME", ".SPY150424C218.5")</f>
        <v>0</v>
      </c>
      <c r="F82">
        <f>RTD("tos.rtd", , "OPEN_INT", ".SPY150424C218.5")</f>
        <v>180</v>
      </c>
      <c r="G82" t="str">
        <f>RTD("tos.rtd", , "DELTA", ".SPY150424C218.5")</f>
        <v>N/A</v>
      </c>
      <c r="H82" t="str">
        <f>RTD("tos.rtd", , "THETA", ".SPY150424C218.5")</f>
        <v>N/A</v>
      </c>
      <c r="I82" t="str">
        <f>RTD("tos.rtd", , "GAMMA", ".SPY150424C218.5")</f>
        <v>N/A</v>
      </c>
      <c r="J82" t="str">
        <f>RTD("tos.rtd", , "VEGA", ".SPY150424C218.5")</f>
        <v>N/A</v>
      </c>
      <c r="K82" t="str">
        <f>RTD("tos.rtd", , "RHO", ".SPY150424C218.5")</f>
        <v>N/A</v>
      </c>
      <c r="L82">
        <f>RTD("tos.rtd", , "ASK", ".SPY150424P218.5")</f>
        <v>6.94</v>
      </c>
      <c r="M82">
        <f>RTD("tos.rtd", , "ASK_SIZE", ".SPY150424P218.5")</f>
        <v>0</v>
      </c>
      <c r="N82">
        <f>RTD("tos.rtd", , "BID", ".SPY150424P218.5")</f>
        <v>6.67</v>
      </c>
      <c r="O82">
        <f>RTD("tos.rtd", , "BID_SIZE", ".SPY150424P218.5")</f>
        <v>0</v>
      </c>
      <c r="P82">
        <f>RTD("tos.rtd", , "VOLUME", ".SPY150424P218.5")</f>
        <v>0</v>
      </c>
      <c r="Q82">
        <f>RTD("tos.rtd", , "OPEN_INT", ".SPY150424P218.5")</f>
        <v>0</v>
      </c>
      <c r="R82" t="str">
        <f>RTD("tos.rtd", , "DELTA", ".SPY150424P218.5")</f>
        <v>N/A</v>
      </c>
      <c r="S82" t="str">
        <f>RTD("tos.rtd", , "THETA", ".SPY150424P218.5")</f>
        <v>N/A</v>
      </c>
      <c r="T82" t="str">
        <f>RTD("tos.rtd", , "GAMMA", ".SPY150424P218.5")</f>
        <v>N/A</v>
      </c>
      <c r="U82" t="str">
        <f>RTD("tos.rtd", , "VEGA", ".SPY150424P218.5")</f>
        <v>N/A</v>
      </c>
      <c r="V82" t="str">
        <f>RTD("tos.rtd", , "RHO", ".SPY150424P218.5")</f>
        <v>N/A</v>
      </c>
    </row>
    <row r="83" spans="1:22" x14ac:dyDescent="0.25">
      <c r="A83">
        <f>RTD("tos.rtd", , "ASK", ".SPY150424C219")</f>
        <v>0.03</v>
      </c>
      <c r="B83">
        <f>RTD("tos.rtd", , "ASK_SIZE", ".SPY150424C219")</f>
        <v>0</v>
      </c>
      <c r="C83">
        <f>RTD("tos.rtd", , "BID", ".SPY150424C219")</f>
        <v>0</v>
      </c>
      <c r="D83">
        <f>RTD("tos.rtd", , "BID_SIZE", ".SPY150424C219")</f>
        <v>0</v>
      </c>
      <c r="E83">
        <f>RTD("tos.rtd", , "VOLUME", ".SPY150424C219")</f>
        <v>0</v>
      </c>
      <c r="F83">
        <f>RTD("tos.rtd", , "OPEN_INT", ".SPY150424C219")</f>
        <v>436</v>
      </c>
      <c r="G83" t="str">
        <f>RTD("tos.rtd", , "DELTA", ".SPY150424C219")</f>
        <v>N/A</v>
      </c>
      <c r="H83" t="str">
        <f>RTD("tos.rtd", , "THETA", ".SPY150424C219")</f>
        <v>N/A</v>
      </c>
      <c r="I83" t="str">
        <f>RTD("tos.rtd", , "GAMMA", ".SPY150424C219")</f>
        <v>N/A</v>
      </c>
      <c r="J83" t="str">
        <f>RTD("tos.rtd", , "VEGA", ".SPY150424C219")</f>
        <v>N/A</v>
      </c>
      <c r="K83" t="str">
        <f>RTD("tos.rtd", , "RHO", ".SPY150424C219")</f>
        <v>N/A</v>
      </c>
      <c r="L83">
        <f>RTD("tos.rtd", , "ASK", ".SPY150424P219")</f>
        <v>7.44</v>
      </c>
      <c r="M83">
        <f>RTD("tos.rtd", , "ASK_SIZE", ".SPY150424P219")</f>
        <v>0</v>
      </c>
      <c r="N83">
        <f>RTD("tos.rtd", , "BID", ".SPY150424P219")</f>
        <v>7.21</v>
      </c>
      <c r="O83">
        <f>RTD("tos.rtd", , "BID_SIZE", ".SPY150424P219")</f>
        <v>0</v>
      </c>
      <c r="P83">
        <f>RTD("tos.rtd", , "VOLUME", ".SPY150424P219")</f>
        <v>0</v>
      </c>
      <c r="Q83">
        <f>RTD("tos.rtd", , "OPEN_INT", ".SPY150424P219")</f>
        <v>0</v>
      </c>
      <c r="R83" t="str">
        <f>RTD("tos.rtd", , "DELTA", ".SPY150424P219")</f>
        <v>N/A</v>
      </c>
      <c r="S83" t="str">
        <f>RTD("tos.rtd", , "THETA", ".SPY150424P219")</f>
        <v>N/A</v>
      </c>
      <c r="T83" t="str">
        <f>RTD("tos.rtd", , "GAMMA", ".SPY150424P219")</f>
        <v>N/A</v>
      </c>
      <c r="U83" t="str">
        <f>RTD("tos.rtd", , "VEGA", ".SPY150424P219")</f>
        <v>N/A</v>
      </c>
      <c r="V83" t="str">
        <f>RTD("tos.rtd", , "RHO", ".SPY150424P219")</f>
        <v>N/A</v>
      </c>
    </row>
    <row r="84" spans="1:22" x14ac:dyDescent="0.25">
      <c r="A84">
        <f>RTD("tos.rtd", , "ASK", ".SPY150424C219.5")</f>
        <v>0.03</v>
      </c>
      <c r="B84">
        <f>RTD("tos.rtd", , "ASK_SIZE", ".SPY150424C219.5")</f>
        <v>0</v>
      </c>
      <c r="C84">
        <f>RTD("tos.rtd", , "BID", ".SPY150424C219.5")</f>
        <v>0</v>
      </c>
      <c r="D84">
        <f>RTD("tos.rtd", , "BID_SIZE", ".SPY150424C219.5")</f>
        <v>0</v>
      </c>
      <c r="E84">
        <f>RTD("tos.rtd", , "VOLUME", ".SPY150424C219.5")</f>
        <v>0</v>
      </c>
      <c r="F84">
        <f>RTD("tos.rtd", , "OPEN_INT", ".SPY150424C219.5")</f>
        <v>699</v>
      </c>
      <c r="G84" t="str">
        <f>RTD("tos.rtd", , "DELTA", ".SPY150424C219.5")</f>
        <v>N/A</v>
      </c>
      <c r="H84" t="str">
        <f>RTD("tos.rtd", , "THETA", ".SPY150424C219.5")</f>
        <v>N/A</v>
      </c>
      <c r="I84" t="str">
        <f>RTD("tos.rtd", , "GAMMA", ".SPY150424C219.5")</f>
        <v>N/A</v>
      </c>
      <c r="J84" t="str">
        <f>RTD("tos.rtd", , "VEGA", ".SPY150424C219.5")</f>
        <v>N/A</v>
      </c>
      <c r="K84" t="str">
        <f>RTD("tos.rtd", , "RHO", ".SPY150424C219.5")</f>
        <v>N/A</v>
      </c>
      <c r="L84">
        <f>RTD("tos.rtd", , "ASK", ".SPY150424P219.5")</f>
        <v>7.94</v>
      </c>
      <c r="M84">
        <f>RTD("tos.rtd", , "ASK_SIZE", ".SPY150424P219.5")</f>
        <v>0</v>
      </c>
      <c r="N84">
        <f>RTD("tos.rtd", , "BID", ".SPY150424P219.5")</f>
        <v>7.67</v>
      </c>
      <c r="O84">
        <f>RTD("tos.rtd", , "BID_SIZE", ".SPY150424P219.5")</f>
        <v>0</v>
      </c>
      <c r="P84">
        <f>RTD("tos.rtd", , "VOLUME", ".SPY150424P219.5")</f>
        <v>0</v>
      </c>
      <c r="Q84">
        <f>RTD("tos.rtd", , "OPEN_INT", ".SPY150424P219.5")</f>
        <v>0</v>
      </c>
      <c r="R84" t="str">
        <f>RTD("tos.rtd", , "DELTA", ".SPY150424P219.5")</f>
        <v>N/A</v>
      </c>
      <c r="S84" t="str">
        <f>RTD("tos.rtd", , "THETA", ".SPY150424P219.5")</f>
        <v>N/A</v>
      </c>
      <c r="T84" t="str">
        <f>RTD("tos.rtd", , "GAMMA", ".SPY150424P219.5")</f>
        <v>N/A</v>
      </c>
      <c r="U84" t="str">
        <f>RTD("tos.rtd", , "VEGA", ".SPY150424P219.5")</f>
        <v>N/A</v>
      </c>
      <c r="V84" t="str">
        <f>RTD("tos.rtd", , "RHO", ".SPY150424P219.5")</f>
        <v>N/A</v>
      </c>
    </row>
    <row r="85" spans="1:22" x14ac:dyDescent="0.25">
      <c r="A85" t="s">
        <v>2</v>
      </c>
      <c r="B85">
        <v>40</v>
      </c>
    </row>
    <row r="86" spans="1:22" x14ac:dyDescent="0.25">
      <c r="A86">
        <f>RTD("tos.rtd", ,"LAST", "SPY")</f>
        <v>211.32</v>
      </c>
    </row>
    <row r="87" spans="1:22" x14ac:dyDescent="0.25">
      <c r="A87">
        <f>RTD("tos.rtd", , "ASK", ".SPY150501C200")</f>
        <v>10.86</v>
      </c>
      <c r="B87">
        <f>RTD("tos.rtd", , "ASK_SIZE", ".SPY150501C200")</f>
        <v>0</v>
      </c>
      <c r="C87">
        <f>RTD("tos.rtd", , "BID", ".SPY150501C200")</f>
        <v>10.58</v>
      </c>
      <c r="D87">
        <f>RTD("tos.rtd", , "BID_SIZE", ".SPY150501C200")</f>
        <v>0</v>
      </c>
      <c r="E87">
        <f>RTD("tos.rtd", , "VOLUME", ".SPY150501C200")</f>
        <v>0</v>
      </c>
      <c r="F87">
        <f>RTD("tos.rtd", , "OPEN_INT", ".SPY150501C200")</f>
        <v>0</v>
      </c>
      <c r="G87" t="str">
        <f>RTD("tos.rtd", , "DELTA", ".SPY150501C200")</f>
        <v>N/A</v>
      </c>
      <c r="H87" t="str">
        <f>RTD("tos.rtd", , "THETA", ".SPY150501C200")</f>
        <v>N/A</v>
      </c>
      <c r="I87" t="str">
        <f>RTD("tos.rtd", , "GAMMA", ".SPY150501C200")</f>
        <v>N/A</v>
      </c>
      <c r="J87" t="str">
        <f>RTD("tos.rtd", , "VEGA", ".SPY150501C200")</f>
        <v>N/A</v>
      </c>
      <c r="K87" t="str">
        <f>RTD("tos.rtd", , "RHO", ".SPY150501C200")</f>
        <v>N/A</v>
      </c>
      <c r="L87">
        <f>RTD("tos.rtd", , "ASK", ".SPY150501P200")</f>
        <v>0.01</v>
      </c>
      <c r="M87">
        <f>RTD("tos.rtd", , "ASK_SIZE", ".SPY150501P200")</f>
        <v>0</v>
      </c>
      <c r="N87">
        <f>RTD("tos.rtd", , "BID", ".SPY150501P200")</f>
        <v>0</v>
      </c>
      <c r="O87">
        <f>RTD("tos.rtd", , "BID_SIZE", ".SPY150501P200")</f>
        <v>0</v>
      </c>
      <c r="P87">
        <f>RTD("tos.rtd", , "VOLUME", ".SPY150501P200")</f>
        <v>0</v>
      </c>
      <c r="Q87">
        <f>RTD("tos.rtd", , "OPEN_INT", ".SPY150501P200")</f>
        <v>32850</v>
      </c>
      <c r="R87" t="str">
        <f>RTD("tos.rtd", , "DELTA", ".SPY150501P200")</f>
        <v>N/A</v>
      </c>
      <c r="S87" t="str">
        <f>RTD("tos.rtd", , "THETA", ".SPY150501P200")</f>
        <v>N/A</v>
      </c>
      <c r="T87" t="str">
        <f>RTD("tos.rtd", , "GAMMA", ".SPY150501P200")</f>
        <v>N/A</v>
      </c>
      <c r="U87" t="str">
        <f>RTD("tos.rtd", , "VEGA", ".SPY150501P200")</f>
        <v>N/A</v>
      </c>
      <c r="V87" t="str">
        <f>RTD("tos.rtd", , "RHO", ".SPY150501P200")</f>
        <v>N/A</v>
      </c>
    </row>
    <row r="88" spans="1:22" x14ac:dyDescent="0.25">
      <c r="A88">
        <f>RTD("tos.rtd", , "ASK", ".SPY150501C200.5")</f>
        <v>10.36</v>
      </c>
      <c r="B88">
        <f>RTD("tos.rtd", , "ASK_SIZE", ".SPY150501C200.5")</f>
        <v>0</v>
      </c>
      <c r="C88">
        <f>RTD("tos.rtd", , "BID", ".SPY150501C200.5")</f>
        <v>10.08</v>
      </c>
      <c r="D88">
        <f>RTD("tos.rtd", , "BID_SIZE", ".SPY150501C200.5")</f>
        <v>0</v>
      </c>
      <c r="E88">
        <f>RTD("tos.rtd", , "VOLUME", ".SPY150501C200.5")</f>
        <v>0</v>
      </c>
      <c r="F88">
        <f>RTD("tos.rtd", , "OPEN_INT", ".SPY150501C200.5")</f>
        <v>0</v>
      </c>
      <c r="G88" t="str">
        <f>RTD("tos.rtd", , "DELTA", ".SPY150501C200.5")</f>
        <v>N/A</v>
      </c>
      <c r="H88" t="str">
        <f>RTD("tos.rtd", , "THETA", ".SPY150501C200.5")</f>
        <v>N/A</v>
      </c>
      <c r="I88" t="str">
        <f>RTD("tos.rtd", , "GAMMA", ".SPY150501C200.5")</f>
        <v>N/A</v>
      </c>
      <c r="J88" t="str">
        <f>RTD("tos.rtd", , "VEGA", ".SPY150501C200.5")</f>
        <v>N/A</v>
      </c>
      <c r="K88" t="str">
        <f>RTD("tos.rtd", , "RHO", ".SPY150501C200.5")</f>
        <v>N/A</v>
      </c>
      <c r="L88">
        <f>RTD("tos.rtd", , "ASK", ".SPY150501P200.5")</f>
        <v>0.01</v>
      </c>
      <c r="M88">
        <f>RTD("tos.rtd", , "ASK_SIZE", ".SPY150501P200.5")</f>
        <v>0</v>
      </c>
      <c r="N88">
        <f>RTD("tos.rtd", , "BID", ".SPY150501P200.5")</f>
        <v>0</v>
      </c>
      <c r="O88">
        <f>RTD("tos.rtd", , "BID_SIZE", ".SPY150501P200.5")</f>
        <v>0</v>
      </c>
      <c r="P88">
        <f>RTD("tos.rtd", , "VOLUME", ".SPY150501P200.5")</f>
        <v>0</v>
      </c>
      <c r="Q88">
        <f>RTD("tos.rtd", , "OPEN_INT", ".SPY150501P200.5")</f>
        <v>8711</v>
      </c>
      <c r="R88" t="str">
        <f>RTD("tos.rtd", , "DELTA", ".SPY150501P200.5")</f>
        <v>N/A</v>
      </c>
      <c r="S88" t="str">
        <f>RTD("tos.rtd", , "THETA", ".SPY150501P200.5")</f>
        <v>N/A</v>
      </c>
      <c r="T88" t="str">
        <f>RTD("tos.rtd", , "GAMMA", ".SPY150501P200.5")</f>
        <v>N/A</v>
      </c>
      <c r="U88" t="str">
        <f>RTD("tos.rtd", , "VEGA", ".SPY150501P200.5")</f>
        <v>N/A</v>
      </c>
      <c r="V88" t="str">
        <f>RTD("tos.rtd", , "RHO", ".SPY150501P200.5")</f>
        <v>N/A</v>
      </c>
    </row>
    <row r="89" spans="1:22" x14ac:dyDescent="0.25">
      <c r="A89">
        <f>RTD("tos.rtd", , "ASK", ".SPY150501C201")</f>
        <v>9.86</v>
      </c>
      <c r="B89">
        <f>RTD("tos.rtd", , "ASK_SIZE", ".SPY150501C201")</f>
        <v>0</v>
      </c>
      <c r="C89">
        <f>RTD("tos.rtd", , "BID", ".SPY150501C201")</f>
        <v>9.58</v>
      </c>
      <c r="D89">
        <f>RTD("tos.rtd", , "BID_SIZE", ".SPY150501C201")</f>
        <v>0</v>
      </c>
      <c r="E89">
        <f>RTD("tos.rtd", , "VOLUME", ".SPY150501C201")</f>
        <v>0</v>
      </c>
      <c r="F89">
        <f>RTD("tos.rtd", , "OPEN_INT", ".SPY150501C201")</f>
        <v>0</v>
      </c>
      <c r="G89" t="str">
        <f>RTD("tos.rtd", , "DELTA", ".SPY150501C201")</f>
        <v>N/A</v>
      </c>
      <c r="H89" t="str">
        <f>RTD("tos.rtd", , "THETA", ".SPY150501C201")</f>
        <v>N/A</v>
      </c>
      <c r="I89" t="str">
        <f>RTD("tos.rtd", , "GAMMA", ".SPY150501C201")</f>
        <v>N/A</v>
      </c>
      <c r="J89" t="str">
        <f>RTD("tos.rtd", , "VEGA", ".SPY150501C201")</f>
        <v>N/A</v>
      </c>
      <c r="K89" t="str">
        <f>RTD("tos.rtd", , "RHO", ".SPY150501C201")</f>
        <v>N/A</v>
      </c>
      <c r="L89">
        <f>RTD("tos.rtd", , "ASK", ".SPY150501P201")</f>
        <v>0.01</v>
      </c>
      <c r="M89">
        <f>RTD("tos.rtd", , "ASK_SIZE", ".SPY150501P201")</f>
        <v>0</v>
      </c>
      <c r="N89">
        <f>RTD("tos.rtd", , "BID", ".SPY150501P201")</f>
        <v>0</v>
      </c>
      <c r="O89">
        <f>RTD("tos.rtd", , "BID_SIZE", ".SPY150501P201")</f>
        <v>0</v>
      </c>
      <c r="P89">
        <f>RTD("tos.rtd", , "VOLUME", ".SPY150501P201")</f>
        <v>0</v>
      </c>
      <c r="Q89">
        <f>RTD("tos.rtd", , "OPEN_INT", ".SPY150501P201")</f>
        <v>15062</v>
      </c>
      <c r="R89" t="str">
        <f>RTD("tos.rtd", , "DELTA", ".SPY150501P201")</f>
        <v>N/A</v>
      </c>
      <c r="S89" t="str">
        <f>RTD("tos.rtd", , "THETA", ".SPY150501P201")</f>
        <v>N/A</v>
      </c>
      <c r="T89" t="str">
        <f>RTD("tos.rtd", , "GAMMA", ".SPY150501P201")</f>
        <v>N/A</v>
      </c>
      <c r="U89" t="str">
        <f>RTD("tos.rtd", , "VEGA", ".SPY150501P201")</f>
        <v>N/A</v>
      </c>
      <c r="V89" t="str">
        <f>RTD("tos.rtd", , "RHO", ".SPY150501P201")</f>
        <v>N/A</v>
      </c>
    </row>
    <row r="90" spans="1:22" x14ac:dyDescent="0.25">
      <c r="A90">
        <f>RTD("tos.rtd", , "ASK", ".SPY150501C201.5")</f>
        <v>9.36</v>
      </c>
      <c r="B90">
        <f>RTD("tos.rtd", , "ASK_SIZE", ".SPY150501C201.5")</f>
        <v>0</v>
      </c>
      <c r="C90">
        <f>RTD("tos.rtd", , "BID", ".SPY150501C201.5")</f>
        <v>9.08</v>
      </c>
      <c r="D90">
        <f>RTD("tos.rtd", , "BID_SIZE", ".SPY150501C201.5")</f>
        <v>0</v>
      </c>
      <c r="E90">
        <f>RTD("tos.rtd", , "VOLUME", ".SPY150501C201.5")</f>
        <v>0</v>
      </c>
      <c r="F90">
        <f>RTD("tos.rtd", , "OPEN_INT", ".SPY150501C201.5")</f>
        <v>0</v>
      </c>
      <c r="G90" t="str">
        <f>RTD("tos.rtd", , "DELTA", ".SPY150501C201.5")</f>
        <v>N/A</v>
      </c>
      <c r="H90" t="str">
        <f>RTD("tos.rtd", , "THETA", ".SPY150501C201.5")</f>
        <v>N/A</v>
      </c>
      <c r="I90" t="str">
        <f>RTD("tos.rtd", , "GAMMA", ".SPY150501C201.5")</f>
        <v>N/A</v>
      </c>
      <c r="J90" t="str">
        <f>RTD("tos.rtd", , "VEGA", ".SPY150501C201.5")</f>
        <v>N/A</v>
      </c>
      <c r="K90" t="str">
        <f>RTD("tos.rtd", , "RHO", ".SPY150501C201.5")</f>
        <v>N/A</v>
      </c>
      <c r="L90">
        <f>RTD("tos.rtd", , "ASK", ".SPY150501P201.5")</f>
        <v>0.01</v>
      </c>
      <c r="M90">
        <f>RTD("tos.rtd", , "ASK_SIZE", ".SPY150501P201.5")</f>
        <v>0</v>
      </c>
      <c r="N90">
        <f>RTD("tos.rtd", , "BID", ".SPY150501P201.5")</f>
        <v>0</v>
      </c>
      <c r="O90">
        <f>RTD("tos.rtd", , "BID_SIZE", ".SPY150501P201.5")</f>
        <v>0</v>
      </c>
      <c r="P90">
        <f>RTD("tos.rtd", , "VOLUME", ".SPY150501P201.5")</f>
        <v>0</v>
      </c>
      <c r="Q90">
        <f>RTD("tos.rtd", , "OPEN_INT", ".SPY150501P201.5")</f>
        <v>4536</v>
      </c>
      <c r="R90" t="str">
        <f>RTD("tos.rtd", , "DELTA", ".SPY150501P201.5")</f>
        <v>N/A</v>
      </c>
      <c r="S90" t="str">
        <f>RTD("tos.rtd", , "THETA", ".SPY150501P201.5")</f>
        <v>N/A</v>
      </c>
      <c r="T90" t="str">
        <f>RTD("tos.rtd", , "GAMMA", ".SPY150501P201.5")</f>
        <v>N/A</v>
      </c>
      <c r="U90" t="str">
        <f>RTD("tos.rtd", , "VEGA", ".SPY150501P201.5")</f>
        <v>N/A</v>
      </c>
      <c r="V90" t="str">
        <f>RTD("tos.rtd", , "RHO", ".SPY150501P201.5")</f>
        <v>N/A</v>
      </c>
    </row>
    <row r="91" spans="1:22" x14ac:dyDescent="0.25">
      <c r="A91">
        <f>RTD("tos.rtd", , "ASK", ".SPY150501C202")</f>
        <v>8.86</v>
      </c>
      <c r="B91">
        <f>RTD("tos.rtd", , "ASK_SIZE", ".SPY150501C202")</f>
        <v>0</v>
      </c>
      <c r="C91">
        <f>RTD("tos.rtd", , "BID", ".SPY150501C202")</f>
        <v>8.58</v>
      </c>
      <c r="D91">
        <f>RTD("tos.rtd", , "BID_SIZE", ".SPY150501C202")</f>
        <v>0</v>
      </c>
      <c r="E91">
        <f>RTD("tos.rtd", , "VOLUME", ".SPY150501C202")</f>
        <v>0</v>
      </c>
      <c r="F91">
        <f>RTD("tos.rtd", , "OPEN_INT", ".SPY150501C202")</f>
        <v>0</v>
      </c>
      <c r="G91" t="str">
        <f>RTD("tos.rtd", , "DELTA", ".SPY150501C202")</f>
        <v>N/A</v>
      </c>
      <c r="H91" t="str">
        <f>RTD("tos.rtd", , "THETA", ".SPY150501C202")</f>
        <v>N/A</v>
      </c>
      <c r="I91" t="str">
        <f>RTD("tos.rtd", , "GAMMA", ".SPY150501C202")</f>
        <v>N/A</v>
      </c>
      <c r="J91" t="str">
        <f>RTD("tos.rtd", , "VEGA", ".SPY150501C202")</f>
        <v>N/A</v>
      </c>
      <c r="K91" t="str">
        <f>RTD("tos.rtd", , "RHO", ".SPY150501C202")</f>
        <v>N/A</v>
      </c>
      <c r="L91">
        <f>RTD("tos.rtd", , "ASK", ".SPY150501P202")</f>
        <v>0.01</v>
      </c>
      <c r="M91">
        <f>RTD("tos.rtd", , "ASK_SIZE", ".SPY150501P202")</f>
        <v>0</v>
      </c>
      <c r="N91">
        <f>RTD("tos.rtd", , "BID", ".SPY150501P202")</f>
        <v>0</v>
      </c>
      <c r="O91">
        <f>RTD("tos.rtd", , "BID_SIZE", ".SPY150501P202")</f>
        <v>0</v>
      </c>
      <c r="P91">
        <f>RTD("tos.rtd", , "VOLUME", ".SPY150501P202")</f>
        <v>0</v>
      </c>
      <c r="Q91">
        <f>RTD("tos.rtd", , "OPEN_INT", ".SPY150501P202")</f>
        <v>8781</v>
      </c>
      <c r="R91" t="str">
        <f>RTD("tos.rtd", , "DELTA", ".SPY150501P202")</f>
        <v>N/A</v>
      </c>
      <c r="S91" t="str">
        <f>RTD("tos.rtd", , "THETA", ".SPY150501P202")</f>
        <v>N/A</v>
      </c>
      <c r="T91" t="str">
        <f>RTD("tos.rtd", , "GAMMA", ".SPY150501P202")</f>
        <v>N/A</v>
      </c>
      <c r="U91" t="str">
        <f>RTD("tos.rtd", , "VEGA", ".SPY150501P202")</f>
        <v>N/A</v>
      </c>
      <c r="V91" t="str">
        <f>RTD("tos.rtd", , "RHO", ".SPY150501P202")</f>
        <v>N/A</v>
      </c>
    </row>
    <row r="92" spans="1:22" x14ac:dyDescent="0.25">
      <c r="A92">
        <f>RTD("tos.rtd", , "ASK", ".SPY150501C202.5")</f>
        <v>8.36</v>
      </c>
      <c r="B92">
        <f>RTD("tos.rtd", , "ASK_SIZE", ".SPY150501C202.5")</f>
        <v>0</v>
      </c>
      <c r="C92">
        <f>RTD("tos.rtd", , "BID", ".SPY150501C202.5")</f>
        <v>8.08</v>
      </c>
      <c r="D92">
        <f>RTD("tos.rtd", , "BID_SIZE", ".SPY150501C202.5")</f>
        <v>0</v>
      </c>
      <c r="E92">
        <f>RTD("tos.rtd", , "VOLUME", ".SPY150501C202.5")</f>
        <v>0</v>
      </c>
      <c r="F92">
        <f>RTD("tos.rtd", , "OPEN_INT", ".SPY150501C202.5")</f>
        <v>0</v>
      </c>
      <c r="G92" t="str">
        <f>RTD("tos.rtd", , "DELTA", ".SPY150501C202.5")</f>
        <v>N/A</v>
      </c>
      <c r="H92" t="str">
        <f>RTD("tos.rtd", , "THETA", ".SPY150501C202.5")</f>
        <v>N/A</v>
      </c>
      <c r="I92" t="str">
        <f>RTD("tos.rtd", , "GAMMA", ".SPY150501C202.5")</f>
        <v>N/A</v>
      </c>
      <c r="J92" t="str">
        <f>RTD("tos.rtd", , "VEGA", ".SPY150501C202.5")</f>
        <v>N/A</v>
      </c>
      <c r="K92" t="str">
        <f>RTD("tos.rtd", , "RHO", ".SPY150501C202.5")</f>
        <v>N/A</v>
      </c>
      <c r="L92">
        <f>RTD("tos.rtd", , "ASK", ".SPY150501P202.5")</f>
        <v>0.01</v>
      </c>
      <c r="M92">
        <f>RTD("tos.rtd", , "ASK_SIZE", ".SPY150501P202.5")</f>
        <v>0</v>
      </c>
      <c r="N92">
        <f>RTD("tos.rtd", , "BID", ".SPY150501P202.5")</f>
        <v>0</v>
      </c>
      <c r="O92">
        <f>RTD("tos.rtd", , "BID_SIZE", ".SPY150501P202.5")</f>
        <v>0</v>
      </c>
      <c r="P92">
        <f>RTD("tos.rtd", , "VOLUME", ".SPY150501P202.5")</f>
        <v>0</v>
      </c>
      <c r="Q92">
        <f>RTD("tos.rtd", , "OPEN_INT", ".SPY150501P202.5")</f>
        <v>13383</v>
      </c>
      <c r="R92" t="str">
        <f>RTD("tos.rtd", , "DELTA", ".SPY150501P202.5")</f>
        <v>N/A</v>
      </c>
      <c r="S92" t="str">
        <f>RTD("tos.rtd", , "THETA", ".SPY150501P202.5")</f>
        <v>N/A</v>
      </c>
      <c r="T92" t="str">
        <f>RTD("tos.rtd", , "GAMMA", ".SPY150501P202.5")</f>
        <v>N/A</v>
      </c>
      <c r="U92" t="str">
        <f>RTD("tos.rtd", , "VEGA", ".SPY150501P202.5")</f>
        <v>N/A</v>
      </c>
      <c r="V92" t="str">
        <f>RTD("tos.rtd", , "RHO", ".SPY150501P202.5")</f>
        <v>N/A</v>
      </c>
    </row>
    <row r="93" spans="1:22" x14ac:dyDescent="0.25">
      <c r="A93">
        <f>RTD("tos.rtd", , "ASK", ".SPY150501C203")</f>
        <v>7.86</v>
      </c>
      <c r="B93">
        <f>RTD("tos.rtd", , "ASK_SIZE", ".SPY150501C203")</f>
        <v>0</v>
      </c>
      <c r="C93">
        <f>RTD("tos.rtd", , "BID", ".SPY150501C203")</f>
        <v>7.58</v>
      </c>
      <c r="D93">
        <f>RTD("tos.rtd", , "BID_SIZE", ".SPY150501C203")</f>
        <v>0</v>
      </c>
      <c r="E93">
        <f>RTD("tos.rtd", , "VOLUME", ".SPY150501C203")</f>
        <v>0</v>
      </c>
      <c r="F93">
        <f>RTD("tos.rtd", , "OPEN_INT", ".SPY150501C203")</f>
        <v>0</v>
      </c>
      <c r="G93" t="str">
        <f>RTD("tos.rtd", , "DELTA", ".SPY150501C203")</f>
        <v>N/A</v>
      </c>
      <c r="H93" t="str">
        <f>RTD("tos.rtd", , "THETA", ".SPY150501C203")</f>
        <v>N/A</v>
      </c>
      <c r="I93" t="str">
        <f>RTD("tos.rtd", , "GAMMA", ".SPY150501C203")</f>
        <v>N/A</v>
      </c>
      <c r="J93" t="str">
        <f>RTD("tos.rtd", , "VEGA", ".SPY150501C203")</f>
        <v>N/A</v>
      </c>
      <c r="K93" t="str">
        <f>RTD("tos.rtd", , "RHO", ".SPY150501C203")</f>
        <v>N/A</v>
      </c>
      <c r="L93">
        <f>RTD("tos.rtd", , "ASK", ".SPY150501P203")</f>
        <v>0.01</v>
      </c>
      <c r="M93">
        <f>RTD("tos.rtd", , "ASK_SIZE", ".SPY150501P203")</f>
        <v>0</v>
      </c>
      <c r="N93">
        <f>RTD("tos.rtd", , "BID", ".SPY150501P203")</f>
        <v>0</v>
      </c>
      <c r="O93">
        <f>RTD("tos.rtd", , "BID_SIZE", ".SPY150501P203")</f>
        <v>0</v>
      </c>
      <c r="P93">
        <f>RTD("tos.rtd", , "VOLUME", ".SPY150501P203")</f>
        <v>0</v>
      </c>
      <c r="Q93">
        <f>RTD("tos.rtd", , "OPEN_INT", ".SPY150501P203")</f>
        <v>25790</v>
      </c>
      <c r="R93" t="str">
        <f>RTD("tos.rtd", , "DELTA", ".SPY150501P203")</f>
        <v>N/A</v>
      </c>
      <c r="S93" t="str">
        <f>RTD("tos.rtd", , "THETA", ".SPY150501P203")</f>
        <v>N/A</v>
      </c>
      <c r="T93" t="str">
        <f>RTD("tos.rtd", , "GAMMA", ".SPY150501P203")</f>
        <v>N/A</v>
      </c>
      <c r="U93" t="str">
        <f>RTD("tos.rtd", , "VEGA", ".SPY150501P203")</f>
        <v>N/A</v>
      </c>
      <c r="V93" t="str">
        <f>RTD("tos.rtd", , "RHO", ".SPY150501P203")</f>
        <v>N/A</v>
      </c>
    </row>
    <row r="94" spans="1:22" x14ac:dyDescent="0.25">
      <c r="A94">
        <f>RTD("tos.rtd", , "ASK", ".SPY150501C203.5")</f>
        <v>7.36</v>
      </c>
      <c r="B94">
        <f>RTD("tos.rtd", , "ASK_SIZE", ".SPY150501C203.5")</f>
        <v>0</v>
      </c>
      <c r="C94">
        <f>RTD("tos.rtd", , "BID", ".SPY150501C203.5")</f>
        <v>7.08</v>
      </c>
      <c r="D94">
        <f>RTD("tos.rtd", , "BID_SIZE", ".SPY150501C203.5")</f>
        <v>0</v>
      </c>
      <c r="E94">
        <f>RTD("tos.rtd", , "VOLUME", ".SPY150501C203.5")</f>
        <v>0</v>
      </c>
      <c r="F94">
        <f>RTD("tos.rtd", , "OPEN_INT", ".SPY150501C203.5")</f>
        <v>0</v>
      </c>
      <c r="G94" t="str">
        <f>RTD("tos.rtd", , "DELTA", ".SPY150501C203.5")</f>
        <v>N/A</v>
      </c>
      <c r="H94" t="str">
        <f>RTD("tos.rtd", , "THETA", ".SPY150501C203.5")</f>
        <v>N/A</v>
      </c>
      <c r="I94" t="str">
        <f>RTD("tos.rtd", , "GAMMA", ".SPY150501C203.5")</f>
        <v>N/A</v>
      </c>
      <c r="J94" t="str">
        <f>RTD("tos.rtd", , "VEGA", ".SPY150501C203.5")</f>
        <v>N/A</v>
      </c>
      <c r="K94" t="str">
        <f>RTD("tos.rtd", , "RHO", ".SPY150501C203.5")</f>
        <v>N/A</v>
      </c>
      <c r="L94">
        <f>RTD("tos.rtd", , "ASK", ".SPY150501P203.5")</f>
        <v>0.01</v>
      </c>
      <c r="M94">
        <f>RTD("tos.rtd", , "ASK_SIZE", ".SPY150501P203.5")</f>
        <v>0</v>
      </c>
      <c r="N94">
        <f>RTD("tos.rtd", , "BID", ".SPY150501P203.5")</f>
        <v>0</v>
      </c>
      <c r="O94">
        <f>RTD("tos.rtd", , "BID_SIZE", ".SPY150501P203.5")</f>
        <v>0</v>
      </c>
      <c r="P94">
        <f>RTD("tos.rtd", , "VOLUME", ".SPY150501P203.5")</f>
        <v>0</v>
      </c>
      <c r="Q94">
        <f>RTD("tos.rtd", , "OPEN_INT", ".SPY150501P203.5")</f>
        <v>30805</v>
      </c>
      <c r="R94" t="str">
        <f>RTD("tos.rtd", , "DELTA", ".SPY150501P203.5")</f>
        <v>N/A</v>
      </c>
      <c r="S94" t="str">
        <f>RTD("tos.rtd", , "THETA", ".SPY150501P203.5")</f>
        <v>N/A</v>
      </c>
      <c r="T94" t="str">
        <f>RTD("tos.rtd", , "GAMMA", ".SPY150501P203.5")</f>
        <v>N/A</v>
      </c>
      <c r="U94" t="str">
        <f>RTD("tos.rtd", , "VEGA", ".SPY150501P203.5")</f>
        <v>N/A</v>
      </c>
      <c r="V94" t="str">
        <f>RTD("tos.rtd", , "RHO", ".SPY150501P203.5")</f>
        <v>N/A</v>
      </c>
    </row>
    <row r="95" spans="1:22" x14ac:dyDescent="0.25">
      <c r="A95">
        <f>RTD("tos.rtd", , "ASK", ".SPY150501C204")</f>
        <v>6.84</v>
      </c>
      <c r="B95">
        <f>RTD("tos.rtd", , "ASK_SIZE", ".SPY150501C204")</f>
        <v>0</v>
      </c>
      <c r="C95">
        <f>RTD("tos.rtd", , "BID", ".SPY150501C204")</f>
        <v>6.6</v>
      </c>
      <c r="D95">
        <f>RTD("tos.rtd", , "BID_SIZE", ".SPY150501C204")</f>
        <v>0</v>
      </c>
      <c r="E95">
        <f>RTD("tos.rtd", , "VOLUME", ".SPY150501C204")</f>
        <v>0</v>
      </c>
      <c r="F95">
        <f>RTD("tos.rtd", , "OPEN_INT", ".SPY150501C204")</f>
        <v>0</v>
      </c>
      <c r="G95" t="str">
        <f>RTD("tos.rtd", , "DELTA", ".SPY150501C204")</f>
        <v>N/A</v>
      </c>
      <c r="H95" t="str">
        <f>RTD("tos.rtd", , "THETA", ".SPY150501C204")</f>
        <v>N/A</v>
      </c>
      <c r="I95" t="str">
        <f>RTD("tos.rtd", , "GAMMA", ".SPY150501C204")</f>
        <v>N/A</v>
      </c>
      <c r="J95" t="str">
        <f>RTD("tos.rtd", , "VEGA", ".SPY150501C204")</f>
        <v>N/A</v>
      </c>
      <c r="K95" t="str">
        <f>RTD("tos.rtd", , "RHO", ".SPY150501C204")</f>
        <v>N/A</v>
      </c>
      <c r="L95">
        <f>RTD("tos.rtd", , "ASK", ".SPY150501P204")</f>
        <v>0.01</v>
      </c>
      <c r="M95">
        <f>RTD("tos.rtd", , "ASK_SIZE", ".SPY150501P204")</f>
        <v>0</v>
      </c>
      <c r="N95">
        <f>RTD("tos.rtd", , "BID", ".SPY150501P204")</f>
        <v>0</v>
      </c>
      <c r="O95">
        <f>RTD("tos.rtd", , "BID_SIZE", ".SPY150501P204")</f>
        <v>0</v>
      </c>
      <c r="P95">
        <f>RTD("tos.rtd", , "VOLUME", ".SPY150501P204")</f>
        <v>0</v>
      </c>
      <c r="Q95">
        <f>RTD("tos.rtd", , "OPEN_INT", ".SPY150501P204")</f>
        <v>43996</v>
      </c>
      <c r="R95" t="str">
        <f>RTD("tos.rtd", , "DELTA", ".SPY150501P204")</f>
        <v>N/A</v>
      </c>
      <c r="S95" t="str">
        <f>RTD("tos.rtd", , "THETA", ".SPY150501P204")</f>
        <v>N/A</v>
      </c>
      <c r="T95" t="str">
        <f>RTD("tos.rtd", , "GAMMA", ".SPY150501P204")</f>
        <v>N/A</v>
      </c>
      <c r="U95" t="str">
        <f>RTD("tos.rtd", , "VEGA", ".SPY150501P204")</f>
        <v>N/A</v>
      </c>
      <c r="V95" t="str">
        <f>RTD("tos.rtd", , "RHO", ".SPY150501P204")</f>
        <v>N/A</v>
      </c>
    </row>
    <row r="96" spans="1:22" x14ac:dyDescent="0.25">
      <c r="A96">
        <f>RTD("tos.rtd", , "ASK", ".SPY150501C204.5")</f>
        <v>6.34</v>
      </c>
      <c r="B96">
        <f>RTD("tos.rtd", , "ASK_SIZE", ".SPY150501C204.5")</f>
        <v>0</v>
      </c>
      <c r="C96">
        <f>RTD("tos.rtd", , "BID", ".SPY150501C204.5")</f>
        <v>6.1</v>
      </c>
      <c r="D96">
        <f>RTD("tos.rtd", , "BID_SIZE", ".SPY150501C204.5")</f>
        <v>0</v>
      </c>
      <c r="E96">
        <f>RTD("tos.rtd", , "VOLUME", ".SPY150501C204.5")</f>
        <v>0</v>
      </c>
      <c r="F96">
        <f>RTD("tos.rtd", , "OPEN_INT", ".SPY150501C204.5")</f>
        <v>0</v>
      </c>
      <c r="G96" t="str">
        <f>RTD("tos.rtd", , "DELTA", ".SPY150501C204.5")</f>
        <v>N/A</v>
      </c>
      <c r="H96" t="str">
        <f>RTD("tos.rtd", , "THETA", ".SPY150501C204.5")</f>
        <v>N/A</v>
      </c>
      <c r="I96" t="str">
        <f>RTD("tos.rtd", , "GAMMA", ".SPY150501C204.5")</f>
        <v>N/A</v>
      </c>
      <c r="J96" t="str">
        <f>RTD("tos.rtd", , "VEGA", ".SPY150501C204.5")</f>
        <v>N/A</v>
      </c>
      <c r="K96" t="str">
        <f>RTD("tos.rtd", , "RHO", ".SPY150501C204.5")</f>
        <v>N/A</v>
      </c>
      <c r="L96">
        <f>RTD("tos.rtd", , "ASK", ".SPY150501P204.5")</f>
        <v>0.01</v>
      </c>
      <c r="M96">
        <f>RTD("tos.rtd", , "ASK_SIZE", ".SPY150501P204.5")</f>
        <v>0</v>
      </c>
      <c r="N96">
        <f>RTD("tos.rtd", , "BID", ".SPY150501P204.5")</f>
        <v>0</v>
      </c>
      <c r="O96">
        <f>RTD("tos.rtd", , "BID_SIZE", ".SPY150501P204.5")</f>
        <v>0</v>
      </c>
      <c r="P96">
        <f>RTD("tos.rtd", , "VOLUME", ".SPY150501P204.5")</f>
        <v>0</v>
      </c>
      <c r="Q96">
        <f>RTD("tos.rtd", , "OPEN_INT", ".SPY150501P204.5")</f>
        <v>19205</v>
      </c>
      <c r="R96" t="str">
        <f>RTD("tos.rtd", , "DELTA", ".SPY150501P204.5")</f>
        <v>N/A</v>
      </c>
      <c r="S96" t="str">
        <f>RTD("tos.rtd", , "THETA", ".SPY150501P204.5")</f>
        <v>N/A</v>
      </c>
      <c r="T96" t="str">
        <f>RTD("tos.rtd", , "GAMMA", ".SPY150501P204.5")</f>
        <v>N/A</v>
      </c>
      <c r="U96" t="str">
        <f>RTD("tos.rtd", , "VEGA", ".SPY150501P204.5")</f>
        <v>N/A</v>
      </c>
      <c r="V96" t="str">
        <f>RTD("tos.rtd", , "RHO", ".SPY150501P204.5")</f>
        <v>N/A</v>
      </c>
    </row>
    <row r="97" spans="1:22" x14ac:dyDescent="0.25">
      <c r="A97">
        <f>RTD("tos.rtd", , "ASK", ".SPY150501C205")</f>
        <v>5.84</v>
      </c>
      <c r="B97">
        <f>RTD("tos.rtd", , "ASK_SIZE", ".SPY150501C205")</f>
        <v>0</v>
      </c>
      <c r="C97">
        <f>RTD("tos.rtd", , "BID", ".SPY150501C205")</f>
        <v>5.6</v>
      </c>
      <c r="D97">
        <f>RTD("tos.rtd", , "BID_SIZE", ".SPY150501C205")</f>
        <v>0</v>
      </c>
      <c r="E97">
        <f>RTD("tos.rtd", , "VOLUME", ".SPY150501C205")</f>
        <v>0</v>
      </c>
      <c r="F97">
        <f>RTD("tos.rtd", , "OPEN_INT", ".SPY150501C205")</f>
        <v>0</v>
      </c>
      <c r="G97" t="str">
        <f>RTD("tos.rtd", , "DELTA", ".SPY150501C205")</f>
        <v>N/A</v>
      </c>
      <c r="H97" t="str">
        <f>RTD("tos.rtd", , "THETA", ".SPY150501C205")</f>
        <v>N/A</v>
      </c>
      <c r="I97" t="str">
        <f>RTD("tos.rtd", , "GAMMA", ".SPY150501C205")</f>
        <v>N/A</v>
      </c>
      <c r="J97" t="str">
        <f>RTD("tos.rtd", , "VEGA", ".SPY150501C205")</f>
        <v>N/A</v>
      </c>
      <c r="K97" t="str">
        <f>RTD("tos.rtd", , "RHO", ".SPY150501C205")</f>
        <v>N/A</v>
      </c>
      <c r="L97">
        <f>RTD("tos.rtd", , "ASK", ".SPY150501P205")</f>
        <v>0.01</v>
      </c>
      <c r="M97">
        <f>RTD("tos.rtd", , "ASK_SIZE", ".SPY150501P205")</f>
        <v>0</v>
      </c>
      <c r="N97">
        <f>RTD("tos.rtd", , "BID", ".SPY150501P205")</f>
        <v>0</v>
      </c>
      <c r="O97">
        <f>RTD("tos.rtd", , "BID_SIZE", ".SPY150501P205")</f>
        <v>0</v>
      </c>
      <c r="P97">
        <f>RTD("tos.rtd", , "VOLUME", ".SPY150501P205")</f>
        <v>0</v>
      </c>
      <c r="Q97">
        <f>RTD("tos.rtd", , "OPEN_INT", ".SPY150501P205")</f>
        <v>54605</v>
      </c>
      <c r="R97" t="str">
        <f>RTD("tos.rtd", , "DELTA", ".SPY150501P205")</f>
        <v>N/A</v>
      </c>
      <c r="S97" t="str">
        <f>RTD("tos.rtd", , "THETA", ".SPY150501P205")</f>
        <v>N/A</v>
      </c>
      <c r="T97" t="str">
        <f>RTD("tos.rtd", , "GAMMA", ".SPY150501P205")</f>
        <v>N/A</v>
      </c>
      <c r="U97" t="str">
        <f>RTD("tos.rtd", , "VEGA", ".SPY150501P205")</f>
        <v>N/A</v>
      </c>
      <c r="V97" t="str">
        <f>RTD("tos.rtd", , "RHO", ".SPY150501P205")</f>
        <v>N/A</v>
      </c>
    </row>
    <row r="98" spans="1:22" x14ac:dyDescent="0.25">
      <c r="A98">
        <f>RTD("tos.rtd", , "ASK", ".SPY150501C205.5")</f>
        <v>5.34</v>
      </c>
      <c r="B98">
        <f>RTD("tos.rtd", , "ASK_SIZE", ".SPY150501C205.5")</f>
        <v>0</v>
      </c>
      <c r="C98">
        <f>RTD("tos.rtd", , "BID", ".SPY150501C205.5")</f>
        <v>5.0999999999999996</v>
      </c>
      <c r="D98">
        <f>RTD("tos.rtd", , "BID_SIZE", ".SPY150501C205.5")</f>
        <v>0</v>
      </c>
      <c r="E98">
        <f>RTD("tos.rtd", , "VOLUME", ".SPY150501C205.5")</f>
        <v>0</v>
      </c>
      <c r="F98">
        <f>RTD("tos.rtd", , "OPEN_INT", ".SPY150501C205.5")</f>
        <v>0</v>
      </c>
      <c r="G98" t="str">
        <f>RTD("tos.rtd", , "DELTA", ".SPY150501C205.5")</f>
        <v>N/A</v>
      </c>
      <c r="H98" t="str">
        <f>RTD("tos.rtd", , "THETA", ".SPY150501C205.5")</f>
        <v>N/A</v>
      </c>
      <c r="I98" t="str">
        <f>RTD("tos.rtd", , "GAMMA", ".SPY150501C205.5")</f>
        <v>N/A</v>
      </c>
      <c r="J98" t="str">
        <f>RTD("tos.rtd", , "VEGA", ".SPY150501C205.5")</f>
        <v>N/A</v>
      </c>
      <c r="K98" t="str">
        <f>RTD("tos.rtd", , "RHO", ".SPY150501C205.5")</f>
        <v>N/A</v>
      </c>
      <c r="L98">
        <f>RTD("tos.rtd", , "ASK", ".SPY150501P205.5")</f>
        <v>0.01</v>
      </c>
      <c r="M98">
        <f>RTD("tos.rtd", , "ASK_SIZE", ".SPY150501P205.5")</f>
        <v>0</v>
      </c>
      <c r="N98">
        <f>RTD("tos.rtd", , "BID", ".SPY150501P205.5")</f>
        <v>0</v>
      </c>
      <c r="O98">
        <f>RTD("tos.rtd", , "BID_SIZE", ".SPY150501P205.5")</f>
        <v>0</v>
      </c>
      <c r="P98">
        <f>RTD("tos.rtd", , "VOLUME", ".SPY150501P205.5")</f>
        <v>0</v>
      </c>
      <c r="Q98">
        <f>RTD("tos.rtd", , "OPEN_INT", ".SPY150501P205.5")</f>
        <v>25544</v>
      </c>
      <c r="R98" t="str">
        <f>RTD("tos.rtd", , "DELTA", ".SPY150501P205.5")</f>
        <v>N/A</v>
      </c>
      <c r="S98" t="str">
        <f>RTD("tos.rtd", , "THETA", ".SPY150501P205.5")</f>
        <v>N/A</v>
      </c>
      <c r="T98" t="str">
        <f>RTD("tos.rtd", , "GAMMA", ".SPY150501P205.5")</f>
        <v>N/A</v>
      </c>
      <c r="U98" t="str">
        <f>RTD("tos.rtd", , "VEGA", ".SPY150501P205.5")</f>
        <v>N/A</v>
      </c>
      <c r="V98" t="str">
        <f>RTD("tos.rtd", , "RHO", ".SPY150501P205.5")</f>
        <v>N/A</v>
      </c>
    </row>
    <row r="99" spans="1:22" x14ac:dyDescent="0.25">
      <c r="A99">
        <f>RTD("tos.rtd", , "ASK", ".SPY150501C206")</f>
        <v>4.84</v>
      </c>
      <c r="B99">
        <f>RTD("tos.rtd", , "ASK_SIZE", ".SPY150501C206")</f>
        <v>0</v>
      </c>
      <c r="C99">
        <f>RTD("tos.rtd", , "BID", ".SPY150501C206")</f>
        <v>4.5999999999999996</v>
      </c>
      <c r="D99">
        <f>RTD("tos.rtd", , "BID_SIZE", ".SPY150501C206")</f>
        <v>0</v>
      </c>
      <c r="E99">
        <f>RTD("tos.rtd", , "VOLUME", ".SPY150501C206")</f>
        <v>0</v>
      </c>
      <c r="F99">
        <f>RTD("tos.rtd", , "OPEN_INT", ".SPY150501C206")</f>
        <v>0</v>
      </c>
      <c r="G99" t="str">
        <f>RTD("tos.rtd", , "DELTA", ".SPY150501C206")</f>
        <v>N/A</v>
      </c>
      <c r="H99" t="str">
        <f>RTD("tos.rtd", , "THETA", ".SPY150501C206")</f>
        <v>N/A</v>
      </c>
      <c r="I99" t="str">
        <f>RTD("tos.rtd", , "GAMMA", ".SPY150501C206")</f>
        <v>N/A</v>
      </c>
      <c r="J99" t="str">
        <f>RTD("tos.rtd", , "VEGA", ".SPY150501C206")</f>
        <v>N/A</v>
      </c>
      <c r="K99" t="str">
        <f>RTD("tos.rtd", , "RHO", ".SPY150501C206")</f>
        <v>N/A</v>
      </c>
      <c r="L99">
        <f>RTD("tos.rtd", , "ASK", ".SPY150501P206")</f>
        <v>0.01</v>
      </c>
      <c r="M99">
        <f>RTD("tos.rtd", , "ASK_SIZE", ".SPY150501P206")</f>
        <v>0</v>
      </c>
      <c r="N99">
        <f>RTD("tos.rtd", , "BID", ".SPY150501P206")</f>
        <v>0</v>
      </c>
      <c r="O99">
        <f>RTD("tos.rtd", , "BID_SIZE", ".SPY150501P206")</f>
        <v>0</v>
      </c>
      <c r="P99">
        <f>RTD("tos.rtd", , "VOLUME", ".SPY150501P206")</f>
        <v>0</v>
      </c>
      <c r="Q99">
        <f>RTD("tos.rtd", , "OPEN_INT", ".SPY150501P206")</f>
        <v>60789</v>
      </c>
      <c r="R99" t="str">
        <f>RTD("tos.rtd", , "DELTA", ".SPY150501P206")</f>
        <v>N/A</v>
      </c>
      <c r="S99" t="str">
        <f>RTD("tos.rtd", , "THETA", ".SPY150501P206")</f>
        <v>N/A</v>
      </c>
      <c r="T99" t="str">
        <f>RTD("tos.rtd", , "GAMMA", ".SPY150501P206")</f>
        <v>N/A</v>
      </c>
      <c r="U99" t="str">
        <f>RTD("tos.rtd", , "VEGA", ".SPY150501P206")</f>
        <v>N/A</v>
      </c>
      <c r="V99" t="str">
        <f>RTD("tos.rtd", , "RHO", ".SPY150501P206")</f>
        <v>N/A</v>
      </c>
    </row>
    <row r="100" spans="1:22" x14ac:dyDescent="0.25">
      <c r="A100">
        <f>RTD("tos.rtd", , "ASK", ".SPY150501C206.5")</f>
        <v>4.34</v>
      </c>
      <c r="B100">
        <f>RTD("tos.rtd", , "ASK_SIZE", ".SPY150501C206.5")</f>
        <v>0</v>
      </c>
      <c r="C100">
        <f>RTD("tos.rtd", , "BID", ".SPY150501C206.5")</f>
        <v>4.0999999999999996</v>
      </c>
      <c r="D100">
        <f>RTD("tos.rtd", , "BID_SIZE", ".SPY150501C206.5")</f>
        <v>0</v>
      </c>
      <c r="E100">
        <f>RTD("tos.rtd", , "VOLUME", ".SPY150501C206.5")</f>
        <v>0</v>
      </c>
      <c r="F100">
        <f>RTD("tos.rtd", , "OPEN_INT", ".SPY150501C206.5")</f>
        <v>0</v>
      </c>
      <c r="G100" t="str">
        <f>RTD("tos.rtd", , "DELTA", ".SPY150501C206.5")</f>
        <v>N/A</v>
      </c>
      <c r="H100" t="str">
        <f>RTD("tos.rtd", , "THETA", ".SPY150501C206.5")</f>
        <v>N/A</v>
      </c>
      <c r="I100" t="str">
        <f>RTD("tos.rtd", , "GAMMA", ".SPY150501C206.5")</f>
        <v>N/A</v>
      </c>
      <c r="J100" t="str">
        <f>RTD("tos.rtd", , "VEGA", ".SPY150501C206.5")</f>
        <v>N/A</v>
      </c>
      <c r="K100" t="str">
        <f>RTD("tos.rtd", , "RHO", ".SPY150501C206.5")</f>
        <v>N/A</v>
      </c>
      <c r="L100">
        <f>RTD("tos.rtd", , "ASK", ".SPY150501P206.5")</f>
        <v>0.01</v>
      </c>
      <c r="M100">
        <f>RTD("tos.rtd", , "ASK_SIZE", ".SPY150501P206.5")</f>
        <v>0</v>
      </c>
      <c r="N100">
        <f>RTD("tos.rtd", , "BID", ".SPY150501P206.5")</f>
        <v>0</v>
      </c>
      <c r="O100">
        <f>RTD("tos.rtd", , "BID_SIZE", ".SPY150501P206.5")</f>
        <v>0</v>
      </c>
      <c r="P100">
        <f>RTD("tos.rtd", , "VOLUME", ".SPY150501P206.5")</f>
        <v>0</v>
      </c>
      <c r="Q100">
        <f>RTD("tos.rtd", , "OPEN_INT", ".SPY150501P206.5")</f>
        <v>20342</v>
      </c>
      <c r="R100" t="str">
        <f>RTD("tos.rtd", , "DELTA", ".SPY150501P206.5")</f>
        <v>N/A</v>
      </c>
      <c r="S100" t="str">
        <f>RTD("tos.rtd", , "THETA", ".SPY150501P206.5")</f>
        <v>N/A</v>
      </c>
      <c r="T100" t="str">
        <f>RTD("tos.rtd", , "GAMMA", ".SPY150501P206.5")</f>
        <v>N/A</v>
      </c>
      <c r="U100" t="str">
        <f>RTD("tos.rtd", , "VEGA", ".SPY150501P206.5")</f>
        <v>N/A</v>
      </c>
      <c r="V100" t="str">
        <f>RTD("tos.rtd", , "RHO", ".SPY150501P206.5")</f>
        <v>N/A</v>
      </c>
    </row>
    <row r="101" spans="1:22" x14ac:dyDescent="0.25">
      <c r="A101">
        <f>RTD("tos.rtd", , "ASK", ".SPY150501C207")</f>
        <v>3.84</v>
      </c>
      <c r="B101">
        <f>RTD("tos.rtd", , "ASK_SIZE", ".SPY150501C207")</f>
        <v>0</v>
      </c>
      <c r="C101">
        <f>RTD("tos.rtd", , "BID", ".SPY150501C207")</f>
        <v>3.6</v>
      </c>
      <c r="D101">
        <f>RTD("tos.rtd", , "BID_SIZE", ".SPY150501C207")</f>
        <v>0</v>
      </c>
      <c r="E101">
        <f>RTD("tos.rtd", , "VOLUME", ".SPY150501C207")</f>
        <v>0</v>
      </c>
      <c r="F101">
        <f>RTD("tos.rtd", , "OPEN_INT", ".SPY150501C207")</f>
        <v>0</v>
      </c>
      <c r="G101" t="str">
        <f>RTD("tos.rtd", , "DELTA", ".SPY150501C207")</f>
        <v>N/A</v>
      </c>
      <c r="H101" t="str">
        <f>RTD("tos.rtd", , "THETA", ".SPY150501C207")</f>
        <v>N/A</v>
      </c>
      <c r="I101" t="str">
        <f>RTD("tos.rtd", , "GAMMA", ".SPY150501C207")</f>
        <v>N/A</v>
      </c>
      <c r="J101" t="str">
        <f>RTD("tos.rtd", , "VEGA", ".SPY150501C207")</f>
        <v>N/A</v>
      </c>
      <c r="K101" t="str">
        <f>RTD("tos.rtd", , "RHO", ".SPY150501C207")</f>
        <v>N/A</v>
      </c>
      <c r="L101">
        <f>RTD("tos.rtd", , "ASK", ".SPY150501P207")</f>
        <v>0.01</v>
      </c>
      <c r="M101">
        <f>RTD("tos.rtd", , "ASK_SIZE", ".SPY150501P207")</f>
        <v>0</v>
      </c>
      <c r="N101">
        <f>RTD("tos.rtd", , "BID", ".SPY150501P207")</f>
        <v>0</v>
      </c>
      <c r="O101">
        <f>RTD("tos.rtd", , "BID_SIZE", ".SPY150501P207")</f>
        <v>0</v>
      </c>
      <c r="P101">
        <f>RTD("tos.rtd", , "VOLUME", ".SPY150501P207")</f>
        <v>0</v>
      </c>
      <c r="Q101">
        <f>RTD("tos.rtd", , "OPEN_INT", ".SPY150501P207")</f>
        <v>54170</v>
      </c>
      <c r="R101" t="str">
        <f>RTD("tos.rtd", , "DELTA", ".SPY150501P207")</f>
        <v>N/A</v>
      </c>
      <c r="S101" t="str">
        <f>RTD("tos.rtd", , "THETA", ".SPY150501P207")</f>
        <v>N/A</v>
      </c>
      <c r="T101" t="str">
        <f>RTD("tos.rtd", , "GAMMA", ".SPY150501P207")</f>
        <v>N/A</v>
      </c>
      <c r="U101" t="str">
        <f>RTD("tos.rtd", , "VEGA", ".SPY150501P207")</f>
        <v>N/A</v>
      </c>
      <c r="V101" t="str">
        <f>RTD("tos.rtd", , "RHO", ".SPY150501P207")</f>
        <v>N/A</v>
      </c>
    </row>
    <row r="102" spans="1:22" x14ac:dyDescent="0.25">
      <c r="A102">
        <f>RTD("tos.rtd", , "ASK", ".SPY150501C207.5")</f>
        <v>3.34</v>
      </c>
      <c r="B102">
        <f>RTD("tos.rtd", , "ASK_SIZE", ".SPY150501C207.5")</f>
        <v>0</v>
      </c>
      <c r="C102">
        <f>RTD("tos.rtd", , "BID", ".SPY150501C207.5")</f>
        <v>3.11</v>
      </c>
      <c r="D102">
        <f>RTD("tos.rtd", , "BID_SIZE", ".SPY150501C207.5")</f>
        <v>0</v>
      </c>
      <c r="E102">
        <f>RTD("tos.rtd", , "VOLUME", ".SPY150501C207.5")</f>
        <v>0</v>
      </c>
      <c r="F102">
        <f>RTD("tos.rtd", , "OPEN_INT", ".SPY150501C207.5")</f>
        <v>0</v>
      </c>
      <c r="G102" t="str">
        <f>RTD("tos.rtd", , "DELTA", ".SPY150501C207.5")</f>
        <v>N/A</v>
      </c>
      <c r="H102" t="str">
        <f>RTD("tos.rtd", , "THETA", ".SPY150501C207.5")</f>
        <v>N/A</v>
      </c>
      <c r="I102" t="str">
        <f>RTD("tos.rtd", , "GAMMA", ".SPY150501C207.5")</f>
        <v>N/A</v>
      </c>
      <c r="J102" t="str">
        <f>RTD("tos.rtd", , "VEGA", ".SPY150501C207.5")</f>
        <v>N/A</v>
      </c>
      <c r="K102" t="str">
        <f>RTD("tos.rtd", , "RHO", ".SPY150501C207.5")</f>
        <v>N/A</v>
      </c>
      <c r="L102">
        <f>RTD("tos.rtd", , "ASK", ".SPY150501P207.5")</f>
        <v>0.01</v>
      </c>
      <c r="M102">
        <f>RTD("tos.rtd", , "ASK_SIZE", ".SPY150501P207.5")</f>
        <v>0</v>
      </c>
      <c r="N102">
        <f>RTD("tos.rtd", , "BID", ".SPY150501P207.5")</f>
        <v>0</v>
      </c>
      <c r="O102">
        <f>RTD("tos.rtd", , "BID_SIZE", ".SPY150501P207.5")</f>
        <v>0</v>
      </c>
      <c r="P102">
        <f>RTD("tos.rtd", , "VOLUME", ".SPY150501P207.5")</f>
        <v>0</v>
      </c>
      <c r="Q102">
        <f>RTD("tos.rtd", , "OPEN_INT", ".SPY150501P207.5")</f>
        <v>60283</v>
      </c>
      <c r="R102" t="str">
        <f>RTD("tos.rtd", , "DELTA", ".SPY150501P207.5")</f>
        <v>N/A</v>
      </c>
      <c r="S102" t="str">
        <f>RTD("tos.rtd", , "THETA", ".SPY150501P207.5")</f>
        <v>N/A</v>
      </c>
      <c r="T102" t="str">
        <f>RTD("tos.rtd", , "GAMMA", ".SPY150501P207.5")</f>
        <v>N/A</v>
      </c>
      <c r="U102" t="str">
        <f>RTD("tos.rtd", , "VEGA", ".SPY150501P207.5")</f>
        <v>N/A</v>
      </c>
      <c r="V102" t="str">
        <f>RTD("tos.rtd", , "RHO", ".SPY150501P207.5")</f>
        <v>N/A</v>
      </c>
    </row>
    <row r="103" spans="1:22" x14ac:dyDescent="0.25">
      <c r="A103">
        <f>RTD("tos.rtd", , "ASK", ".SPY150501C208")</f>
        <v>2.83</v>
      </c>
      <c r="B103">
        <f>RTD("tos.rtd", , "ASK_SIZE", ".SPY150501C208")</f>
        <v>0</v>
      </c>
      <c r="C103">
        <f>RTD("tos.rtd", , "BID", ".SPY150501C208")</f>
        <v>2.61</v>
      </c>
      <c r="D103">
        <f>RTD("tos.rtd", , "BID_SIZE", ".SPY150501C208")</f>
        <v>0</v>
      </c>
      <c r="E103">
        <f>RTD("tos.rtd", , "VOLUME", ".SPY150501C208")</f>
        <v>0</v>
      </c>
      <c r="F103">
        <f>RTD("tos.rtd", , "OPEN_INT", ".SPY150501C208")</f>
        <v>0</v>
      </c>
      <c r="G103" t="str">
        <f>RTD("tos.rtd", , "DELTA", ".SPY150501C208")</f>
        <v>N/A</v>
      </c>
      <c r="H103" t="str">
        <f>RTD("tos.rtd", , "THETA", ".SPY150501C208")</f>
        <v>N/A</v>
      </c>
      <c r="I103" t="str">
        <f>RTD("tos.rtd", , "GAMMA", ".SPY150501C208")</f>
        <v>N/A</v>
      </c>
      <c r="J103" t="str">
        <f>RTD("tos.rtd", , "VEGA", ".SPY150501C208")</f>
        <v>N/A</v>
      </c>
      <c r="K103" t="str">
        <f>RTD("tos.rtd", , "RHO", ".SPY150501C208")</f>
        <v>N/A</v>
      </c>
      <c r="L103">
        <f>RTD("tos.rtd", , "ASK", ".SPY150501P208")</f>
        <v>0.01</v>
      </c>
      <c r="M103">
        <f>RTD("tos.rtd", , "ASK_SIZE", ".SPY150501P208")</f>
        <v>0</v>
      </c>
      <c r="N103">
        <f>RTD("tos.rtd", , "BID", ".SPY150501P208")</f>
        <v>0</v>
      </c>
      <c r="O103">
        <f>RTD("tos.rtd", , "BID_SIZE", ".SPY150501P208")</f>
        <v>0</v>
      </c>
      <c r="P103">
        <f>RTD("tos.rtd", , "VOLUME", ".SPY150501P208")</f>
        <v>0</v>
      </c>
      <c r="Q103">
        <f>RTD("tos.rtd", , "OPEN_INT", ".SPY150501P208")</f>
        <v>51054</v>
      </c>
      <c r="R103" t="str">
        <f>RTD("tos.rtd", , "DELTA", ".SPY150501P208")</f>
        <v>N/A</v>
      </c>
      <c r="S103" t="str">
        <f>RTD("tos.rtd", , "THETA", ".SPY150501P208")</f>
        <v>N/A</v>
      </c>
      <c r="T103" t="str">
        <f>RTD("tos.rtd", , "GAMMA", ".SPY150501P208")</f>
        <v>N/A</v>
      </c>
      <c r="U103" t="str">
        <f>RTD("tos.rtd", , "VEGA", ".SPY150501P208")</f>
        <v>N/A</v>
      </c>
      <c r="V103" t="str">
        <f>RTD("tos.rtd", , "RHO", ".SPY150501P208")</f>
        <v>N/A</v>
      </c>
    </row>
    <row r="104" spans="1:22" x14ac:dyDescent="0.25">
      <c r="A104">
        <f>RTD("tos.rtd", , "ASK", ".SPY150501C208.5")</f>
        <v>2.33</v>
      </c>
      <c r="B104">
        <f>RTD("tos.rtd", , "ASK_SIZE", ".SPY150501C208.5")</f>
        <v>0</v>
      </c>
      <c r="C104">
        <f>RTD("tos.rtd", , "BID", ".SPY150501C208.5")</f>
        <v>2.11</v>
      </c>
      <c r="D104">
        <f>RTD("tos.rtd", , "BID_SIZE", ".SPY150501C208.5")</f>
        <v>0</v>
      </c>
      <c r="E104">
        <f>RTD("tos.rtd", , "VOLUME", ".SPY150501C208.5")</f>
        <v>0</v>
      </c>
      <c r="F104">
        <f>RTD("tos.rtd", , "OPEN_INT", ".SPY150501C208.5")</f>
        <v>0</v>
      </c>
      <c r="G104" t="str">
        <f>RTD("tos.rtd", , "DELTA", ".SPY150501C208.5")</f>
        <v>N/A</v>
      </c>
      <c r="H104" t="str">
        <f>RTD("tos.rtd", , "THETA", ".SPY150501C208.5")</f>
        <v>N/A</v>
      </c>
      <c r="I104" t="str">
        <f>RTD("tos.rtd", , "GAMMA", ".SPY150501C208.5")</f>
        <v>N/A</v>
      </c>
      <c r="J104" t="str">
        <f>RTD("tos.rtd", , "VEGA", ".SPY150501C208.5")</f>
        <v>N/A</v>
      </c>
      <c r="K104" t="str">
        <f>RTD("tos.rtd", , "RHO", ".SPY150501C208.5")</f>
        <v>N/A</v>
      </c>
      <c r="L104">
        <f>RTD("tos.rtd", , "ASK", ".SPY150501P208.5")</f>
        <v>0.01</v>
      </c>
      <c r="M104">
        <f>RTD("tos.rtd", , "ASK_SIZE", ".SPY150501P208.5")</f>
        <v>0</v>
      </c>
      <c r="N104">
        <f>RTD("tos.rtd", , "BID", ".SPY150501P208.5")</f>
        <v>0</v>
      </c>
      <c r="O104">
        <f>RTD("tos.rtd", , "BID_SIZE", ".SPY150501P208.5")</f>
        <v>0</v>
      </c>
      <c r="P104">
        <f>RTD("tos.rtd", , "VOLUME", ".SPY150501P208.5")</f>
        <v>0</v>
      </c>
      <c r="Q104">
        <f>RTD("tos.rtd", , "OPEN_INT", ".SPY150501P208.5")</f>
        <v>45276</v>
      </c>
      <c r="R104" t="str">
        <f>RTD("tos.rtd", , "DELTA", ".SPY150501P208.5")</f>
        <v>N/A</v>
      </c>
      <c r="S104" t="str">
        <f>RTD("tos.rtd", , "THETA", ".SPY150501P208.5")</f>
        <v>N/A</v>
      </c>
      <c r="T104" t="str">
        <f>RTD("tos.rtd", , "GAMMA", ".SPY150501P208.5")</f>
        <v>N/A</v>
      </c>
      <c r="U104" t="str">
        <f>RTD("tos.rtd", , "VEGA", ".SPY150501P208.5")</f>
        <v>N/A</v>
      </c>
      <c r="V104" t="str">
        <f>RTD("tos.rtd", , "RHO", ".SPY150501P208.5")</f>
        <v>N/A</v>
      </c>
    </row>
    <row r="105" spans="1:22" x14ac:dyDescent="0.25">
      <c r="A105">
        <f>RTD("tos.rtd", , "ASK", ".SPY150501C209")</f>
        <v>1.81</v>
      </c>
      <c r="B105">
        <f>RTD("tos.rtd", , "ASK_SIZE", ".SPY150501C209")</f>
        <v>0</v>
      </c>
      <c r="C105">
        <f>RTD("tos.rtd", , "BID", ".SPY150501C209")</f>
        <v>1.68</v>
      </c>
      <c r="D105">
        <f>RTD("tos.rtd", , "BID_SIZE", ".SPY150501C209")</f>
        <v>0</v>
      </c>
      <c r="E105">
        <f>RTD("tos.rtd", , "VOLUME", ".SPY150501C209")</f>
        <v>0</v>
      </c>
      <c r="F105">
        <f>RTD("tos.rtd", , "OPEN_INT", ".SPY150501C209")</f>
        <v>0</v>
      </c>
      <c r="G105" t="str">
        <f>RTD("tos.rtd", , "DELTA", ".SPY150501C209")</f>
        <v>N/A</v>
      </c>
      <c r="H105" t="str">
        <f>RTD("tos.rtd", , "THETA", ".SPY150501C209")</f>
        <v>N/A</v>
      </c>
      <c r="I105" t="str">
        <f>RTD("tos.rtd", , "GAMMA", ".SPY150501C209")</f>
        <v>N/A</v>
      </c>
      <c r="J105" t="str">
        <f>RTD("tos.rtd", , "VEGA", ".SPY150501C209")</f>
        <v>N/A</v>
      </c>
      <c r="K105" t="str">
        <f>RTD("tos.rtd", , "RHO", ".SPY150501C209")</f>
        <v>N/A</v>
      </c>
      <c r="L105">
        <f>RTD("tos.rtd", , "ASK", ".SPY150501P209")</f>
        <v>0.01</v>
      </c>
      <c r="M105">
        <f>RTD("tos.rtd", , "ASK_SIZE", ".SPY150501P209")</f>
        <v>0</v>
      </c>
      <c r="N105">
        <f>RTD("tos.rtd", , "BID", ".SPY150501P209")</f>
        <v>0</v>
      </c>
      <c r="O105">
        <f>RTD("tos.rtd", , "BID_SIZE", ".SPY150501P209")</f>
        <v>0</v>
      </c>
      <c r="P105">
        <f>RTD("tos.rtd", , "VOLUME", ".SPY150501P209")</f>
        <v>0</v>
      </c>
      <c r="Q105">
        <f>RTD("tos.rtd", , "OPEN_INT", ".SPY150501P209")</f>
        <v>45345</v>
      </c>
      <c r="R105" t="str">
        <f>RTD("tos.rtd", , "DELTA", ".SPY150501P209")</f>
        <v>N/A</v>
      </c>
      <c r="S105" t="str">
        <f>RTD("tos.rtd", , "THETA", ".SPY150501P209")</f>
        <v>N/A</v>
      </c>
      <c r="T105" t="str">
        <f>RTD("tos.rtd", , "GAMMA", ".SPY150501P209")</f>
        <v>N/A</v>
      </c>
      <c r="U105" t="str">
        <f>RTD("tos.rtd", , "VEGA", ".SPY150501P209")</f>
        <v>N/A</v>
      </c>
      <c r="V105" t="str">
        <f>RTD("tos.rtd", , "RHO", ".SPY150501P209")</f>
        <v>N/A</v>
      </c>
    </row>
    <row r="106" spans="1:22" x14ac:dyDescent="0.25">
      <c r="A106">
        <f>RTD("tos.rtd", , "ASK", ".SPY150501C209.5")</f>
        <v>1.32</v>
      </c>
      <c r="B106">
        <f>RTD("tos.rtd", , "ASK_SIZE", ".SPY150501C209.5")</f>
        <v>0</v>
      </c>
      <c r="C106">
        <f>RTD("tos.rtd", , "BID", ".SPY150501C209.5")</f>
        <v>1.18</v>
      </c>
      <c r="D106">
        <f>RTD("tos.rtd", , "BID_SIZE", ".SPY150501C209.5")</f>
        <v>0</v>
      </c>
      <c r="E106">
        <f>RTD("tos.rtd", , "VOLUME", ".SPY150501C209.5")</f>
        <v>0</v>
      </c>
      <c r="F106">
        <f>RTD("tos.rtd", , "OPEN_INT", ".SPY150501C209.5")</f>
        <v>0</v>
      </c>
      <c r="G106" t="str">
        <f>RTD("tos.rtd", , "DELTA", ".SPY150501C209.5")</f>
        <v>N/A</v>
      </c>
      <c r="H106" t="str">
        <f>RTD("tos.rtd", , "THETA", ".SPY150501C209.5")</f>
        <v>N/A</v>
      </c>
      <c r="I106" t="str">
        <f>RTD("tos.rtd", , "GAMMA", ".SPY150501C209.5")</f>
        <v>N/A</v>
      </c>
      <c r="J106" t="str">
        <f>RTD("tos.rtd", , "VEGA", ".SPY150501C209.5")</f>
        <v>N/A</v>
      </c>
      <c r="K106" t="str">
        <f>RTD("tos.rtd", , "RHO", ".SPY150501C209.5")</f>
        <v>N/A</v>
      </c>
      <c r="L106">
        <f>RTD("tos.rtd", , "ASK", ".SPY150501P209.5")</f>
        <v>0.01</v>
      </c>
      <c r="M106">
        <f>RTD("tos.rtd", , "ASK_SIZE", ".SPY150501P209.5")</f>
        <v>0</v>
      </c>
      <c r="N106">
        <f>RTD("tos.rtd", , "BID", ".SPY150501P209.5")</f>
        <v>0</v>
      </c>
      <c r="O106">
        <f>RTD("tos.rtd", , "BID_SIZE", ".SPY150501P209.5")</f>
        <v>0</v>
      </c>
      <c r="P106">
        <f>RTD("tos.rtd", , "VOLUME", ".SPY150501P209.5")</f>
        <v>0</v>
      </c>
      <c r="Q106">
        <f>RTD("tos.rtd", , "OPEN_INT", ".SPY150501P209.5")</f>
        <v>23882</v>
      </c>
      <c r="R106" t="str">
        <f>RTD("tos.rtd", , "DELTA", ".SPY150501P209.5")</f>
        <v>N/A</v>
      </c>
      <c r="S106" t="str">
        <f>RTD("tos.rtd", , "THETA", ".SPY150501P209.5")</f>
        <v>N/A</v>
      </c>
      <c r="T106" t="str">
        <f>RTD("tos.rtd", , "GAMMA", ".SPY150501P209.5")</f>
        <v>N/A</v>
      </c>
      <c r="U106" t="str">
        <f>RTD("tos.rtd", , "VEGA", ".SPY150501P209.5")</f>
        <v>N/A</v>
      </c>
      <c r="V106" t="str">
        <f>RTD("tos.rtd", , "RHO", ".SPY150501P209.5")</f>
        <v>N/A</v>
      </c>
    </row>
    <row r="107" spans="1:22" x14ac:dyDescent="0.25">
      <c r="A107">
        <f>RTD("tos.rtd", , "ASK", ".SPY150501C210")</f>
        <v>0.82</v>
      </c>
      <c r="B107">
        <f>RTD("tos.rtd", , "ASK_SIZE", ".SPY150501C210")</f>
        <v>0</v>
      </c>
      <c r="C107">
        <f>RTD("tos.rtd", , "BID", ".SPY150501C210")</f>
        <v>0.63</v>
      </c>
      <c r="D107">
        <f>RTD("tos.rtd", , "BID_SIZE", ".SPY150501C210")</f>
        <v>0</v>
      </c>
      <c r="E107">
        <f>RTD("tos.rtd", , "VOLUME", ".SPY150501C210")</f>
        <v>0</v>
      </c>
      <c r="F107">
        <f>RTD("tos.rtd", , "OPEN_INT", ".SPY150501C210")</f>
        <v>0</v>
      </c>
      <c r="G107" t="str">
        <f>RTD("tos.rtd", , "DELTA", ".SPY150501C210")</f>
        <v>N/A</v>
      </c>
      <c r="H107" t="str">
        <f>RTD("tos.rtd", , "THETA", ".SPY150501C210")</f>
        <v>N/A</v>
      </c>
      <c r="I107" t="str">
        <f>RTD("tos.rtd", , "GAMMA", ".SPY150501C210")</f>
        <v>N/A</v>
      </c>
      <c r="J107" t="str">
        <f>RTD("tos.rtd", , "VEGA", ".SPY150501C210")</f>
        <v>N/A</v>
      </c>
      <c r="K107" t="str">
        <f>RTD("tos.rtd", , "RHO", ".SPY150501C210")</f>
        <v>N/A</v>
      </c>
      <c r="L107">
        <f>RTD("tos.rtd", , "ASK", ".SPY150501P210")</f>
        <v>0.01</v>
      </c>
      <c r="M107">
        <f>RTD("tos.rtd", , "ASK_SIZE", ".SPY150501P210")</f>
        <v>0</v>
      </c>
      <c r="N107">
        <f>RTD("tos.rtd", , "BID", ".SPY150501P210")</f>
        <v>0</v>
      </c>
      <c r="O107">
        <f>RTD("tos.rtd", , "BID_SIZE", ".SPY150501P210")</f>
        <v>0</v>
      </c>
      <c r="P107">
        <f>RTD("tos.rtd", , "VOLUME", ".SPY150501P210")</f>
        <v>0</v>
      </c>
      <c r="Q107">
        <f>RTD("tos.rtd", , "OPEN_INT", ".SPY150501P210")</f>
        <v>20209</v>
      </c>
      <c r="R107" t="str">
        <f>RTD("tos.rtd", , "DELTA", ".SPY150501P210")</f>
        <v>N/A</v>
      </c>
      <c r="S107" t="str">
        <f>RTD("tos.rtd", , "THETA", ".SPY150501P210")</f>
        <v>N/A</v>
      </c>
      <c r="T107" t="str">
        <f>RTD("tos.rtd", , "GAMMA", ".SPY150501P210")</f>
        <v>N/A</v>
      </c>
      <c r="U107" t="str">
        <f>RTD("tos.rtd", , "VEGA", ".SPY150501P210")</f>
        <v>N/A</v>
      </c>
      <c r="V107" t="str">
        <f>RTD("tos.rtd", , "RHO", ".SPY150501P210")</f>
        <v>N/A</v>
      </c>
    </row>
    <row r="108" spans="1:22" x14ac:dyDescent="0.25">
      <c r="A108">
        <f>RTD("tos.rtd", , "ASK", ".SPY150501C210.5")</f>
        <v>0.22</v>
      </c>
      <c r="B108">
        <f>RTD("tos.rtd", , "ASK_SIZE", ".SPY150501C210.5")</f>
        <v>0</v>
      </c>
      <c r="C108">
        <f>RTD("tos.rtd", , "BID", ".SPY150501C210.5")</f>
        <v>0.19</v>
      </c>
      <c r="D108">
        <f>RTD("tos.rtd", , "BID_SIZE", ".SPY150501C210.5")</f>
        <v>0</v>
      </c>
      <c r="E108">
        <f>RTD("tos.rtd", , "VOLUME", ".SPY150501C210.5")</f>
        <v>0</v>
      </c>
      <c r="F108">
        <f>RTD("tos.rtd", , "OPEN_INT", ".SPY150501C210.5")</f>
        <v>26</v>
      </c>
      <c r="G108" t="str">
        <f>RTD("tos.rtd", , "DELTA", ".SPY150501C210.5")</f>
        <v>N/A</v>
      </c>
      <c r="H108" t="str">
        <f>RTD("tos.rtd", , "THETA", ".SPY150501C210.5")</f>
        <v>N/A</v>
      </c>
      <c r="I108" t="str">
        <f>RTD("tos.rtd", , "GAMMA", ".SPY150501C210.5")</f>
        <v>N/A</v>
      </c>
      <c r="J108" t="str">
        <f>RTD("tos.rtd", , "VEGA", ".SPY150501C210.5")</f>
        <v>N/A</v>
      </c>
      <c r="K108" t="str">
        <f>RTD("tos.rtd", , "RHO", ".SPY150501C210.5")</f>
        <v>N/A</v>
      </c>
      <c r="L108">
        <f>RTD("tos.rtd", , "ASK", ".SPY150501P210.5")</f>
        <v>0.01</v>
      </c>
      <c r="M108">
        <f>RTD("tos.rtd", , "ASK_SIZE", ".SPY150501P210.5")</f>
        <v>0</v>
      </c>
      <c r="N108">
        <f>RTD("tos.rtd", , "BID", ".SPY150501P210.5")</f>
        <v>0</v>
      </c>
      <c r="O108">
        <f>RTD("tos.rtd", , "BID_SIZE", ".SPY150501P210.5")</f>
        <v>0</v>
      </c>
      <c r="P108">
        <f>RTD("tos.rtd", , "VOLUME", ".SPY150501P210.5")</f>
        <v>0</v>
      </c>
      <c r="Q108">
        <f>RTD("tos.rtd", , "OPEN_INT", ".SPY150501P210.5")</f>
        <v>10642</v>
      </c>
      <c r="R108" t="str">
        <f>RTD("tos.rtd", , "DELTA", ".SPY150501P210.5")</f>
        <v>N/A</v>
      </c>
      <c r="S108" t="str">
        <f>RTD("tos.rtd", , "THETA", ".SPY150501P210.5")</f>
        <v>N/A</v>
      </c>
      <c r="T108" t="str">
        <f>RTD("tos.rtd", , "GAMMA", ".SPY150501P210.5")</f>
        <v>N/A</v>
      </c>
      <c r="U108" t="str">
        <f>RTD("tos.rtd", , "VEGA", ".SPY150501P210.5")</f>
        <v>N/A</v>
      </c>
      <c r="V108" t="str">
        <f>RTD("tos.rtd", , "RHO", ".SPY150501P210.5")</f>
        <v>N/A</v>
      </c>
    </row>
    <row r="109" spans="1:22" x14ac:dyDescent="0.25">
      <c r="A109">
        <f>RTD("tos.rtd", , "ASK", ".SPY150501C211")</f>
        <v>0.01</v>
      </c>
      <c r="B109">
        <f>RTD("tos.rtd", , "ASK_SIZE", ".SPY150501C211")</f>
        <v>0</v>
      </c>
      <c r="C109">
        <f>RTD("tos.rtd", , "BID", ".SPY150501C211")</f>
        <v>0</v>
      </c>
      <c r="D109">
        <f>RTD("tos.rtd", , "BID_SIZE", ".SPY150501C211")</f>
        <v>0</v>
      </c>
      <c r="E109">
        <f>RTD("tos.rtd", , "VOLUME", ".SPY150501C211")</f>
        <v>0</v>
      </c>
      <c r="F109">
        <f>RTD("tos.rtd", , "OPEN_INT", ".SPY150501C211")</f>
        <v>38260</v>
      </c>
      <c r="G109" t="str">
        <f>RTD("tos.rtd", , "DELTA", ".SPY150501C211")</f>
        <v>N/A</v>
      </c>
      <c r="H109" t="str">
        <f>RTD("tos.rtd", , "THETA", ".SPY150501C211")</f>
        <v>N/A</v>
      </c>
      <c r="I109" t="str">
        <f>RTD("tos.rtd", , "GAMMA", ".SPY150501C211")</f>
        <v>N/A</v>
      </c>
      <c r="J109" t="str">
        <f>RTD("tos.rtd", , "VEGA", ".SPY150501C211")</f>
        <v>N/A</v>
      </c>
      <c r="K109" t="str">
        <f>RTD("tos.rtd", , "RHO", ".SPY150501C211")</f>
        <v>N/A</v>
      </c>
      <c r="L109">
        <f>RTD("tos.rtd", , "ASK", ".SPY150501P211")</f>
        <v>0.39</v>
      </c>
      <c r="M109">
        <f>RTD("tos.rtd", , "ASK_SIZE", ".SPY150501P211")</f>
        <v>0</v>
      </c>
      <c r="N109">
        <f>RTD("tos.rtd", , "BID", ".SPY150501P211")</f>
        <v>0.18</v>
      </c>
      <c r="O109">
        <f>RTD("tos.rtd", , "BID_SIZE", ".SPY150501P211")</f>
        <v>0</v>
      </c>
      <c r="P109">
        <f>RTD("tos.rtd", , "VOLUME", ".SPY150501P211")</f>
        <v>0</v>
      </c>
      <c r="Q109">
        <f>RTD("tos.rtd", , "OPEN_INT", ".SPY150501P211")</f>
        <v>0</v>
      </c>
      <c r="R109" t="str">
        <f>RTD("tos.rtd", , "DELTA", ".SPY150501P211")</f>
        <v>N/A</v>
      </c>
      <c r="S109" t="str">
        <f>RTD("tos.rtd", , "THETA", ".SPY150501P211")</f>
        <v>N/A</v>
      </c>
      <c r="T109" t="str">
        <f>RTD("tos.rtd", , "GAMMA", ".SPY150501P211")</f>
        <v>N/A</v>
      </c>
      <c r="U109" t="str">
        <f>RTD("tos.rtd", , "VEGA", ".SPY150501P211")</f>
        <v>N/A</v>
      </c>
      <c r="V109" t="str">
        <f>RTD("tos.rtd", , "RHO", ".SPY150501P211")</f>
        <v>N/A</v>
      </c>
    </row>
    <row r="110" spans="1:22" x14ac:dyDescent="0.25">
      <c r="A110">
        <f>RTD("tos.rtd", , "ASK", ".SPY150501C211.5")</f>
        <v>0.01</v>
      </c>
      <c r="B110">
        <f>RTD("tos.rtd", , "ASK_SIZE", ".SPY150501C211.5")</f>
        <v>0</v>
      </c>
      <c r="C110">
        <f>RTD("tos.rtd", , "BID", ".SPY150501C211.5")</f>
        <v>0</v>
      </c>
      <c r="D110">
        <f>RTD("tos.rtd", , "BID_SIZE", ".SPY150501C211.5")</f>
        <v>0</v>
      </c>
      <c r="E110">
        <f>RTD("tos.rtd", , "VOLUME", ".SPY150501C211.5")</f>
        <v>0</v>
      </c>
      <c r="F110">
        <f>RTD("tos.rtd", , "OPEN_INT", ".SPY150501C211.5")</f>
        <v>33599</v>
      </c>
      <c r="G110" t="str">
        <f>RTD("tos.rtd", , "DELTA", ".SPY150501C211.5")</f>
        <v>N/A</v>
      </c>
      <c r="H110" t="str">
        <f>RTD("tos.rtd", , "THETA", ".SPY150501C211.5")</f>
        <v>N/A</v>
      </c>
      <c r="I110" t="str">
        <f>RTD("tos.rtd", , "GAMMA", ".SPY150501C211.5")</f>
        <v>N/A</v>
      </c>
      <c r="J110" t="str">
        <f>RTD("tos.rtd", , "VEGA", ".SPY150501C211.5")</f>
        <v>N/A</v>
      </c>
      <c r="K110" t="str">
        <f>RTD("tos.rtd", , "RHO", ".SPY150501C211.5")</f>
        <v>N/A</v>
      </c>
      <c r="L110">
        <f>RTD("tos.rtd", , "ASK", ".SPY150501P211.5")</f>
        <v>0.9</v>
      </c>
      <c r="M110">
        <f>RTD("tos.rtd", , "ASK_SIZE", ".SPY150501P211.5")</f>
        <v>0</v>
      </c>
      <c r="N110">
        <f>RTD("tos.rtd", , "BID", ".SPY150501P211.5")</f>
        <v>0.74</v>
      </c>
      <c r="O110">
        <f>RTD("tos.rtd", , "BID_SIZE", ".SPY150501P211.5")</f>
        <v>0</v>
      </c>
      <c r="P110">
        <f>RTD("tos.rtd", , "VOLUME", ".SPY150501P211.5")</f>
        <v>0</v>
      </c>
      <c r="Q110">
        <f>RTD("tos.rtd", , "OPEN_INT", ".SPY150501P211.5")</f>
        <v>0</v>
      </c>
      <c r="R110" t="str">
        <f>RTD("tos.rtd", , "DELTA", ".SPY150501P211.5")</f>
        <v>N/A</v>
      </c>
      <c r="S110" t="str">
        <f>RTD("tos.rtd", , "THETA", ".SPY150501P211.5")</f>
        <v>N/A</v>
      </c>
      <c r="T110" t="str">
        <f>RTD("tos.rtd", , "GAMMA", ".SPY150501P211.5")</f>
        <v>N/A</v>
      </c>
      <c r="U110" t="str">
        <f>RTD("tos.rtd", , "VEGA", ".SPY150501P211.5")</f>
        <v>N/A</v>
      </c>
      <c r="V110" t="str">
        <f>RTD("tos.rtd", , "RHO", ".SPY150501P211.5")</f>
        <v>N/A</v>
      </c>
    </row>
    <row r="111" spans="1:22" x14ac:dyDescent="0.25">
      <c r="A111">
        <f>RTD("tos.rtd", , "ASK", ".SPY150501C212")</f>
        <v>0.01</v>
      </c>
      <c r="B111">
        <f>RTD("tos.rtd", , "ASK_SIZE", ".SPY150501C212")</f>
        <v>0</v>
      </c>
      <c r="C111">
        <f>RTD("tos.rtd", , "BID", ".SPY150501C212")</f>
        <v>0</v>
      </c>
      <c r="D111">
        <f>RTD("tos.rtd", , "BID_SIZE", ".SPY150501C212")</f>
        <v>0</v>
      </c>
      <c r="E111">
        <f>RTD("tos.rtd", , "VOLUME", ".SPY150501C212")</f>
        <v>0</v>
      </c>
      <c r="F111">
        <f>RTD("tos.rtd", , "OPEN_INT", ".SPY150501C212")</f>
        <v>74879</v>
      </c>
      <c r="G111" t="str">
        <f>RTD("tos.rtd", , "DELTA", ".SPY150501C212")</f>
        <v>N/A</v>
      </c>
      <c r="H111" t="str">
        <f>RTD("tos.rtd", , "THETA", ".SPY150501C212")</f>
        <v>N/A</v>
      </c>
      <c r="I111" t="str">
        <f>RTD("tos.rtd", , "GAMMA", ".SPY150501C212")</f>
        <v>N/A</v>
      </c>
      <c r="J111" t="str">
        <f>RTD("tos.rtd", , "VEGA", ".SPY150501C212")</f>
        <v>N/A</v>
      </c>
      <c r="K111" t="str">
        <f>RTD("tos.rtd", , "RHO", ".SPY150501C212")</f>
        <v>N/A</v>
      </c>
      <c r="L111">
        <f>RTD("tos.rtd", , "ASK", ".SPY150501P212")</f>
        <v>1.4</v>
      </c>
      <c r="M111">
        <f>RTD("tos.rtd", , "ASK_SIZE", ".SPY150501P212")</f>
        <v>0</v>
      </c>
      <c r="N111">
        <f>RTD("tos.rtd", , "BID", ".SPY150501P212")</f>
        <v>1.18</v>
      </c>
      <c r="O111">
        <f>RTD("tos.rtd", , "BID_SIZE", ".SPY150501P212")</f>
        <v>0</v>
      </c>
      <c r="P111">
        <f>RTD("tos.rtd", , "VOLUME", ".SPY150501P212")</f>
        <v>0</v>
      </c>
      <c r="Q111">
        <f>RTD("tos.rtd", , "OPEN_INT", ".SPY150501P212")</f>
        <v>3</v>
      </c>
      <c r="R111" t="str">
        <f>RTD("tos.rtd", , "DELTA", ".SPY150501P212")</f>
        <v>N/A</v>
      </c>
      <c r="S111" t="str">
        <f>RTD("tos.rtd", , "THETA", ".SPY150501P212")</f>
        <v>N/A</v>
      </c>
      <c r="T111" t="str">
        <f>RTD("tos.rtd", , "GAMMA", ".SPY150501P212")</f>
        <v>N/A</v>
      </c>
      <c r="U111" t="str">
        <f>RTD("tos.rtd", , "VEGA", ".SPY150501P212")</f>
        <v>N/A</v>
      </c>
      <c r="V111" t="str">
        <f>RTD("tos.rtd", , "RHO", ".SPY150501P212")</f>
        <v>N/A</v>
      </c>
    </row>
    <row r="112" spans="1:22" x14ac:dyDescent="0.25">
      <c r="A112">
        <f>RTD("tos.rtd", , "ASK", ".SPY150501C212.5")</f>
        <v>0.01</v>
      </c>
      <c r="B112">
        <f>RTD("tos.rtd", , "ASK_SIZE", ".SPY150501C212.5")</f>
        <v>0</v>
      </c>
      <c r="C112">
        <f>RTD("tos.rtd", , "BID", ".SPY150501C212.5")</f>
        <v>0</v>
      </c>
      <c r="D112">
        <f>RTD("tos.rtd", , "BID_SIZE", ".SPY150501C212.5")</f>
        <v>0</v>
      </c>
      <c r="E112">
        <f>RTD("tos.rtd", , "VOLUME", ".SPY150501C212.5")</f>
        <v>0</v>
      </c>
      <c r="F112">
        <f>RTD("tos.rtd", , "OPEN_INT", ".SPY150501C212.5")</f>
        <v>35516</v>
      </c>
      <c r="G112" t="str">
        <f>RTD("tos.rtd", , "DELTA", ".SPY150501C212.5")</f>
        <v>N/A</v>
      </c>
      <c r="H112" t="str">
        <f>RTD("tos.rtd", , "THETA", ".SPY150501C212.5")</f>
        <v>N/A</v>
      </c>
      <c r="I112" t="str">
        <f>RTD("tos.rtd", , "GAMMA", ".SPY150501C212.5")</f>
        <v>N/A</v>
      </c>
      <c r="J112" t="str">
        <f>RTD("tos.rtd", , "VEGA", ".SPY150501C212.5")</f>
        <v>N/A</v>
      </c>
      <c r="K112" t="str">
        <f>RTD("tos.rtd", , "RHO", ".SPY150501C212.5")</f>
        <v>N/A</v>
      </c>
      <c r="L112">
        <f>RTD("tos.rtd", , "ASK", ".SPY150501P212.5")</f>
        <v>1.9</v>
      </c>
      <c r="M112">
        <f>RTD("tos.rtd", , "ASK_SIZE", ".SPY150501P212.5")</f>
        <v>0</v>
      </c>
      <c r="N112">
        <f>RTD("tos.rtd", , "BID", ".SPY150501P212.5")</f>
        <v>1.67</v>
      </c>
      <c r="O112">
        <f>RTD("tos.rtd", , "BID_SIZE", ".SPY150501P212.5")</f>
        <v>0</v>
      </c>
      <c r="P112">
        <f>RTD("tos.rtd", , "VOLUME", ".SPY150501P212.5")</f>
        <v>0</v>
      </c>
      <c r="Q112">
        <f>RTD("tos.rtd", , "OPEN_INT", ".SPY150501P212.5")</f>
        <v>0</v>
      </c>
      <c r="R112" t="str">
        <f>RTD("tos.rtd", , "DELTA", ".SPY150501P212.5")</f>
        <v>N/A</v>
      </c>
      <c r="S112" t="str">
        <f>RTD("tos.rtd", , "THETA", ".SPY150501P212.5")</f>
        <v>N/A</v>
      </c>
      <c r="T112" t="str">
        <f>RTD("tos.rtd", , "GAMMA", ".SPY150501P212.5")</f>
        <v>N/A</v>
      </c>
      <c r="U112" t="str">
        <f>RTD("tos.rtd", , "VEGA", ".SPY150501P212.5")</f>
        <v>N/A</v>
      </c>
      <c r="V112" t="str">
        <f>RTD("tos.rtd", , "RHO", ".SPY150501P212.5")</f>
        <v>N/A</v>
      </c>
    </row>
    <row r="113" spans="1:22" x14ac:dyDescent="0.25">
      <c r="A113">
        <f>RTD("tos.rtd", , "ASK", ".SPY150501C213")</f>
        <v>0.01</v>
      </c>
      <c r="B113">
        <f>RTD("tos.rtd", , "ASK_SIZE", ".SPY150501C213")</f>
        <v>0</v>
      </c>
      <c r="C113">
        <f>RTD("tos.rtd", , "BID", ".SPY150501C213")</f>
        <v>0</v>
      </c>
      <c r="D113">
        <f>RTD("tos.rtd", , "BID_SIZE", ".SPY150501C213")</f>
        <v>0</v>
      </c>
      <c r="E113">
        <f>RTD("tos.rtd", , "VOLUME", ".SPY150501C213")</f>
        <v>0</v>
      </c>
      <c r="F113">
        <f>RTD("tos.rtd", , "OPEN_INT", ".SPY150501C213")</f>
        <v>39150</v>
      </c>
      <c r="G113" t="str">
        <f>RTD("tos.rtd", , "DELTA", ".SPY150501C213")</f>
        <v>N/A</v>
      </c>
      <c r="H113" t="str">
        <f>RTD("tos.rtd", , "THETA", ".SPY150501C213")</f>
        <v>N/A</v>
      </c>
      <c r="I113" t="str">
        <f>RTD("tos.rtd", , "GAMMA", ".SPY150501C213")</f>
        <v>N/A</v>
      </c>
      <c r="J113" t="str">
        <f>RTD("tos.rtd", , "VEGA", ".SPY150501C213")</f>
        <v>N/A</v>
      </c>
      <c r="K113" t="str">
        <f>RTD("tos.rtd", , "RHO", ".SPY150501C213")</f>
        <v>N/A</v>
      </c>
      <c r="L113">
        <f>RTD("tos.rtd", , "ASK", ".SPY150501P213")</f>
        <v>2.42</v>
      </c>
      <c r="M113">
        <f>RTD("tos.rtd", , "ASK_SIZE", ".SPY150501P213")</f>
        <v>0</v>
      </c>
      <c r="N113">
        <f>RTD("tos.rtd", , "BID", ".SPY150501P213")</f>
        <v>2.14</v>
      </c>
      <c r="O113">
        <f>RTD("tos.rtd", , "BID_SIZE", ".SPY150501P213")</f>
        <v>0</v>
      </c>
      <c r="P113">
        <f>RTD("tos.rtd", , "VOLUME", ".SPY150501P213")</f>
        <v>0</v>
      </c>
      <c r="Q113">
        <f>RTD("tos.rtd", , "OPEN_INT", ".SPY150501P213")</f>
        <v>0</v>
      </c>
      <c r="R113" t="str">
        <f>RTD("tos.rtd", , "DELTA", ".SPY150501P213")</f>
        <v>N/A</v>
      </c>
      <c r="S113" t="str">
        <f>RTD("tos.rtd", , "THETA", ".SPY150501P213")</f>
        <v>N/A</v>
      </c>
      <c r="T113" t="str">
        <f>RTD("tos.rtd", , "GAMMA", ".SPY150501P213")</f>
        <v>N/A</v>
      </c>
      <c r="U113" t="str">
        <f>RTD("tos.rtd", , "VEGA", ".SPY150501P213")</f>
        <v>N/A</v>
      </c>
      <c r="V113" t="str">
        <f>RTD("tos.rtd", , "RHO", ".SPY150501P213")</f>
        <v>N/A</v>
      </c>
    </row>
    <row r="114" spans="1:22" x14ac:dyDescent="0.25">
      <c r="A114">
        <f>RTD("tos.rtd", , "ASK", ".SPY150501C213.5")</f>
        <v>0.01</v>
      </c>
      <c r="B114">
        <f>RTD("tos.rtd", , "ASK_SIZE", ".SPY150501C213.5")</f>
        <v>0</v>
      </c>
      <c r="C114">
        <f>RTD("tos.rtd", , "BID", ".SPY150501C213.5")</f>
        <v>0</v>
      </c>
      <c r="D114">
        <f>RTD("tos.rtd", , "BID_SIZE", ".SPY150501C213.5")</f>
        <v>0</v>
      </c>
      <c r="E114">
        <f>RTD("tos.rtd", , "VOLUME", ".SPY150501C213.5")</f>
        <v>0</v>
      </c>
      <c r="F114">
        <f>RTD("tos.rtd", , "OPEN_INT", ".SPY150501C213.5")</f>
        <v>22210</v>
      </c>
      <c r="G114" t="str">
        <f>RTD("tos.rtd", , "DELTA", ".SPY150501C213.5")</f>
        <v>N/A</v>
      </c>
      <c r="H114" t="str">
        <f>RTD("tos.rtd", , "THETA", ".SPY150501C213.5")</f>
        <v>N/A</v>
      </c>
      <c r="I114" t="str">
        <f>RTD("tos.rtd", , "GAMMA", ".SPY150501C213.5")</f>
        <v>N/A</v>
      </c>
      <c r="J114" t="str">
        <f>RTD("tos.rtd", , "VEGA", ".SPY150501C213.5")</f>
        <v>N/A</v>
      </c>
      <c r="K114" t="str">
        <f>RTD("tos.rtd", , "RHO", ".SPY150501C213.5")</f>
        <v>N/A</v>
      </c>
      <c r="L114">
        <f>RTD("tos.rtd", , "ASK", ".SPY150501P213.5")</f>
        <v>2.92</v>
      </c>
      <c r="M114">
        <f>RTD("tos.rtd", , "ASK_SIZE", ".SPY150501P213.5")</f>
        <v>0</v>
      </c>
      <c r="N114">
        <f>RTD("tos.rtd", , "BID", ".SPY150501P213.5")</f>
        <v>2.64</v>
      </c>
      <c r="O114">
        <f>RTD("tos.rtd", , "BID_SIZE", ".SPY150501P213.5")</f>
        <v>0</v>
      </c>
      <c r="P114">
        <f>RTD("tos.rtd", , "VOLUME", ".SPY150501P213.5")</f>
        <v>0</v>
      </c>
      <c r="Q114">
        <f>RTD("tos.rtd", , "OPEN_INT", ".SPY150501P213.5")</f>
        <v>0</v>
      </c>
      <c r="R114" t="str">
        <f>RTD("tos.rtd", , "DELTA", ".SPY150501P213.5")</f>
        <v>N/A</v>
      </c>
      <c r="S114" t="str">
        <f>RTD("tos.rtd", , "THETA", ".SPY150501P213.5")</f>
        <v>N/A</v>
      </c>
      <c r="T114" t="str">
        <f>RTD("tos.rtd", , "GAMMA", ".SPY150501P213.5")</f>
        <v>N/A</v>
      </c>
      <c r="U114" t="str">
        <f>RTD("tos.rtd", , "VEGA", ".SPY150501P213.5")</f>
        <v>N/A</v>
      </c>
      <c r="V114" t="str">
        <f>RTD("tos.rtd", , "RHO", ".SPY150501P213.5")</f>
        <v>N/A</v>
      </c>
    </row>
    <row r="115" spans="1:22" x14ac:dyDescent="0.25">
      <c r="A115">
        <f>RTD("tos.rtd", , "ASK", ".SPY150501C214")</f>
        <v>0.01</v>
      </c>
      <c r="B115">
        <f>RTD("tos.rtd", , "ASK_SIZE", ".SPY150501C214")</f>
        <v>0</v>
      </c>
      <c r="C115">
        <f>RTD("tos.rtd", , "BID", ".SPY150501C214")</f>
        <v>0</v>
      </c>
      <c r="D115">
        <f>RTD("tos.rtd", , "BID_SIZE", ".SPY150501C214")</f>
        <v>0</v>
      </c>
      <c r="E115">
        <f>RTD("tos.rtd", , "VOLUME", ".SPY150501C214")</f>
        <v>0</v>
      </c>
      <c r="F115">
        <f>RTD("tos.rtd", , "OPEN_INT", ".SPY150501C214")</f>
        <v>59429</v>
      </c>
      <c r="G115" t="str">
        <f>RTD("tos.rtd", , "DELTA", ".SPY150501C214")</f>
        <v>N/A</v>
      </c>
      <c r="H115" t="str">
        <f>RTD("tos.rtd", , "THETA", ".SPY150501C214")</f>
        <v>N/A</v>
      </c>
      <c r="I115" t="str">
        <f>RTD("tos.rtd", , "GAMMA", ".SPY150501C214")</f>
        <v>N/A</v>
      </c>
      <c r="J115" t="str">
        <f>RTD("tos.rtd", , "VEGA", ".SPY150501C214")</f>
        <v>N/A</v>
      </c>
      <c r="K115" t="str">
        <f>RTD("tos.rtd", , "RHO", ".SPY150501C214")</f>
        <v>N/A</v>
      </c>
      <c r="L115">
        <f>RTD("tos.rtd", , "ASK", ".SPY150501P214")</f>
        <v>3.42</v>
      </c>
      <c r="M115">
        <f>RTD("tos.rtd", , "ASK_SIZE", ".SPY150501P214")</f>
        <v>0</v>
      </c>
      <c r="N115">
        <f>RTD("tos.rtd", , "BID", ".SPY150501P214")</f>
        <v>3.14</v>
      </c>
      <c r="O115">
        <f>RTD("tos.rtd", , "BID_SIZE", ".SPY150501P214")</f>
        <v>0</v>
      </c>
      <c r="P115">
        <f>RTD("tos.rtd", , "VOLUME", ".SPY150501P214")</f>
        <v>0</v>
      </c>
      <c r="Q115">
        <f>RTD("tos.rtd", , "OPEN_INT", ".SPY150501P214")</f>
        <v>0</v>
      </c>
      <c r="R115" t="str">
        <f>RTD("tos.rtd", , "DELTA", ".SPY150501P214")</f>
        <v>N/A</v>
      </c>
      <c r="S115" t="str">
        <f>RTD("tos.rtd", , "THETA", ".SPY150501P214")</f>
        <v>N/A</v>
      </c>
      <c r="T115" t="str">
        <f>RTD("tos.rtd", , "GAMMA", ".SPY150501P214")</f>
        <v>N/A</v>
      </c>
      <c r="U115" t="str">
        <f>RTD("tos.rtd", , "VEGA", ".SPY150501P214")</f>
        <v>N/A</v>
      </c>
      <c r="V115" t="str">
        <f>RTD("tos.rtd", , "RHO", ".SPY150501P214")</f>
        <v>N/A</v>
      </c>
    </row>
    <row r="116" spans="1:22" x14ac:dyDescent="0.25">
      <c r="A116">
        <f>RTD("tos.rtd", , "ASK", ".SPY150501C214.5")</f>
        <v>0.01</v>
      </c>
      <c r="B116">
        <f>RTD("tos.rtd", , "ASK_SIZE", ".SPY150501C214.5")</f>
        <v>0</v>
      </c>
      <c r="C116">
        <f>RTD("tos.rtd", , "BID", ".SPY150501C214.5")</f>
        <v>0</v>
      </c>
      <c r="D116">
        <f>RTD("tos.rtd", , "BID_SIZE", ".SPY150501C214.5")</f>
        <v>0</v>
      </c>
      <c r="E116">
        <f>RTD("tos.rtd", , "VOLUME", ".SPY150501C214.5")</f>
        <v>0</v>
      </c>
      <c r="F116">
        <f>RTD("tos.rtd", , "OPEN_INT", ".SPY150501C214.5")</f>
        <v>65490</v>
      </c>
      <c r="G116" t="str">
        <f>RTD("tos.rtd", , "DELTA", ".SPY150501C214.5")</f>
        <v>N/A</v>
      </c>
      <c r="H116" t="str">
        <f>RTD("tos.rtd", , "THETA", ".SPY150501C214.5")</f>
        <v>N/A</v>
      </c>
      <c r="I116" t="str">
        <f>RTD("tos.rtd", , "GAMMA", ".SPY150501C214.5")</f>
        <v>N/A</v>
      </c>
      <c r="J116" t="str">
        <f>RTD("tos.rtd", , "VEGA", ".SPY150501C214.5")</f>
        <v>N/A</v>
      </c>
      <c r="K116" t="str">
        <f>RTD("tos.rtd", , "RHO", ".SPY150501C214.5")</f>
        <v>N/A</v>
      </c>
      <c r="L116">
        <f>RTD("tos.rtd", , "ASK", ".SPY150501P214.5")</f>
        <v>3.92</v>
      </c>
      <c r="M116">
        <f>RTD("tos.rtd", , "ASK_SIZE", ".SPY150501P214.5")</f>
        <v>0</v>
      </c>
      <c r="N116">
        <f>RTD("tos.rtd", , "BID", ".SPY150501P214.5")</f>
        <v>3.64</v>
      </c>
      <c r="O116">
        <f>RTD("tos.rtd", , "BID_SIZE", ".SPY150501P214.5")</f>
        <v>0</v>
      </c>
      <c r="P116">
        <f>RTD("tos.rtd", , "VOLUME", ".SPY150501P214.5")</f>
        <v>0</v>
      </c>
      <c r="Q116">
        <f>RTD("tos.rtd", , "OPEN_INT", ".SPY150501P214.5")</f>
        <v>0</v>
      </c>
      <c r="R116" t="str">
        <f>RTD("tos.rtd", , "DELTA", ".SPY150501P214.5")</f>
        <v>N/A</v>
      </c>
      <c r="S116" t="str">
        <f>RTD("tos.rtd", , "THETA", ".SPY150501P214.5")</f>
        <v>N/A</v>
      </c>
      <c r="T116" t="str">
        <f>RTD("tos.rtd", , "GAMMA", ".SPY150501P214.5")</f>
        <v>N/A</v>
      </c>
      <c r="U116" t="str">
        <f>RTD("tos.rtd", , "VEGA", ".SPY150501P214.5")</f>
        <v>N/A</v>
      </c>
      <c r="V116" t="str">
        <f>RTD("tos.rtd", , "RHO", ".SPY150501P214.5")</f>
        <v>N/A</v>
      </c>
    </row>
    <row r="117" spans="1:22" x14ac:dyDescent="0.25">
      <c r="A117">
        <f>RTD("tos.rtd", , "ASK", ".SPY150501C215")</f>
        <v>0.01</v>
      </c>
      <c r="B117">
        <f>RTD("tos.rtd", , "ASK_SIZE", ".SPY150501C215")</f>
        <v>0</v>
      </c>
      <c r="C117">
        <f>RTD("tos.rtd", , "BID", ".SPY150501C215")</f>
        <v>0</v>
      </c>
      <c r="D117">
        <f>RTD("tos.rtd", , "BID_SIZE", ".SPY150501C215")</f>
        <v>0</v>
      </c>
      <c r="E117">
        <f>RTD("tos.rtd", , "VOLUME", ".SPY150501C215")</f>
        <v>0</v>
      </c>
      <c r="F117">
        <f>RTD("tos.rtd", , "OPEN_INT", ".SPY150501C215")</f>
        <v>93892</v>
      </c>
      <c r="G117" t="str">
        <f>RTD("tos.rtd", , "DELTA", ".SPY150501C215")</f>
        <v>N/A</v>
      </c>
      <c r="H117" t="str">
        <f>RTD("tos.rtd", , "THETA", ".SPY150501C215")</f>
        <v>N/A</v>
      </c>
      <c r="I117" t="str">
        <f>RTD("tos.rtd", , "GAMMA", ".SPY150501C215")</f>
        <v>N/A</v>
      </c>
      <c r="J117" t="str">
        <f>RTD("tos.rtd", , "VEGA", ".SPY150501C215")</f>
        <v>N/A</v>
      </c>
      <c r="K117" t="str">
        <f>RTD("tos.rtd", , "RHO", ".SPY150501C215")</f>
        <v>N/A</v>
      </c>
      <c r="L117">
        <f>RTD("tos.rtd", , "ASK", ".SPY150501P215")</f>
        <v>4.46</v>
      </c>
      <c r="M117">
        <f>RTD("tos.rtd", , "ASK_SIZE", ".SPY150501P215")</f>
        <v>0</v>
      </c>
      <c r="N117">
        <f>RTD("tos.rtd", , "BID", ".SPY150501P215")</f>
        <v>4.1399999999999997</v>
      </c>
      <c r="O117">
        <f>RTD("tos.rtd", , "BID_SIZE", ".SPY150501P215")</f>
        <v>0</v>
      </c>
      <c r="P117">
        <f>RTD("tos.rtd", , "VOLUME", ".SPY150501P215")</f>
        <v>0</v>
      </c>
      <c r="Q117">
        <f>RTD("tos.rtd", , "OPEN_INT", ".SPY150501P215")</f>
        <v>0</v>
      </c>
      <c r="R117" t="str">
        <f>RTD("tos.rtd", , "DELTA", ".SPY150501P215")</f>
        <v>N/A</v>
      </c>
      <c r="S117" t="str">
        <f>RTD("tos.rtd", , "THETA", ".SPY150501P215")</f>
        <v>N/A</v>
      </c>
      <c r="T117" t="str">
        <f>RTD("tos.rtd", , "GAMMA", ".SPY150501P215")</f>
        <v>N/A</v>
      </c>
      <c r="U117" t="str">
        <f>RTD("tos.rtd", , "VEGA", ".SPY150501P215")</f>
        <v>N/A</v>
      </c>
      <c r="V117" t="str">
        <f>RTD("tos.rtd", , "RHO", ".SPY150501P215")</f>
        <v>N/A</v>
      </c>
    </row>
    <row r="118" spans="1:22" x14ac:dyDescent="0.25">
      <c r="A118">
        <f>RTD("tos.rtd", , "ASK", ".SPY150501C215.5")</f>
        <v>0.01</v>
      </c>
      <c r="B118">
        <f>RTD("tos.rtd", , "ASK_SIZE", ".SPY150501C215.5")</f>
        <v>0</v>
      </c>
      <c r="C118">
        <f>RTD("tos.rtd", , "BID", ".SPY150501C215.5")</f>
        <v>0</v>
      </c>
      <c r="D118">
        <f>RTD("tos.rtd", , "BID_SIZE", ".SPY150501C215.5")</f>
        <v>0</v>
      </c>
      <c r="E118">
        <f>RTD("tos.rtd", , "VOLUME", ".SPY150501C215.5")</f>
        <v>0</v>
      </c>
      <c r="F118">
        <f>RTD("tos.rtd", , "OPEN_INT", ".SPY150501C215.5")</f>
        <v>34284</v>
      </c>
      <c r="G118" t="str">
        <f>RTD("tos.rtd", , "DELTA", ".SPY150501C215.5")</f>
        <v>N/A</v>
      </c>
      <c r="H118" t="str">
        <f>RTD("tos.rtd", , "THETA", ".SPY150501C215.5")</f>
        <v>N/A</v>
      </c>
      <c r="I118" t="str">
        <f>RTD("tos.rtd", , "GAMMA", ".SPY150501C215.5")</f>
        <v>N/A</v>
      </c>
      <c r="J118" t="str">
        <f>RTD("tos.rtd", , "VEGA", ".SPY150501C215.5")</f>
        <v>N/A</v>
      </c>
      <c r="K118" t="str">
        <f>RTD("tos.rtd", , "RHO", ".SPY150501C215.5")</f>
        <v>N/A</v>
      </c>
      <c r="L118">
        <f>RTD("tos.rtd", , "ASK", ".SPY150501P215.5")</f>
        <v>4.92</v>
      </c>
      <c r="M118">
        <f>RTD("tos.rtd", , "ASK_SIZE", ".SPY150501P215.5")</f>
        <v>0</v>
      </c>
      <c r="N118">
        <f>RTD("tos.rtd", , "BID", ".SPY150501P215.5")</f>
        <v>4.6399999999999997</v>
      </c>
      <c r="O118">
        <f>RTD("tos.rtd", , "BID_SIZE", ".SPY150501P215.5")</f>
        <v>0</v>
      </c>
      <c r="P118">
        <f>RTD("tos.rtd", , "VOLUME", ".SPY150501P215.5")</f>
        <v>0</v>
      </c>
      <c r="Q118">
        <f>RTD("tos.rtd", , "OPEN_INT", ".SPY150501P215.5")</f>
        <v>0</v>
      </c>
      <c r="R118" t="str">
        <f>RTD("tos.rtd", , "DELTA", ".SPY150501P215.5")</f>
        <v>N/A</v>
      </c>
      <c r="S118" t="str">
        <f>RTD("tos.rtd", , "THETA", ".SPY150501P215.5")</f>
        <v>N/A</v>
      </c>
      <c r="T118" t="str">
        <f>RTD("tos.rtd", , "GAMMA", ".SPY150501P215.5")</f>
        <v>N/A</v>
      </c>
      <c r="U118" t="str">
        <f>RTD("tos.rtd", , "VEGA", ".SPY150501P215.5")</f>
        <v>N/A</v>
      </c>
      <c r="V118" t="str">
        <f>RTD("tos.rtd", , "RHO", ".SPY150501P215.5")</f>
        <v>N/A</v>
      </c>
    </row>
    <row r="119" spans="1:22" x14ac:dyDescent="0.25">
      <c r="A119">
        <f>RTD("tos.rtd", , "ASK", ".SPY150501C216")</f>
        <v>0.01</v>
      </c>
      <c r="B119">
        <f>RTD("tos.rtd", , "ASK_SIZE", ".SPY150501C216")</f>
        <v>0</v>
      </c>
      <c r="C119">
        <f>RTD("tos.rtd", , "BID", ".SPY150501C216")</f>
        <v>0</v>
      </c>
      <c r="D119">
        <f>RTD("tos.rtd", , "BID_SIZE", ".SPY150501C216")</f>
        <v>0</v>
      </c>
      <c r="E119">
        <f>RTD("tos.rtd", , "VOLUME", ".SPY150501C216")</f>
        <v>0</v>
      </c>
      <c r="F119">
        <f>RTD("tos.rtd", , "OPEN_INT", ".SPY150501C216")</f>
        <v>37210</v>
      </c>
      <c r="G119" t="str">
        <f>RTD("tos.rtd", , "DELTA", ".SPY150501C216")</f>
        <v>N/A</v>
      </c>
      <c r="H119" t="str">
        <f>RTD("tos.rtd", , "THETA", ".SPY150501C216")</f>
        <v>N/A</v>
      </c>
      <c r="I119" t="str">
        <f>RTD("tos.rtd", , "GAMMA", ".SPY150501C216")</f>
        <v>N/A</v>
      </c>
      <c r="J119" t="str">
        <f>RTD("tos.rtd", , "VEGA", ".SPY150501C216")</f>
        <v>N/A</v>
      </c>
      <c r="K119" t="str">
        <f>RTD("tos.rtd", , "RHO", ".SPY150501C216")</f>
        <v>N/A</v>
      </c>
      <c r="L119">
        <f>RTD("tos.rtd", , "ASK", ".SPY150501P216")</f>
        <v>5.42</v>
      </c>
      <c r="M119">
        <f>RTD("tos.rtd", , "ASK_SIZE", ".SPY150501P216")</f>
        <v>0</v>
      </c>
      <c r="N119">
        <f>RTD("tos.rtd", , "BID", ".SPY150501P216")</f>
        <v>5.14</v>
      </c>
      <c r="O119">
        <f>RTD("tos.rtd", , "BID_SIZE", ".SPY150501P216")</f>
        <v>0</v>
      </c>
      <c r="P119">
        <f>RTD("tos.rtd", , "VOLUME", ".SPY150501P216")</f>
        <v>0</v>
      </c>
      <c r="Q119">
        <f>RTD("tos.rtd", , "OPEN_INT", ".SPY150501P216")</f>
        <v>0</v>
      </c>
      <c r="R119" t="str">
        <f>RTD("tos.rtd", , "DELTA", ".SPY150501P216")</f>
        <v>N/A</v>
      </c>
      <c r="S119" t="str">
        <f>RTD("tos.rtd", , "THETA", ".SPY150501P216")</f>
        <v>N/A</v>
      </c>
      <c r="T119" t="str">
        <f>RTD("tos.rtd", , "GAMMA", ".SPY150501P216")</f>
        <v>N/A</v>
      </c>
      <c r="U119" t="str">
        <f>RTD("tos.rtd", , "VEGA", ".SPY150501P216")</f>
        <v>N/A</v>
      </c>
      <c r="V119" t="str">
        <f>RTD("tos.rtd", , "RHO", ".SPY150501P216")</f>
        <v>N/A</v>
      </c>
    </row>
    <row r="120" spans="1:22" x14ac:dyDescent="0.25">
      <c r="A120">
        <f>RTD("tos.rtd", , "ASK", ".SPY150501C216.5")</f>
        <v>0.01</v>
      </c>
      <c r="B120">
        <f>RTD("tos.rtd", , "ASK_SIZE", ".SPY150501C216.5")</f>
        <v>0</v>
      </c>
      <c r="C120">
        <f>RTD("tos.rtd", , "BID", ".SPY150501C216.5")</f>
        <v>0</v>
      </c>
      <c r="D120">
        <f>RTD("tos.rtd", , "BID_SIZE", ".SPY150501C216.5")</f>
        <v>0</v>
      </c>
      <c r="E120">
        <f>RTD("tos.rtd", , "VOLUME", ".SPY150501C216.5")</f>
        <v>0</v>
      </c>
      <c r="F120">
        <f>RTD("tos.rtd", , "OPEN_INT", ".SPY150501C216.5")</f>
        <v>7085</v>
      </c>
      <c r="G120" t="str">
        <f>RTD("tos.rtd", , "DELTA", ".SPY150501C216.5")</f>
        <v>N/A</v>
      </c>
      <c r="H120" t="str">
        <f>RTD("tos.rtd", , "THETA", ".SPY150501C216.5")</f>
        <v>N/A</v>
      </c>
      <c r="I120" t="str">
        <f>RTD("tos.rtd", , "GAMMA", ".SPY150501C216.5")</f>
        <v>N/A</v>
      </c>
      <c r="J120" t="str">
        <f>RTD("tos.rtd", , "VEGA", ".SPY150501C216.5")</f>
        <v>N/A</v>
      </c>
      <c r="K120" t="str">
        <f>RTD("tos.rtd", , "RHO", ".SPY150501C216.5")</f>
        <v>N/A</v>
      </c>
      <c r="L120">
        <f>RTD("tos.rtd", , "ASK", ".SPY150501P216.5")</f>
        <v>5.92</v>
      </c>
      <c r="M120">
        <f>RTD("tos.rtd", , "ASK_SIZE", ".SPY150501P216.5")</f>
        <v>0</v>
      </c>
      <c r="N120">
        <f>RTD("tos.rtd", , "BID", ".SPY150501P216.5")</f>
        <v>5.64</v>
      </c>
      <c r="O120">
        <f>RTD("tos.rtd", , "BID_SIZE", ".SPY150501P216.5")</f>
        <v>0</v>
      </c>
      <c r="P120">
        <f>RTD("tos.rtd", , "VOLUME", ".SPY150501P216.5")</f>
        <v>0</v>
      </c>
      <c r="Q120">
        <f>RTD("tos.rtd", , "OPEN_INT", ".SPY150501P216.5")</f>
        <v>0</v>
      </c>
      <c r="R120" t="str">
        <f>RTD("tos.rtd", , "DELTA", ".SPY150501P216.5")</f>
        <v>N/A</v>
      </c>
      <c r="S120" t="str">
        <f>RTD("tos.rtd", , "THETA", ".SPY150501P216.5")</f>
        <v>N/A</v>
      </c>
      <c r="T120" t="str">
        <f>RTD("tos.rtd", , "GAMMA", ".SPY150501P216.5")</f>
        <v>N/A</v>
      </c>
      <c r="U120" t="str">
        <f>RTD("tos.rtd", , "VEGA", ".SPY150501P216.5")</f>
        <v>N/A</v>
      </c>
      <c r="V120" t="str">
        <f>RTD("tos.rtd", , "RHO", ".SPY150501P216.5")</f>
        <v>N/A</v>
      </c>
    </row>
    <row r="121" spans="1:22" x14ac:dyDescent="0.25">
      <c r="A121">
        <f>RTD("tos.rtd", , "ASK", ".SPY150501C217")</f>
        <v>0.01</v>
      </c>
      <c r="B121">
        <f>RTD("tos.rtd", , "ASK_SIZE", ".SPY150501C217")</f>
        <v>0</v>
      </c>
      <c r="C121">
        <f>RTD("tos.rtd", , "BID", ".SPY150501C217")</f>
        <v>0</v>
      </c>
      <c r="D121">
        <f>RTD("tos.rtd", , "BID_SIZE", ".SPY150501C217")</f>
        <v>0</v>
      </c>
      <c r="E121">
        <f>RTD("tos.rtd", , "VOLUME", ".SPY150501C217")</f>
        <v>0</v>
      </c>
      <c r="F121">
        <f>RTD("tos.rtd", , "OPEN_INT", ".SPY150501C217")</f>
        <v>2637</v>
      </c>
      <c r="G121" t="str">
        <f>RTD("tos.rtd", , "DELTA", ".SPY150501C217")</f>
        <v>N/A</v>
      </c>
      <c r="H121" t="str">
        <f>RTD("tos.rtd", , "THETA", ".SPY150501C217")</f>
        <v>N/A</v>
      </c>
      <c r="I121" t="str">
        <f>RTD("tos.rtd", , "GAMMA", ".SPY150501C217")</f>
        <v>N/A</v>
      </c>
      <c r="J121" t="str">
        <f>RTD("tos.rtd", , "VEGA", ".SPY150501C217")</f>
        <v>N/A</v>
      </c>
      <c r="K121" t="str">
        <f>RTD("tos.rtd", , "RHO", ".SPY150501C217")</f>
        <v>N/A</v>
      </c>
      <c r="L121">
        <f>RTD("tos.rtd", , "ASK", ".SPY150501P217")</f>
        <v>6.42</v>
      </c>
      <c r="M121">
        <f>RTD("tos.rtd", , "ASK_SIZE", ".SPY150501P217")</f>
        <v>0</v>
      </c>
      <c r="N121">
        <f>RTD("tos.rtd", , "BID", ".SPY150501P217")</f>
        <v>6.14</v>
      </c>
      <c r="O121">
        <f>RTD("tos.rtd", , "BID_SIZE", ".SPY150501P217")</f>
        <v>0</v>
      </c>
      <c r="P121">
        <f>RTD("tos.rtd", , "VOLUME", ".SPY150501P217")</f>
        <v>0</v>
      </c>
      <c r="Q121">
        <f>RTD("tos.rtd", , "OPEN_INT", ".SPY150501P217")</f>
        <v>0</v>
      </c>
      <c r="R121" t="str">
        <f>RTD("tos.rtd", , "DELTA", ".SPY150501P217")</f>
        <v>N/A</v>
      </c>
      <c r="S121" t="str">
        <f>RTD("tos.rtd", , "THETA", ".SPY150501P217")</f>
        <v>N/A</v>
      </c>
      <c r="T121" t="str">
        <f>RTD("tos.rtd", , "GAMMA", ".SPY150501P217")</f>
        <v>N/A</v>
      </c>
      <c r="U121" t="str">
        <f>RTD("tos.rtd", , "VEGA", ".SPY150501P217")</f>
        <v>N/A</v>
      </c>
      <c r="V121" t="str">
        <f>RTD("tos.rtd", , "RHO", ".SPY150501P217")</f>
        <v>N/A</v>
      </c>
    </row>
    <row r="122" spans="1:22" x14ac:dyDescent="0.25">
      <c r="A122">
        <f>RTD("tos.rtd", , "ASK", ".SPY150501C217.5")</f>
        <v>0.01</v>
      </c>
      <c r="B122">
        <f>RTD("tos.rtd", , "ASK_SIZE", ".SPY150501C217.5")</f>
        <v>0</v>
      </c>
      <c r="C122">
        <f>RTD("tos.rtd", , "BID", ".SPY150501C217.5")</f>
        <v>0</v>
      </c>
      <c r="D122">
        <f>RTD("tos.rtd", , "BID_SIZE", ".SPY150501C217.5")</f>
        <v>0</v>
      </c>
      <c r="E122">
        <f>RTD("tos.rtd", , "VOLUME", ".SPY150501C217.5")</f>
        <v>0</v>
      </c>
      <c r="F122">
        <f>RTD("tos.rtd", , "OPEN_INT", ".SPY150501C217.5")</f>
        <v>3289</v>
      </c>
      <c r="G122" t="str">
        <f>RTD("tos.rtd", , "DELTA", ".SPY150501C217.5")</f>
        <v>N/A</v>
      </c>
      <c r="H122" t="str">
        <f>RTD("tos.rtd", , "THETA", ".SPY150501C217.5")</f>
        <v>N/A</v>
      </c>
      <c r="I122" t="str">
        <f>RTD("tos.rtd", , "GAMMA", ".SPY150501C217.5")</f>
        <v>N/A</v>
      </c>
      <c r="J122" t="str">
        <f>RTD("tos.rtd", , "VEGA", ".SPY150501C217.5")</f>
        <v>N/A</v>
      </c>
      <c r="K122" t="str">
        <f>RTD("tos.rtd", , "RHO", ".SPY150501C217.5")</f>
        <v>N/A</v>
      </c>
      <c r="L122">
        <f>RTD("tos.rtd", , "ASK", ".SPY150501P217.5")</f>
        <v>6.92</v>
      </c>
      <c r="M122">
        <f>RTD("tos.rtd", , "ASK_SIZE", ".SPY150501P217.5")</f>
        <v>0</v>
      </c>
      <c r="N122">
        <f>RTD("tos.rtd", , "BID", ".SPY150501P217.5")</f>
        <v>6.64</v>
      </c>
      <c r="O122">
        <f>RTD("tos.rtd", , "BID_SIZE", ".SPY150501P217.5")</f>
        <v>0</v>
      </c>
      <c r="P122">
        <f>RTD("tos.rtd", , "VOLUME", ".SPY150501P217.5")</f>
        <v>0</v>
      </c>
      <c r="Q122">
        <f>RTD("tos.rtd", , "OPEN_INT", ".SPY150501P217.5")</f>
        <v>0</v>
      </c>
      <c r="R122" t="str">
        <f>RTD("tos.rtd", , "DELTA", ".SPY150501P217.5")</f>
        <v>N/A</v>
      </c>
      <c r="S122" t="str">
        <f>RTD("tos.rtd", , "THETA", ".SPY150501P217.5")</f>
        <v>N/A</v>
      </c>
      <c r="T122" t="str">
        <f>RTD("tos.rtd", , "GAMMA", ".SPY150501P217.5")</f>
        <v>N/A</v>
      </c>
      <c r="U122" t="str">
        <f>RTD("tos.rtd", , "VEGA", ".SPY150501P217.5")</f>
        <v>N/A</v>
      </c>
      <c r="V122" t="str">
        <f>RTD("tos.rtd", , "RHO", ".SPY150501P217.5")</f>
        <v>N/A</v>
      </c>
    </row>
    <row r="123" spans="1:22" x14ac:dyDescent="0.25">
      <c r="A123">
        <f>RTD("tos.rtd", , "ASK", ".SPY150501C218")</f>
        <v>0.01</v>
      </c>
      <c r="B123">
        <f>RTD("tos.rtd", , "ASK_SIZE", ".SPY150501C218")</f>
        <v>0</v>
      </c>
      <c r="C123">
        <f>RTD("tos.rtd", , "BID", ".SPY150501C218")</f>
        <v>0</v>
      </c>
      <c r="D123">
        <f>RTD("tos.rtd", , "BID_SIZE", ".SPY150501C218")</f>
        <v>0</v>
      </c>
      <c r="E123">
        <f>RTD("tos.rtd", , "VOLUME", ".SPY150501C218")</f>
        <v>0</v>
      </c>
      <c r="F123">
        <f>RTD("tos.rtd", , "OPEN_INT", ".SPY150501C218")</f>
        <v>840</v>
      </c>
      <c r="G123" t="str">
        <f>RTD("tos.rtd", , "DELTA", ".SPY150501C218")</f>
        <v>N/A</v>
      </c>
      <c r="H123" t="str">
        <f>RTD("tos.rtd", , "THETA", ".SPY150501C218")</f>
        <v>N/A</v>
      </c>
      <c r="I123" t="str">
        <f>RTD("tos.rtd", , "GAMMA", ".SPY150501C218")</f>
        <v>N/A</v>
      </c>
      <c r="J123" t="str">
        <f>RTD("tos.rtd", , "VEGA", ".SPY150501C218")</f>
        <v>N/A</v>
      </c>
      <c r="K123" t="str">
        <f>RTD("tos.rtd", , "RHO", ".SPY150501C218")</f>
        <v>N/A</v>
      </c>
      <c r="L123">
        <f>RTD("tos.rtd", , "ASK", ".SPY150501P218")</f>
        <v>7.42</v>
      </c>
      <c r="M123">
        <f>RTD("tos.rtd", , "ASK_SIZE", ".SPY150501P218")</f>
        <v>0</v>
      </c>
      <c r="N123">
        <f>RTD("tos.rtd", , "BID", ".SPY150501P218")</f>
        <v>7.14</v>
      </c>
      <c r="O123">
        <f>RTD("tos.rtd", , "BID_SIZE", ".SPY150501P218")</f>
        <v>0</v>
      </c>
      <c r="P123">
        <f>RTD("tos.rtd", , "VOLUME", ".SPY150501P218")</f>
        <v>0</v>
      </c>
      <c r="Q123">
        <f>RTD("tos.rtd", , "OPEN_INT", ".SPY150501P218")</f>
        <v>0</v>
      </c>
      <c r="R123" t="str">
        <f>RTD("tos.rtd", , "DELTA", ".SPY150501P218")</f>
        <v>N/A</v>
      </c>
      <c r="S123" t="str">
        <f>RTD("tos.rtd", , "THETA", ".SPY150501P218")</f>
        <v>N/A</v>
      </c>
      <c r="T123" t="str">
        <f>RTD("tos.rtd", , "GAMMA", ".SPY150501P218")</f>
        <v>N/A</v>
      </c>
      <c r="U123" t="str">
        <f>RTD("tos.rtd", , "VEGA", ".SPY150501P218")</f>
        <v>N/A</v>
      </c>
      <c r="V123" t="str">
        <f>RTD("tos.rtd", , "RHO", ".SPY150501P218")</f>
        <v>N/A</v>
      </c>
    </row>
    <row r="124" spans="1:22" x14ac:dyDescent="0.25">
      <c r="A124">
        <f>RTD("tos.rtd", , "ASK", ".SPY150501C218.5")</f>
        <v>0.01</v>
      </c>
      <c r="B124">
        <f>RTD("tos.rtd", , "ASK_SIZE", ".SPY150501C218.5")</f>
        <v>0</v>
      </c>
      <c r="C124">
        <f>RTD("tos.rtd", , "BID", ".SPY150501C218.5")</f>
        <v>0</v>
      </c>
      <c r="D124">
        <f>RTD("tos.rtd", , "BID_SIZE", ".SPY150501C218.5")</f>
        <v>0</v>
      </c>
      <c r="E124">
        <f>RTD("tos.rtd", , "VOLUME", ".SPY150501C218.5")</f>
        <v>0</v>
      </c>
      <c r="F124">
        <f>RTD("tos.rtd", , "OPEN_INT", ".SPY150501C218.5")</f>
        <v>372</v>
      </c>
      <c r="G124" t="str">
        <f>RTD("tos.rtd", , "DELTA", ".SPY150501C218.5")</f>
        <v>N/A</v>
      </c>
      <c r="H124" t="str">
        <f>RTD("tos.rtd", , "THETA", ".SPY150501C218.5")</f>
        <v>N/A</v>
      </c>
      <c r="I124" t="str">
        <f>RTD("tos.rtd", , "GAMMA", ".SPY150501C218.5")</f>
        <v>N/A</v>
      </c>
      <c r="J124" t="str">
        <f>RTD("tos.rtd", , "VEGA", ".SPY150501C218.5")</f>
        <v>N/A</v>
      </c>
      <c r="K124" t="str">
        <f>RTD("tos.rtd", , "RHO", ".SPY150501C218.5")</f>
        <v>N/A</v>
      </c>
      <c r="L124">
        <f>RTD("tos.rtd", , "ASK", ".SPY150501P218.5")</f>
        <v>7.92</v>
      </c>
      <c r="M124">
        <f>RTD("tos.rtd", , "ASK_SIZE", ".SPY150501P218.5")</f>
        <v>0</v>
      </c>
      <c r="N124">
        <f>RTD("tos.rtd", , "BID", ".SPY150501P218.5")</f>
        <v>7.64</v>
      </c>
      <c r="O124">
        <f>RTD("tos.rtd", , "BID_SIZE", ".SPY150501P218.5")</f>
        <v>0</v>
      </c>
      <c r="P124">
        <f>RTD("tos.rtd", , "VOLUME", ".SPY150501P218.5")</f>
        <v>0</v>
      </c>
      <c r="Q124">
        <f>RTD("tos.rtd", , "OPEN_INT", ".SPY150501P218.5")</f>
        <v>0</v>
      </c>
      <c r="R124" t="str">
        <f>RTD("tos.rtd", , "DELTA", ".SPY150501P218.5")</f>
        <v>N/A</v>
      </c>
      <c r="S124" t="str">
        <f>RTD("tos.rtd", , "THETA", ".SPY150501P218.5")</f>
        <v>N/A</v>
      </c>
      <c r="T124" t="str">
        <f>RTD("tos.rtd", , "GAMMA", ".SPY150501P218.5")</f>
        <v>N/A</v>
      </c>
      <c r="U124" t="str">
        <f>RTD("tos.rtd", , "VEGA", ".SPY150501P218.5")</f>
        <v>N/A</v>
      </c>
      <c r="V124" t="str">
        <f>RTD("tos.rtd", , "RHO", ".SPY150501P218.5")</f>
        <v>N/A</v>
      </c>
    </row>
    <row r="125" spans="1:22" x14ac:dyDescent="0.25">
      <c r="A125">
        <f>RTD("tos.rtd", , "ASK", ".SPY150501C219")</f>
        <v>0.01</v>
      </c>
      <c r="B125">
        <f>RTD("tos.rtd", , "ASK_SIZE", ".SPY150501C219")</f>
        <v>0</v>
      </c>
      <c r="C125">
        <f>RTD("tos.rtd", , "BID", ".SPY150501C219")</f>
        <v>0</v>
      </c>
      <c r="D125">
        <f>RTD("tos.rtd", , "BID_SIZE", ".SPY150501C219")</f>
        <v>0</v>
      </c>
      <c r="E125">
        <f>RTD("tos.rtd", , "VOLUME", ".SPY150501C219")</f>
        <v>0</v>
      </c>
      <c r="F125">
        <f>RTD("tos.rtd", , "OPEN_INT", ".SPY150501C219")</f>
        <v>2412</v>
      </c>
      <c r="G125" t="str">
        <f>RTD("tos.rtd", , "DELTA", ".SPY150501C219")</f>
        <v>N/A</v>
      </c>
      <c r="H125" t="str">
        <f>RTD("tos.rtd", , "THETA", ".SPY150501C219")</f>
        <v>N/A</v>
      </c>
      <c r="I125" t="str">
        <f>RTD("tos.rtd", , "GAMMA", ".SPY150501C219")</f>
        <v>N/A</v>
      </c>
      <c r="J125" t="str">
        <f>RTD("tos.rtd", , "VEGA", ".SPY150501C219")</f>
        <v>N/A</v>
      </c>
      <c r="K125" t="str">
        <f>RTD("tos.rtd", , "RHO", ".SPY150501C219")</f>
        <v>N/A</v>
      </c>
      <c r="L125">
        <f>RTD("tos.rtd", , "ASK", ".SPY150501P219")</f>
        <v>8.4600000000000009</v>
      </c>
      <c r="M125">
        <f>RTD("tos.rtd", , "ASK_SIZE", ".SPY150501P219")</f>
        <v>0</v>
      </c>
      <c r="N125">
        <f>RTD("tos.rtd", , "BID", ".SPY150501P219")</f>
        <v>8.14</v>
      </c>
      <c r="O125">
        <f>RTD("tos.rtd", , "BID_SIZE", ".SPY150501P219")</f>
        <v>0</v>
      </c>
      <c r="P125">
        <f>RTD("tos.rtd", , "VOLUME", ".SPY150501P219")</f>
        <v>0</v>
      </c>
      <c r="Q125">
        <f>RTD("tos.rtd", , "OPEN_INT", ".SPY150501P219")</f>
        <v>0</v>
      </c>
      <c r="R125" t="str">
        <f>RTD("tos.rtd", , "DELTA", ".SPY150501P219")</f>
        <v>N/A</v>
      </c>
      <c r="S125" t="str">
        <f>RTD("tos.rtd", , "THETA", ".SPY150501P219")</f>
        <v>N/A</v>
      </c>
      <c r="T125" t="str">
        <f>RTD("tos.rtd", , "GAMMA", ".SPY150501P219")</f>
        <v>N/A</v>
      </c>
      <c r="U125" t="str">
        <f>RTD("tos.rtd", , "VEGA", ".SPY150501P219")</f>
        <v>N/A</v>
      </c>
      <c r="V125" t="str">
        <f>RTD("tos.rtd", , "RHO", ".SPY150501P219")</f>
        <v>N/A</v>
      </c>
    </row>
    <row r="126" spans="1:22" x14ac:dyDescent="0.25">
      <c r="A126">
        <f>RTD("tos.rtd", , "ASK", ".SPY150501C219.5")</f>
        <v>0.01</v>
      </c>
      <c r="B126">
        <f>RTD("tos.rtd", , "ASK_SIZE", ".SPY150501C219.5")</f>
        <v>0</v>
      </c>
      <c r="C126">
        <f>RTD("tos.rtd", , "BID", ".SPY150501C219.5")</f>
        <v>0</v>
      </c>
      <c r="D126">
        <f>RTD("tos.rtd", , "BID_SIZE", ".SPY150501C219.5")</f>
        <v>0</v>
      </c>
      <c r="E126">
        <f>RTD("tos.rtd", , "VOLUME", ".SPY150501C219.5")</f>
        <v>0</v>
      </c>
      <c r="F126">
        <f>RTD("tos.rtd", , "OPEN_INT", ".SPY150501C219.5")</f>
        <v>1997</v>
      </c>
      <c r="G126" t="str">
        <f>RTD("tos.rtd", , "DELTA", ".SPY150501C219.5")</f>
        <v>N/A</v>
      </c>
      <c r="H126" t="str">
        <f>RTD("tos.rtd", , "THETA", ".SPY150501C219.5")</f>
        <v>N/A</v>
      </c>
      <c r="I126" t="str">
        <f>RTD("tos.rtd", , "GAMMA", ".SPY150501C219.5")</f>
        <v>N/A</v>
      </c>
      <c r="J126" t="str">
        <f>RTD("tos.rtd", , "VEGA", ".SPY150501C219.5")</f>
        <v>N/A</v>
      </c>
      <c r="K126" t="str">
        <f>RTD("tos.rtd", , "RHO", ".SPY150501C219.5")</f>
        <v>N/A</v>
      </c>
      <c r="L126">
        <f>RTD("tos.rtd", , "ASK", ".SPY150501P219.5")</f>
        <v>8.92</v>
      </c>
      <c r="M126">
        <f>RTD("tos.rtd", , "ASK_SIZE", ".SPY150501P219.5")</f>
        <v>0</v>
      </c>
      <c r="N126">
        <f>RTD("tos.rtd", , "BID", ".SPY150501P219.5")</f>
        <v>8.64</v>
      </c>
      <c r="O126">
        <f>RTD("tos.rtd", , "BID_SIZE", ".SPY150501P219.5")</f>
        <v>0</v>
      </c>
      <c r="P126">
        <f>RTD("tos.rtd", , "VOLUME", ".SPY150501P219.5")</f>
        <v>0</v>
      </c>
      <c r="Q126">
        <f>RTD("tos.rtd", , "OPEN_INT", ".SPY150501P219.5")</f>
        <v>0</v>
      </c>
      <c r="R126" t="str">
        <f>RTD("tos.rtd", , "DELTA", ".SPY150501P219.5")</f>
        <v>N/A</v>
      </c>
      <c r="S126" t="str">
        <f>RTD("tos.rtd", , "THETA", ".SPY150501P219.5")</f>
        <v>N/A</v>
      </c>
      <c r="T126" t="str">
        <f>RTD("tos.rtd", , "GAMMA", ".SPY150501P219.5")</f>
        <v>N/A</v>
      </c>
      <c r="U126" t="str">
        <f>RTD("tos.rtd", , "VEGA", ".SPY150501P219.5")</f>
        <v>N/A</v>
      </c>
      <c r="V126" t="str">
        <f>RTD("tos.rtd", , "RHO", ".SPY150501P219.5")</f>
        <v>N/A</v>
      </c>
    </row>
    <row r="127" spans="1:22" x14ac:dyDescent="0.25">
      <c r="A127" t="s">
        <v>3</v>
      </c>
      <c r="B127">
        <v>40</v>
      </c>
    </row>
    <row r="128" spans="1:22" x14ac:dyDescent="0.25">
      <c r="A128">
        <f>RTD("tos.rtd", ,"LAST", "SPY")</f>
        <v>211.32</v>
      </c>
    </row>
    <row r="129" spans="1:22" x14ac:dyDescent="0.25">
      <c r="A129">
        <f>RTD("tos.rtd", , "ASK", ".SPY150508C200")</f>
        <v>11.61</v>
      </c>
      <c r="B129">
        <f>RTD("tos.rtd", , "ASK_SIZE", ".SPY150508C200")</f>
        <v>31</v>
      </c>
      <c r="C129">
        <f>RTD("tos.rtd", , "BID", ".SPY150508C200")</f>
        <v>11.34</v>
      </c>
      <c r="D129">
        <f>RTD("tos.rtd", , "BID_SIZE", ".SPY150508C200")</f>
        <v>31</v>
      </c>
      <c r="E129">
        <f>RTD("tos.rtd", , "VOLUME", ".SPY150508C200")</f>
        <v>18</v>
      </c>
      <c r="F129">
        <f>RTD("tos.rtd", , "OPEN_INT", ".SPY150508C200")</f>
        <v>76</v>
      </c>
      <c r="G129">
        <f>RTD("tos.rtd", , "DELTA", ".SPY150508C200")</f>
        <v>0.95411999999999997</v>
      </c>
      <c r="H129">
        <f>RTD("tos.rtd", , "THETA", ".SPY150508C200")</f>
        <v>-5.382E-2</v>
      </c>
      <c r="I129">
        <f>RTD("tos.rtd", , "GAMMA", ".SPY150508C200")</f>
        <v>4.0099999999999997E-3</v>
      </c>
      <c r="J129">
        <f>RTD("tos.rtd", , "VEGA", ".SPY150508C200")</f>
        <v>2.1649999999999999E-2</v>
      </c>
      <c r="K129">
        <f>RTD("tos.rtd", , "RHO", ".SPY150508C200")</f>
        <v>4.4400000000000004E-3</v>
      </c>
      <c r="L129">
        <f>RTD("tos.rtd", , "ASK", ".SPY150508P200")</f>
        <v>0.03</v>
      </c>
      <c r="M129">
        <f>RTD("tos.rtd", , "ASK_SIZE", ".SPY150508P200")</f>
        <v>1200</v>
      </c>
      <c r="N129">
        <f>RTD("tos.rtd", , "BID", ".SPY150508P200")</f>
        <v>0.02</v>
      </c>
      <c r="O129">
        <f>RTD("tos.rtd", , "BID_SIZE", ".SPY150508P200")</f>
        <v>1200</v>
      </c>
      <c r="P129">
        <f>RTD("tos.rtd", , "VOLUME", ".SPY150508P200")</f>
        <v>10418</v>
      </c>
      <c r="Q129">
        <f>RTD("tos.rtd", , "OPEN_INT", ".SPY150508P200")</f>
        <v>14015</v>
      </c>
      <c r="R129">
        <f>RTD("tos.rtd", , "DELTA", ".SPY150508P200")</f>
        <v>-1.312E-2</v>
      </c>
      <c r="S129">
        <f>RTD("tos.rtd", , "THETA", ".SPY150508P200")</f>
        <v>-2.155E-2</v>
      </c>
      <c r="T129">
        <f>RTD("tos.rtd", , "GAMMA", ".SPY150508P200")</f>
        <v>6.3600000000000002E-3</v>
      </c>
      <c r="U129">
        <f>RTD("tos.rtd", , "VEGA", ".SPY150508P200")</f>
        <v>8.4600000000000005E-3</v>
      </c>
      <c r="V129">
        <f>RTD("tos.rtd", , "RHO", ".SPY150508P200")</f>
        <v>-3.8000000000000002E-4</v>
      </c>
    </row>
    <row r="130" spans="1:22" x14ac:dyDescent="0.25">
      <c r="A130">
        <f>RTD("tos.rtd", , "ASK", ".SPY150508C200.5")</f>
        <v>11.11</v>
      </c>
      <c r="B130">
        <f>RTD("tos.rtd", , "ASK_SIZE", ".SPY150508C200.5")</f>
        <v>31</v>
      </c>
      <c r="C130">
        <f>RTD("tos.rtd", , "BID", ".SPY150508C200.5")</f>
        <v>10.84</v>
      </c>
      <c r="D130">
        <f>RTD("tos.rtd", , "BID_SIZE", ".SPY150508C200.5")</f>
        <v>31</v>
      </c>
      <c r="E130">
        <f>RTD("tos.rtd", , "VOLUME", ".SPY150508C200.5")</f>
        <v>0</v>
      </c>
      <c r="F130">
        <f>RTD("tos.rtd", , "OPEN_INT", ".SPY150508C200.5")</f>
        <v>14</v>
      </c>
      <c r="G130">
        <f>RTD("tos.rtd", , "DELTA", ".SPY150508C200.5")</f>
        <v>0.95450999999999997</v>
      </c>
      <c r="H130">
        <f>RTD("tos.rtd", , "THETA", ".SPY150508C200.5")</f>
        <v>-5.1159999999999997E-2</v>
      </c>
      <c r="I130">
        <f>RTD("tos.rtd", , "GAMMA", ".SPY150508C200.5")</f>
        <v>4.4200000000000003E-3</v>
      </c>
      <c r="J130">
        <f>RTD("tos.rtd", , "VEGA", ".SPY150508C200.5")</f>
        <v>2.1530000000000001E-2</v>
      </c>
      <c r="K130">
        <f>RTD("tos.rtd", , "RHO", ".SPY150508C200.5")</f>
        <v>4.5999999999999999E-3</v>
      </c>
      <c r="L130">
        <f>RTD("tos.rtd", , "ASK", ".SPY150508P200.5")</f>
        <v>0.03</v>
      </c>
      <c r="M130">
        <f>RTD("tos.rtd", , "ASK_SIZE", ".SPY150508P200.5")</f>
        <v>1200</v>
      </c>
      <c r="N130">
        <f>RTD("tos.rtd", , "BID", ".SPY150508P200.5")</f>
        <v>0.02</v>
      </c>
      <c r="O130">
        <f>RTD("tos.rtd", , "BID_SIZE", ".SPY150508P200.5")</f>
        <v>1200</v>
      </c>
      <c r="P130">
        <f>RTD("tos.rtd", , "VOLUME", ".SPY150508P200.5")</f>
        <v>2378</v>
      </c>
      <c r="Q130">
        <f>RTD("tos.rtd", , "OPEN_INT", ".SPY150508P200.5")</f>
        <v>2907</v>
      </c>
      <c r="R130">
        <f>RTD("tos.rtd", , "DELTA", ".SPY150508P200.5")</f>
        <v>-1.359E-2</v>
      </c>
      <c r="S130">
        <f>RTD("tos.rtd", , "THETA", ".SPY150508P200.5")</f>
        <v>-2.129E-2</v>
      </c>
      <c r="T130">
        <f>RTD("tos.rtd", , "GAMMA", ".SPY150508P200.5")</f>
        <v>6.8300000000000001E-3</v>
      </c>
      <c r="U130">
        <f>RTD("tos.rtd", , "VEGA", ".SPY150508P200.5")</f>
        <v>8.7200000000000003E-3</v>
      </c>
      <c r="V130">
        <f>RTD("tos.rtd", , "RHO", ".SPY150508P200.5")</f>
        <v>-4.0000000000000002E-4</v>
      </c>
    </row>
    <row r="131" spans="1:22" x14ac:dyDescent="0.25">
      <c r="A131">
        <f>RTD("tos.rtd", , "ASK", ".SPY150508C201")</f>
        <v>10.62</v>
      </c>
      <c r="B131">
        <f>RTD("tos.rtd", , "ASK_SIZE", ".SPY150508C201")</f>
        <v>31</v>
      </c>
      <c r="C131">
        <f>RTD("tos.rtd", , "BID", ".SPY150508C201")</f>
        <v>10.34</v>
      </c>
      <c r="D131">
        <f>RTD("tos.rtd", , "BID_SIZE", ".SPY150508C201")</f>
        <v>31</v>
      </c>
      <c r="E131">
        <f>RTD("tos.rtd", , "VOLUME", ".SPY150508C201")</f>
        <v>0</v>
      </c>
      <c r="F131">
        <f>RTD("tos.rtd", , "OPEN_INT", ".SPY150508C201")</f>
        <v>365</v>
      </c>
      <c r="G131">
        <f>RTD("tos.rtd", , "DELTA", ".SPY150508C201")</f>
        <v>0.95426999999999995</v>
      </c>
      <c r="H131">
        <f>RTD("tos.rtd", , "THETA", ".SPY150508C201")</f>
        <v>-4.9889999999999997E-2</v>
      </c>
      <c r="I131">
        <f>RTD("tos.rtd", , "GAMMA", ".SPY150508C201")</f>
        <v>5.5100000000000001E-3</v>
      </c>
      <c r="J131">
        <f>RTD("tos.rtd", , "VEGA", ".SPY150508C201")</f>
        <v>2.1749999999999999E-2</v>
      </c>
      <c r="K131">
        <f>RTD("tos.rtd", , "RHO", ".SPY150508C201")</f>
        <v>5.2900000000000004E-3</v>
      </c>
      <c r="L131">
        <f>RTD("tos.rtd", , "ASK", ".SPY150508P201")</f>
        <v>0.03</v>
      </c>
      <c r="M131">
        <f>RTD("tos.rtd", , "ASK_SIZE", ".SPY150508P201")</f>
        <v>1200</v>
      </c>
      <c r="N131">
        <f>RTD("tos.rtd", , "BID", ".SPY150508P201")</f>
        <v>0.02</v>
      </c>
      <c r="O131">
        <f>RTD("tos.rtd", , "BID_SIZE", ".SPY150508P201")</f>
        <v>1200</v>
      </c>
      <c r="P131">
        <f>RTD("tos.rtd", , "VOLUME", ".SPY150508P201")</f>
        <v>885</v>
      </c>
      <c r="Q131">
        <f>RTD("tos.rtd", , "OPEN_INT", ".SPY150508P201")</f>
        <v>7685</v>
      </c>
      <c r="R131">
        <f>RTD("tos.rtd", , "DELTA", ".SPY150508P201")</f>
        <v>-1.409E-2</v>
      </c>
      <c r="S131">
        <f>RTD("tos.rtd", , "THETA", ".SPY150508P201")</f>
        <v>-2.102E-2</v>
      </c>
      <c r="T131">
        <f>RTD("tos.rtd", , "GAMMA", ".SPY150508P201")</f>
        <v>7.3499999999999998E-3</v>
      </c>
      <c r="U131">
        <f>RTD("tos.rtd", , "VEGA", ".SPY150508P201")</f>
        <v>9.0100000000000006E-3</v>
      </c>
      <c r="V131">
        <f>RTD("tos.rtd", , "RHO", ".SPY150508P201")</f>
        <v>-4.0999999999999999E-4</v>
      </c>
    </row>
    <row r="132" spans="1:22" x14ac:dyDescent="0.25">
      <c r="A132">
        <f>RTD("tos.rtd", , "ASK", ".SPY150508C201.5")</f>
        <v>10.119999999999999</v>
      </c>
      <c r="B132">
        <f>RTD("tos.rtd", , "ASK_SIZE", ".SPY150508C201.5")</f>
        <v>31</v>
      </c>
      <c r="C132">
        <f>RTD("tos.rtd", , "BID", ".SPY150508C201.5")</f>
        <v>9.85</v>
      </c>
      <c r="D132">
        <f>RTD("tos.rtd", , "BID_SIZE", ".SPY150508C201.5")</f>
        <v>31</v>
      </c>
      <c r="E132">
        <f>RTD("tos.rtd", , "VOLUME", ".SPY150508C201.5")</f>
        <v>0</v>
      </c>
      <c r="F132">
        <f>RTD("tos.rtd", , "OPEN_INT", ".SPY150508C201.5")</f>
        <v>60</v>
      </c>
      <c r="G132">
        <f>RTD("tos.rtd", , "DELTA", ".SPY150508C201.5")</f>
        <v>0.95386000000000004</v>
      </c>
      <c r="H132">
        <f>RTD("tos.rtd", , "THETA", ".SPY150508C201.5")</f>
        <v>-4.8750000000000002E-2</v>
      </c>
      <c r="I132">
        <f>RTD("tos.rtd", , "GAMMA", ".SPY150508C201.5")</f>
        <v>6.7600000000000004E-3</v>
      </c>
      <c r="J132">
        <f>RTD("tos.rtd", , "VEGA", ".SPY150508C201.5")</f>
        <v>2.205E-2</v>
      </c>
      <c r="K132">
        <f>RTD("tos.rtd", , "RHO", ".SPY150508C201.5")</f>
        <v>6.0099999999999997E-3</v>
      </c>
      <c r="L132">
        <f>RTD("tos.rtd", , "ASK", ".SPY150508P201.5")</f>
        <v>0.03</v>
      </c>
      <c r="M132">
        <f>RTD("tos.rtd", , "ASK_SIZE", ".SPY150508P201.5")</f>
        <v>1200</v>
      </c>
      <c r="N132">
        <f>RTD("tos.rtd", , "BID", ".SPY150508P201.5")</f>
        <v>0.02</v>
      </c>
      <c r="O132">
        <f>RTD("tos.rtd", , "BID_SIZE", ".SPY150508P201.5")</f>
        <v>1200</v>
      </c>
      <c r="P132">
        <f>RTD("tos.rtd", , "VOLUME", ".SPY150508P201.5")</f>
        <v>570</v>
      </c>
      <c r="Q132">
        <f>RTD("tos.rtd", , "OPEN_INT", ".SPY150508P201.5")</f>
        <v>3372</v>
      </c>
      <c r="R132">
        <f>RTD("tos.rtd", , "DELTA", ".SPY150508P201.5")</f>
        <v>-1.465E-2</v>
      </c>
      <c r="S132">
        <f>RTD("tos.rtd", , "THETA", ".SPY150508P201.5")</f>
        <v>-2.0750000000000001E-2</v>
      </c>
      <c r="T132">
        <f>RTD("tos.rtd", , "GAMMA", ".SPY150508P201.5")</f>
        <v>7.9299999999999995E-3</v>
      </c>
      <c r="U132">
        <f>RTD("tos.rtd", , "VEGA", ".SPY150508P201.5")</f>
        <v>9.3100000000000006E-3</v>
      </c>
      <c r="V132">
        <f>RTD("tos.rtd", , "RHO", ".SPY150508P201.5")</f>
        <v>-4.2999999999999999E-4</v>
      </c>
    </row>
    <row r="133" spans="1:22" x14ac:dyDescent="0.25">
      <c r="A133">
        <f>RTD("tos.rtd", , "ASK", ".SPY150508C202")</f>
        <v>9.6300000000000008</v>
      </c>
      <c r="B133">
        <f>RTD("tos.rtd", , "ASK_SIZE", ".SPY150508C202")</f>
        <v>101</v>
      </c>
      <c r="C133">
        <f>RTD("tos.rtd", , "BID", ".SPY150508C202")</f>
        <v>9.35</v>
      </c>
      <c r="D133">
        <f>RTD("tos.rtd", , "BID_SIZE", ".SPY150508C202")</f>
        <v>100</v>
      </c>
      <c r="E133">
        <f>RTD("tos.rtd", , "VOLUME", ".SPY150508C202")</f>
        <v>3</v>
      </c>
      <c r="F133">
        <f>RTD("tos.rtd", , "OPEN_INT", ".SPY150508C202")</f>
        <v>146</v>
      </c>
      <c r="G133">
        <f>RTD("tos.rtd", , "DELTA", ".SPY150508C202")</f>
        <v>0.95323000000000002</v>
      </c>
      <c r="H133">
        <f>RTD("tos.rtd", , "THETA", ".SPY150508C202")</f>
        <v>-4.7719999999999999E-2</v>
      </c>
      <c r="I133">
        <f>RTD("tos.rtd", , "GAMMA", ".SPY150508C202")</f>
        <v>8.2000000000000007E-3</v>
      </c>
      <c r="J133">
        <f>RTD("tos.rtd", , "VEGA", ".SPY150508C202")</f>
        <v>2.2440000000000002E-2</v>
      </c>
      <c r="K133">
        <f>RTD("tos.rtd", , "RHO", ".SPY150508C202")</f>
        <v>6.7600000000000004E-3</v>
      </c>
      <c r="L133">
        <f>RTD("tos.rtd", , "ASK", ".SPY150508P202")</f>
        <v>0.04</v>
      </c>
      <c r="M133">
        <f>RTD("tos.rtd", , "ASK_SIZE", ".SPY150508P202")</f>
        <v>1200</v>
      </c>
      <c r="N133">
        <f>RTD("tos.rtd", , "BID", ".SPY150508P202")</f>
        <v>0.03</v>
      </c>
      <c r="O133">
        <f>RTD("tos.rtd", , "BID_SIZE", ".SPY150508P202")</f>
        <v>1200</v>
      </c>
      <c r="P133">
        <f>RTD("tos.rtd", , "VOLUME", ".SPY150508P202")</f>
        <v>2622</v>
      </c>
      <c r="Q133">
        <f>RTD("tos.rtd", , "OPEN_INT", ".SPY150508P202")</f>
        <v>13261</v>
      </c>
      <c r="R133">
        <f>RTD("tos.rtd", , "DELTA", ".SPY150508P202")</f>
        <v>-1.9879999999999998E-2</v>
      </c>
      <c r="S133">
        <f>RTD("tos.rtd", , "THETA", ".SPY150508P202")</f>
        <v>-2.6450000000000001E-2</v>
      </c>
      <c r="T133">
        <f>RTD("tos.rtd", , "GAMMA", ".SPY150508P202")</f>
        <v>1.0240000000000001E-2</v>
      </c>
      <c r="U133">
        <f>RTD("tos.rtd", , "VEGA", ".SPY150508P202")</f>
        <v>1.2070000000000001E-2</v>
      </c>
      <c r="V133">
        <f>RTD("tos.rtd", , "RHO", ".SPY150508P202")</f>
        <v>-5.8E-4</v>
      </c>
    </row>
    <row r="134" spans="1:22" x14ac:dyDescent="0.25">
      <c r="A134">
        <f>RTD("tos.rtd", , "ASK", ".SPY150508C202.5")</f>
        <v>9.1300000000000008</v>
      </c>
      <c r="B134">
        <f>RTD("tos.rtd", , "ASK_SIZE", ".SPY150508C202.5")</f>
        <v>105</v>
      </c>
      <c r="C134">
        <f>RTD("tos.rtd", , "BID", ".SPY150508C202.5")</f>
        <v>8.85</v>
      </c>
      <c r="D134">
        <f>RTD("tos.rtd", , "BID_SIZE", ".SPY150508C202.5")</f>
        <v>100</v>
      </c>
      <c r="E134">
        <f>RTD("tos.rtd", , "VOLUME", ".SPY150508C202.5")</f>
        <v>6</v>
      </c>
      <c r="F134">
        <f>RTD("tos.rtd", , "OPEN_INT", ".SPY150508C202.5")</f>
        <v>342</v>
      </c>
      <c r="G134">
        <f>RTD("tos.rtd", , "DELTA", ".SPY150508C202.5")</f>
        <v>0.95337000000000005</v>
      </c>
      <c r="H134">
        <f>RTD("tos.rtd", , "THETA", ".SPY150508C202.5")</f>
        <v>-4.5269999999999998E-2</v>
      </c>
      <c r="I134">
        <f>RTD("tos.rtd", , "GAMMA", ".SPY150508C202.5")</f>
        <v>9.1400000000000006E-3</v>
      </c>
      <c r="J134">
        <f>RTD("tos.rtd", , "VEGA", ".SPY150508C202.5")</f>
        <v>2.2450000000000001E-2</v>
      </c>
      <c r="K134">
        <f>RTD("tos.rtd", , "RHO", ".SPY150508C202.5")</f>
        <v>7.0299999999999998E-3</v>
      </c>
      <c r="L134">
        <f>RTD("tos.rtd", , "ASK", ".SPY150508P202.5")</f>
        <v>0.04</v>
      </c>
      <c r="M134">
        <f>RTD("tos.rtd", , "ASK_SIZE", ".SPY150508P202.5")</f>
        <v>1200</v>
      </c>
      <c r="N134">
        <f>RTD("tos.rtd", , "BID", ".SPY150508P202.5")</f>
        <v>0.03</v>
      </c>
      <c r="O134">
        <f>RTD("tos.rtd", , "BID_SIZE", ".SPY150508P202.5")</f>
        <v>1200</v>
      </c>
      <c r="P134">
        <f>RTD("tos.rtd", , "VOLUME", ".SPY150508P202.5")</f>
        <v>4039</v>
      </c>
      <c r="Q134">
        <f>RTD("tos.rtd", , "OPEN_INT", ".SPY150508P202.5")</f>
        <v>3595</v>
      </c>
      <c r="R134">
        <f>RTD("tos.rtd", , "DELTA", ".SPY150508P202.5")</f>
        <v>-2.0729999999999998E-2</v>
      </c>
      <c r="S134">
        <f>RTD("tos.rtd", , "THETA", ".SPY150508P202.5")</f>
        <v>-2.6069999999999999E-2</v>
      </c>
      <c r="T134">
        <f>RTD("tos.rtd", , "GAMMA", ".SPY150508P202.5")</f>
        <v>1.1129999999999999E-2</v>
      </c>
      <c r="U134">
        <f>RTD("tos.rtd", , "VEGA", ".SPY150508P202.5")</f>
        <v>1.252E-2</v>
      </c>
      <c r="V134">
        <f>RTD("tos.rtd", , "RHO", ".SPY150508P202.5")</f>
        <v>-6.0999999999999997E-4</v>
      </c>
    </row>
    <row r="135" spans="1:22" x14ac:dyDescent="0.25">
      <c r="A135">
        <f>RTD("tos.rtd", , "ASK", ".SPY150508C203")</f>
        <v>8.6300000000000008</v>
      </c>
      <c r="B135">
        <f>RTD("tos.rtd", , "ASK_SIZE", ".SPY150508C203")</f>
        <v>104</v>
      </c>
      <c r="C135">
        <f>RTD("tos.rtd", , "BID", ".SPY150508C203")</f>
        <v>8.35</v>
      </c>
      <c r="D135">
        <f>RTD("tos.rtd", , "BID_SIZE", ".SPY150508C203")</f>
        <v>100</v>
      </c>
      <c r="E135">
        <f>RTD("tos.rtd", , "VOLUME", ".SPY150508C203")</f>
        <v>0</v>
      </c>
      <c r="F135">
        <f>RTD("tos.rtd", , "OPEN_INT", ".SPY150508C203")</f>
        <v>223</v>
      </c>
      <c r="G135">
        <f>RTD("tos.rtd", , "DELTA", ".SPY150508C203")</f>
        <v>0.95345999999999997</v>
      </c>
      <c r="H135">
        <f>RTD("tos.rtd", , "THETA", ".SPY150508C203")</f>
        <v>-4.2860000000000002E-2</v>
      </c>
      <c r="I135">
        <f>RTD("tos.rtd", , "GAMMA", ".SPY150508C203")</f>
        <v>1.0240000000000001E-2</v>
      </c>
      <c r="J135">
        <f>RTD("tos.rtd", , "VEGA", ".SPY150508C203")</f>
        <v>2.248E-2</v>
      </c>
      <c r="K135">
        <f>RTD("tos.rtd", , "RHO", ".SPY150508C203")</f>
        <v>7.3299999999999997E-3</v>
      </c>
      <c r="L135">
        <f>RTD("tos.rtd", , "ASK", ".SPY150508P203")</f>
        <v>0.04</v>
      </c>
      <c r="M135">
        <f>RTD("tos.rtd", , "ASK_SIZE", ".SPY150508P203")</f>
        <v>1</v>
      </c>
      <c r="N135">
        <f>RTD("tos.rtd", , "BID", ".SPY150508P203")</f>
        <v>0.03</v>
      </c>
      <c r="O135">
        <f>RTD("tos.rtd", , "BID_SIZE", ".SPY150508P203")</f>
        <v>1300</v>
      </c>
      <c r="P135">
        <f>RTD("tos.rtd", , "VOLUME", ".SPY150508P203")</f>
        <v>1497</v>
      </c>
      <c r="Q135">
        <f>RTD("tos.rtd", , "OPEN_INT", ".SPY150508P203")</f>
        <v>10864</v>
      </c>
      <c r="R135">
        <f>RTD("tos.rtd", , "DELTA", ".SPY150508P203")</f>
        <v>-2.181E-2</v>
      </c>
      <c r="S135">
        <f>RTD("tos.rtd", , "THETA", ".SPY150508P203")</f>
        <v>-2.5839999999999998E-2</v>
      </c>
      <c r="T135">
        <f>RTD("tos.rtd", , "GAMMA", ".SPY150508P203")</f>
        <v>1.2200000000000001E-2</v>
      </c>
      <c r="U135">
        <f>RTD("tos.rtd", , "VEGA", ".SPY150508P203")</f>
        <v>1.307E-2</v>
      </c>
      <c r="V135">
        <f>RTD("tos.rtd", , "RHO", ".SPY150508P203")</f>
        <v>-6.4000000000000005E-4</v>
      </c>
    </row>
    <row r="136" spans="1:22" x14ac:dyDescent="0.25">
      <c r="A136">
        <f>RTD("tos.rtd", , "ASK", ".SPY150508C203.5")</f>
        <v>8.11</v>
      </c>
      <c r="B136">
        <f>RTD("tos.rtd", , "ASK_SIZE", ".SPY150508C203.5")</f>
        <v>100</v>
      </c>
      <c r="C136">
        <f>RTD("tos.rtd", , "BID", ".SPY150508C203.5")</f>
        <v>7.86</v>
      </c>
      <c r="D136">
        <f>RTD("tos.rtd", , "BID_SIZE", ".SPY150508C203.5")</f>
        <v>100</v>
      </c>
      <c r="E136">
        <f>RTD("tos.rtd", , "VOLUME", ".SPY150508C203.5")</f>
        <v>0</v>
      </c>
      <c r="F136">
        <f>RTD("tos.rtd", , "OPEN_INT", ".SPY150508C203.5")</f>
        <v>492</v>
      </c>
      <c r="G136">
        <f>RTD("tos.rtd", , "DELTA", ".SPY150508C203.5")</f>
        <v>0.95465</v>
      </c>
      <c r="H136">
        <f>RTD("tos.rtd", , "THETA", ".SPY150508C203.5")</f>
        <v>-3.8969999999999998E-2</v>
      </c>
      <c r="I136">
        <f>RTD("tos.rtd", , "GAMMA", ".SPY150508C203.5")</f>
        <v>1.0670000000000001E-2</v>
      </c>
      <c r="J136">
        <f>RTD("tos.rtd", , "VEGA", ".SPY150508C203.5")</f>
        <v>2.198E-2</v>
      </c>
      <c r="K136">
        <f>RTD("tos.rtd", , "RHO", ".SPY150508C203.5")</f>
        <v>7.0899999999999999E-3</v>
      </c>
      <c r="L136">
        <f>RTD("tos.rtd", , "ASK", ".SPY150508P203.5")</f>
        <v>0.05</v>
      </c>
      <c r="M136">
        <f>RTD("tos.rtd", , "ASK_SIZE", ".SPY150508P203.5")</f>
        <v>1200</v>
      </c>
      <c r="N136">
        <f>RTD("tos.rtd", , "BID", ".SPY150508P203.5")</f>
        <v>0.04</v>
      </c>
      <c r="O136">
        <f>RTD("tos.rtd", , "BID_SIZE", ".SPY150508P203.5")</f>
        <v>1200</v>
      </c>
      <c r="P136">
        <f>RTD("tos.rtd", , "VOLUME", ".SPY150508P203.5")</f>
        <v>4805</v>
      </c>
      <c r="Q136">
        <f>RTD("tos.rtd", , "OPEN_INT", ".SPY150508P203.5")</f>
        <v>7449</v>
      </c>
      <c r="R136">
        <f>RTD("tos.rtd", , "DELTA", ".SPY150508P203.5")</f>
        <v>-2.7709999999999999E-2</v>
      </c>
      <c r="S136">
        <f>RTD("tos.rtd", , "THETA", ".SPY150508P203.5")</f>
        <v>-3.0710000000000001E-2</v>
      </c>
      <c r="T136">
        <f>RTD("tos.rtd", , "GAMMA", ".SPY150508P203.5")</f>
        <v>1.507E-2</v>
      </c>
      <c r="U136">
        <f>RTD("tos.rtd", , "VEGA", ".SPY150508P203.5")</f>
        <v>1.5959999999999998E-2</v>
      </c>
      <c r="V136">
        <f>RTD("tos.rtd", , "RHO", ".SPY150508P203.5")</f>
        <v>-8.0999999999999996E-4</v>
      </c>
    </row>
    <row r="137" spans="1:22" x14ac:dyDescent="0.25">
      <c r="A137">
        <f>RTD("tos.rtd", , "ASK", ".SPY150508C204")</f>
        <v>7.61</v>
      </c>
      <c r="B137">
        <f>RTD("tos.rtd", , "ASK_SIZE", ".SPY150508C204")</f>
        <v>100</v>
      </c>
      <c r="C137">
        <f>RTD("tos.rtd", , "BID", ".SPY150508C204")</f>
        <v>7.35</v>
      </c>
      <c r="D137">
        <f>RTD("tos.rtd", , "BID_SIZE", ".SPY150508C204")</f>
        <v>100</v>
      </c>
      <c r="E137">
        <f>RTD("tos.rtd", , "VOLUME", ".SPY150508C204")</f>
        <v>37</v>
      </c>
      <c r="F137">
        <f>RTD("tos.rtd", , "OPEN_INT", ".SPY150508C204")</f>
        <v>423</v>
      </c>
      <c r="G137">
        <f>RTD("tos.rtd", , "DELTA", ".SPY150508C204")</f>
        <v>0.95611999999999997</v>
      </c>
      <c r="H137">
        <f>RTD("tos.rtd", , "THETA", ".SPY150508C204")</f>
        <v>-3.4939999999999999E-2</v>
      </c>
      <c r="I137">
        <f>RTD("tos.rtd", , "GAMMA", ".SPY150508C204")</f>
        <v>1.099E-2</v>
      </c>
      <c r="J137">
        <f>RTD("tos.rtd", , "VEGA", ".SPY150508C204")</f>
        <v>2.1319999999999999E-2</v>
      </c>
      <c r="K137">
        <f>RTD("tos.rtd", , "RHO", ".SPY150508C204")</f>
        <v>6.7200000000000003E-3</v>
      </c>
      <c r="L137">
        <f>RTD("tos.rtd", , "ASK", ".SPY150508P204")</f>
        <v>0.06</v>
      </c>
      <c r="M137">
        <f>RTD("tos.rtd", , "ASK_SIZE", ".SPY150508P204")</f>
        <v>1200</v>
      </c>
      <c r="N137">
        <f>RTD("tos.rtd", , "BID", ".SPY150508P204")</f>
        <v>0.05</v>
      </c>
      <c r="O137">
        <f>RTD("tos.rtd", , "BID_SIZE", ".SPY150508P204")</f>
        <v>1200</v>
      </c>
      <c r="P137">
        <f>RTD("tos.rtd", , "VOLUME", ".SPY150508P204")</f>
        <v>751</v>
      </c>
      <c r="Q137">
        <f>RTD("tos.rtd", , "OPEN_INT", ".SPY150508P204")</f>
        <v>13610</v>
      </c>
      <c r="R137">
        <f>RTD("tos.rtd", , "DELTA", ".SPY150508P204")</f>
        <v>-3.363E-2</v>
      </c>
      <c r="S137">
        <f>RTD("tos.rtd", , "THETA", ".SPY150508P204")</f>
        <v>-3.4819999999999997E-2</v>
      </c>
      <c r="T137">
        <f>RTD("tos.rtd", , "GAMMA", ".SPY150508P204")</f>
        <v>1.805E-2</v>
      </c>
      <c r="U137">
        <f>RTD("tos.rtd", , "VEGA", ".SPY150508P204")</f>
        <v>1.8720000000000001E-2</v>
      </c>
      <c r="V137">
        <f>RTD("tos.rtd", , "RHO", ".SPY150508P204")</f>
        <v>-9.7999999999999997E-4</v>
      </c>
    </row>
    <row r="138" spans="1:22" x14ac:dyDescent="0.25">
      <c r="A138">
        <f>RTD("tos.rtd", , "ASK", ".SPY150508C204.5")</f>
        <v>7.12</v>
      </c>
      <c r="B138">
        <f>RTD("tos.rtd", , "ASK_SIZE", ".SPY150508C204.5")</f>
        <v>121</v>
      </c>
      <c r="C138">
        <f>RTD("tos.rtd", , "BID", ".SPY150508C204.5")</f>
        <v>6.88</v>
      </c>
      <c r="D138">
        <f>RTD("tos.rtd", , "BID_SIZE", ".SPY150508C204.5")</f>
        <v>111</v>
      </c>
      <c r="E138">
        <f>RTD("tos.rtd", , "VOLUME", ".SPY150508C204.5")</f>
        <v>80</v>
      </c>
      <c r="F138">
        <f>RTD("tos.rtd", , "OPEN_INT", ".SPY150508C204.5")</f>
        <v>158</v>
      </c>
      <c r="G138">
        <f>RTD("tos.rtd", , "DELTA", ".SPY150508C204.5")</f>
        <v>0.95025000000000004</v>
      </c>
      <c r="H138">
        <f>RTD("tos.rtd", , "THETA", ".SPY150508C204.5")</f>
        <v>-3.925E-2</v>
      </c>
      <c r="I138">
        <f>RTD("tos.rtd", , "GAMMA", ".SPY150508C204.5")</f>
        <v>1.6910000000000001E-2</v>
      </c>
      <c r="J138">
        <f>RTD("tos.rtd", , "VEGA", ".SPY150508C204.5")</f>
        <v>2.4209999999999999E-2</v>
      </c>
      <c r="K138">
        <f>RTD("tos.rtd", , "RHO", ".SPY150508C204.5")</f>
        <v>9.4299999999999991E-3</v>
      </c>
      <c r="L138">
        <f>RTD("tos.rtd", , "ASK", ".SPY150508P204.5")</f>
        <v>0.06</v>
      </c>
      <c r="M138">
        <f>RTD("tos.rtd", , "ASK_SIZE", ".SPY150508P204.5")</f>
        <v>1</v>
      </c>
      <c r="N138">
        <f>RTD("tos.rtd", , "BID", ".SPY150508P204.5")</f>
        <v>0.05</v>
      </c>
      <c r="O138">
        <f>RTD("tos.rtd", , "BID_SIZE", ".SPY150508P204.5")</f>
        <v>1200</v>
      </c>
      <c r="P138">
        <f>RTD("tos.rtd", , "VOLUME", ".SPY150508P204.5")</f>
        <v>3436</v>
      </c>
      <c r="Q138">
        <f>RTD("tos.rtd", , "OPEN_INT", ".SPY150508P204.5")</f>
        <v>8207</v>
      </c>
      <c r="R138">
        <f>RTD("tos.rtd", , "DELTA", ".SPY150508P204.5")</f>
        <v>-3.5400000000000001E-2</v>
      </c>
      <c r="S138">
        <f>RTD("tos.rtd", , "THETA", ".SPY150508P204.5")</f>
        <v>-3.4160000000000003E-2</v>
      </c>
      <c r="T138">
        <f>RTD("tos.rtd", , "GAMMA", ".SPY150508P204.5")</f>
        <v>1.9970000000000002E-2</v>
      </c>
      <c r="U138">
        <f>RTD("tos.rtd", , "VEGA", ".SPY150508P204.5")</f>
        <v>1.9539999999999998E-2</v>
      </c>
      <c r="V138">
        <f>RTD("tos.rtd", , "RHO", ".SPY150508P204.5")</f>
        <v>-1.0300000000000001E-3</v>
      </c>
    </row>
    <row r="139" spans="1:22" x14ac:dyDescent="0.25">
      <c r="A139">
        <f>RTD("tos.rtd", , "ASK", ".SPY150508C205")</f>
        <v>6.6</v>
      </c>
      <c r="B139">
        <f>RTD("tos.rtd", , "ASK_SIZE", ".SPY150508C205")</f>
        <v>2</v>
      </c>
      <c r="C139">
        <f>RTD("tos.rtd", , "BID", ".SPY150508C205")</f>
        <v>6.38</v>
      </c>
      <c r="D139">
        <f>RTD("tos.rtd", , "BID_SIZE", ".SPY150508C205")</f>
        <v>160</v>
      </c>
      <c r="E139">
        <f>RTD("tos.rtd", , "VOLUME", ".SPY150508C205")</f>
        <v>18</v>
      </c>
      <c r="F139">
        <f>RTD("tos.rtd", , "OPEN_INT", ".SPY150508C205")</f>
        <v>206</v>
      </c>
      <c r="G139">
        <f>RTD("tos.rtd", , "DELTA", ".SPY150508C205")</f>
        <v>0.95304999999999995</v>
      </c>
      <c r="H139">
        <f>RTD("tos.rtd", , "THETA", ".SPY150508C205")</f>
        <v>-3.3759999999999998E-2</v>
      </c>
      <c r="I139">
        <f>RTD("tos.rtd", , "GAMMA", ".SPY150508C205")</f>
        <v>1.7229999999999999E-2</v>
      </c>
      <c r="J139">
        <f>RTD("tos.rtd", , "VEGA", ".SPY150508C205")</f>
        <v>2.298E-2</v>
      </c>
      <c r="K139">
        <f>RTD("tos.rtd", , "RHO", ".SPY150508C205")</f>
        <v>8.7399999999999995E-3</v>
      </c>
      <c r="L139">
        <f>RTD("tos.rtd", , "ASK", ".SPY150508P205")</f>
        <v>0.08</v>
      </c>
      <c r="M139">
        <f>RTD("tos.rtd", , "ASK_SIZE", ".SPY150508P205")</f>
        <v>1200</v>
      </c>
      <c r="N139">
        <f>RTD("tos.rtd", , "BID", ".SPY150508P205")</f>
        <v>7.0000000000000007E-2</v>
      </c>
      <c r="O139">
        <f>RTD("tos.rtd", , "BID_SIZE", ".SPY150508P205")</f>
        <v>1200</v>
      </c>
      <c r="P139">
        <f>RTD("tos.rtd", , "VOLUME", ".SPY150508P205")</f>
        <v>751</v>
      </c>
      <c r="Q139">
        <f>RTD("tos.rtd", , "OPEN_INT", ".SPY150508P205")</f>
        <v>18251</v>
      </c>
      <c r="R139">
        <f>RTD("tos.rtd", , "DELTA", ".SPY150508P205")</f>
        <v>-4.6219999999999997E-2</v>
      </c>
      <c r="S139">
        <f>RTD("tos.rtd", , "THETA", ".SPY150508P205")</f>
        <v>-4.1419999999999998E-2</v>
      </c>
      <c r="T139">
        <f>RTD("tos.rtd", , "GAMMA", ".SPY150508P205")</f>
        <v>2.4910000000000002E-2</v>
      </c>
      <c r="U139">
        <f>RTD("tos.rtd", , "VEGA", ".SPY150508P205")</f>
        <v>2.4230000000000002E-2</v>
      </c>
      <c r="V139">
        <f>RTD("tos.rtd", , "RHO", ".SPY150508P205")</f>
        <v>-1.3500000000000001E-3</v>
      </c>
    </row>
    <row r="140" spans="1:22" x14ac:dyDescent="0.25">
      <c r="A140">
        <f>RTD("tos.rtd", , "ASK", ".SPY150508C205.5")</f>
        <v>6.14</v>
      </c>
      <c r="B140">
        <f>RTD("tos.rtd", , "ASK_SIZE", ".SPY150508C205.5")</f>
        <v>199</v>
      </c>
      <c r="C140">
        <f>RTD("tos.rtd", , "BID", ".SPY150508C205.5")</f>
        <v>5.89</v>
      </c>
      <c r="D140">
        <f>RTD("tos.rtd", , "BID_SIZE", ".SPY150508C205.5")</f>
        <v>111</v>
      </c>
      <c r="E140">
        <f>RTD("tos.rtd", , "VOLUME", ".SPY150508C205.5")</f>
        <v>0</v>
      </c>
      <c r="F140">
        <f>RTD("tos.rtd", , "OPEN_INT", ".SPY150508C205.5")</f>
        <v>64</v>
      </c>
      <c r="G140">
        <f>RTD("tos.rtd", , "DELTA", ".SPY150508C205.5")</f>
        <v>0.94293000000000005</v>
      </c>
      <c r="H140">
        <f>RTD("tos.rtd", , "THETA", ".SPY150508C205.5")</f>
        <v>-4.0090000000000001E-2</v>
      </c>
      <c r="I140">
        <f>RTD("tos.rtd", , "GAMMA", ".SPY150508C205.5")</f>
        <v>2.5219999999999999E-2</v>
      </c>
      <c r="J140">
        <f>RTD("tos.rtd", , "VEGA", ".SPY150508C205.5")</f>
        <v>2.7519999999999999E-2</v>
      </c>
      <c r="K140">
        <f>RTD("tos.rtd", , "RHO", ".SPY150508C205.5")</f>
        <v>1.1679999999999999E-2</v>
      </c>
      <c r="L140">
        <f>RTD("tos.rtd", , "ASK", ".SPY150508P205.5")</f>
        <v>0.1</v>
      </c>
      <c r="M140">
        <f>RTD("tos.rtd", , "ASK_SIZE", ".SPY150508P205.5")</f>
        <v>1766</v>
      </c>
      <c r="N140">
        <f>RTD("tos.rtd", , "BID", ".SPY150508P205.5")</f>
        <v>0.08</v>
      </c>
      <c r="O140">
        <f>RTD("tos.rtd", , "BID_SIZE", ".SPY150508P205.5")</f>
        <v>1084</v>
      </c>
      <c r="P140">
        <f>RTD("tos.rtd", , "VOLUME", ".SPY150508P205.5")</f>
        <v>1216</v>
      </c>
      <c r="Q140">
        <f>RTD("tos.rtd", , "OPEN_INT", ".SPY150508P205.5")</f>
        <v>9750</v>
      </c>
      <c r="R140">
        <f>RTD("tos.rtd", , "DELTA", ".SPY150508P205.5")</f>
        <v>-5.5379999999999999E-2</v>
      </c>
      <c r="S140">
        <f>RTD("tos.rtd", , "THETA", ".SPY150508P205.5")</f>
        <v>-4.5929999999999999E-2</v>
      </c>
      <c r="T140">
        <f>RTD("tos.rtd", , "GAMMA", ".SPY150508P205.5")</f>
        <v>2.9590000000000002E-2</v>
      </c>
      <c r="U140">
        <f>RTD("tos.rtd", , "VEGA", ".SPY150508P205.5")</f>
        <v>2.7959999999999999E-2</v>
      </c>
      <c r="V140">
        <f>RTD("tos.rtd", , "RHO", ".SPY150508P205.5")</f>
        <v>-1.6199999999999999E-3</v>
      </c>
    </row>
    <row r="141" spans="1:22" x14ac:dyDescent="0.25">
      <c r="A141">
        <f>RTD("tos.rtd", , "ASK", ".SPY150508C206")</f>
        <v>5.65</v>
      </c>
      <c r="B141">
        <f>RTD("tos.rtd", , "ASK_SIZE", ".SPY150508C206")</f>
        <v>199</v>
      </c>
      <c r="C141">
        <f>RTD("tos.rtd", , "BID", ".SPY150508C206")</f>
        <v>5.41</v>
      </c>
      <c r="D141">
        <f>RTD("tos.rtd", , "BID_SIZE", ".SPY150508C206")</f>
        <v>199</v>
      </c>
      <c r="E141">
        <f>RTD("tos.rtd", , "VOLUME", ".SPY150508C206")</f>
        <v>36</v>
      </c>
      <c r="F141">
        <f>RTD("tos.rtd", , "OPEN_INT", ".SPY150508C206")</f>
        <v>386</v>
      </c>
      <c r="G141">
        <f>RTD("tos.rtd", , "DELTA", ".SPY150508C206")</f>
        <v>0.93491000000000002</v>
      </c>
      <c r="H141">
        <f>RTD("tos.rtd", , "THETA", ".SPY150508C206")</f>
        <v>-4.2979999999999997E-2</v>
      </c>
      <c r="I141">
        <f>RTD("tos.rtd", , "GAMMA", ".SPY150508C206")</f>
        <v>3.1559999999999998E-2</v>
      </c>
      <c r="J141">
        <f>RTD("tos.rtd", , "VEGA", ".SPY150508C206")</f>
        <v>3.083E-2</v>
      </c>
      <c r="K141">
        <f>RTD("tos.rtd", , "RHO", ".SPY150508C206")</f>
        <v>1.324E-2</v>
      </c>
      <c r="L141">
        <f>RTD("tos.rtd", , "ASK", ".SPY150508P206")</f>
        <v>0.11</v>
      </c>
      <c r="M141">
        <f>RTD("tos.rtd", , "ASK_SIZE", ".SPY150508P206")</f>
        <v>932</v>
      </c>
      <c r="N141">
        <f>RTD("tos.rtd", , "BID", ".SPY150508P206")</f>
        <v>0.1</v>
      </c>
      <c r="O141">
        <f>RTD("tos.rtd", , "BID_SIZE", ".SPY150508P206")</f>
        <v>101</v>
      </c>
      <c r="P141">
        <f>RTD("tos.rtd", , "VOLUME", ".SPY150508P206")</f>
        <v>8902</v>
      </c>
      <c r="Q141">
        <f>RTD("tos.rtd", , "OPEN_INT", ".SPY150508P206")</f>
        <v>24952</v>
      </c>
      <c r="R141">
        <f>RTD("tos.rtd", , "DELTA", ".SPY150508P206")</f>
        <v>-6.5180000000000002E-2</v>
      </c>
      <c r="S141">
        <f>RTD("tos.rtd", , "THETA", ".SPY150508P206")</f>
        <v>-4.9779999999999998E-2</v>
      </c>
      <c r="T141">
        <f>RTD("tos.rtd", , "GAMMA", ".SPY150508P206")</f>
        <v>3.4860000000000002E-2</v>
      </c>
      <c r="U141">
        <f>RTD("tos.rtd", , "VEGA", ".SPY150508P206")</f>
        <v>3.1739999999999997E-2</v>
      </c>
      <c r="V141">
        <f>RTD("tos.rtd", , "RHO", ".SPY150508P206")</f>
        <v>-1.9E-3</v>
      </c>
    </row>
    <row r="142" spans="1:22" x14ac:dyDescent="0.25">
      <c r="A142">
        <f>RTD("tos.rtd", , "ASK", ".SPY150508C206.5")</f>
        <v>5.16</v>
      </c>
      <c r="B142">
        <f>RTD("tos.rtd", , "ASK_SIZE", ".SPY150508C206.5")</f>
        <v>199</v>
      </c>
      <c r="C142">
        <f>RTD("tos.rtd", , "BID", ".SPY150508C206.5")</f>
        <v>4.93</v>
      </c>
      <c r="D142">
        <f>RTD("tos.rtd", , "BID_SIZE", ".SPY150508C206.5")</f>
        <v>199</v>
      </c>
      <c r="E142">
        <f>RTD("tos.rtd", , "VOLUME", ".SPY150508C206.5")</f>
        <v>11</v>
      </c>
      <c r="F142">
        <f>RTD("tos.rtd", , "OPEN_INT", ".SPY150508C206.5")</f>
        <v>487</v>
      </c>
      <c r="G142">
        <f>RTD("tos.rtd", , "DELTA", ".SPY150508C206.5")</f>
        <v>0.92559000000000002</v>
      </c>
      <c r="H142">
        <f>RTD("tos.rtd", , "THETA", ".SPY150508C206.5")</f>
        <v>-4.5569999999999999E-2</v>
      </c>
      <c r="I142">
        <f>RTD("tos.rtd", , "GAMMA", ".SPY150508C206.5")</f>
        <v>3.8600000000000002E-2</v>
      </c>
      <c r="J142">
        <f>RTD("tos.rtd", , "VEGA", ".SPY150508C206.5")</f>
        <v>3.4430000000000002E-2</v>
      </c>
      <c r="K142">
        <f>RTD("tos.rtd", , "RHO", ".SPY150508C206.5")</f>
        <v>1.456E-2</v>
      </c>
      <c r="L142">
        <f>RTD("tos.rtd", , "ASK", ".SPY150508P206.5")</f>
        <v>0.13</v>
      </c>
      <c r="M142">
        <f>RTD("tos.rtd", , "ASK_SIZE", ".SPY150508P206.5")</f>
        <v>100</v>
      </c>
      <c r="N142">
        <f>RTD("tos.rtd", , "BID", ".SPY150508P206.5")</f>
        <v>0.11</v>
      </c>
      <c r="O142">
        <f>RTD("tos.rtd", , "BID_SIZE", ".SPY150508P206.5")</f>
        <v>2245</v>
      </c>
      <c r="P142">
        <f>RTD("tos.rtd", , "VOLUME", ".SPY150508P206.5")</f>
        <v>1837</v>
      </c>
      <c r="Q142">
        <f>RTD("tos.rtd", , "OPEN_INT", ".SPY150508P206.5")</f>
        <v>9115</v>
      </c>
      <c r="R142">
        <f>RTD("tos.rtd", , "DELTA", ".SPY150508P206.5")</f>
        <v>-7.5999999999999998E-2</v>
      </c>
      <c r="S142">
        <f>RTD("tos.rtd", , "THETA", ".SPY150508P206.5")</f>
        <v>-5.3129999999999997E-2</v>
      </c>
      <c r="T142">
        <f>RTD("tos.rtd", , "GAMMA", ".SPY150508P206.5")</f>
        <v>4.0969999999999999E-2</v>
      </c>
      <c r="U142">
        <f>RTD("tos.rtd", , "VEGA", ".SPY150508P206.5")</f>
        <v>3.5700000000000003E-2</v>
      </c>
      <c r="V142">
        <f>RTD("tos.rtd", , "RHO", ".SPY150508P206.5")</f>
        <v>-2.2200000000000002E-3</v>
      </c>
    </row>
    <row r="143" spans="1:22" x14ac:dyDescent="0.25">
      <c r="A143">
        <f>RTD("tos.rtd", , "ASK", ".SPY150508C207")</f>
        <v>4.6900000000000004</v>
      </c>
      <c r="B143">
        <f>RTD("tos.rtd", , "ASK_SIZE", ".SPY150508C207")</f>
        <v>160</v>
      </c>
      <c r="C143">
        <f>RTD("tos.rtd", , "BID", ".SPY150508C207")</f>
        <v>4.45</v>
      </c>
      <c r="D143">
        <f>RTD("tos.rtd", , "BID_SIZE", ".SPY150508C207")</f>
        <v>160</v>
      </c>
      <c r="E143">
        <f>RTD("tos.rtd", , "VOLUME", ".SPY150508C207")</f>
        <v>21</v>
      </c>
      <c r="F143">
        <f>RTD("tos.rtd", , "OPEN_INT", ".SPY150508C207")</f>
        <v>1744</v>
      </c>
      <c r="G143">
        <f>RTD("tos.rtd", , "DELTA", ".SPY150508C207")</f>
        <v>0.91051000000000004</v>
      </c>
      <c r="H143">
        <f>RTD("tos.rtd", , "THETA", ".SPY150508C207")</f>
        <v>-5.0659999999999997E-2</v>
      </c>
      <c r="I143">
        <f>RTD("tos.rtd", , "GAMMA", ".SPY150508C207")</f>
        <v>4.7600000000000003E-2</v>
      </c>
      <c r="J143">
        <f>RTD("tos.rtd", , "VEGA", ".SPY150508C207")</f>
        <v>3.9820000000000001E-2</v>
      </c>
      <c r="K143">
        <f>RTD("tos.rtd", , "RHO", ".SPY150508C207")</f>
        <v>1.6039999999999999E-2</v>
      </c>
      <c r="L143">
        <f>RTD("tos.rtd", , "ASK", ".SPY150508P207")</f>
        <v>0.16</v>
      </c>
      <c r="M143">
        <f>RTD("tos.rtd", , "ASK_SIZE", ".SPY150508P207")</f>
        <v>706</v>
      </c>
      <c r="N143">
        <f>RTD("tos.rtd", , "BID", ".SPY150508P207")</f>
        <v>0.14000000000000001</v>
      </c>
      <c r="O143">
        <f>RTD("tos.rtd", , "BID_SIZE", ".SPY150508P207")</f>
        <v>2376</v>
      </c>
      <c r="P143">
        <f>RTD("tos.rtd", , "VOLUME", ".SPY150508P207")</f>
        <v>24747</v>
      </c>
      <c r="Q143">
        <f>RTD("tos.rtd", , "OPEN_INT", ".SPY150508P207")</f>
        <v>24623</v>
      </c>
      <c r="R143">
        <f>RTD("tos.rtd", , "DELTA", ".SPY150508P207")</f>
        <v>-9.3460000000000001E-2</v>
      </c>
      <c r="S143">
        <f>RTD("tos.rtd", , "THETA", ".SPY150508P207")</f>
        <v>-5.969E-2</v>
      </c>
      <c r="T143">
        <f>RTD("tos.rtd", , "GAMMA", ".SPY150508P207")</f>
        <v>4.9099999999999998E-2</v>
      </c>
      <c r="U143">
        <f>RTD("tos.rtd", , "VEGA", ".SPY150508P207")</f>
        <v>4.165E-2</v>
      </c>
      <c r="V143">
        <f>RTD("tos.rtd", , "RHO", ".SPY150508P207")</f>
        <v>-2.7299999999999998E-3</v>
      </c>
    </row>
    <row r="144" spans="1:22" x14ac:dyDescent="0.25">
      <c r="A144">
        <f>RTD("tos.rtd", , "ASK", ".SPY150508C207.5")</f>
        <v>4.22</v>
      </c>
      <c r="B144">
        <f>RTD("tos.rtd", , "ASK_SIZE", ".SPY150508C207.5")</f>
        <v>311</v>
      </c>
      <c r="C144">
        <f>RTD("tos.rtd", , "BID", ".SPY150508C207.5")</f>
        <v>3.99</v>
      </c>
      <c r="D144">
        <f>RTD("tos.rtd", , "BID_SIZE", ".SPY150508C207.5")</f>
        <v>199</v>
      </c>
      <c r="E144">
        <f>RTD("tos.rtd", , "VOLUME", ".SPY150508C207.5")</f>
        <v>33</v>
      </c>
      <c r="F144">
        <f>RTD("tos.rtd", , "OPEN_INT", ".SPY150508C207.5")</f>
        <v>2605</v>
      </c>
      <c r="G144">
        <f>RTD("tos.rtd", , "DELTA", ".SPY150508C207.5")</f>
        <v>0.89012999999999998</v>
      </c>
      <c r="H144">
        <f>RTD("tos.rtd", , "THETA", ".SPY150508C207.5")</f>
        <v>-5.7090000000000002E-2</v>
      </c>
      <c r="I144">
        <f>RTD("tos.rtd", , "GAMMA", ".SPY150508C207.5")</f>
        <v>5.8009999999999999E-2</v>
      </c>
      <c r="J144">
        <f>RTD("tos.rtd", , "VEGA", ".SPY150508C207.5")</f>
        <v>4.6449999999999998E-2</v>
      </c>
      <c r="K144">
        <f>RTD("tos.rtd", , "RHO", ".SPY150508C207.5")</f>
        <v>1.7319999999999999E-2</v>
      </c>
      <c r="L144">
        <f>RTD("tos.rtd", , "ASK", ".SPY150508P207.5")</f>
        <v>0.2</v>
      </c>
      <c r="M144">
        <f>RTD("tos.rtd", , "ASK_SIZE", ".SPY150508P207.5")</f>
        <v>610</v>
      </c>
      <c r="N144">
        <f>RTD("tos.rtd", , "BID", ".SPY150508P207.5")</f>
        <v>0.18</v>
      </c>
      <c r="O144">
        <f>RTD("tos.rtd", , "BID_SIZE", ".SPY150508P207.5")</f>
        <v>111</v>
      </c>
      <c r="P144">
        <f>RTD("tos.rtd", , "VOLUME", ".SPY150508P207.5")</f>
        <v>2689</v>
      </c>
      <c r="Q144">
        <f>RTD("tos.rtd", , "OPEN_INT", ".SPY150508P207.5")</f>
        <v>19475</v>
      </c>
      <c r="R144">
        <f>RTD("tos.rtd", , "DELTA", ".SPY150508P207.5")</f>
        <v>-0.11576</v>
      </c>
      <c r="S144">
        <f>RTD("tos.rtd", , "THETA", ".SPY150508P207.5")</f>
        <v>-6.7280000000000006E-2</v>
      </c>
      <c r="T144">
        <f>RTD("tos.rtd", , "GAMMA", ".SPY150508P207.5")</f>
        <v>5.8639999999999998E-2</v>
      </c>
      <c r="U144">
        <f>RTD("tos.rtd", , "VEGA", ".SPY150508P207.5")</f>
        <v>4.8579999999999998E-2</v>
      </c>
      <c r="V144">
        <f>RTD("tos.rtd", , "RHO", ".SPY150508P207.5")</f>
        <v>-3.3800000000000002E-3</v>
      </c>
    </row>
    <row r="145" spans="1:22" x14ac:dyDescent="0.25">
      <c r="A145">
        <f>RTD("tos.rtd", , "ASK", ".SPY150508C208")</f>
        <v>3.76</v>
      </c>
      <c r="B145">
        <f>RTD("tos.rtd", , "ASK_SIZE", ".SPY150508C208")</f>
        <v>199</v>
      </c>
      <c r="C145">
        <f>RTD("tos.rtd", , "BID", ".SPY150508C208")</f>
        <v>3.53</v>
      </c>
      <c r="D145">
        <f>RTD("tos.rtd", , "BID_SIZE", ".SPY150508C208")</f>
        <v>137</v>
      </c>
      <c r="E145">
        <f>RTD("tos.rtd", , "VOLUME", ".SPY150508C208")</f>
        <v>997</v>
      </c>
      <c r="F145">
        <f>RTD("tos.rtd", , "OPEN_INT", ".SPY150508C208")</f>
        <v>4990</v>
      </c>
      <c r="G145">
        <f>RTD("tos.rtd", , "DELTA", ".SPY150508C208")</f>
        <v>0.86609999999999998</v>
      </c>
      <c r="H145">
        <f>RTD("tos.rtd", , "THETA", ".SPY150508C208")</f>
        <v>-6.3130000000000006E-2</v>
      </c>
      <c r="I145">
        <f>RTD("tos.rtd", , "GAMMA", ".SPY150508C208")</f>
        <v>6.9559999999999997E-2</v>
      </c>
      <c r="J145">
        <f>RTD("tos.rtd", , "VEGA", ".SPY150508C208")</f>
        <v>5.348E-2</v>
      </c>
      <c r="K145">
        <f>RTD("tos.rtd", , "RHO", ".SPY150508C208")</f>
        <v>1.823E-2</v>
      </c>
      <c r="L145">
        <f>RTD("tos.rtd", , "ASK", ".SPY150508P208")</f>
        <v>0.24</v>
      </c>
      <c r="M145">
        <f>RTD("tos.rtd", , "ASK_SIZE", ".SPY150508P208")</f>
        <v>538</v>
      </c>
      <c r="N145">
        <f>RTD("tos.rtd", , "BID", ".SPY150508P208")</f>
        <v>0.22</v>
      </c>
      <c r="O145">
        <f>RTD("tos.rtd", , "BID_SIZE", ".SPY150508P208")</f>
        <v>183</v>
      </c>
      <c r="P145">
        <f>RTD("tos.rtd", , "VOLUME", ".SPY150508P208")</f>
        <v>27693</v>
      </c>
      <c r="Q145">
        <f>RTD("tos.rtd", , "OPEN_INT", ".SPY150508P208")</f>
        <v>37262</v>
      </c>
      <c r="R145">
        <f>RTD("tos.rtd", , "DELTA", ".SPY150508P208")</f>
        <v>-0.13958000000000001</v>
      </c>
      <c r="S145">
        <f>RTD("tos.rtd", , "THETA", ".SPY150508P208")</f>
        <v>-7.3130000000000001E-2</v>
      </c>
      <c r="T145">
        <f>RTD("tos.rtd", , "GAMMA", ".SPY150508P208")</f>
        <v>6.9290000000000004E-2</v>
      </c>
      <c r="U145">
        <f>RTD("tos.rtd", , "VEGA", ".SPY150508P208")</f>
        <v>5.5289999999999999E-2</v>
      </c>
      <c r="V145">
        <f>RTD("tos.rtd", , "RHO", ".SPY150508P208")</f>
        <v>-4.0800000000000003E-3</v>
      </c>
    </row>
    <row r="146" spans="1:22" x14ac:dyDescent="0.25">
      <c r="A146">
        <f>RTD("tos.rtd", , "ASK", ".SPY150508C208.5")</f>
        <v>3.31</v>
      </c>
      <c r="B146">
        <f>RTD("tos.rtd", , "ASK_SIZE", ".SPY150508C208.5")</f>
        <v>160</v>
      </c>
      <c r="C146">
        <f>RTD("tos.rtd", , "BID", ".SPY150508C208.5")</f>
        <v>3.1</v>
      </c>
      <c r="D146">
        <f>RTD("tos.rtd", , "BID_SIZE", ".SPY150508C208.5")</f>
        <v>199</v>
      </c>
      <c r="E146">
        <f>RTD("tos.rtd", , "VOLUME", ".SPY150508C208.5")</f>
        <v>202</v>
      </c>
      <c r="F146">
        <f>RTD("tos.rtd", , "OPEN_INT", ".SPY150508C208.5")</f>
        <v>3043</v>
      </c>
      <c r="G146">
        <f>RTD("tos.rtd", , "DELTA", ".SPY150508C208.5")</f>
        <v>0.83323000000000003</v>
      </c>
      <c r="H146">
        <f>RTD("tos.rtd", , "THETA", ".SPY150508C208.5")</f>
        <v>-7.1199999999999999E-2</v>
      </c>
      <c r="I146">
        <f>RTD("tos.rtd", , "GAMMA", ".SPY150508C208.5")</f>
        <v>8.2430000000000003E-2</v>
      </c>
      <c r="J146">
        <f>RTD("tos.rtd", , "VEGA", ".SPY150508C208.5")</f>
        <v>6.1960000000000001E-2</v>
      </c>
      <c r="K146">
        <f>RTD("tos.rtd", , "RHO", ".SPY150508C208.5")</f>
        <v>1.8839999999999999E-2</v>
      </c>
      <c r="L146">
        <f>RTD("tos.rtd", , "ASK", ".SPY150508P208.5")</f>
        <v>0.28999999999999998</v>
      </c>
      <c r="M146">
        <f>RTD("tos.rtd", , "ASK_SIZE", ".SPY150508P208.5")</f>
        <v>472</v>
      </c>
      <c r="N146">
        <f>RTD("tos.rtd", , "BID", ".SPY150508P208.5")</f>
        <v>0.27</v>
      </c>
      <c r="O146">
        <f>RTD("tos.rtd", , "BID_SIZE", ".SPY150508P208.5")</f>
        <v>189</v>
      </c>
      <c r="P146">
        <f>RTD("tos.rtd", , "VOLUME", ".SPY150508P208.5")</f>
        <v>12923</v>
      </c>
      <c r="Q146">
        <f>RTD("tos.rtd", , "OPEN_INT", ".SPY150508P208.5")</f>
        <v>26318</v>
      </c>
      <c r="R146">
        <f>RTD("tos.rtd", , "DELTA", ".SPY150508P208.5")</f>
        <v>-0.16850000000000001</v>
      </c>
      <c r="S146">
        <f>RTD("tos.rtd", , "THETA", ".SPY150508P208.5")</f>
        <v>-7.8950000000000006E-2</v>
      </c>
      <c r="T146">
        <f>RTD("tos.rtd", , "GAMMA", ".SPY150508P208.5")</f>
        <v>8.1589999999999996E-2</v>
      </c>
      <c r="U146">
        <f>RTD("tos.rtd", , "VEGA", ".SPY150508P208.5")</f>
        <v>6.2570000000000001E-2</v>
      </c>
      <c r="V146">
        <f>RTD("tos.rtd", , "RHO", ".SPY150508P208.5")</f>
        <v>-4.9199999999999999E-3</v>
      </c>
    </row>
    <row r="147" spans="1:22" x14ac:dyDescent="0.25">
      <c r="A147">
        <f>RTD("tos.rtd", , "ASK", ".SPY150508C209")</f>
        <v>2.86</v>
      </c>
      <c r="B147">
        <f>RTD("tos.rtd", , "ASK_SIZE", ".SPY150508C209")</f>
        <v>357</v>
      </c>
      <c r="C147">
        <f>RTD("tos.rtd", , "BID", ".SPY150508C209")</f>
        <v>2.66</v>
      </c>
      <c r="D147">
        <f>RTD("tos.rtd", , "BID_SIZE", ".SPY150508C209")</f>
        <v>269</v>
      </c>
      <c r="E147">
        <f>RTD("tos.rtd", , "VOLUME", ".SPY150508C209")</f>
        <v>1795</v>
      </c>
      <c r="F147">
        <f>RTD("tos.rtd", , "OPEN_INT", ".SPY150508C209")</f>
        <v>8710</v>
      </c>
      <c r="G147">
        <f>RTD("tos.rtd", , "DELTA", ".SPY150508C209")</f>
        <v>0.79966999999999999</v>
      </c>
      <c r="H147">
        <f>RTD("tos.rtd", , "THETA", ".SPY150508C209")</f>
        <v>-7.5700000000000003E-2</v>
      </c>
      <c r="I147">
        <f>RTD("tos.rtd", , "GAMMA", ".SPY150508C209")</f>
        <v>9.6860000000000002E-2</v>
      </c>
      <c r="J147">
        <f>RTD("tos.rtd", , "VEGA", ".SPY150508C209")</f>
        <v>6.948E-2</v>
      </c>
      <c r="K147">
        <f>RTD("tos.rtd", , "RHO", ".SPY150508C209")</f>
        <v>1.899E-2</v>
      </c>
      <c r="L147">
        <f>RTD("tos.rtd", , "ASK", ".SPY150508P209")</f>
        <v>0.36</v>
      </c>
      <c r="M147">
        <f>RTD("tos.rtd", , "ASK_SIZE", ".SPY150508P209")</f>
        <v>418</v>
      </c>
      <c r="N147">
        <f>RTD("tos.rtd", , "BID", ".SPY150508P209")</f>
        <v>0.35</v>
      </c>
      <c r="O147">
        <f>RTD("tos.rtd", , "BID_SIZE", ".SPY150508P209")</f>
        <v>10</v>
      </c>
      <c r="P147">
        <f>RTD("tos.rtd", , "VOLUME", ".SPY150508P209")</f>
        <v>43979</v>
      </c>
      <c r="Q147">
        <f>RTD("tos.rtd", , "OPEN_INT", ".SPY150508P209")</f>
        <v>27256</v>
      </c>
      <c r="R147">
        <f>RTD("tos.rtd", , "DELTA", ".SPY150508P209")</f>
        <v>-0.20713999999999999</v>
      </c>
      <c r="S147">
        <f>RTD("tos.rtd", , "THETA", ".SPY150508P209")</f>
        <v>-8.6620000000000003E-2</v>
      </c>
      <c r="T147">
        <f>RTD("tos.rtd", , "GAMMA", ".SPY150508P209")</f>
        <v>9.5079999999999998E-2</v>
      </c>
      <c r="U147">
        <f>RTD("tos.rtd", , "VEGA", ".SPY150508P209")</f>
        <v>7.1010000000000004E-2</v>
      </c>
      <c r="V147">
        <f>RTD("tos.rtd", , "RHO", ".SPY150508P209")</f>
        <v>-6.0499999999999998E-3</v>
      </c>
    </row>
    <row r="148" spans="1:22" x14ac:dyDescent="0.25">
      <c r="A148">
        <f>RTD("tos.rtd", , "ASK", ".SPY150508C209.5")</f>
        <v>2.44</v>
      </c>
      <c r="B148">
        <f>RTD("tos.rtd", , "ASK_SIZE", ".SPY150508C209.5")</f>
        <v>161</v>
      </c>
      <c r="C148">
        <f>RTD("tos.rtd", , "BID", ".SPY150508C209.5")</f>
        <v>2.34</v>
      </c>
      <c r="D148">
        <f>RTD("tos.rtd", , "BID_SIZE", ".SPY150508C209.5")</f>
        <v>211</v>
      </c>
      <c r="E148">
        <f>RTD("tos.rtd", , "VOLUME", ".SPY150508C209.5")</f>
        <v>905</v>
      </c>
      <c r="F148">
        <f>RTD("tos.rtd", , "OPEN_INT", ".SPY150508C209.5")</f>
        <v>5752</v>
      </c>
      <c r="G148">
        <f>RTD("tos.rtd", , "DELTA", ".SPY150508C209.5")</f>
        <v>0.74419000000000002</v>
      </c>
      <c r="H148">
        <f>RTD("tos.rtd", , "THETA", ".SPY150508C209.5")</f>
        <v>-8.8220000000000007E-2</v>
      </c>
      <c r="I148">
        <f>RTD("tos.rtd", , "GAMMA", ".SPY150508C209.5")</f>
        <v>0.10879999999999999</v>
      </c>
      <c r="J148">
        <f>RTD("tos.rtd", , "VEGA", ".SPY150508C209.5")</f>
        <v>7.9699999999999993E-2</v>
      </c>
      <c r="K148">
        <f>RTD("tos.rtd", , "RHO", ".SPY150508C209.5")</f>
        <v>1.8689999999999998E-2</v>
      </c>
      <c r="L148">
        <f>RTD("tos.rtd", , "ASK", ".SPY150508P209.5")</f>
        <v>0.45</v>
      </c>
      <c r="M148">
        <f>RTD("tos.rtd", , "ASK_SIZE", ".SPY150508P209.5")</f>
        <v>376</v>
      </c>
      <c r="N148">
        <f>RTD("tos.rtd", , "BID", ".SPY150508P209.5")</f>
        <v>0.42</v>
      </c>
      <c r="O148">
        <f>RTD("tos.rtd", , "BID_SIZE", ".SPY150508P209.5")</f>
        <v>183</v>
      </c>
      <c r="P148">
        <f>RTD("tos.rtd", , "VOLUME", ".SPY150508P209.5")</f>
        <v>7021</v>
      </c>
      <c r="Q148">
        <f>RTD("tos.rtd", , "OPEN_INT", ".SPY150508P209.5")</f>
        <v>8222</v>
      </c>
      <c r="R148">
        <f>RTD("tos.rtd", , "DELTA", ".SPY150508P209.5")</f>
        <v>-0.24984999999999999</v>
      </c>
      <c r="S148">
        <f>RTD("tos.rtd", , "THETA", ".SPY150508P209.5")</f>
        <v>-9.1789999999999997E-2</v>
      </c>
      <c r="T148">
        <f>RTD("tos.rtd", , "GAMMA", ".SPY150508P209.5")</f>
        <v>0.11004</v>
      </c>
      <c r="U148">
        <f>RTD("tos.rtd", , "VEGA", ".SPY150508P209.5")</f>
        <v>7.8829999999999997E-2</v>
      </c>
      <c r="V148">
        <f>RTD("tos.rtd", , "RHO", ".SPY150508P209.5")</f>
        <v>-7.3000000000000001E-3</v>
      </c>
    </row>
    <row r="149" spans="1:22" x14ac:dyDescent="0.25">
      <c r="A149">
        <f>RTD("tos.rtd", , "ASK", ".SPY150508C210")</f>
        <v>2.04</v>
      </c>
      <c r="B149">
        <f>RTD("tos.rtd", , "ASK_SIZE", ".SPY150508C210")</f>
        <v>201</v>
      </c>
      <c r="C149">
        <f>RTD("tos.rtd", , "BID", ".SPY150508C210")</f>
        <v>1.95</v>
      </c>
      <c r="D149">
        <f>RTD("tos.rtd", , "BID_SIZE", ".SPY150508C210")</f>
        <v>199</v>
      </c>
      <c r="E149">
        <f>RTD("tos.rtd", , "VOLUME", ".SPY150508C210")</f>
        <v>3262</v>
      </c>
      <c r="F149">
        <f>RTD("tos.rtd", , "OPEN_INT", ".SPY150508C210")</f>
        <v>16277</v>
      </c>
      <c r="G149">
        <f>RTD("tos.rtd", , "DELTA", ".SPY150508C210")</f>
        <v>0.69323000000000001</v>
      </c>
      <c r="H149">
        <f>RTD("tos.rtd", , "THETA", ".SPY150508C210")</f>
        <v>-9.2480000000000007E-2</v>
      </c>
      <c r="I149">
        <f>RTD("tos.rtd", , "GAMMA", ".SPY150508C210")</f>
        <v>0.12300999999999999</v>
      </c>
      <c r="J149">
        <f>RTD("tos.rtd", , "VEGA", ".SPY150508C210")</f>
        <v>8.6970000000000006E-2</v>
      </c>
      <c r="K149">
        <f>RTD("tos.rtd", , "RHO", ".SPY150508C210")</f>
        <v>1.7989999999999999E-2</v>
      </c>
      <c r="L149">
        <f>RTD("tos.rtd", , "ASK", ".SPY150508P210")</f>
        <v>0.55000000000000004</v>
      </c>
      <c r="M149">
        <f>RTD("tos.rtd", , "ASK_SIZE", ".SPY150508P210")</f>
        <v>342</v>
      </c>
      <c r="N149">
        <f>RTD("tos.rtd", , "BID", ".SPY150508P210")</f>
        <v>0.53</v>
      </c>
      <c r="O149">
        <f>RTD("tos.rtd", , "BID_SIZE", ".SPY150508P210")</f>
        <v>100</v>
      </c>
      <c r="P149">
        <f>RTD("tos.rtd", , "VOLUME", ".SPY150508P210")</f>
        <v>39745</v>
      </c>
      <c r="Q149">
        <f>RTD("tos.rtd", , "OPEN_INT", ".SPY150508P210")</f>
        <v>16524</v>
      </c>
      <c r="R149">
        <f>RTD("tos.rtd", , "DELTA", ".SPY150508P210")</f>
        <v>-0.3019</v>
      </c>
      <c r="S149">
        <f>RTD("tos.rtd", , "THETA", ".SPY150508P210")</f>
        <v>-9.6589999999999995E-2</v>
      </c>
      <c r="T149">
        <f>RTD("tos.rtd", , "GAMMA", ".SPY150508P210")</f>
        <v>0.12531999999999999</v>
      </c>
      <c r="U149">
        <f>RTD("tos.rtd", , "VEGA", ".SPY150508P210")</f>
        <v>8.6440000000000003E-2</v>
      </c>
      <c r="V149">
        <f>RTD("tos.rtd", , "RHO", ".SPY150508P210")</f>
        <v>-8.8299999999999993E-3</v>
      </c>
    </row>
    <row r="150" spans="1:22" x14ac:dyDescent="0.25">
      <c r="A150">
        <f>RTD("tos.rtd", , "ASK", ".SPY150508C210.5")</f>
        <v>1.66</v>
      </c>
      <c r="B150">
        <f>RTD("tos.rtd", , "ASK_SIZE", ".SPY150508C210.5")</f>
        <v>164</v>
      </c>
      <c r="C150">
        <f>RTD("tos.rtd", , "BID", ".SPY150508C210.5")</f>
        <v>1.59</v>
      </c>
      <c r="D150">
        <f>RTD("tos.rtd", , "BID_SIZE", ".SPY150508C210.5")</f>
        <v>160</v>
      </c>
      <c r="E150">
        <f>RTD("tos.rtd", , "VOLUME", ".SPY150508C210.5")</f>
        <v>6088</v>
      </c>
      <c r="F150">
        <f>RTD("tos.rtd", , "OPEN_INT", ".SPY150508C210.5")</f>
        <v>11885</v>
      </c>
      <c r="G150">
        <f>RTD("tos.rtd", , "DELTA", ".SPY150508C210.5")</f>
        <v>0.63388</v>
      </c>
      <c r="H150">
        <f>RTD("tos.rtd", , "THETA", ".SPY150508C210.5")</f>
        <v>-9.5159999999999995E-2</v>
      </c>
      <c r="I150">
        <f>RTD("tos.rtd", , "GAMMA", ".SPY150508C210.5")</f>
        <v>0.13661000000000001</v>
      </c>
      <c r="J150">
        <f>RTD("tos.rtd", , "VEGA", ".SPY150508C210.5")</f>
        <v>9.3130000000000004E-2</v>
      </c>
      <c r="K150">
        <f>RTD("tos.rtd", , "RHO", ".SPY150508C210.5")</f>
        <v>1.6889999999999999E-2</v>
      </c>
      <c r="L150">
        <f>RTD("tos.rtd", , "ASK", ".SPY150508P210.5")</f>
        <v>0.68</v>
      </c>
      <c r="M150">
        <f>RTD("tos.rtd", , "ASK_SIZE", ".SPY150508P210.5")</f>
        <v>100</v>
      </c>
      <c r="N150">
        <f>RTD("tos.rtd", , "BID", ".SPY150508P210.5")</f>
        <v>0.64</v>
      </c>
      <c r="O150">
        <f>RTD("tos.rtd", , "BID_SIZE", ".SPY150508P210.5")</f>
        <v>215</v>
      </c>
      <c r="P150">
        <f>RTD("tos.rtd", , "VOLUME", ".SPY150508P210.5")</f>
        <v>10376</v>
      </c>
      <c r="Q150">
        <f>RTD("tos.rtd", , "OPEN_INT", ".SPY150508P210.5")</f>
        <v>9526</v>
      </c>
      <c r="R150">
        <f>RTD("tos.rtd", , "DELTA", ".SPY150508P210.5")</f>
        <v>-0.36142999999999997</v>
      </c>
      <c r="S150">
        <f>RTD("tos.rtd", , "THETA", ".SPY150508P210.5")</f>
        <v>-9.8650000000000002E-2</v>
      </c>
      <c r="T150">
        <f>RTD("tos.rtd", , "GAMMA", ".SPY150508P210.5")</f>
        <v>0.14130000000000001</v>
      </c>
      <c r="U150">
        <f>RTD("tos.rtd", , "VEGA", ".SPY150508P210.5")</f>
        <v>9.2789999999999997E-2</v>
      </c>
      <c r="V150">
        <f>RTD("tos.rtd", , "RHO", ".SPY150508P210.5")</f>
        <v>-1.057E-2</v>
      </c>
    </row>
    <row r="151" spans="1:22" x14ac:dyDescent="0.25">
      <c r="A151">
        <f>RTD("tos.rtd", , "ASK", ".SPY150508C211")</f>
        <v>1.28</v>
      </c>
      <c r="B151">
        <f>RTD("tos.rtd", , "ASK_SIZE", ".SPY150508C211")</f>
        <v>10</v>
      </c>
      <c r="C151">
        <f>RTD("tos.rtd", , "BID", ".SPY150508C211")</f>
        <v>1.26</v>
      </c>
      <c r="D151">
        <f>RTD("tos.rtd", , "BID_SIZE", ".SPY150508C211")</f>
        <v>140</v>
      </c>
      <c r="E151">
        <f>RTD("tos.rtd", , "VOLUME", ".SPY150508C211")</f>
        <v>12782</v>
      </c>
      <c r="F151">
        <f>RTD("tos.rtd", , "OPEN_INT", ".SPY150508C211")</f>
        <v>15645</v>
      </c>
      <c r="G151">
        <f>RTD("tos.rtd", , "DELTA", ".SPY150508C211")</f>
        <v>0.56701999999999997</v>
      </c>
      <c r="H151">
        <f>RTD("tos.rtd", , "THETA", ".SPY150508C211")</f>
        <v>-9.4159999999999994E-2</v>
      </c>
      <c r="I151">
        <f>RTD("tos.rtd", , "GAMMA", ".SPY150508C211")</f>
        <v>0.15035999999999999</v>
      </c>
      <c r="J151">
        <f>RTD("tos.rtd", , "VEGA", ".SPY150508C211")</f>
        <v>9.7299999999999998E-2</v>
      </c>
      <c r="K151">
        <f>RTD("tos.rtd", , "RHO", ".SPY150508C211")</f>
        <v>1.5429999999999999E-2</v>
      </c>
      <c r="L151">
        <f>RTD("tos.rtd", , "ASK", ".SPY150508P211")</f>
        <v>0.84</v>
      </c>
      <c r="M151">
        <f>RTD("tos.rtd", , "ASK_SIZE", ".SPY150508P211")</f>
        <v>304</v>
      </c>
      <c r="N151">
        <f>RTD("tos.rtd", , "BID", ".SPY150508P211")</f>
        <v>0.82</v>
      </c>
      <c r="O151">
        <f>RTD("tos.rtd", , "BID_SIZE", ".SPY150508P211")</f>
        <v>5</v>
      </c>
      <c r="P151">
        <f>RTD("tos.rtd", , "VOLUME", ".SPY150508P211")</f>
        <v>52226</v>
      </c>
      <c r="Q151">
        <f>RTD("tos.rtd", , "OPEN_INT", ".SPY150508P211")</f>
        <v>16927</v>
      </c>
      <c r="R151">
        <f>RTD("tos.rtd", , "DELTA", ".SPY150508P211")</f>
        <v>-0.43237999999999999</v>
      </c>
      <c r="S151">
        <f>RTD("tos.rtd", , "THETA", ".SPY150508P211")</f>
        <v>-0.10049</v>
      </c>
      <c r="T151">
        <f>RTD("tos.rtd", , "GAMMA", ".SPY150508P211")</f>
        <v>0.15279999999999999</v>
      </c>
      <c r="U151">
        <f>RTD("tos.rtd", , "VEGA", ".SPY150508P211")</f>
        <v>9.7309999999999994E-2</v>
      </c>
      <c r="V151">
        <f>RTD("tos.rtd", , "RHO", ".SPY150508P211")</f>
        <v>-1.265E-2</v>
      </c>
    </row>
    <row r="152" spans="1:22" x14ac:dyDescent="0.25">
      <c r="A152">
        <f>RTD("tos.rtd", , "ASK", ".SPY150508C211.5")</f>
        <v>0.99</v>
      </c>
      <c r="B152">
        <f>RTD("tos.rtd", , "ASK_SIZE", ".SPY150508C211.5")</f>
        <v>144</v>
      </c>
      <c r="C152">
        <f>RTD("tos.rtd", , "BID", ".SPY150508C211.5")</f>
        <v>0.95</v>
      </c>
      <c r="D152">
        <f>RTD("tos.rtd", , "BID_SIZE", ".SPY150508C211.5")</f>
        <v>140</v>
      </c>
      <c r="E152">
        <f>RTD("tos.rtd", , "VOLUME", ".SPY150508C211.5")</f>
        <v>17086</v>
      </c>
      <c r="F152">
        <f>RTD("tos.rtd", , "OPEN_INT", ".SPY150508C211.5")</f>
        <v>11027</v>
      </c>
      <c r="G152">
        <f>RTD("tos.rtd", , "DELTA", ".SPY150508C211.5")</f>
        <v>0.49049999999999999</v>
      </c>
      <c r="H152">
        <f>RTD("tos.rtd", , "THETA", ".SPY150508C211.5")</f>
        <v>-9.2270000000000005E-2</v>
      </c>
      <c r="I152">
        <f>RTD("tos.rtd", , "GAMMA", ".SPY150508C211.5")</f>
        <v>0.15801999999999999</v>
      </c>
      <c r="J152">
        <f>RTD("tos.rtd", , "VEGA", ".SPY150508C211.5")</f>
        <v>9.8640000000000005E-2</v>
      </c>
      <c r="K152">
        <f>RTD("tos.rtd", , "RHO", ".SPY150508C211.5")</f>
        <v>1.357E-2</v>
      </c>
      <c r="L152">
        <f>RTD("tos.rtd", , "ASK", ".SPY150508P211.5")</f>
        <v>1.04</v>
      </c>
      <c r="M152">
        <f>RTD("tos.rtd", , "ASK_SIZE", ".SPY150508P211.5")</f>
        <v>214</v>
      </c>
      <c r="N152">
        <f>RTD("tos.rtd", , "BID", ".SPY150508P211.5")</f>
        <v>1</v>
      </c>
      <c r="O152">
        <f>RTD("tos.rtd", , "BID_SIZE", ".SPY150508P211.5")</f>
        <v>87</v>
      </c>
      <c r="P152">
        <f>RTD("tos.rtd", , "VOLUME", ".SPY150508P211.5")</f>
        <v>26628</v>
      </c>
      <c r="Q152">
        <f>RTD("tos.rtd", , "OPEN_INT", ".SPY150508P211.5")</f>
        <v>6912</v>
      </c>
      <c r="R152">
        <f>RTD("tos.rtd", , "DELTA", ".SPY150508P211.5")</f>
        <v>-0.51043000000000005</v>
      </c>
      <c r="S152">
        <f>RTD("tos.rtd", , "THETA", ".SPY150508P211.5")</f>
        <v>-9.7710000000000005E-2</v>
      </c>
      <c r="T152">
        <f>RTD("tos.rtd", , "GAMMA", ".SPY150508P211.5")</f>
        <v>0.16270000000000001</v>
      </c>
      <c r="U152">
        <f>RTD("tos.rtd", , "VEGA", ".SPY150508P211.5")</f>
        <v>9.8640000000000005E-2</v>
      </c>
      <c r="V152">
        <f>RTD("tos.rtd", , "RHO", ".SPY150508P211.5")</f>
        <v>-1.4930000000000001E-2</v>
      </c>
    </row>
    <row r="153" spans="1:22" x14ac:dyDescent="0.25">
      <c r="A153">
        <f>RTD("tos.rtd", , "ASK", ".SPY150508C212")</f>
        <v>0.7</v>
      </c>
      <c r="B153">
        <f>RTD("tos.rtd", , "ASK_SIZE", ".SPY150508C212")</f>
        <v>5</v>
      </c>
      <c r="C153">
        <f>RTD("tos.rtd", , "BID", ".SPY150508C212")</f>
        <v>0.67</v>
      </c>
      <c r="D153">
        <f>RTD("tos.rtd", , "BID_SIZE", ".SPY150508C212")</f>
        <v>200</v>
      </c>
      <c r="E153">
        <f>RTD("tos.rtd", , "VOLUME", ".SPY150508C212")</f>
        <v>21794</v>
      </c>
      <c r="F153">
        <f>RTD("tos.rtd", , "OPEN_INT", ".SPY150508C212")</f>
        <v>34520</v>
      </c>
      <c r="G153">
        <f>RTD("tos.rtd", , "DELTA", ".SPY150508C212")</f>
        <v>0.40632000000000001</v>
      </c>
      <c r="H153">
        <f>RTD("tos.rtd", , "THETA", ".SPY150508C212")</f>
        <v>-8.4529999999999994E-2</v>
      </c>
      <c r="I153">
        <f>RTD("tos.rtd", , "GAMMA", ".SPY150508C212")</f>
        <v>0.16363</v>
      </c>
      <c r="J153">
        <f>RTD("tos.rtd", , "VEGA", ".SPY150508C212")</f>
        <v>9.5930000000000001E-2</v>
      </c>
      <c r="K153">
        <f>RTD("tos.rtd", , "RHO", ".SPY150508C212")</f>
        <v>1.1390000000000001E-2</v>
      </c>
      <c r="L153">
        <f>RTD("tos.rtd", , "ASK", ".SPY150508P212")</f>
        <v>1.29</v>
      </c>
      <c r="M153">
        <f>RTD("tos.rtd", , "ASK_SIZE", ".SPY150508P212")</f>
        <v>663</v>
      </c>
      <c r="N153">
        <f>RTD("tos.rtd", , "BID", ".SPY150508P212")</f>
        <v>1.21</v>
      </c>
      <c r="O153">
        <f>RTD("tos.rtd", , "BID_SIZE", ".SPY150508P212")</f>
        <v>100</v>
      </c>
      <c r="P153">
        <f>RTD("tos.rtd", , "VOLUME", ".SPY150508P212")</f>
        <v>23595</v>
      </c>
      <c r="Q153">
        <f>RTD("tos.rtd", , "OPEN_INT", ".SPY150508P212")</f>
        <v>8251</v>
      </c>
      <c r="R153">
        <f>RTD("tos.rtd", , "DELTA", ".SPY150508P212")</f>
        <v>-0.59584000000000004</v>
      </c>
      <c r="S153">
        <f>RTD("tos.rtd", , "THETA", ".SPY150508P212")</f>
        <v>-9.1319999999999998E-2</v>
      </c>
      <c r="T153">
        <f>RTD("tos.rtd", , "GAMMA", ".SPY150508P212")</f>
        <v>0.1663</v>
      </c>
      <c r="U153">
        <f>RTD("tos.rtd", , "VEGA", ".SPY150508P212")</f>
        <v>9.579E-2</v>
      </c>
      <c r="V153">
        <f>RTD("tos.rtd", , "RHO", ".SPY150508P212")</f>
        <v>-1.7440000000000001E-2</v>
      </c>
    </row>
    <row r="154" spans="1:22" x14ac:dyDescent="0.25">
      <c r="A154">
        <f>RTD("tos.rtd", , "ASK", ".SPY150508C212.5")</f>
        <v>0.48</v>
      </c>
      <c r="B154">
        <f>RTD("tos.rtd", , "ASK_SIZE", ".SPY150508C212.5")</f>
        <v>184</v>
      </c>
      <c r="C154">
        <f>RTD("tos.rtd", , "BID", ".SPY150508C212.5")</f>
        <v>0.44</v>
      </c>
      <c r="D154">
        <f>RTD("tos.rtd", , "BID_SIZE", ".SPY150508C212.5")</f>
        <v>1089</v>
      </c>
      <c r="E154">
        <f>RTD("tos.rtd", , "VOLUME", ".SPY150508C212.5")</f>
        <v>15187</v>
      </c>
      <c r="F154">
        <f>RTD("tos.rtd", , "OPEN_INT", ".SPY150508C212.5")</f>
        <v>13545</v>
      </c>
      <c r="G154">
        <f>RTD("tos.rtd", , "DELTA", ".SPY150508C212.5")</f>
        <v>0.31829000000000002</v>
      </c>
      <c r="H154">
        <f>RTD("tos.rtd", , "THETA", ".SPY150508C212.5")</f>
        <v>-7.4450000000000002E-2</v>
      </c>
      <c r="I154">
        <f>RTD("tos.rtd", , "GAMMA", ".SPY150508C212.5")</f>
        <v>0.15862999999999999</v>
      </c>
      <c r="J154">
        <f>RTD("tos.rtd", , "VEGA", ".SPY150508C212.5")</f>
        <v>8.8279999999999997E-2</v>
      </c>
      <c r="K154">
        <f>RTD("tos.rtd", , "RHO", ".SPY150508C212.5")</f>
        <v>8.9999999999999993E-3</v>
      </c>
      <c r="L154">
        <f>RTD("tos.rtd", , "ASK", ".SPY150508P212.5")</f>
        <v>1.57</v>
      </c>
      <c r="M154">
        <f>RTD("tos.rtd", , "ASK_SIZE", ".SPY150508P212.5")</f>
        <v>228</v>
      </c>
      <c r="N154">
        <f>RTD("tos.rtd", , "BID", ".SPY150508P212.5")</f>
        <v>1.46</v>
      </c>
      <c r="O154">
        <f>RTD("tos.rtd", , "BID_SIZE", ".SPY150508P212.5")</f>
        <v>160</v>
      </c>
      <c r="P154">
        <f>RTD("tos.rtd", , "VOLUME", ".SPY150508P212.5")</f>
        <v>5230</v>
      </c>
      <c r="Q154">
        <f>RTD("tos.rtd", , "OPEN_INT", ".SPY150508P212.5")</f>
        <v>1636</v>
      </c>
      <c r="R154">
        <f>RTD("tos.rtd", , "DELTA", ".SPY150508P212.5")</f>
        <v>-0.68808000000000002</v>
      </c>
      <c r="S154">
        <f>RTD("tos.rtd", , "THETA", ".SPY150508P212.5")</f>
        <v>-7.9820000000000002E-2</v>
      </c>
      <c r="T154">
        <f>RTD("tos.rtd", , "GAMMA", ".SPY150508P212.5")</f>
        <v>0.16277</v>
      </c>
      <c r="U154">
        <f>RTD("tos.rtd", , "VEGA", ".SPY150508P212.5")</f>
        <v>8.7499999999999994E-2</v>
      </c>
      <c r="V154">
        <f>RTD("tos.rtd", , "RHO", ".SPY150508P212.5")</f>
        <v>-2.0140000000000002E-2</v>
      </c>
    </row>
    <row r="155" spans="1:22" x14ac:dyDescent="0.25">
      <c r="A155">
        <f>RTD("tos.rtd", , "ASK", ".SPY150508C213")</f>
        <v>0.28999999999999998</v>
      </c>
      <c r="B155">
        <f>RTD("tos.rtd", , "ASK_SIZE", ".SPY150508C213")</f>
        <v>1</v>
      </c>
      <c r="C155">
        <f>RTD("tos.rtd", , "BID", ".SPY150508C213")</f>
        <v>0.27</v>
      </c>
      <c r="D155">
        <f>RTD("tos.rtd", , "BID_SIZE", ".SPY150508C213")</f>
        <v>1406</v>
      </c>
      <c r="E155">
        <f>RTD("tos.rtd", , "VOLUME", ".SPY150508C213")</f>
        <v>19071</v>
      </c>
      <c r="F155">
        <f>RTD("tos.rtd", , "OPEN_INT", ".SPY150508C213")</f>
        <v>16754</v>
      </c>
      <c r="G155">
        <f>RTD("tos.rtd", , "DELTA", ".SPY150508C213")</f>
        <v>0.22996</v>
      </c>
      <c r="H155">
        <f>RTD("tos.rtd", , "THETA", ".SPY150508C213")</f>
        <v>-6.0490000000000002E-2</v>
      </c>
      <c r="I155">
        <f>RTD("tos.rtd", , "GAMMA", ".SPY150508C213")</f>
        <v>0.14348</v>
      </c>
      <c r="J155">
        <f>RTD("tos.rtd", , "VEGA", ".SPY150508C213")</f>
        <v>7.5219999999999995E-2</v>
      </c>
      <c r="K155">
        <f>RTD("tos.rtd", , "RHO", ".SPY150508C213")</f>
        <v>6.5500000000000003E-3</v>
      </c>
      <c r="L155">
        <f>RTD("tos.rtd", , "ASK", ".SPY150508P213")</f>
        <v>1.9</v>
      </c>
      <c r="M155">
        <f>RTD("tos.rtd", , "ASK_SIZE", ".SPY150508P213")</f>
        <v>270</v>
      </c>
      <c r="N155">
        <f>RTD("tos.rtd", , "BID", ".SPY150508P213")</f>
        <v>1.78</v>
      </c>
      <c r="O155">
        <f>RTD("tos.rtd", , "BID_SIZE", ".SPY150508P213")</f>
        <v>200</v>
      </c>
      <c r="P155">
        <f>RTD("tos.rtd", , "VOLUME", ".SPY150508P213")</f>
        <v>1541</v>
      </c>
      <c r="Q155">
        <f>RTD("tos.rtd", , "OPEN_INT", ".SPY150508P213")</f>
        <v>1760</v>
      </c>
      <c r="R155">
        <f>RTD("tos.rtd", , "DELTA", ".SPY150508P213")</f>
        <v>-0.77863000000000004</v>
      </c>
      <c r="S155">
        <f>RTD("tos.rtd", , "THETA", ".SPY150508P213")</f>
        <v>-6.5740000000000007E-2</v>
      </c>
      <c r="T155">
        <f>RTD("tos.rtd", , "GAMMA", ".SPY150508P213")</f>
        <v>0.14562</v>
      </c>
      <c r="U155">
        <f>RTD("tos.rtd", , "VEGA", ".SPY150508P213")</f>
        <v>7.3590000000000003E-2</v>
      </c>
      <c r="V155">
        <f>RTD("tos.rtd", , "RHO", ".SPY150508P213")</f>
        <v>-2.281E-2</v>
      </c>
    </row>
    <row r="156" spans="1:22" x14ac:dyDescent="0.25">
      <c r="A156">
        <f>RTD("tos.rtd", , "ASK", ".SPY150508C213.5")</f>
        <v>0.18</v>
      </c>
      <c r="B156">
        <f>RTD("tos.rtd", , "ASK_SIZE", ".SPY150508C213.5")</f>
        <v>100</v>
      </c>
      <c r="C156">
        <f>RTD("tos.rtd", , "BID", ".SPY150508C213.5")</f>
        <v>0.16</v>
      </c>
      <c r="D156">
        <f>RTD("tos.rtd", , "BID_SIZE", ".SPY150508C213.5")</f>
        <v>498</v>
      </c>
      <c r="E156">
        <f>RTD("tos.rtd", , "VOLUME", ".SPY150508C213.5")</f>
        <v>19899</v>
      </c>
      <c r="F156">
        <f>RTD("tos.rtd", , "OPEN_INT", ".SPY150508C213.5")</f>
        <v>37356</v>
      </c>
      <c r="G156">
        <f>RTD("tos.rtd", , "DELTA", ".SPY150508C213.5")</f>
        <v>0.15867999999999999</v>
      </c>
      <c r="H156">
        <f>RTD("tos.rtd", , "THETA", ".SPY150508C213.5")</f>
        <v>-4.8030000000000003E-2</v>
      </c>
      <c r="I156">
        <f>RTD("tos.rtd", , "GAMMA", ".SPY150508C213.5")</f>
        <v>0.11728</v>
      </c>
      <c r="J156">
        <f>RTD("tos.rtd", , "VEGA", ".SPY150508C213.5")</f>
        <v>6.0080000000000001E-2</v>
      </c>
      <c r="K156">
        <f>RTD("tos.rtd", , "RHO", ".SPY150508C213.5")</f>
        <v>4.5300000000000002E-3</v>
      </c>
      <c r="L156">
        <f>RTD("tos.rtd", , "ASK", ".SPY150508P213.5")</f>
        <v>2.33</v>
      </c>
      <c r="M156">
        <f>RTD("tos.rtd", , "ASK_SIZE", ".SPY150508P213.5")</f>
        <v>121</v>
      </c>
      <c r="N156">
        <f>RTD("tos.rtd", , "BID", ".SPY150508P213.5")</f>
        <v>2.14</v>
      </c>
      <c r="O156">
        <f>RTD("tos.rtd", , "BID_SIZE", ".SPY150508P213.5")</f>
        <v>137</v>
      </c>
      <c r="P156">
        <f>RTD("tos.rtd", , "VOLUME", ".SPY150508P213.5")</f>
        <v>830</v>
      </c>
      <c r="Q156">
        <f>RTD("tos.rtd", , "OPEN_INT", ".SPY150508P213.5")</f>
        <v>515</v>
      </c>
      <c r="R156">
        <f>RTD("tos.rtd", , "DELTA", ".SPY150508P213.5")</f>
        <v>-0.85067000000000004</v>
      </c>
      <c r="S156">
        <f>RTD("tos.rtd", , "THETA", ".SPY150508P213.5")</f>
        <v>-5.3170000000000002E-2</v>
      </c>
      <c r="T156">
        <f>RTD("tos.rtd", , "GAMMA", ".SPY150508P213.5")</f>
        <v>0.11694</v>
      </c>
      <c r="U156">
        <f>RTD("tos.rtd", , "VEGA", ".SPY150508P213.5")</f>
        <v>5.7689999999999998E-2</v>
      </c>
      <c r="V156">
        <f>RTD("tos.rtd", , "RHO", ".SPY150508P213.5")</f>
        <v>-2.494E-2</v>
      </c>
    </row>
    <row r="157" spans="1:22" x14ac:dyDescent="0.25">
      <c r="A157">
        <f>RTD("tos.rtd", , "ASK", ".SPY150508C214")</f>
        <v>0.1</v>
      </c>
      <c r="B157">
        <f>RTD("tos.rtd", , "ASK_SIZE", ".SPY150508C214")</f>
        <v>3</v>
      </c>
      <c r="C157">
        <f>RTD("tos.rtd", , "BID", ".SPY150508C214")</f>
        <v>0.09</v>
      </c>
      <c r="D157">
        <f>RTD("tos.rtd", , "BID_SIZE", ".SPY150508C214")</f>
        <v>678</v>
      </c>
      <c r="E157">
        <f>RTD("tos.rtd", , "VOLUME", ".SPY150508C214")</f>
        <v>6506</v>
      </c>
      <c r="F157">
        <f>RTD("tos.rtd", , "OPEN_INT", ".SPY150508C214")</f>
        <v>11807</v>
      </c>
      <c r="G157">
        <f>RTD("tos.rtd", , "DELTA", ".SPY150508C214")</f>
        <v>0.10105</v>
      </c>
      <c r="H157">
        <f>RTD("tos.rtd", , "THETA", ".SPY150508C214")</f>
        <v>-3.5159999999999997E-2</v>
      </c>
      <c r="I157">
        <f>RTD("tos.rtd", , "GAMMA", ".SPY150508C214")</f>
        <v>8.8059999999999999E-2</v>
      </c>
      <c r="J157">
        <f>RTD("tos.rtd", , "VEGA", ".SPY150508C214")</f>
        <v>4.4049999999999999E-2</v>
      </c>
      <c r="K157">
        <f>RTD("tos.rtd", , "RHO", ".SPY150508C214")</f>
        <v>2.8900000000000002E-3</v>
      </c>
      <c r="L157">
        <f>RTD("tos.rtd", , "ASK", ".SPY150508P214")</f>
        <v>2.76</v>
      </c>
      <c r="M157">
        <f>RTD("tos.rtd", , "ASK_SIZE", ".SPY150508P214")</f>
        <v>121</v>
      </c>
      <c r="N157">
        <f>RTD("tos.rtd", , "BID", ".SPY150508P214")</f>
        <v>2.6</v>
      </c>
      <c r="O157">
        <f>RTD("tos.rtd", , "BID_SIZE", ".SPY150508P214")</f>
        <v>5</v>
      </c>
      <c r="P157">
        <f>RTD("tos.rtd", , "VOLUME", ".SPY150508P214")</f>
        <v>1067</v>
      </c>
      <c r="Q157">
        <f>RTD("tos.rtd", , "OPEN_INT", ".SPY150508P214")</f>
        <v>1749</v>
      </c>
      <c r="R157">
        <f>RTD("tos.rtd", , "DELTA", ".SPY150508P214")</f>
        <v>-0.89788999999999997</v>
      </c>
      <c r="S157">
        <f>RTD("tos.rtd", , "THETA", ".SPY150508P214")</f>
        <v>-4.4209999999999999E-2</v>
      </c>
      <c r="T157">
        <f>RTD("tos.rtd", , "GAMMA", ".SPY150508P214")</f>
        <v>8.8230000000000003E-2</v>
      </c>
      <c r="U157">
        <f>RTD("tos.rtd", , "VEGA", ".SPY150508P214")</f>
        <v>4.4310000000000002E-2</v>
      </c>
      <c r="V157">
        <f>RTD("tos.rtd", , "RHO", ".SPY150508P214")</f>
        <v>-2.6370000000000001E-2</v>
      </c>
    </row>
    <row r="158" spans="1:22" x14ac:dyDescent="0.25">
      <c r="A158">
        <f>RTD("tos.rtd", , "ASK", ".SPY150508C214.5")</f>
        <v>7.0000000000000007E-2</v>
      </c>
      <c r="B158">
        <f>RTD("tos.rtd", , "ASK_SIZE", ".SPY150508C214.5")</f>
        <v>1420</v>
      </c>
      <c r="C158">
        <f>RTD("tos.rtd", , "BID", ".SPY150508C214.5")</f>
        <v>0.05</v>
      </c>
      <c r="D158">
        <f>RTD("tos.rtd", , "BID_SIZE", ".SPY150508C214.5")</f>
        <v>1299</v>
      </c>
      <c r="E158">
        <f>RTD("tos.rtd", , "VOLUME", ".SPY150508C214.5")</f>
        <v>4680</v>
      </c>
      <c r="F158">
        <f>RTD("tos.rtd", , "OPEN_INT", ".SPY150508C214.5")</f>
        <v>79135</v>
      </c>
      <c r="G158">
        <f>RTD("tos.rtd", , "DELTA", ".SPY150508C214.5")</f>
        <v>6.7580000000000001E-2</v>
      </c>
      <c r="H158">
        <f>RTD("tos.rtd", , "THETA", ".SPY150508C214.5")</f>
        <v>-2.725E-2</v>
      </c>
      <c r="I158">
        <f>RTD("tos.rtd", , "GAMMA", ".SPY150508C214.5")</f>
        <v>6.386E-2</v>
      </c>
      <c r="J158">
        <f>RTD("tos.rtd", , "VEGA", ".SPY150508C214.5")</f>
        <v>3.2649999999999998E-2</v>
      </c>
      <c r="K158">
        <f>RTD("tos.rtd", , "RHO", ".SPY150508C214.5")</f>
        <v>1.9400000000000001E-3</v>
      </c>
      <c r="L158">
        <f>RTD("tos.rtd", , "ASK", ".SPY150508P214.5")</f>
        <v>3.22</v>
      </c>
      <c r="M158">
        <f>RTD("tos.rtd", , "ASK_SIZE", ".SPY150508P214.5")</f>
        <v>111</v>
      </c>
      <c r="N158">
        <f>RTD("tos.rtd", , "BID", ".SPY150508P214.5")</f>
        <v>3</v>
      </c>
      <c r="O158">
        <f>RTD("tos.rtd", , "BID_SIZE", ".SPY150508P214.5")</f>
        <v>111</v>
      </c>
      <c r="P158">
        <f>RTD("tos.rtd", , "VOLUME", ".SPY150508P214.5")</f>
        <v>186</v>
      </c>
      <c r="Q158">
        <f>RTD("tos.rtd", , "OPEN_INT", ".SPY150508P214.5")</f>
        <v>401</v>
      </c>
      <c r="R158">
        <f>RTD("tos.rtd", , "DELTA", ".SPY150508P214.5")</f>
        <v>-0.96108000000000005</v>
      </c>
      <c r="S158">
        <f>RTD("tos.rtd", , "THETA", ".SPY150508P214.5")</f>
        <v>-2.4080000000000001E-2</v>
      </c>
      <c r="T158">
        <f>RTD("tos.rtd", , "GAMMA", ".SPY150508P214.5")</f>
        <v>4.8340000000000001E-2</v>
      </c>
      <c r="U158">
        <f>RTD("tos.rtd", , "VEGA", ".SPY150508P214.5")</f>
        <v>2.1100000000000001E-2</v>
      </c>
      <c r="V158">
        <f>RTD("tos.rtd", , "RHO", ".SPY150508P214.5")</f>
        <v>-2.8250000000000001E-2</v>
      </c>
    </row>
    <row r="159" spans="1:22" x14ac:dyDescent="0.25">
      <c r="A159">
        <f>RTD("tos.rtd", , "ASK", ".SPY150508C215")</f>
        <v>0.04</v>
      </c>
      <c r="B159">
        <f>RTD("tos.rtd", , "ASK_SIZE", ".SPY150508C215")</f>
        <v>1200</v>
      </c>
      <c r="C159">
        <f>RTD("tos.rtd", , "BID", ".SPY150508C215")</f>
        <v>0.03</v>
      </c>
      <c r="D159">
        <f>RTD("tos.rtd", , "BID_SIZE", ".SPY150508C215")</f>
        <v>1960</v>
      </c>
      <c r="E159">
        <f>RTD("tos.rtd", , "VOLUME", ".SPY150508C215")</f>
        <v>51347</v>
      </c>
      <c r="F159">
        <f>RTD("tos.rtd", , "OPEN_INT", ".SPY150508C215")</f>
        <v>12018</v>
      </c>
      <c r="G159">
        <f>RTD("tos.rtd", , "DELTA", ".SPY150508C215")</f>
        <v>4.2459999999999998E-2</v>
      </c>
      <c r="H159">
        <f>RTD("tos.rtd", , "THETA", ".SPY150508C215")</f>
        <v>-1.967E-2</v>
      </c>
      <c r="I159">
        <f>RTD("tos.rtd", , "GAMMA", ".SPY150508C215")</f>
        <v>4.3860000000000003E-2</v>
      </c>
      <c r="J159">
        <f>RTD("tos.rtd", , "VEGA", ".SPY150508C215")</f>
        <v>2.2679999999999999E-2</v>
      </c>
      <c r="K159">
        <f>RTD("tos.rtd", , "RHO", ".SPY150508C215")</f>
        <v>1.2199999999999999E-3</v>
      </c>
      <c r="L159">
        <f>RTD("tos.rtd", , "ASK", ".SPY150508P215")</f>
        <v>3.69</v>
      </c>
      <c r="M159">
        <f>RTD("tos.rtd", , "ASK_SIZE", ".SPY150508P215")</f>
        <v>21</v>
      </c>
      <c r="N159">
        <f>RTD("tos.rtd", , "BID", ".SPY150508P215")</f>
        <v>3.55</v>
      </c>
      <c r="O159">
        <f>RTD("tos.rtd", , "BID_SIZE", ".SPY150508P215")</f>
        <v>1</v>
      </c>
      <c r="P159">
        <f>RTD("tos.rtd", , "VOLUME", ".SPY150508P215")</f>
        <v>2035</v>
      </c>
      <c r="Q159">
        <f>RTD("tos.rtd", , "OPEN_INT", ".SPY150508P215")</f>
        <v>230</v>
      </c>
      <c r="R159">
        <f>RTD("tos.rtd", , "DELTA", ".SPY150508P215")</f>
        <v>-0.95620000000000005</v>
      </c>
      <c r="S159">
        <f>RTD("tos.rtd", , "THETA", ".SPY150508P215")</f>
        <v>-2.8910000000000002E-2</v>
      </c>
      <c r="T159">
        <f>RTD("tos.rtd", , "GAMMA", ".SPY150508P215")</f>
        <v>4.446E-2</v>
      </c>
      <c r="U159">
        <f>RTD("tos.rtd", , "VEGA", ".SPY150508P215")</f>
        <v>2.315E-2</v>
      </c>
      <c r="V159">
        <f>RTD("tos.rtd", , "RHO", ".SPY150508P215")</f>
        <v>-2.818E-2</v>
      </c>
    </row>
    <row r="160" spans="1:22" x14ac:dyDescent="0.25">
      <c r="A160">
        <f>RTD("tos.rtd", , "ASK", ".SPY150508C215.5")</f>
        <v>0.03</v>
      </c>
      <c r="B160">
        <f>RTD("tos.rtd", , "ASK_SIZE", ".SPY150508C215.5")</f>
        <v>1200</v>
      </c>
      <c r="C160">
        <f>RTD("tos.rtd", , "BID", ".SPY150508C215.5")</f>
        <v>0.02</v>
      </c>
      <c r="D160">
        <f>RTD("tos.rtd", , "BID_SIZE", ".SPY150508C215.5")</f>
        <v>99</v>
      </c>
      <c r="E160">
        <f>RTD("tos.rtd", , "VOLUME", ".SPY150508C215.5")</f>
        <v>1294</v>
      </c>
      <c r="F160">
        <f>RTD("tos.rtd", , "OPEN_INT", ".SPY150508C215.5")</f>
        <v>40404</v>
      </c>
      <c r="G160">
        <f>RTD("tos.rtd", , "DELTA", ".SPY150508C215.5")</f>
        <v>3.032E-2</v>
      </c>
      <c r="H160">
        <f>RTD("tos.rtd", , "THETA", ".SPY150508C215.5")</f>
        <v>-1.6039999999999999E-2</v>
      </c>
      <c r="I160">
        <f>RTD("tos.rtd", , "GAMMA", ".SPY150508C215.5")</f>
        <v>3.184E-2</v>
      </c>
      <c r="J160">
        <f>RTD("tos.rtd", , "VEGA", ".SPY150508C215.5")</f>
        <v>1.7260000000000001E-2</v>
      </c>
      <c r="K160">
        <f>RTD("tos.rtd", , "RHO", ".SPY150508C215.5")</f>
        <v>8.7000000000000001E-4</v>
      </c>
      <c r="L160">
        <f>RTD("tos.rtd", , "ASK", ".SPY150508P215.5")</f>
        <v>4.16</v>
      </c>
      <c r="M160">
        <f>RTD("tos.rtd", , "ASK_SIZE", ".SPY150508P215.5")</f>
        <v>100</v>
      </c>
      <c r="N160">
        <f>RTD("tos.rtd", , "BID", ".SPY150508P215.5")</f>
        <v>4</v>
      </c>
      <c r="O160">
        <f>RTD("tos.rtd", , "BID_SIZE", ".SPY150508P215.5")</f>
        <v>3</v>
      </c>
      <c r="P160">
        <f>RTD("tos.rtd", , "VOLUME", ".SPY150508P215.5")</f>
        <v>54</v>
      </c>
      <c r="Q160">
        <f>RTD("tos.rtd", , "OPEN_INT", ".SPY150508P215.5")</f>
        <v>145</v>
      </c>
      <c r="R160">
        <f>RTD("tos.rtd", , "DELTA", ".SPY150508P215.5")</f>
        <v>-1</v>
      </c>
      <c r="S160">
        <f>RTD("tos.rtd", , "THETA", ".SPY150508P215.5")</f>
        <v>-5.2319999999999998E-2</v>
      </c>
      <c r="T160">
        <f>RTD("tos.rtd", , "GAMMA", ".SPY150508P215.5")</f>
        <v>0</v>
      </c>
      <c r="U160">
        <f>RTD("tos.rtd", , "VEGA", ".SPY150508P215.5")</f>
        <v>0.43622</v>
      </c>
      <c r="V160">
        <f>RTD("tos.rtd", , "RHO", ".SPY150508P215.5")</f>
        <v>0</v>
      </c>
    </row>
    <row r="161" spans="1:22" x14ac:dyDescent="0.25">
      <c r="A161">
        <f>RTD("tos.rtd", , "ASK", ".SPY150508C216")</f>
        <v>0.02</v>
      </c>
      <c r="B161">
        <f>RTD("tos.rtd", , "ASK_SIZE", ".SPY150508C216")</f>
        <v>1200</v>
      </c>
      <c r="C161">
        <f>RTD("tos.rtd", , "BID", ".SPY150508C216")</f>
        <v>0.01</v>
      </c>
      <c r="D161">
        <f>RTD("tos.rtd", , "BID_SIZE", ".SPY150508C216")</f>
        <v>2010</v>
      </c>
      <c r="E161">
        <f>RTD("tos.rtd", , "VOLUME", ".SPY150508C216")</f>
        <v>862</v>
      </c>
      <c r="F161">
        <f>RTD("tos.rtd", , "OPEN_INT", ".SPY150508C216")</f>
        <v>16790</v>
      </c>
      <c r="G161">
        <f>RTD("tos.rtd", , "DELTA", ".SPY150508C216")</f>
        <v>1.9210000000000001E-2</v>
      </c>
      <c r="H161">
        <f>RTD("tos.rtd", , "THETA", ".SPY150508C216")</f>
        <v>-1.1520000000000001E-2</v>
      </c>
      <c r="I161">
        <f>RTD("tos.rtd", , "GAMMA", ".SPY150508C216")</f>
        <v>2.1350000000000001E-2</v>
      </c>
      <c r="J161">
        <f>RTD("tos.rtd", , "VEGA", ".SPY150508C216")</f>
        <v>1.18E-2</v>
      </c>
      <c r="K161">
        <f>RTD("tos.rtd", , "RHO", ".SPY150508C216")</f>
        <v>5.5000000000000003E-4</v>
      </c>
      <c r="L161">
        <f>RTD("tos.rtd", , "ASK", ".SPY150508P216")</f>
        <v>4.66</v>
      </c>
      <c r="M161">
        <f>RTD("tos.rtd", , "ASK_SIZE", ".SPY150508P216")</f>
        <v>100</v>
      </c>
      <c r="N161">
        <f>RTD("tos.rtd", , "BID", ".SPY150508P216")</f>
        <v>4.43</v>
      </c>
      <c r="O161">
        <f>RTD("tos.rtd", , "BID_SIZE", ".SPY150508P216")</f>
        <v>101</v>
      </c>
      <c r="P161">
        <f>RTD("tos.rtd", , "VOLUME", ".SPY150508P216")</f>
        <v>59</v>
      </c>
      <c r="Q161">
        <f>RTD("tos.rtd", , "OPEN_INT", ".SPY150508P216")</f>
        <v>51</v>
      </c>
      <c r="R161">
        <f>RTD("tos.rtd", , "DELTA", ".SPY150508P216")</f>
        <v>-0.99975999999999998</v>
      </c>
      <c r="S161">
        <f>RTD("tos.rtd", , "THETA", ".SPY150508P216")</f>
        <v>-8.7200000000000003E-3</v>
      </c>
      <c r="T161">
        <f>RTD("tos.rtd", , "GAMMA", ".SPY150508P216")</f>
        <v>0</v>
      </c>
      <c r="U161">
        <f>RTD("tos.rtd", , "VEGA", ".SPY150508P216")</f>
        <v>0</v>
      </c>
      <c r="V161">
        <f>RTD("tos.rtd", , "RHO", ".SPY150508P216")</f>
        <v>-2.9569999999999999E-2</v>
      </c>
    </row>
    <row r="162" spans="1:22" x14ac:dyDescent="0.25">
      <c r="A162">
        <f>RTD("tos.rtd", , "ASK", ".SPY150508C216.5")</f>
        <v>0.02</v>
      </c>
      <c r="B162">
        <f>RTD("tos.rtd", , "ASK_SIZE", ".SPY150508C216.5")</f>
        <v>1200</v>
      </c>
      <c r="C162">
        <f>RTD("tos.rtd", , "BID", ".SPY150508C216.5")</f>
        <v>0.01</v>
      </c>
      <c r="D162">
        <f>RTD("tos.rtd", , "BID_SIZE", ".SPY150508C216.5")</f>
        <v>1200</v>
      </c>
      <c r="E162">
        <f>RTD("tos.rtd", , "VOLUME", ".SPY150508C216.5")</f>
        <v>2771</v>
      </c>
      <c r="F162">
        <f>RTD("tos.rtd", , "OPEN_INT", ".SPY150508C216.5")</f>
        <v>4829</v>
      </c>
      <c r="G162">
        <f>RTD("tos.rtd", , "DELTA", ".SPY150508C216.5")</f>
        <v>1.779E-2</v>
      </c>
      <c r="H162">
        <f>RTD("tos.rtd", , "THETA", ".SPY150508C216.5")</f>
        <v>-1.187E-2</v>
      </c>
      <c r="I162">
        <f>RTD("tos.rtd", , "GAMMA", ".SPY150508C216.5")</f>
        <v>1.8329999999999999E-2</v>
      </c>
      <c r="J162">
        <f>RTD("tos.rtd", , "VEGA", ".SPY150508C216.5")</f>
        <v>1.1050000000000001E-2</v>
      </c>
      <c r="K162">
        <f>RTD("tos.rtd", , "RHO", ".SPY150508C216.5")</f>
        <v>5.1000000000000004E-4</v>
      </c>
      <c r="L162">
        <f>RTD("tos.rtd", , "ASK", ".SPY150508P216.5")</f>
        <v>5.19</v>
      </c>
      <c r="M162">
        <f>RTD("tos.rtd", , "ASK_SIZE", ".SPY150508P216.5")</f>
        <v>11</v>
      </c>
      <c r="N162">
        <f>RTD("tos.rtd", , "BID", ".SPY150508P216.5")</f>
        <v>4.9400000000000004</v>
      </c>
      <c r="O162">
        <f>RTD("tos.rtd", , "BID_SIZE", ".SPY150508P216.5")</f>
        <v>100</v>
      </c>
      <c r="P162">
        <f>RTD("tos.rtd", , "VOLUME", ".SPY150508P216.5")</f>
        <v>0</v>
      </c>
      <c r="Q162">
        <f>RTD("tos.rtd", , "OPEN_INT", ".SPY150508P216.5")</f>
        <v>21</v>
      </c>
      <c r="R162">
        <f>RTD("tos.rtd", , "DELTA", ".SPY150508P216.5")</f>
        <v>-0.99975999999999998</v>
      </c>
      <c r="S162">
        <f>RTD("tos.rtd", , "THETA", ".SPY150508P216.5")</f>
        <v>-8.7200000000000003E-3</v>
      </c>
      <c r="T162">
        <f>RTD("tos.rtd", , "GAMMA", ".SPY150508P216.5")</f>
        <v>0</v>
      </c>
      <c r="U162">
        <f>RTD("tos.rtd", , "VEGA", ".SPY150508P216.5")</f>
        <v>0</v>
      </c>
      <c r="V162">
        <f>RTD("tos.rtd", , "RHO", ".SPY150508P216.5")</f>
        <v>-2.964E-2</v>
      </c>
    </row>
    <row r="163" spans="1:22" x14ac:dyDescent="0.25">
      <c r="A163">
        <f>RTD("tos.rtd", , "ASK", ".SPY150508C217")</f>
        <v>0.02</v>
      </c>
      <c r="B163">
        <f>RTD("tos.rtd", , "ASK_SIZE", ".SPY150508C217")</f>
        <v>1200</v>
      </c>
      <c r="C163">
        <f>RTD("tos.rtd", , "BID", ".SPY150508C217")</f>
        <v>0.01</v>
      </c>
      <c r="D163">
        <f>RTD("tos.rtd", , "BID_SIZE", ".SPY150508C217")</f>
        <v>100</v>
      </c>
      <c r="E163">
        <f>RTD("tos.rtd", , "VOLUME", ".SPY150508C217")</f>
        <v>493</v>
      </c>
      <c r="F163">
        <f>RTD("tos.rtd", , "OPEN_INT", ".SPY150508C217")</f>
        <v>6127</v>
      </c>
      <c r="G163">
        <f>RTD("tos.rtd", , "DELTA", ".SPY150508C217")</f>
        <v>1.6590000000000001E-2</v>
      </c>
      <c r="H163">
        <f>RTD("tos.rtd", , "THETA", ".SPY150508C217")</f>
        <v>-1.2200000000000001E-2</v>
      </c>
      <c r="I163">
        <f>RTD("tos.rtd", , "GAMMA", ".SPY150508C217")</f>
        <v>1.5949999999999999E-2</v>
      </c>
      <c r="J163">
        <f>RTD("tos.rtd", , "VEGA", ".SPY150508C217")</f>
        <v>1.04E-2</v>
      </c>
      <c r="K163">
        <f>RTD("tos.rtd", , "RHO", ".SPY150508C217")</f>
        <v>4.8000000000000001E-4</v>
      </c>
      <c r="L163">
        <f>RTD("tos.rtd", , "ASK", ".SPY150508P217")</f>
        <v>5.7</v>
      </c>
      <c r="M163">
        <f>RTD("tos.rtd", , "ASK_SIZE", ".SPY150508P217")</f>
        <v>10</v>
      </c>
      <c r="N163">
        <f>RTD("tos.rtd", , "BID", ".SPY150508P217")</f>
        <v>5.4</v>
      </c>
      <c r="O163">
        <f>RTD("tos.rtd", , "BID_SIZE", ".SPY150508P217")</f>
        <v>103</v>
      </c>
      <c r="P163">
        <f>RTD("tos.rtd", , "VOLUME", ".SPY150508P217")</f>
        <v>10</v>
      </c>
      <c r="Q163">
        <f>RTD("tos.rtd", , "OPEN_INT", ".SPY150508P217")</f>
        <v>105</v>
      </c>
      <c r="R163">
        <f>RTD("tos.rtd", , "DELTA", ".SPY150508P217")</f>
        <v>-0.99975999999999998</v>
      </c>
      <c r="S163">
        <f>RTD("tos.rtd", , "THETA", ".SPY150508P217")</f>
        <v>-8.7100000000000007E-3</v>
      </c>
      <c r="T163">
        <f>RTD("tos.rtd", , "GAMMA", ".SPY150508P217")</f>
        <v>0</v>
      </c>
      <c r="U163">
        <f>RTD("tos.rtd", , "VEGA", ".SPY150508P217")</f>
        <v>0</v>
      </c>
      <c r="V163">
        <f>RTD("tos.rtd", , "RHO", ".SPY150508P217")</f>
        <v>-2.971E-2</v>
      </c>
    </row>
    <row r="164" spans="1:22" x14ac:dyDescent="0.25">
      <c r="A164">
        <f>RTD("tos.rtd", , "ASK", ".SPY150508C217.5")</f>
        <v>0.01</v>
      </c>
      <c r="B164">
        <f>RTD("tos.rtd", , "ASK_SIZE", ".SPY150508C217.5")</f>
        <v>1200</v>
      </c>
      <c r="C164">
        <f>RTD("tos.rtd", , "BID", ".SPY150508C217.5")</f>
        <v>0</v>
      </c>
      <c r="D164">
        <f>RTD("tos.rtd", , "BID_SIZE", ".SPY150508C217.5")</f>
        <v>0</v>
      </c>
      <c r="E164">
        <f>RTD("tos.rtd", , "VOLUME", ".SPY150508C217.5")</f>
        <v>45</v>
      </c>
      <c r="F164">
        <f>RTD("tos.rtd", , "OPEN_INT", ".SPY150508C217.5")</f>
        <v>446</v>
      </c>
      <c r="G164">
        <f>RTD("tos.rtd", , "DELTA", ".SPY150508C217.5")</f>
        <v>6.4799999999999996E-3</v>
      </c>
      <c r="H164">
        <f>RTD("tos.rtd", , "THETA", ".SPY150508C217.5")</f>
        <v>-5.4200000000000003E-3</v>
      </c>
      <c r="I164">
        <f>RTD("tos.rtd", , "GAMMA", ".SPY150508C217.5")</f>
        <v>7.5300000000000002E-3</v>
      </c>
      <c r="J164">
        <f>RTD("tos.rtd", , "VEGA", ".SPY150508C217.5")</f>
        <v>4.6299999999999996E-3</v>
      </c>
      <c r="K164">
        <f>RTD("tos.rtd", , "RHO", ".SPY150508C217.5")</f>
        <v>1.9000000000000001E-4</v>
      </c>
      <c r="L164">
        <f>RTD("tos.rtd", , "ASK", ".SPY150508P217.5")</f>
        <v>6.2</v>
      </c>
      <c r="M164">
        <f>RTD("tos.rtd", , "ASK_SIZE", ".SPY150508P217.5")</f>
        <v>100</v>
      </c>
      <c r="N164">
        <f>RTD("tos.rtd", , "BID", ".SPY150508P217.5")</f>
        <v>5.9</v>
      </c>
      <c r="O164">
        <f>RTD("tos.rtd", , "BID_SIZE", ".SPY150508P217.5")</f>
        <v>103</v>
      </c>
      <c r="P164">
        <f>RTD("tos.rtd", , "VOLUME", ".SPY150508P217.5")</f>
        <v>0</v>
      </c>
      <c r="Q164">
        <f>RTD("tos.rtd", , "OPEN_INT", ".SPY150508P217.5")</f>
        <v>102</v>
      </c>
      <c r="R164">
        <f>RTD("tos.rtd", , "DELTA", ".SPY150508P217.5")</f>
        <v>-0.99975999999999998</v>
      </c>
      <c r="S164">
        <f>RTD("tos.rtd", , "THETA", ".SPY150508P217.5")</f>
        <v>-8.7100000000000007E-3</v>
      </c>
      <c r="T164">
        <f>RTD("tos.rtd", , "GAMMA", ".SPY150508P217.5")</f>
        <v>0</v>
      </c>
      <c r="U164">
        <f>RTD("tos.rtd", , "VEGA", ".SPY150508P217.5")</f>
        <v>0</v>
      </c>
      <c r="V164">
        <f>RTD("tos.rtd", , "RHO", ".SPY150508P217.5")</f>
        <v>-2.9770000000000001E-2</v>
      </c>
    </row>
    <row r="165" spans="1:22" x14ac:dyDescent="0.25">
      <c r="A165">
        <f>RTD("tos.rtd", , "ASK", ".SPY150508C218")</f>
        <v>0.01</v>
      </c>
      <c r="B165">
        <f>RTD("tos.rtd", , "ASK_SIZE", ".SPY150508C218")</f>
        <v>1200</v>
      </c>
      <c r="C165">
        <f>RTD("tos.rtd", , "BID", ".SPY150508C218")</f>
        <v>0</v>
      </c>
      <c r="D165">
        <f>RTD("tos.rtd", , "BID_SIZE", ".SPY150508C218")</f>
        <v>0</v>
      </c>
      <c r="E165">
        <f>RTD("tos.rtd", , "VOLUME", ".SPY150508C218")</f>
        <v>0</v>
      </c>
      <c r="F165">
        <f>RTD("tos.rtd", , "OPEN_INT", ".SPY150508C218")</f>
        <v>1636</v>
      </c>
      <c r="G165">
        <f>RTD("tos.rtd", , "DELTA", ".SPY150508C218")</f>
        <v>6.0899999999999999E-3</v>
      </c>
      <c r="H165">
        <f>RTD("tos.rtd", , "THETA", ".SPY150508C218")</f>
        <v>-5.5300000000000002E-3</v>
      </c>
      <c r="I165">
        <f>RTD("tos.rtd", , "GAMMA", ".SPY150508C218")</f>
        <v>6.6499999999999997E-3</v>
      </c>
      <c r="J165">
        <f>RTD("tos.rtd", , "VEGA", ".SPY150508C218")</f>
        <v>4.3699999999999998E-3</v>
      </c>
      <c r="K165">
        <f>RTD("tos.rtd", , "RHO", ".SPY150508C218")</f>
        <v>1.7000000000000001E-4</v>
      </c>
      <c r="L165">
        <f>RTD("tos.rtd", , "ASK", ".SPY150508P218")</f>
        <v>6.69</v>
      </c>
      <c r="M165">
        <f>RTD("tos.rtd", , "ASK_SIZE", ".SPY150508P218")</f>
        <v>10</v>
      </c>
      <c r="N165">
        <f>RTD("tos.rtd", , "BID", ".SPY150508P218")</f>
        <v>6.39</v>
      </c>
      <c r="O165">
        <f>RTD("tos.rtd", , "BID_SIZE", ".SPY150508P218")</f>
        <v>103</v>
      </c>
      <c r="P165">
        <f>RTD("tos.rtd", , "VOLUME", ".SPY150508P218")</f>
        <v>20</v>
      </c>
      <c r="Q165">
        <f>RTD("tos.rtd", , "OPEN_INT", ".SPY150508P218")</f>
        <v>48</v>
      </c>
      <c r="R165">
        <f>RTD("tos.rtd", , "DELTA", ".SPY150508P218")</f>
        <v>-1</v>
      </c>
      <c r="S165">
        <f>RTD("tos.rtd", , "THETA", ".SPY150508P218")</f>
        <v>0</v>
      </c>
      <c r="T165">
        <f>RTD("tos.rtd", , "GAMMA", ".SPY150508P218")</f>
        <v>0</v>
      </c>
      <c r="U165">
        <f>RTD("tos.rtd", , "VEGA", ".SPY150508P218")</f>
        <v>0.43536999999999998</v>
      </c>
      <c r="V165">
        <f>RTD("tos.rtd", , "RHO", ".SPY150508P218")</f>
        <v>0</v>
      </c>
    </row>
    <row r="166" spans="1:22" x14ac:dyDescent="0.25">
      <c r="A166">
        <f>RTD("tos.rtd", , "ASK", ".SPY150508C218.5")</f>
        <v>0.01</v>
      </c>
      <c r="B166">
        <f>RTD("tos.rtd", , "ASK_SIZE", ".SPY150508C218.5")</f>
        <v>1200</v>
      </c>
      <c r="C166">
        <f>RTD("tos.rtd", , "BID", ".SPY150508C218.5")</f>
        <v>0</v>
      </c>
      <c r="D166">
        <f>RTD("tos.rtd", , "BID_SIZE", ".SPY150508C218.5")</f>
        <v>0</v>
      </c>
      <c r="E166">
        <f>RTD("tos.rtd", , "VOLUME", ".SPY150508C218.5")</f>
        <v>0</v>
      </c>
      <c r="F166">
        <f>RTD("tos.rtd", , "OPEN_INT", ".SPY150508C218.5")</f>
        <v>205</v>
      </c>
      <c r="G166">
        <f>RTD("tos.rtd", , "DELTA", ".SPY150508C218.5")</f>
        <v>5.7499999999999999E-3</v>
      </c>
      <c r="H166">
        <f>RTD("tos.rtd", , "THETA", ".SPY150508C218.5")</f>
        <v>-5.64E-3</v>
      </c>
      <c r="I166">
        <f>RTD("tos.rtd", , "GAMMA", ".SPY150508C218.5")</f>
        <v>5.9300000000000004E-3</v>
      </c>
      <c r="J166">
        <f>RTD("tos.rtd", , "VEGA", ".SPY150508C218.5")</f>
        <v>4.15E-3</v>
      </c>
      <c r="K166">
        <f>RTD("tos.rtd", , "RHO", ".SPY150508C218.5")</f>
        <v>1.7000000000000001E-4</v>
      </c>
      <c r="L166">
        <f>RTD("tos.rtd", , "ASK", ".SPY150508P218.5")</f>
        <v>7.19</v>
      </c>
      <c r="M166">
        <f>RTD("tos.rtd", , "ASK_SIZE", ".SPY150508P218.5")</f>
        <v>100</v>
      </c>
      <c r="N166">
        <f>RTD("tos.rtd", , "BID", ".SPY150508P218.5")</f>
        <v>6.9</v>
      </c>
      <c r="O166">
        <f>RTD("tos.rtd", , "BID_SIZE", ".SPY150508P218.5")</f>
        <v>100</v>
      </c>
      <c r="P166" t="str">
        <f>RTD("tos.rtd", , "VOLUME", ".SPY150508P218.5")</f>
        <v>N/A</v>
      </c>
      <c r="Q166">
        <f>RTD("tos.rtd", , "OPEN_INT", ".SPY150508P218.5")</f>
        <v>0</v>
      </c>
      <c r="R166">
        <f>RTD("tos.rtd", , "DELTA", ".SPY150508P218.5")</f>
        <v>-1</v>
      </c>
      <c r="S166">
        <f>RTD("tos.rtd", , "THETA", ".SPY150508P218.5")</f>
        <v>-5.219E-2</v>
      </c>
      <c r="T166">
        <f>RTD("tos.rtd", , "GAMMA", ".SPY150508P218.5")</f>
        <v>0</v>
      </c>
      <c r="U166">
        <f>RTD("tos.rtd", , "VEGA", ".SPY150508P218.5")</f>
        <v>0.43519000000000002</v>
      </c>
      <c r="V166">
        <f>RTD("tos.rtd", , "RHO", ".SPY150508P218.5")</f>
        <v>0</v>
      </c>
    </row>
    <row r="167" spans="1:22" x14ac:dyDescent="0.25">
      <c r="A167">
        <f>RTD("tos.rtd", , "ASK", ".SPY150508C219")</f>
        <v>0.01</v>
      </c>
      <c r="B167">
        <f>RTD("tos.rtd", , "ASK_SIZE", ".SPY150508C219")</f>
        <v>1200</v>
      </c>
      <c r="C167">
        <f>RTD("tos.rtd", , "BID", ".SPY150508C219")</f>
        <v>0</v>
      </c>
      <c r="D167">
        <f>RTD("tos.rtd", , "BID_SIZE", ".SPY150508C219")</f>
        <v>0</v>
      </c>
      <c r="E167">
        <f>RTD("tos.rtd", , "VOLUME", ".SPY150508C219")</f>
        <v>0</v>
      </c>
      <c r="F167">
        <f>RTD("tos.rtd", , "OPEN_INT", ".SPY150508C219")</f>
        <v>3683</v>
      </c>
      <c r="G167">
        <f>RTD("tos.rtd", , "DELTA", ".SPY150508C219")</f>
        <v>5.45E-3</v>
      </c>
      <c r="H167">
        <f>RTD("tos.rtd", , "THETA", ".SPY150508C219")</f>
        <v>-5.7400000000000003E-3</v>
      </c>
      <c r="I167">
        <f>RTD("tos.rtd", , "GAMMA", ".SPY150508C219")</f>
        <v>5.3299999999999997E-3</v>
      </c>
      <c r="J167">
        <f>RTD("tos.rtd", , "VEGA", ".SPY150508C219")</f>
        <v>3.9500000000000004E-3</v>
      </c>
      <c r="K167">
        <f>RTD("tos.rtd", , "RHO", ".SPY150508C219")</f>
        <v>1.6000000000000001E-4</v>
      </c>
      <c r="L167">
        <f>RTD("tos.rtd", , "ASK", ".SPY150508P219")</f>
        <v>7.69</v>
      </c>
      <c r="M167">
        <f>RTD("tos.rtd", , "ASK_SIZE", ".SPY150508P219")</f>
        <v>100</v>
      </c>
      <c r="N167">
        <f>RTD("tos.rtd", , "BID", ".SPY150508P219")</f>
        <v>7.4</v>
      </c>
      <c r="O167">
        <f>RTD("tos.rtd", , "BID_SIZE", ".SPY150508P219")</f>
        <v>100</v>
      </c>
      <c r="P167">
        <f>RTD("tos.rtd", , "VOLUME", ".SPY150508P219")</f>
        <v>0</v>
      </c>
      <c r="Q167">
        <f>RTD("tos.rtd", , "OPEN_INT", ".SPY150508P219")</f>
        <v>4</v>
      </c>
      <c r="R167">
        <f>RTD("tos.rtd", , "DELTA", ".SPY150508P219")</f>
        <v>-1</v>
      </c>
      <c r="S167">
        <f>RTD("tos.rtd", , "THETA", ".SPY150508P219")</f>
        <v>-5.2170000000000001E-2</v>
      </c>
      <c r="T167">
        <f>RTD("tos.rtd", , "GAMMA", ".SPY150508P219")</f>
        <v>0</v>
      </c>
      <c r="U167">
        <f>RTD("tos.rtd", , "VEGA", ".SPY150508P219")</f>
        <v>0.43502000000000002</v>
      </c>
      <c r="V167">
        <f>RTD("tos.rtd", , "RHO", ".SPY150508P219")</f>
        <v>0</v>
      </c>
    </row>
    <row r="168" spans="1:22" x14ac:dyDescent="0.25">
      <c r="A168">
        <f>RTD("tos.rtd", , "ASK", ".SPY150508C219.5")</f>
        <v>0.01</v>
      </c>
      <c r="B168">
        <f>RTD("tos.rtd", , "ASK_SIZE", ".SPY150508C219.5")</f>
        <v>1200</v>
      </c>
      <c r="C168">
        <f>RTD("tos.rtd", , "BID", ".SPY150508C219.5")</f>
        <v>0</v>
      </c>
      <c r="D168">
        <f>RTD("tos.rtd", , "BID_SIZE", ".SPY150508C219.5")</f>
        <v>0</v>
      </c>
      <c r="E168" t="str">
        <f>RTD("tos.rtd", , "VOLUME", ".SPY150508C219.5")</f>
        <v>N/A</v>
      </c>
      <c r="F168">
        <f>RTD("tos.rtd", , "OPEN_INT", ".SPY150508C219.5")</f>
        <v>0</v>
      </c>
      <c r="G168">
        <f>RTD("tos.rtd", , "DELTA", ".SPY150508C219.5")</f>
        <v>5.1799999999999997E-3</v>
      </c>
      <c r="H168">
        <f>RTD("tos.rtd", , "THETA", ".SPY150508C219.5")</f>
        <v>-5.8300000000000001E-3</v>
      </c>
      <c r="I168">
        <f>RTD("tos.rtd", , "GAMMA", ".SPY150508C219.5")</f>
        <v>4.8199999999999996E-3</v>
      </c>
      <c r="J168">
        <f>RTD("tos.rtd", , "VEGA", ".SPY150508C219.5")</f>
        <v>3.7799999999999999E-3</v>
      </c>
      <c r="K168">
        <f>RTD("tos.rtd", , "RHO", ".SPY150508C219.5")</f>
        <v>1.4999999999999999E-4</v>
      </c>
      <c r="L168">
        <f>RTD("tos.rtd", , "ASK", ".SPY150508P219.5")</f>
        <v>8.19</v>
      </c>
      <c r="M168">
        <f>RTD("tos.rtd", , "ASK_SIZE", ".SPY150508P219.5")</f>
        <v>100</v>
      </c>
      <c r="N168">
        <f>RTD("tos.rtd", , "BID", ".SPY150508P219.5")</f>
        <v>7.9</v>
      </c>
      <c r="O168">
        <f>RTD("tos.rtd", , "BID_SIZE", ".SPY150508P219.5")</f>
        <v>10</v>
      </c>
      <c r="P168" t="str">
        <f>RTD("tos.rtd", , "VOLUME", ".SPY150508P219.5")</f>
        <v>N/A</v>
      </c>
      <c r="Q168">
        <f>RTD("tos.rtd", , "OPEN_INT", ".SPY150508P219.5")</f>
        <v>0</v>
      </c>
      <c r="R168">
        <f>RTD("tos.rtd", , "DELTA", ".SPY150508P219.5")</f>
        <v>-0.99975999999999998</v>
      </c>
      <c r="S168">
        <f>RTD("tos.rtd", , "THETA", ".SPY150508P219.5")</f>
        <v>-8.6999999999999994E-3</v>
      </c>
      <c r="T168">
        <f>RTD("tos.rtd", , "GAMMA", ".SPY150508P219.5")</f>
        <v>0</v>
      </c>
      <c r="U168">
        <f>RTD("tos.rtd", , "VEGA", ".SPY150508P219.5")</f>
        <v>0</v>
      </c>
      <c r="V168">
        <f>RTD("tos.rtd", , "RHO", ".SPY150508P219.5")</f>
        <v>-3.005E-2</v>
      </c>
    </row>
    <row r="169" spans="1:22" x14ac:dyDescent="0.25">
      <c r="A169" t="s">
        <v>4</v>
      </c>
      <c r="B169">
        <v>40</v>
      </c>
    </row>
    <row r="170" spans="1:22" x14ac:dyDescent="0.25">
      <c r="A170">
        <f>RTD("tos.rtd", ,"LAST", "SPY")</f>
        <v>211.32</v>
      </c>
    </row>
    <row r="171" spans="1:22" x14ac:dyDescent="0.25">
      <c r="A171">
        <f>RTD("tos.rtd", , "ASK", ".SPY150515C200")</f>
        <v>11.71</v>
      </c>
      <c r="B171">
        <f>RTD("tos.rtd", , "ASK_SIZE", ".SPY150515C200")</f>
        <v>31</v>
      </c>
      <c r="C171">
        <f>RTD("tos.rtd", , "BID", ".SPY150515C200")</f>
        <v>11.41</v>
      </c>
      <c r="D171">
        <f>RTD("tos.rtd", , "BID_SIZE", ".SPY150515C200")</f>
        <v>31</v>
      </c>
      <c r="E171">
        <f>RTD("tos.rtd", , "VOLUME", ".SPY150515C200")</f>
        <v>16</v>
      </c>
      <c r="F171">
        <f>RTD("tos.rtd", , "OPEN_INT", ".SPY150515C200")</f>
        <v>4397</v>
      </c>
      <c r="G171">
        <f>RTD("tos.rtd", , "DELTA", ".SPY150515C200")</f>
        <v>0.94274000000000002</v>
      </c>
      <c r="H171">
        <f>RTD("tos.rtd", , "THETA", ".SPY150515C200")</f>
        <v>-3.0939999999999999E-2</v>
      </c>
      <c r="I171">
        <f>RTD("tos.rtd", , "GAMMA", ".SPY150515C200")</f>
        <v>1.2840000000000001E-2</v>
      </c>
      <c r="J171">
        <f>RTD("tos.rtd", , "VEGA", ".SPY150515C200")</f>
        <v>4.2070000000000003E-2</v>
      </c>
      <c r="K171">
        <f>RTD("tos.rtd", , "RHO", ".SPY150515C200")</f>
        <v>2.5139999999999999E-2</v>
      </c>
      <c r="L171">
        <f>RTD("tos.rtd", , "ASK", ".SPY150515P200")</f>
        <v>0.11</v>
      </c>
      <c r="M171">
        <f>RTD("tos.rtd", , "ASK_SIZE", ".SPY150515P200")</f>
        <v>3000</v>
      </c>
      <c r="N171">
        <f>RTD("tos.rtd", , "BID", ".SPY150515P200")</f>
        <v>0.09</v>
      </c>
      <c r="O171">
        <f>RTD("tos.rtd", , "BID_SIZE", ".SPY150515P200")</f>
        <v>3000</v>
      </c>
      <c r="P171">
        <f>RTD("tos.rtd", , "VOLUME", ".SPY150515P200")</f>
        <v>8276</v>
      </c>
      <c r="Q171">
        <f>RTD("tos.rtd", , "OPEN_INT", ".SPY150515P200")</f>
        <v>203049</v>
      </c>
      <c r="R171">
        <f>RTD("tos.rtd", , "DELTA", ".SPY150515P200")</f>
        <v>-3.7350000000000001E-2</v>
      </c>
      <c r="S171">
        <f>RTD("tos.rtd", , "THETA", ".SPY150515P200")</f>
        <v>-2.3820000000000001E-2</v>
      </c>
      <c r="T171">
        <f>RTD("tos.rtd", , "GAMMA", ".SPY150515P200")</f>
        <v>1.234E-2</v>
      </c>
      <c r="U171">
        <f>RTD("tos.rtd", , "VEGA", ".SPY150515P200")</f>
        <v>3.1559999999999998E-2</v>
      </c>
      <c r="V171">
        <f>RTD("tos.rtd", , "RHO", ".SPY150515P200")</f>
        <v>-2.63E-3</v>
      </c>
    </row>
    <row r="172" spans="1:22" x14ac:dyDescent="0.25">
      <c r="A172">
        <f>RTD("tos.rtd", , "ASK", ".SPY150515C200.5")</f>
        <v>11.21</v>
      </c>
      <c r="B172">
        <f>RTD("tos.rtd", , "ASK_SIZE", ".SPY150515C200.5")</f>
        <v>121</v>
      </c>
      <c r="C172">
        <f>RTD("tos.rtd", , "BID", ".SPY150515C200.5")</f>
        <v>10.94</v>
      </c>
      <c r="D172">
        <f>RTD("tos.rtd", , "BID_SIZE", ".SPY150515C200.5")</f>
        <v>111</v>
      </c>
      <c r="E172">
        <f>RTD("tos.rtd", , "VOLUME", ".SPY150515C200.5")</f>
        <v>0</v>
      </c>
      <c r="F172">
        <f>RTD("tos.rtd", , "OPEN_INT", ".SPY150515C200.5")</f>
        <v>272</v>
      </c>
      <c r="G172">
        <f>RTD("tos.rtd", , "DELTA", ".SPY150515C200.5")</f>
        <v>0.93877999999999995</v>
      </c>
      <c r="H172">
        <f>RTD("tos.rtd", , "THETA", ".SPY150515C200.5")</f>
        <v>-3.2149999999999998E-2</v>
      </c>
      <c r="I172">
        <f>RTD("tos.rtd", , "GAMMA", ".SPY150515C200.5")</f>
        <v>1.4540000000000001E-2</v>
      </c>
      <c r="J172">
        <f>RTD("tos.rtd", , "VEGA", ".SPY150515C200.5")</f>
        <v>4.4690000000000001E-2</v>
      </c>
      <c r="K172">
        <f>RTD("tos.rtd", , "RHO", ".SPY150515C200.5")</f>
        <v>2.7269999999999999E-2</v>
      </c>
      <c r="L172">
        <f>RTD("tos.rtd", , "ASK", ".SPY150515P200.5")</f>
        <v>0.12</v>
      </c>
      <c r="M172">
        <f>RTD("tos.rtd", , "ASK_SIZE", ".SPY150515P200.5")</f>
        <v>3000</v>
      </c>
      <c r="N172">
        <f>RTD("tos.rtd", , "BID", ".SPY150515P200.5")</f>
        <v>0.1</v>
      </c>
      <c r="O172">
        <f>RTD("tos.rtd", , "BID_SIZE", ".SPY150515P200.5")</f>
        <v>3000</v>
      </c>
      <c r="P172">
        <f>RTD("tos.rtd", , "VOLUME", ".SPY150515P200.5")</f>
        <v>174</v>
      </c>
      <c r="Q172">
        <f>RTD("tos.rtd", , "OPEN_INT", ".SPY150515P200.5")</f>
        <v>2415</v>
      </c>
      <c r="R172">
        <f>RTD("tos.rtd", , "DELTA", ".SPY150515P200.5")</f>
        <v>-4.129E-2</v>
      </c>
      <c r="S172">
        <f>RTD("tos.rtd", , "THETA", ".SPY150515P200.5")</f>
        <v>-2.5270000000000001E-2</v>
      </c>
      <c r="T172">
        <f>RTD("tos.rtd", , "GAMMA", ".SPY150515P200.5")</f>
        <v>1.366E-2</v>
      </c>
      <c r="U172">
        <f>RTD("tos.rtd", , "VEGA", ".SPY150515P200.5")</f>
        <v>3.4229999999999997E-2</v>
      </c>
      <c r="V172">
        <f>RTD("tos.rtd", , "RHO", ".SPY150515P200.5")</f>
        <v>-2.9099999999999998E-3</v>
      </c>
    </row>
    <row r="173" spans="1:22" x14ac:dyDescent="0.25">
      <c r="A173">
        <f>RTD("tos.rtd", , "ASK", ".SPY150515C201")</f>
        <v>10.72</v>
      </c>
      <c r="B173">
        <f>RTD("tos.rtd", , "ASK_SIZE", ".SPY150515C201")</f>
        <v>111</v>
      </c>
      <c r="C173">
        <f>RTD("tos.rtd", , "BID", ".SPY150515C201")</f>
        <v>10.45</v>
      </c>
      <c r="D173">
        <f>RTD("tos.rtd", , "BID_SIZE", ".SPY150515C201")</f>
        <v>111</v>
      </c>
      <c r="E173">
        <f>RTD("tos.rtd", , "VOLUME", ".SPY150515C201")</f>
        <v>1</v>
      </c>
      <c r="F173">
        <f>RTD("tos.rtd", , "OPEN_INT", ".SPY150515C201")</f>
        <v>2879</v>
      </c>
      <c r="G173">
        <f>RTD("tos.rtd", , "DELTA", ".SPY150515C201")</f>
        <v>0.93559999999999999</v>
      </c>
      <c r="H173">
        <f>RTD("tos.rtd", , "THETA", ".SPY150515C201")</f>
        <v>-3.2620000000000003E-2</v>
      </c>
      <c r="I173">
        <f>RTD("tos.rtd", , "GAMMA", ".SPY150515C201")</f>
        <v>1.6129999999999999E-2</v>
      </c>
      <c r="J173">
        <f>RTD("tos.rtd", , "VEGA", ".SPY150515C201")</f>
        <v>4.675E-2</v>
      </c>
      <c r="K173">
        <f>RTD("tos.rtd", , "RHO", ".SPY150515C201")</f>
        <v>2.879E-2</v>
      </c>
      <c r="L173">
        <f>RTD("tos.rtd", , "ASK", ".SPY150515P201")</f>
        <v>0.13</v>
      </c>
      <c r="M173">
        <f>RTD("tos.rtd", , "ASK_SIZE", ".SPY150515P201")</f>
        <v>3000</v>
      </c>
      <c r="N173">
        <f>RTD("tos.rtd", , "BID", ".SPY150515P201")</f>
        <v>0.11</v>
      </c>
      <c r="O173">
        <f>RTD("tos.rtd", , "BID_SIZE", ".SPY150515P201")</f>
        <v>3000</v>
      </c>
      <c r="P173">
        <f>RTD("tos.rtd", , "VOLUME", ".SPY150515P201")</f>
        <v>3359</v>
      </c>
      <c r="Q173">
        <f>RTD("tos.rtd", , "OPEN_INT", ".SPY150515P201")</f>
        <v>57717</v>
      </c>
      <c r="R173">
        <f>RTD("tos.rtd", , "DELTA", ".SPY150515P201")</f>
        <v>-4.539E-2</v>
      </c>
      <c r="S173">
        <f>RTD("tos.rtd", , "THETA", ".SPY150515P201")</f>
        <v>-2.6610000000000002E-2</v>
      </c>
      <c r="T173">
        <f>RTD("tos.rtd", , "GAMMA", ".SPY150515P201")</f>
        <v>1.507E-2</v>
      </c>
      <c r="U173">
        <f>RTD("tos.rtd", , "VEGA", ".SPY150515P201")</f>
        <v>3.6940000000000001E-2</v>
      </c>
      <c r="V173">
        <f>RTD("tos.rtd", , "RHO", ".SPY150515P201")</f>
        <v>-3.1900000000000001E-3</v>
      </c>
    </row>
    <row r="174" spans="1:22" x14ac:dyDescent="0.25">
      <c r="A174">
        <f>RTD("tos.rtd", , "ASK", ".SPY150515C201.5")</f>
        <v>10.210000000000001</v>
      </c>
      <c r="B174">
        <f>RTD("tos.rtd", , "ASK_SIZE", ".SPY150515C201.5")</f>
        <v>121</v>
      </c>
      <c r="C174">
        <f>RTD("tos.rtd", , "BID", ".SPY150515C201.5")</f>
        <v>9.9600000000000009</v>
      </c>
      <c r="D174">
        <f>RTD("tos.rtd", , "BID_SIZE", ".SPY150515C201.5")</f>
        <v>111</v>
      </c>
      <c r="E174">
        <f>RTD("tos.rtd", , "VOLUME", ".SPY150515C201.5")</f>
        <v>0</v>
      </c>
      <c r="F174">
        <f>RTD("tos.rtd", , "OPEN_INT", ".SPY150515C201.5")</f>
        <v>401</v>
      </c>
      <c r="G174">
        <f>RTD("tos.rtd", , "DELTA", ".SPY150515C201.5")</f>
        <v>0.93428</v>
      </c>
      <c r="H174">
        <f>RTD("tos.rtd", , "THETA", ".SPY150515C201.5")</f>
        <v>-3.175E-2</v>
      </c>
      <c r="I174">
        <f>RTD("tos.rtd", , "GAMMA", ".SPY150515C201.5")</f>
        <v>1.7469999999999999E-2</v>
      </c>
      <c r="J174">
        <f>RTD("tos.rtd", , "VEGA", ".SPY150515C201.5")</f>
        <v>4.7620000000000003E-2</v>
      </c>
      <c r="K174">
        <f>RTD("tos.rtd", , "RHO", ".SPY150515C201.5")</f>
        <v>2.947E-2</v>
      </c>
      <c r="L174">
        <f>RTD("tos.rtd", , "ASK", ".SPY150515P201.5")</f>
        <v>0.14000000000000001</v>
      </c>
      <c r="M174">
        <f>RTD("tos.rtd", , "ASK_SIZE", ".SPY150515P201.5")</f>
        <v>2858</v>
      </c>
      <c r="N174">
        <f>RTD("tos.rtd", , "BID", ".SPY150515P201.5")</f>
        <v>0.12</v>
      </c>
      <c r="O174">
        <f>RTD("tos.rtd", , "BID_SIZE", ".SPY150515P201.5")</f>
        <v>2858</v>
      </c>
      <c r="P174">
        <f>RTD("tos.rtd", , "VOLUME", ".SPY150515P201.5")</f>
        <v>553</v>
      </c>
      <c r="Q174">
        <f>RTD("tos.rtd", , "OPEN_INT", ".SPY150515P201.5")</f>
        <v>5898</v>
      </c>
      <c r="R174">
        <f>RTD("tos.rtd", , "DELTA", ".SPY150515P201.5")</f>
        <v>-4.9689999999999998E-2</v>
      </c>
      <c r="S174">
        <f>RTD("tos.rtd", , "THETA", ".SPY150515P201.5")</f>
        <v>-2.7859999999999999E-2</v>
      </c>
      <c r="T174">
        <f>RTD("tos.rtd", , "GAMMA", ".SPY150515P201.5")</f>
        <v>1.661E-2</v>
      </c>
      <c r="U174">
        <f>RTD("tos.rtd", , "VEGA", ".SPY150515P201.5")</f>
        <v>3.9710000000000002E-2</v>
      </c>
      <c r="V174">
        <f>RTD("tos.rtd", , "RHO", ".SPY150515P201.5")</f>
        <v>-3.5000000000000001E-3</v>
      </c>
    </row>
    <row r="175" spans="1:22" x14ac:dyDescent="0.25">
      <c r="A175">
        <f>RTD("tos.rtd", , "ASK", ".SPY150515C202")</f>
        <v>9.7200000000000006</v>
      </c>
      <c r="B175">
        <f>RTD("tos.rtd", , "ASK_SIZE", ".SPY150515C202")</f>
        <v>350</v>
      </c>
      <c r="C175">
        <f>RTD("tos.rtd", , "BID", ".SPY150515C202")</f>
        <v>9.48</v>
      </c>
      <c r="D175">
        <f>RTD("tos.rtd", , "BID_SIZE", ".SPY150515C202")</f>
        <v>349</v>
      </c>
      <c r="E175">
        <f>RTD("tos.rtd", , "VOLUME", ".SPY150515C202")</f>
        <v>12</v>
      </c>
      <c r="F175">
        <f>RTD("tos.rtd", , "OPEN_INT", ".SPY150515C202")</f>
        <v>4033</v>
      </c>
      <c r="G175">
        <f>RTD("tos.rtd", , "DELTA", ".SPY150515C202")</f>
        <v>0.92934000000000005</v>
      </c>
      <c r="H175">
        <f>RTD("tos.rtd", , "THETA", ".SPY150515C202")</f>
        <v>-3.2870000000000003E-2</v>
      </c>
      <c r="I175">
        <f>RTD("tos.rtd", , "GAMMA", ".SPY150515C202")</f>
        <v>1.9529999999999999E-2</v>
      </c>
      <c r="J175">
        <f>RTD("tos.rtd", , "VEGA", ".SPY150515C202")</f>
        <v>5.0650000000000001E-2</v>
      </c>
      <c r="K175">
        <f>RTD("tos.rtd", , "RHO", ".SPY150515C202")</f>
        <v>3.1300000000000001E-2</v>
      </c>
      <c r="L175">
        <f>RTD("tos.rtd", , "ASK", ".SPY150515P202")</f>
        <v>0.16</v>
      </c>
      <c r="M175">
        <f>RTD("tos.rtd", , "ASK_SIZE", ".SPY150515P202")</f>
        <v>2901</v>
      </c>
      <c r="N175">
        <f>RTD("tos.rtd", , "BID", ".SPY150515P202")</f>
        <v>0.14000000000000001</v>
      </c>
      <c r="O175">
        <f>RTD("tos.rtd", , "BID_SIZE", ".SPY150515P202")</f>
        <v>2590</v>
      </c>
      <c r="P175">
        <f>RTD("tos.rtd", , "VOLUME", ".SPY150515P202")</f>
        <v>23127</v>
      </c>
      <c r="Q175">
        <f>RTD("tos.rtd", , "OPEN_INT", ".SPY150515P202")</f>
        <v>91740</v>
      </c>
      <c r="R175">
        <f>RTD("tos.rtd", , "DELTA", ".SPY150515P202")</f>
        <v>-5.6800000000000003E-2</v>
      </c>
      <c r="S175">
        <f>RTD("tos.rtd", , "THETA", ".SPY150515P202")</f>
        <v>-3.048E-2</v>
      </c>
      <c r="T175">
        <f>RTD("tos.rtd", , "GAMMA", ".SPY150515P202")</f>
        <v>1.8700000000000001E-2</v>
      </c>
      <c r="U175">
        <f>RTD("tos.rtd", , "VEGA", ".SPY150515P202")</f>
        <v>4.4119999999999999E-2</v>
      </c>
      <c r="V175">
        <f>RTD("tos.rtd", , "RHO", ".SPY150515P202")</f>
        <v>-4.0000000000000001E-3</v>
      </c>
    </row>
    <row r="176" spans="1:22" x14ac:dyDescent="0.25">
      <c r="A176">
        <f>RTD("tos.rtd", , "ASK", ".SPY150515C202.5")</f>
        <v>9.24</v>
      </c>
      <c r="B176">
        <f>RTD("tos.rtd", , "ASK_SIZE", ".SPY150515C202.5")</f>
        <v>350</v>
      </c>
      <c r="C176">
        <f>RTD("tos.rtd", , "BID", ".SPY150515C202.5")</f>
        <v>8.99</v>
      </c>
      <c r="D176">
        <f>RTD("tos.rtd", , "BID_SIZE", ".SPY150515C202.5")</f>
        <v>141</v>
      </c>
      <c r="E176">
        <f>RTD("tos.rtd", , "VOLUME", ".SPY150515C202.5")</f>
        <v>0</v>
      </c>
      <c r="F176">
        <f>RTD("tos.rtd", , "OPEN_INT", ".SPY150515C202.5")</f>
        <v>46</v>
      </c>
      <c r="G176">
        <f>RTD("tos.rtd", , "DELTA", ".SPY150515C202.5")</f>
        <v>0.92386999999999997</v>
      </c>
      <c r="H176">
        <f>RTD("tos.rtd", , "THETA", ".SPY150515C202.5")</f>
        <v>-3.3980000000000003E-2</v>
      </c>
      <c r="I176">
        <f>RTD("tos.rtd", , "GAMMA", ".SPY150515C202.5")</f>
        <v>2.1760000000000002E-2</v>
      </c>
      <c r="J176">
        <f>RTD("tos.rtd", , "VEGA", ".SPY150515C202.5")</f>
        <v>5.3879999999999997E-2</v>
      </c>
      <c r="K176">
        <f>RTD("tos.rtd", , "RHO", ".SPY150515C202.5")</f>
        <v>3.3009999999999998E-2</v>
      </c>
      <c r="L176">
        <f>RTD("tos.rtd", , "ASK", ".SPY150515P202.5")</f>
        <v>0.18</v>
      </c>
      <c r="M176">
        <f>RTD("tos.rtd", , "ASK_SIZE", ".SPY150515P202.5")</f>
        <v>3093</v>
      </c>
      <c r="N176">
        <f>RTD("tos.rtd", , "BID", ".SPY150515P202.5")</f>
        <v>0.17</v>
      </c>
      <c r="O176">
        <f>RTD("tos.rtd", , "BID_SIZE", ".SPY150515P202.5")</f>
        <v>10</v>
      </c>
      <c r="P176">
        <f>RTD("tos.rtd", , "VOLUME", ".SPY150515P202.5")</f>
        <v>626</v>
      </c>
      <c r="Q176">
        <f>RTD("tos.rtd", , "OPEN_INT", ".SPY150515P202.5")</f>
        <v>5542</v>
      </c>
      <c r="R176">
        <f>RTD("tos.rtd", , "DELTA", ".SPY150515P202.5")</f>
        <v>-6.5449999999999994E-2</v>
      </c>
      <c r="S176">
        <f>RTD("tos.rtd", , "THETA", ".SPY150515P202.5")</f>
        <v>-3.3610000000000001E-2</v>
      </c>
      <c r="T176">
        <f>RTD("tos.rtd", , "GAMMA", ".SPY150515P202.5")</f>
        <v>2.1080000000000002E-2</v>
      </c>
      <c r="U176">
        <f>RTD("tos.rtd", , "VEGA", ".SPY150515P202.5")</f>
        <v>4.9259999999999998E-2</v>
      </c>
      <c r="V176">
        <f>RTD("tos.rtd", , "RHO", ".SPY150515P202.5")</f>
        <v>-4.6100000000000004E-3</v>
      </c>
    </row>
    <row r="177" spans="1:22" x14ac:dyDescent="0.25">
      <c r="A177">
        <f>RTD("tos.rtd", , "ASK", ".SPY150515C203")</f>
        <v>8.75</v>
      </c>
      <c r="B177">
        <f>RTD("tos.rtd", , "ASK_SIZE", ".SPY150515C203")</f>
        <v>349</v>
      </c>
      <c r="C177">
        <f>RTD("tos.rtd", , "BID", ".SPY150515C203")</f>
        <v>8.51</v>
      </c>
      <c r="D177">
        <f>RTD("tos.rtd", , "BID_SIZE", ".SPY150515C203")</f>
        <v>349</v>
      </c>
      <c r="E177">
        <f>RTD("tos.rtd", , "VOLUME", ".SPY150515C203")</f>
        <v>6</v>
      </c>
      <c r="F177">
        <f>RTD("tos.rtd", , "OPEN_INT", ".SPY150515C203")</f>
        <v>9170</v>
      </c>
      <c r="G177">
        <f>RTD("tos.rtd", , "DELTA", ".SPY150515C203")</f>
        <v>0.91805999999999999</v>
      </c>
      <c r="H177">
        <f>RTD("tos.rtd", , "THETA", ".SPY150515C203")</f>
        <v>-3.4950000000000002E-2</v>
      </c>
      <c r="I177">
        <f>RTD("tos.rtd", , "GAMMA", ".SPY150515C203")</f>
        <v>2.4140000000000002E-2</v>
      </c>
      <c r="J177">
        <f>RTD("tos.rtd", , "VEGA", ".SPY150515C203")</f>
        <v>5.7180000000000002E-2</v>
      </c>
      <c r="K177">
        <f>RTD("tos.rtd", , "RHO", ".SPY150515C203")</f>
        <v>3.4549999999999997E-2</v>
      </c>
      <c r="L177">
        <f>RTD("tos.rtd", , "ASK", ".SPY150515P203")</f>
        <v>0.2</v>
      </c>
      <c r="M177">
        <f>RTD("tos.rtd", , "ASK_SIZE", ".SPY150515P203")</f>
        <v>2185</v>
      </c>
      <c r="N177">
        <f>RTD("tos.rtd", , "BID", ".SPY150515P203")</f>
        <v>0.17</v>
      </c>
      <c r="O177">
        <f>RTD("tos.rtd", , "BID_SIZE", ".SPY150515P203")</f>
        <v>2305</v>
      </c>
      <c r="P177">
        <f>RTD("tos.rtd", , "VOLUME", ".SPY150515P203")</f>
        <v>10316</v>
      </c>
      <c r="Q177">
        <f>RTD("tos.rtd", , "OPEN_INT", ".SPY150515P203")</f>
        <v>53825</v>
      </c>
      <c r="R177">
        <f>RTD("tos.rtd", , "DELTA", ".SPY150515P203")</f>
        <v>-7.0559999999999998E-2</v>
      </c>
      <c r="S177">
        <f>RTD("tos.rtd", , "THETA", ".SPY150515P203")</f>
        <v>-3.4410000000000003E-2</v>
      </c>
      <c r="T177">
        <f>RTD("tos.rtd", , "GAMMA", ".SPY150515P203")</f>
        <v>2.3099999999999999E-2</v>
      </c>
      <c r="U177">
        <f>RTD("tos.rtd", , "VEGA", ".SPY150515P203")</f>
        <v>5.2200000000000003E-2</v>
      </c>
      <c r="V177">
        <f>RTD("tos.rtd", , "RHO", ".SPY150515P203")</f>
        <v>-4.9699999999999996E-3</v>
      </c>
    </row>
    <row r="178" spans="1:22" x14ac:dyDescent="0.25">
      <c r="A178">
        <f>RTD("tos.rtd", , "ASK", ".SPY150515C203.5")</f>
        <v>8.2799999999999994</v>
      </c>
      <c r="B178">
        <f>RTD("tos.rtd", , "ASK_SIZE", ".SPY150515C203.5")</f>
        <v>350</v>
      </c>
      <c r="C178">
        <f>RTD("tos.rtd", , "BID", ".SPY150515C203.5")</f>
        <v>8.0299999999999994</v>
      </c>
      <c r="D178">
        <f>RTD("tos.rtd", , "BID_SIZE", ".SPY150515C203.5")</f>
        <v>349</v>
      </c>
      <c r="E178">
        <f>RTD("tos.rtd", , "VOLUME", ".SPY150515C203.5")</f>
        <v>0</v>
      </c>
      <c r="F178">
        <f>RTD("tos.rtd", , "OPEN_INT", ".SPY150515C203.5")</f>
        <v>294</v>
      </c>
      <c r="G178">
        <f>RTD("tos.rtd", , "DELTA", ".SPY150515C203.5")</f>
        <v>0.90947</v>
      </c>
      <c r="H178">
        <f>RTD("tos.rtd", , "THETA", ".SPY150515C203.5")</f>
        <v>-3.6990000000000002E-2</v>
      </c>
      <c r="I178">
        <f>RTD("tos.rtd", , "GAMMA", ".SPY150515C203.5")</f>
        <v>2.6970000000000001E-2</v>
      </c>
      <c r="J178">
        <f>RTD("tos.rtd", , "VEGA", ".SPY150515C203.5")</f>
        <v>6.1850000000000002E-2</v>
      </c>
      <c r="K178">
        <f>RTD("tos.rtd", , "RHO", ".SPY150515C203.5")</f>
        <v>3.6409999999999998E-2</v>
      </c>
      <c r="L178">
        <f>RTD("tos.rtd", , "ASK", ".SPY150515P203.5")</f>
        <v>0.22</v>
      </c>
      <c r="M178">
        <f>RTD("tos.rtd", , "ASK_SIZE", ".SPY150515P203.5")</f>
        <v>2020</v>
      </c>
      <c r="N178">
        <f>RTD("tos.rtd", , "BID", ".SPY150515P203.5")</f>
        <v>0.2</v>
      </c>
      <c r="O178">
        <f>RTD("tos.rtd", , "BID_SIZE", ".SPY150515P203.5")</f>
        <v>349</v>
      </c>
      <c r="P178">
        <f>RTD("tos.rtd", , "VOLUME", ".SPY150515P203.5")</f>
        <v>1071</v>
      </c>
      <c r="Q178">
        <f>RTD("tos.rtd", , "OPEN_INT", ".SPY150515P203.5")</f>
        <v>10115</v>
      </c>
      <c r="R178">
        <f>RTD("tos.rtd", , "DELTA", ".SPY150515P203.5")</f>
        <v>-7.9689999999999997E-2</v>
      </c>
      <c r="S178">
        <f>RTD("tos.rtd", , "THETA", ".SPY150515P203.5")</f>
        <v>-3.6979999999999999E-2</v>
      </c>
      <c r="T178">
        <f>RTD("tos.rtd", , "GAMMA", ".SPY150515P203.5")</f>
        <v>2.58E-2</v>
      </c>
      <c r="U178">
        <f>RTD("tos.rtd", , "VEGA", ".SPY150515P203.5")</f>
        <v>5.7239999999999999E-2</v>
      </c>
      <c r="V178">
        <f>RTD("tos.rtd", , "RHO", ".SPY150515P203.5")</f>
        <v>-5.6100000000000004E-3</v>
      </c>
    </row>
    <row r="179" spans="1:22" x14ac:dyDescent="0.25">
      <c r="A179">
        <f>RTD("tos.rtd", , "ASK", ".SPY150515C204")</f>
        <v>7.81</v>
      </c>
      <c r="B179">
        <f>RTD("tos.rtd", , "ASK_SIZE", ".SPY150515C204")</f>
        <v>350</v>
      </c>
      <c r="C179">
        <f>RTD("tos.rtd", , "BID", ".SPY150515C204")</f>
        <v>7.56</v>
      </c>
      <c r="D179">
        <f>RTD("tos.rtd", , "BID_SIZE", ".SPY150515C204")</f>
        <v>349</v>
      </c>
      <c r="E179">
        <f>RTD("tos.rtd", , "VOLUME", ".SPY150515C204")</f>
        <v>351</v>
      </c>
      <c r="F179">
        <f>RTD("tos.rtd", , "OPEN_INT", ".SPY150515C204")</f>
        <v>5372</v>
      </c>
      <c r="G179">
        <f>RTD("tos.rtd", , "DELTA", ".SPY150515C204")</f>
        <v>0.89922999999999997</v>
      </c>
      <c r="H179">
        <f>RTD("tos.rtd", , "THETA", ".SPY150515C204")</f>
        <v>-3.9370000000000002E-2</v>
      </c>
      <c r="I179">
        <f>RTD("tos.rtd", , "GAMMA", ".SPY150515C204")</f>
        <v>3.006E-2</v>
      </c>
      <c r="J179">
        <f>RTD("tos.rtd", , "VEGA", ".SPY150515C204")</f>
        <v>6.7129999999999995E-2</v>
      </c>
      <c r="K179">
        <f>RTD("tos.rtd", , "RHO", ".SPY150515C204")</f>
        <v>3.8179999999999999E-2</v>
      </c>
      <c r="L179">
        <f>RTD("tos.rtd", , "ASK", ".SPY150515P204")</f>
        <v>0.25</v>
      </c>
      <c r="M179">
        <f>RTD("tos.rtd", , "ASK_SIZE", ".SPY150515P204")</f>
        <v>1838</v>
      </c>
      <c r="N179">
        <f>RTD("tos.rtd", , "BID", ".SPY150515P204")</f>
        <v>0.22</v>
      </c>
      <c r="O179">
        <f>RTD("tos.rtd", , "BID_SIZE", ".SPY150515P204")</f>
        <v>1850</v>
      </c>
      <c r="P179">
        <f>RTD("tos.rtd", , "VOLUME", ".SPY150515P204")</f>
        <v>8678</v>
      </c>
      <c r="Q179">
        <f>RTD("tos.rtd", , "OPEN_INT", ".SPY150515P204")</f>
        <v>151070</v>
      </c>
      <c r="R179">
        <f>RTD("tos.rtd", , "DELTA", ".SPY150515P204")</f>
        <v>-8.9190000000000005E-2</v>
      </c>
      <c r="S179">
        <f>RTD("tos.rtd", , "THETA", ".SPY150515P204")</f>
        <v>-3.9269999999999999E-2</v>
      </c>
      <c r="T179">
        <f>RTD("tos.rtd", , "GAMMA", ".SPY150515P204")</f>
        <v>2.87E-2</v>
      </c>
      <c r="U179">
        <f>RTD("tos.rtd", , "VEGA", ".SPY150515P204")</f>
        <v>6.2260000000000003E-2</v>
      </c>
      <c r="V179">
        <f>RTD("tos.rtd", , "RHO", ".SPY150515P204")</f>
        <v>-6.28E-3</v>
      </c>
    </row>
    <row r="180" spans="1:22" x14ac:dyDescent="0.25">
      <c r="A180">
        <f>RTD("tos.rtd", , "ASK", ".SPY150515C204.5")</f>
        <v>7.34</v>
      </c>
      <c r="B180">
        <f>RTD("tos.rtd", , "ASK_SIZE", ".SPY150515C204.5")</f>
        <v>350</v>
      </c>
      <c r="C180">
        <f>RTD("tos.rtd", , "BID", ".SPY150515C204.5")</f>
        <v>7.09</v>
      </c>
      <c r="D180">
        <f>RTD("tos.rtd", , "BID_SIZE", ".SPY150515C204.5")</f>
        <v>349</v>
      </c>
      <c r="E180">
        <f>RTD("tos.rtd", , "VOLUME", ".SPY150515C204.5")</f>
        <v>0</v>
      </c>
      <c r="F180">
        <f>RTD("tos.rtd", , "OPEN_INT", ".SPY150515C204.5")</f>
        <v>362</v>
      </c>
      <c r="G180">
        <f>RTD("tos.rtd", , "DELTA", ".SPY150515C204.5")</f>
        <v>0.88856999999999997</v>
      </c>
      <c r="H180">
        <f>RTD("tos.rtd", , "THETA", ".SPY150515C204.5")</f>
        <v>-4.1419999999999998E-2</v>
      </c>
      <c r="I180">
        <f>RTD("tos.rtd", , "GAMMA", ".SPY150515C204.5")</f>
        <v>3.3329999999999999E-2</v>
      </c>
      <c r="J180">
        <f>RTD("tos.rtd", , "VEGA", ".SPY150515C204.5")</f>
        <v>7.2349999999999998E-2</v>
      </c>
      <c r="K180">
        <f>RTD("tos.rtd", , "RHO", ".SPY150515C204.5")</f>
        <v>3.9640000000000002E-2</v>
      </c>
      <c r="L180">
        <f>RTD("tos.rtd", , "ASK", ".SPY150515P204.5")</f>
        <v>0.28000000000000003</v>
      </c>
      <c r="M180">
        <f>RTD("tos.rtd", , "ASK_SIZE", ".SPY150515P204.5")</f>
        <v>1698</v>
      </c>
      <c r="N180">
        <f>RTD("tos.rtd", , "BID", ".SPY150515P204.5")</f>
        <v>0.26</v>
      </c>
      <c r="O180">
        <f>RTD("tos.rtd", , "BID_SIZE", ".SPY150515P204.5")</f>
        <v>111</v>
      </c>
      <c r="P180">
        <f>RTD("tos.rtd", , "VOLUME", ".SPY150515P204.5")</f>
        <v>1155</v>
      </c>
      <c r="Q180">
        <f>RTD("tos.rtd", , "OPEN_INT", ".SPY150515P204.5")</f>
        <v>12069</v>
      </c>
      <c r="R180">
        <f>RTD("tos.rtd", , "DELTA", ".SPY150515P204.5")</f>
        <v>-0.10143000000000001</v>
      </c>
      <c r="S180">
        <f>RTD("tos.rtd", , "THETA", ".SPY150515P204.5")</f>
        <v>-4.2380000000000001E-2</v>
      </c>
      <c r="T180">
        <f>RTD("tos.rtd", , "GAMMA", ".SPY150515P204.5")</f>
        <v>3.2050000000000002E-2</v>
      </c>
      <c r="U180">
        <f>RTD("tos.rtd", , "VEGA", ".SPY150515P204.5")</f>
        <v>6.8409999999999999E-2</v>
      </c>
      <c r="V180">
        <f>RTD("tos.rtd", , "RHO", ".SPY150515P204.5")</f>
        <v>-7.1399999999999996E-3</v>
      </c>
    </row>
    <row r="181" spans="1:22" x14ac:dyDescent="0.25">
      <c r="A181">
        <f>RTD("tos.rtd", , "ASK", ".SPY150515C205")</f>
        <v>6.87</v>
      </c>
      <c r="B181">
        <f>RTD("tos.rtd", , "ASK_SIZE", ".SPY150515C205")</f>
        <v>350</v>
      </c>
      <c r="C181">
        <f>RTD("tos.rtd", , "BID", ".SPY150515C205")</f>
        <v>6.63</v>
      </c>
      <c r="D181">
        <f>RTD("tos.rtd", , "BID_SIZE", ".SPY150515C205")</f>
        <v>349</v>
      </c>
      <c r="E181">
        <f>RTD("tos.rtd", , "VOLUME", ".SPY150515C205")</f>
        <v>438</v>
      </c>
      <c r="F181">
        <f>RTD("tos.rtd", , "OPEN_INT", ".SPY150515C205")</f>
        <v>51484</v>
      </c>
      <c r="G181">
        <f>RTD("tos.rtd", , "DELTA", ".SPY150515C205")</f>
        <v>0.87592999999999999</v>
      </c>
      <c r="H181">
        <f>RTD("tos.rtd", , "THETA", ".SPY150515C205")</f>
        <v>-4.3810000000000002E-2</v>
      </c>
      <c r="I181">
        <f>RTD("tos.rtd", , "GAMMA", ".SPY150515C205")</f>
        <v>3.6900000000000002E-2</v>
      </c>
      <c r="J181">
        <f>RTD("tos.rtd", , "VEGA", ".SPY150515C205")</f>
        <v>7.8210000000000002E-2</v>
      </c>
      <c r="K181">
        <f>RTD("tos.rtd", , "RHO", ".SPY150515C205")</f>
        <v>4.0969999999999999E-2</v>
      </c>
      <c r="L181">
        <f>RTD("tos.rtd", , "ASK", ".SPY150515P205")</f>
        <v>0.31</v>
      </c>
      <c r="M181">
        <f>RTD("tos.rtd", , "ASK_SIZE", ".SPY150515P205")</f>
        <v>1558</v>
      </c>
      <c r="N181">
        <f>RTD("tos.rtd", , "BID", ".SPY150515P205")</f>
        <v>0.28999999999999998</v>
      </c>
      <c r="O181">
        <f>RTD("tos.rtd", , "BID_SIZE", ".SPY150515P205")</f>
        <v>947</v>
      </c>
      <c r="P181">
        <f>RTD("tos.rtd", , "VOLUME", ".SPY150515P205")</f>
        <v>13637</v>
      </c>
      <c r="Q181">
        <f>RTD("tos.rtd", , "OPEN_INT", ".SPY150515P205")</f>
        <v>269605</v>
      </c>
      <c r="R181">
        <f>RTD("tos.rtd", , "DELTA", ".SPY150515P205")</f>
        <v>-0.11305</v>
      </c>
      <c r="S181">
        <f>RTD("tos.rtd", , "THETA", ".SPY150515P205")</f>
        <v>-4.4569999999999999E-2</v>
      </c>
      <c r="T181">
        <f>RTD("tos.rtd", , "GAMMA", ".SPY150515P205")</f>
        <v>3.5569999999999997E-2</v>
      </c>
      <c r="U181">
        <f>RTD("tos.rtd", , "VEGA", ".SPY150515P205")</f>
        <v>7.3940000000000006E-2</v>
      </c>
      <c r="V181">
        <f>RTD("tos.rtd", , "RHO", ".SPY150515P205")</f>
        <v>-7.9600000000000001E-3</v>
      </c>
    </row>
    <row r="182" spans="1:22" x14ac:dyDescent="0.25">
      <c r="A182">
        <f>RTD("tos.rtd", , "ASK", ".SPY150515C205.5")</f>
        <v>6.4</v>
      </c>
      <c r="B182">
        <f>RTD("tos.rtd", , "ASK_SIZE", ".SPY150515C205.5")</f>
        <v>350</v>
      </c>
      <c r="C182">
        <f>RTD("tos.rtd", , "BID", ".SPY150515C205.5")</f>
        <v>6.18</v>
      </c>
      <c r="D182">
        <f>RTD("tos.rtd", , "BID_SIZE", ".SPY150515C205.5")</f>
        <v>349</v>
      </c>
      <c r="E182">
        <f>RTD("tos.rtd", , "VOLUME", ".SPY150515C205.5")</f>
        <v>0</v>
      </c>
      <c r="F182">
        <f>RTD("tos.rtd", , "OPEN_INT", ".SPY150515C205.5")</f>
        <v>490</v>
      </c>
      <c r="G182">
        <f>RTD("tos.rtd", , "DELTA", ".SPY150515C205.5")</f>
        <v>0.86177999999999999</v>
      </c>
      <c r="H182">
        <f>RTD("tos.rtd", , "THETA", ".SPY150515C205.5")</f>
        <v>-4.6199999999999998E-2</v>
      </c>
      <c r="I182">
        <f>RTD("tos.rtd", , "GAMMA", ".SPY150515C205.5")</f>
        <v>4.0739999999999998E-2</v>
      </c>
      <c r="J182">
        <f>RTD("tos.rtd", , "VEGA", ".SPY150515C205.5")</f>
        <v>8.4370000000000001E-2</v>
      </c>
      <c r="K182">
        <f>RTD("tos.rtd", , "RHO", ".SPY150515C205.5")</f>
        <v>4.2090000000000002E-2</v>
      </c>
      <c r="L182">
        <f>RTD("tos.rtd", , "ASK", ".SPY150515P205.5")</f>
        <v>0.36</v>
      </c>
      <c r="M182">
        <f>RTD("tos.rtd", , "ASK_SIZE", ".SPY150515P205.5")</f>
        <v>1430</v>
      </c>
      <c r="N182">
        <f>RTD("tos.rtd", , "BID", ".SPY150515P205.5")</f>
        <v>0.34</v>
      </c>
      <c r="O182">
        <f>RTD("tos.rtd", , "BID_SIZE", ".SPY150515P205.5")</f>
        <v>111</v>
      </c>
      <c r="P182">
        <f>RTD("tos.rtd", , "VOLUME", ".SPY150515P205.5")</f>
        <v>186</v>
      </c>
      <c r="Q182">
        <f>RTD("tos.rtd", , "OPEN_INT", ".SPY150515P205.5")</f>
        <v>8607</v>
      </c>
      <c r="R182">
        <f>RTD("tos.rtd", , "DELTA", ".SPY150515P205.5")</f>
        <v>-0.12961</v>
      </c>
      <c r="S182">
        <f>RTD("tos.rtd", , "THETA", ".SPY150515P205.5")</f>
        <v>-4.8349999999999997E-2</v>
      </c>
      <c r="T182">
        <f>RTD("tos.rtd", , "GAMMA", ".SPY150515P205.5")</f>
        <v>3.9629999999999999E-2</v>
      </c>
      <c r="U182">
        <f>RTD("tos.rtd", , "VEGA", ".SPY150515P205.5")</f>
        <v>8.1350000000000006E-2</v>
      </c>
      <c r="V182">
        <f>RTD("tos.rtd", , "RHO", ".SPY150515P205.5")</f>
        <v>-9.1199999999999996E-3</v>
      </c>
    </row>
    <row r="183" spans="1:22" x14ac:dyDescent="0.25">
      <c r="A183">
        <f>RTD("tos.rtd", , "ASK", ".SPY150515C206")</f>
        <v>5.95</v>
      </c>
      <c r="B183">
        <f>RTD("tos.rtd", , "ASK_SIZE", ".SPY150515C206")</f>
        <v>350</v>
      </c>
      <c r="C183">
        <f>RTD("tos.rtd", , "BID", ".SPY150515C206")</f>
        <v>5.73</v>
      </c>
      <c r="D183">
        <f>RTD("tos.rtd", , "BID_SIZE", ".SPY150515C206")</f>
        <v>349</v>
      </c>
      <c r="E183">
        <f>RTD("tos.rtd", , "VOLUME", ".SPY150515C206")</f>
        <v>105</v>
      </c>
      <c r="F183">
        <f>RTD("tos.rtd", , "OPEN_INT", ".SPY150515C206")</f>
        <v>17293</v>
      </c>
      <c r="G183">
        <f>RTD("tos.rtd", , "DELTA", ".SPY150515C206")</f>
        <v>0.84499000000000002</v>
      </c>
      <c r="H183">
        <f>RTD("tos.rtd", , "THETA", ".SPY150515C206")</f>
        <v>-4.9000000000000002E-2</v>
      </c>
      <c r="I183">
        <f>RTD("tos.rtd", , "GAMMA", ".SPY150515C206")</f>
        <v>4.4859999999999997E-2</v>
      </c>
      <c r="J183">
        <f>RTD("tos.rtd", , "VEGA", ".SPY150515C206")</f>
        <v>9.1209999999999999E-2</v>
      </c>
      <c r="K183">
        <f>RTD("tos.rtd", , "RHO", ".SPY150515C206")</f>
        <v>4.3020000000000003E-2</v>
      </c>
      <c r="L183">
        <f>RTD("tos.rtd", , "ASK", ".SPY150515P206")</f>
        <v>0.4</v>
      </c>
      <c r="M183">
        <f>RTD("tos.rtd", , "ASK_SIZE", ".SPY150515P206")</f>
        <v>1318</v>
      </c>
      <c r="N183">
        <f>RTD("tos.rtd", , "BID", ".SPY150515P206")</f>
        <v>0.38</v>
      </c>
      <c r="O183">
        <f>RTD("tos.rtd", , "BID_SIZE", ".SPY150515P206")</f>
        <v>1390</v>
      </c>
      <c r="P183">
        <f>RTD("tos.rtd", , "VOLUME", ".SPY150515P206")</f>
        <v>2547</v>
      </c>
      <c r="Q183">
        <f>RTD("tos.rtd", , "OPEN_INT", ".SPY150515P206")</f>
        <v>76902</v>
      </c>
      <c r="R183">
        <f>RTD("tos.rtd", , "DELTA", ".SPY150515P206")</f>
        <v>-0.14463000000000001</v>
      </c>
      <c r="S183">
        <f>RTD("tos.rtd", , "THETA", ".SPY150515P206")</f>
        <v>-5.0630000000000001E-2</v>
      </c>
      <c r="T183">
        <f>RTD("tos.rtd", , "GAMMA", ".SPY150515P206")</f>
        <v>4.3900000000000002E-2</v>
      </c>
      <c r="U183">
        <f>RTD("tos.rtd", , "VEGA", ".SPY150515P206")</f>
        <v>8.763E-2</v>
      </c>
      <c r="V183">
        <f>RTD("tos.rtd", , "RHO", ".SPY150515P206")</f>
        <v>-1.018E-2</v>
      </c>
    </row>
    <row r="184" spans="1:22" x14ac:dyDescent="0.25">
      <c r="A184">
        <f>RTD("tos.rtd", , "ASK", ".SPY150515C206.5")</f>
        <v>5.5</v>
      </c>
      <c r="B184">
        <f>RTD("tos.rtd", , "ASK_SIZE", ".SPY150515C206.5")</f>
        <v>342</v>
      </c>
      <c r="C184">
        <f>RTD("tos.rtd", , "BID", ".SPY150515C206.5")</f>
        <v>5.29</v>
      </c>
      <c r="D184">
        <f>RTD("tos.rtd", , "BID_SIZE", ".SPY150515C206.5")</f>
        <v>349</v>
      </c>
      <c r="E184">
        <f>RTD("tos.rtd", , "VOLUME", ".SPY150515C206.5")</f>
        <v>5</v>
      </c>
      <c r="F184">
        <f>RTD("tos.rtd", , "OPEN_INT", ".SPY150515C206.5")</f>
        <v>1521</v>
      </c>
      <c r="G184">
        <f>RTD("tos.rtd", , "DELTA", ".SPY150515C206.5")</f>
        <v>0.82640999999999998</v>
      </c>
      <c r="H184">
        <f>RTD("tos.rtd", , "THETA", ".SPY150515C206.5")</f>
        <v>-5.1700000000000003E-2</v>
      </c>
      <c r="I184">
        <f>RTD("tos.rtd", , "GAMMA", ".SPY150515C206.5")</f>
        <v>4.9250000000000002E-2</v>
      </c>
      <c r="J184">
        <f>RTD("tos.rtd", , "VEGA", ".SPY150515C206.5")</f>
        <v>9.8220000000000002E-2</v>
      </c>
      <c r="K184">
        <f>RTD("tos.rtd", , "RHO", ".SPY150515C206.5")</f>
        <v>4.3659999999999997E-2</v>
      </c>
      <c r="L184">
        <f>RTD("tos.rtd", , "ASK", ".SPY150515P206.5")</f>
        <v>0.45</v>
      </c>
      <c r="M184">
        <f>RTD("tos.rtd", , "ASK_SIZE", ".SPY150515P206.5")</f>
        <v>250</v>
      </c>
      <c r="N184">
        <f>RTD("tos.rtd", , "BID", ".SPY150515P206.5")</f>
        <v>0.44</v>
      </c>
      <c r="O184">
        <f>RTD("tos.rtd", , "BID_SIZE", ".SPY150515P206.5")</f>
        <v>100</v>
      </c>
      <c r="P184">
        <f>RTD("tos.rtd", , "VOLUME", ".SPY150515P206.5")</f>
        <v>4867</v>
      </c>
      <c r="Q184">
        <f>RTD("tos.rtd", , "OPEN_INT", ".SPY150515P206.5")</f>
        <v>53481</v>
      </c>
      <c r="R184">
        <f>RTD("tos.rtd", , "DELTA", ".SPY150515P206.5")</f>
        <v>-0.16347999999999999</v>
      </c>
      <c r="S184">
        <f>RTD("tos.rtd", , "THETA", ".SPY150515P206.5")</f>
        <v>-5.3710000000000001E-2</v>
      </c>
      <c r="T184">
        <f>RTD("tos.rtd", , "GAMMA", ".SPY150515P206.5")</f>
        <v>4.8579999999999998E-2</v>
      </c>
      <c r="U184">
        <f>RTD("tos.rtd", , "VEGA", ".SPY150515P206.5")</f>
        <v>9.4979999999999995E-2</v>
      </c>
      <c r="V184">
        <f>RTD("tos.rtd", , "RHO", ".SPY150515P206.5")</f>
        <v>-1.1509999999999999E-2</v>
      </c>
    </row>
    <row r="185" spans="1:22" x14ac:dyDescent="0.25">
      <c r="A185">
        <f>RTD("tos.rtd", , "ASK", ".SPY150515C207")</f>
        <v>5.05</v>
      </c>
      <c r="B185">
        <f>RTD("tos.rtd", , "ASK_SIZE", ".SPY150515C207")</f>
        <v>342</v>
      </c>
      <c r="C185">
        <f>RTD("tos.rtd", , "BID", ".SPY150515C207")</f>
        <v>4.84</v>
      </c>
      <c r="D185">
        <f>RTD("tos.rtd", , "BID_SIZE", ".SPY150515C207")</f>
        <v>349</v>
      </c>
      <c r="E185">
        <f>RTD("tos.rtd", , "VOLUME", ".SPY150515C207")</f>
        <v>564</v>
      </c>
      <c r="F185">
        <f>RTD("tos.rtd", , "OPEN_INT", ".SPY150515C207")</f>
        <v>36064</v>
      </c>
      <c r="G185">
        <f>RTD("tos.rtd", , "DELTA", ".SPY150515C207")</f>
        <v>0.80781999999999998</v>
      </c>
      <c r="H185">
        <f>RTD("tos.rtd", , "THETA", ".SPY150515C207")</f>
        <v>-5.3409999999999999E-2</v>
      </c>
      <c r="I185">
        <f>RTD("tos.rtd", , "GAMMA", ".SPY150515C207")</f>
        <v>5.4080000000000003E-2</v>
      </c>
      <c r="J185">
        <f>RTD("tos.rtd", , "VEGA", ".SPY150515C207")</f>
        <v>0.1047</v>
      </c>
      <c r="K185">
        <f>RTD("tos.rtd", , "RHO", ".SPY150515C207")</f>
        <v>4.3979999999999998E-2</v>
      </c>
      <c r="L185">
        <f>RTD("tos.rtd", , "ASK", ".SPY150515P207")</f>
        <v>0.52</v>
      </c>
      <c r="M185">
        <f>RTD("tos.rtd", , "ASK_SIZE", ".SPY150515P207")</f>
        <v>1125</v>
      </c>
      <c r="N185">
        <f>RTD("tos.rtd", , "BID", ".SPY150515P207")</f>
        <v>0.49</v>
      </c>
      <c r="O185">
        <f>RTD("tos.rtd", , "BID_SIZE", ".SPY150515P207")</f>
        <v>2395</v>
      </c>
      <c r="P185">
        <f>RTD("tos.rtd", , "VOLUME", ".SPY150515P207")</f>
        <v>26628</v>
      </c>
      <c r="Q185">
        <f>RTD("tos.rtd", , "OPEN_INT", ".SPY150515P207")</f>
        <v>115399</v>
      </c>
      <c r="R185">
        <f>RTD("tos.rtd", , "DELTA", ".SPY150515P207")</f>
        <v>-0.18406</v>
      </c>
      <c r="S185">
        <f>RTD("tos.rtd", , "THETA", ".SPY150515P207")</f>
        <v>-5.6509999999999998E-2</v>
      </c>
      <c r="T185">
        <f>RTD("tos.rtd", , "GAMMA", ".SPY150515P207")</f>
        <v>5.3629999999999997E-2</v>
      </c>
      <c r="U185">
        <f>RTD("tos.rtd", , "VEGA", ".SPY150515P207")</f>
        <v>0.10237</v>
      </c>
      <c r="V185">
        <f>RTD("tos.rtd", , "RHO", ".SPY150515P207")</f>
        <v>-1.2959999999999999E-2</v>
      </c>
    </row>
    <row r="186" spans="1:22" x14ac:dyDescent="0.25">
      <c r="A186">
        <f>RTD("tos.rtd", , "ASK", ".SPY150515C207.5")</f>
        <v>4.58</v>
      </c>
      <c r="B186">
        <f>RTD("tos.rtd", , "ASK_SIZE", ".SPY150515C207.5")</f>
        <v>140</v>
      </c>
      <c r="C186">
        <f>RTD("tos.rtd", , "BID", ".SPY150515C207.5")</f>
        <v>4.42</v>
      </c>
      <c r="D186">
        <f>RTD("tos.rtd", , "BID_SIZE", ".SPY150515C207.5")</f>
        <v>349</v>
      </c>
      <c r="E186">
        <f>RTD("tos.rtd", , "VOLUME", ".SPY150515C207.5")</f>
        <v>5</v>
      </c>
      <c r="F186">
        <f>RTD("tos.rtd", , "OPEN_INT", ".SPY150515C207.5")</f>
        <v>3146</v>
      </c>
      <c r="G186">
        <f>RTD("tos.rtd", , "DELTA", ".SPY150515C207.5")</f>
        <v>0.78710000000000002</v>
      </c>
      <c r="H186">
        <f>RTD("tos.rtd", , "THETA", ".SPY150515C207.5")</f>
        <v>-5.4919999999999997E-2</v>
      </c>
      <c r="I186">
        <f>RTD("tos.rtd", , "GAMMA", ".SPY150515C207.5")</f>
        <v>5.935E-2</v>
      </c>
      <c r="J186">
        <f>RTD("tos.rtd", , "VEGA", ".SPY150515C207.5")</f>
        <v>0.11133</v>
      </c>
      <c r="K186">
        <f>RTD("tos.rtd", , "RHO", ".SPY150515C207.5")</f>
        <v>4.4060000000000002E-2</v>
      </c>
      <c r="L186">
        <f>RTD("tos.rtd", , "ASK", ".SPY150515P207.5")</f>
        <v>0.59</v>
      </c>
      <c r="M186">
        <f>RTD("tos.rtd", , "ASK_SIZE", ".SPY150515P207.5")</f>
        <v>1048</v>
      </c>
      <c r="N186">
        <f>RTD("tos.rtd", , "BID", ".SPY150515P207.5")</f>
        <v>0.56000000000000005</v>
      </c>
      <c r="O186">
        <f>RTD("tos.rtd", , "BID_SIZE", ".SPY150515P207.5")</f>
        <v>250</v>
      </c>
      <c r="P186">
        <f>RTD("tos.rtd", , "VOLUME", ".SPY150515P207.5")</f>
        <v>14564</v>
      </c>
      <c r="Q186">
        <f>RTD("tos.rtd", , "OPEN_INT", ".SPY150515P207.5")</f>
        <v>12840</v>
      </c>
      <c r="R186">
        <f>RTD("tos.rtd", , "DELTA", ".SPY150515P207.5")</f>
        <v>-0.20745</v>
      </c>
      <c r="S186">
        <f>RTD("tos.rtd", , "THETA", ".SPY150515P207.5")</f>
        <v>-5.9330000000000001E-2</v>
      </c>
      <c r="T186">
        <f>RTD("tos.rtd", , "GAMMA", ".SPY150515P207.5")</f>
        <v>5.9020000000000003E-2</v>
      </c>
      <c r="U186">
        <f>RTD("tos.rtd", , "VEGA", ".SPY150515P207.5")</f>
        <v>0.11001</v>
      </c>
      <c r="V186">
        <f>RTD("tos.rtd", , "RHO", ".SPY150515P207.5")</f>
        <v>-1.461E-2</v>
      </c>
    </row>
    <row r="187" spans="1:22" x14ac:dyDescent="0.25">
      <c r="A187">
        <f>RTD("tos.rtd", , "ASK", ".SPY150515C208")</f>
        <v>4.18</v>
      </c>
      <c r="B187">
        <f>RTD("tos.rtd", , "ASK_SIZE", ".SPY150515C208")</f>
        <v>361</v>
      </c>
      <c r="C187">
        <f>RTD("tos.rtd", , "BID", ".SPY150515C208")</f>
        <v>4</v>
      </c>
      <c r="D187">
        <f>RTD("tos.rtd", , "BID_SIZE", ".SPY150515C208")</f>
        <v>349</v>
      </c>
      <c r="E187">
        <f>RTD("tos.rtd", , "VOLUME", ".SPY150515C208")</f>
        <v>2199</v>
      </c>
      <c r="F187">
        <f>RTD("tos.rtd", , "OPEN_INT", ".SPY150515C208")</f>
        <v>52049</v>
      </c>
      <c r="G187">
        <f>RTD("tos.rtd", , "DELTA", ".SPY150515C208")</f>
        <v>0.75968000000000002</v>
      </c>
      <c r="H187">
        <f>RTD("tos.rtd", , "THETA", ".SPY150515C208")</f>
        <v>-5.7959999999999998E-2</v>
      </c>
      <c r="I187">
        <f>RTD("tos.rtd", , "GAMMA", ".SPY150515C208")</f>
        <v>6.4399999999999999E-2</v>
      </c>
      <c r="J187">
        <f>RTD("tos.rtd", , "VEGA", ".SPY150515C208")</f>
        <v>0.11922000000000001</v>
      </c>
      <c r="K187">
        <f>RTD("tos.rtd", , "RHO", ".SPY150515C208")</f>
        <v>4.3830000000000001E-2</v>
      </c>
      <c r="L187">
        <f>RTD("tos.rtd", , "ASK", ".SPY150515P208")</f>
        <v>0.67</v>
      </c>
      <c r="M187">
        <f>RTD("tos.rtd", , "ASK_SIZE", ".SPY150515P208")</f>
        <v>250</v>
      </c>
      <c r="N187">
        <f>RTD("tos.rtd", , "BID", ".SPY150515P208")</f>
        <v>0.65</v>
      </c>
      <c r="O187">
        <f>RTD("tos.rtd", , "BID_SIZE", ".SPY150515P208")</f>
        <v>349</v>
      </c>
      <c r="P187">
        <f>RTD("tos.rtd", , "VOLUME", ".SPY150515P208")</f>
        <v>10895</v>
      </c>
      <c r="Q187">
        <f>RTD("tos.rtd", , "OPEN_INT", ".SPY150515P208")</f>
        <v>183914</v>
      </c>
      <c r="R187">
        <f>RTD("tos.rtd", , "DELTA", ".SPY150515P208")</f>
        <v>-0.23436999999999999</v>
      </c>
      <c r="S187">
        <f>RTD("tos.rtd", , "THETA", ".SPY150515P208")</f>
        <v>-6.2309999999999997E-2</v>
      </c>
      <c r="T187">
        <f>RTD("tos.rtd", , "GAMMA", ".SPY150515P208")</f>
        <v>6.4589999999999995E-2</v>
      </c>
      <c r="U187">
        <f>RTD("tos.rtd", , "VEGA", ".SPY150515P208")</f>
        <v>0.11791</v>
      </c>
      <c r="V187">
        <f>RTD("tos.rtd", , "RHO", ".SPY150515P208")</f>
        <v>-1.651E-2</v>
      </c>
    </row>
    <row r="188" spans="1:22" x14ac:dyDescent="0.25">
      <c r="A188">
        <f>RTD("tos.rtd", , "ASK", ".SPY150515C208.5")</f>
        <v>3.77</v>
      </c>
      <c r="B188">
        <f>RTD("tos.rtd", , "ASK_SIZE", ".SPY150515C208.5")</f>
        <v>349</v>
      </c>
      <c r="C188">
        <f>RTD("tos.rtd", , "BID", ".SPY150515C208.5")</f>
        <v>3.59</v>
      </c>
      <c r="D188">
        <f>RTD("tos.rtd", , "BID_SIZE", ".SPY150515C208.5")</f>
        <v>349</v>
      </c>
      <c r="E188">
        <f>RTD("tos.rtd", , "VOLUME", ".SPY150515C208.5")</f>
        <v>166</v>
      </c>
      <c r="F188">
        <f>RTD("tos.rtd", , "OPEN_INT", ".SPY150515C208.5")</f>
        <v>5268</v>
      </c>
      <c r="G188">
        <f>RTD("tos.rtd", , "DELTA", ".SPY150515C208.5")</f>
        <v>0.73114000000000001</v>
      </c>
      <c r="H188">
        <f>RTD("tos.rtd", , "THETA", ".SPY150515C208.5")</f>
        <v>-6.0040000000000003E-2</v>
      </c>
      <c r="I188">
        <f>RTD("tos.rtd", , "GAMMA", ".SPY150515C208.5")</f>
        <v>6.9839999999999999E-2</v>
      </c>
      <c r="J188">
        <f>RTD("tos.rtd", , "VEGA", ".SPY150515C208.5")</f>
        <v>0.12644</v>
      </c>
      <c r="K188">
        <f>RTD("tos.rtd", , "RHO", ".SPY150515C208.5")</f>
        <v>4.326E-2</v>
      </c>
      <c r="L188">
        <f>RTD("tos.rtd", , "ASK", ".SPY150515P208.5")</f>
        <v>0.76</v>
      </c>
      <c r="M188">
        <f>RTD("tos.rtd", , "ASK_SIZE", ".SPY150515P208.5")</f>
        <v>262</v>
      </c>
      <c r="N188">
        <f>RTD("tos.rtd", , "BID", ".SPY150515P208.5")</f>
        <v>0.73</v>
      </c>
      <c r="O188">
        <f>RTD("tos.rtd", , "BID_SIZE", ".SPY150515P208.5")</f>
        <v>2036</v>
      </c>
      <c r="P188">
        <f>RTD("tos.rtd", , "VOLUME", ".SPY150515P208.5")</f>
        <v>3232</v>
      </c>
      <c r="Q188">
        <f>RTD("tos.rtd", , "OPEN_INT", ".SPY150515P208.5")</f>
        <v>12904</v>
      </c>
      <c r="R188">
        <f>RTD("tos.rtd", , "DELTA", ".SPY150515P208.5")</f>
        <v>-0.26264999999999999</v>
      </c>
      <c r="S188">
        <f>RTD("tos.rtd", , "THETA", ".SPY150515P208.5")</f>
        <v>-6.4350000000000004E-2</v>
      </c>
      <c r="T188">
        <f>RTD("tos.rtd", , "GAMMA", ".SPY150515P208.5")</f>
        <v>7.0639999999999994E-2</v>
      </c>
      <c r="U188">
        <f>RTD("tos.rtd", , "VEGA", ".SPY150515P208.5")</f>
        <v>0.12522</v>
      </c>
      <c r="V188">
        <f>RTD("tos.rtd", , "RHO", ".SPY150515P208.5")</f>
        <v>-1.8499999999999999E-2</v>
      </c>
    </row>
    <row r="189" spans="1:22" x14ac:dyDescent="0.25">
      <c r="A189">
        <f>RTD("tos.rtd", , "ASK", ".SPY150515C209")</f>
        <v>3.37</v>
      </c>
      <c r="B189">
        <f>RTD("tos.rtd", , "ASK_SIZE", ".SPY150515C209")</f>
        <v>350</v>
      </c>
      <c r="C189">
        <f>RTD("tos.rtd", , "BID", ".SPY150515C209")</f>
        <v>3.21</v>
      </c>
      <c r="D189">
        <f>RTD("tos.rtd", , "BID_SIZE", ".SPY150515C209")</f>
        <v>621</v>
      </c>
      <c r="E189">
        <f>RTD("tos.rtd", , "VOLUME", ".SPY150515C209")</f>
        <v>809</v>
      </c>
      <c r="F189">
        <f>RTD("tos.rtd", , "OPEN_INT", ".SPY150515C209")</f>
        <v>36104</v>
      </c>
      <c r="G189">
        <f>RTD("tos.rtd", , "DELTA", ".SPY150515C209")</f>
        <v>0.69871000000000005</v>
      </c>
      <c r="H189">
        <f>RTD("tos.rtd", , "THETA", ".SPY150515C209")</f>
        <v>-6.2170000000000003E-2</v>
      </c>
      <c r="I189">
        <f>RTD("tos.rtd", , "GAMMA", ".SPY150515C209")</f>
        <v>7.5120000000000006E-2</v>
      </c>
      <c r="J189">
        <f>RTD("tos.rtd", , "VEGA", ".SPY150515C209")</f>
        <v>0.13349</v>
      </c>
      <c r="K189">
        <f>RTD("tos.rtd", , "RHO", ".SPY150515C209")</f>
        <v>4.2320000000000003E-2</v>
      </c>
      <c r="L189">
        <f>RTD("tos.rtd", , "ASK", ".SPY150515P209")</f>
        <v>0.87</v>
      </c>
      <c r="M189">
        <f>RTD("tos.rtd", , "ASK_SIZE", ".SPY150515P209")</f>
        <v>250</v>
      </c>
      <c r="N189">
        <f>RTD("tos.rtd", , "BID", ".SPY150515P209")</f>
        <v>0.84</v>
      </c>
      <c r="O189">
        <f>RTD("tos.rtd", , "BID_SIZE", ".SPY150515P209")</f>
        <v>444</v>
      </c>
      <c r="P189">
        <f>RTD("tos.rtd", , "VOLUME", ".SPY150515P209")</f>
        <v>9569</v>
      </c>
      <c r="Q189">
        <f>RTD("tos.rtd", , "OPEN_INT", ".SPY150515P209")</f>
        <v>76410</v>
      </c>
      <c r="R189">
        <f>RTD("tos.rtd", , "DELTA", ".SPY150515P209")</f>
        <v>-0.29576999999999998</v>
      </c>
      <c r="S189">
        <f>RTD("tos.rtd", , "THETA", ".SPY150515P209")</f>
        <v>-6.6750000000000004E-2</v>
      </c>
      <c r="T189">
        <f>RTD("tos.rtd", , "GAMMA", ".SPY150515P209")</f>
        <v>7.6480000000000006E-2</v>
      </c>
      <c r="U189">
        <f>RTD("tos.rtd", , "VEGA", ".SPY150515P209")</f>
        <v>0.1326</v>
      </c>
      <c r="V189">
        <f>RTD("tos.rtd", , "RHO", ".SPY150515P209")</f>
        <v>-2.0840000000000001E-2</v>
      </c>
    </row>
    <row r="190" spans="1:22" x14ac:dyDescent="0.25">
      <c r="A190">
        <f>RTD("tos.rtd", , "ASK", ".SPY150515C209.5")</f>
        <v>2.98</v>
      </c>
      <c r="B190">
        <f>RTD("tos.rtd", , "ASK_SIZE", ".SPY150515C209.5")</f>
        <v>361</v>
      </c>
      <c r="C190">
        <f>RTD("tos.rtd", , "BID", ".SPY150515C209.5")</f>
        <v>2.83</v>
      </c>
      <c r="D190">
        <f>RTD("tos.rtd", , "BID_SIZE", ".SPY150515C209.5")</f>
        <v>546</v>
      </c>
      <c r="E190">
        <f>RTD("tos.rtd", , "VOLUME", ".SPY150515C209.5")</f>
        <v>528</v>
      </c>
      <c r="F190">
        <f>RTD("tos.rtd", , "OPEN_INT", ".SPY150515C209.5")</f>
        <v>9113</v>
      </c>
      <c r="G190">
        <f>RTD("tos.rtd", , "DELTA", ".SPY150515C209.5")</f>
        <v>0.66410999999999998</v>
      </c>
      <c r="H190">
        <f>RTD("tos.rtd", , "THETA", ".SPY150515C209.5")</f>
        <v>-6.3390000000000002E-2</v>
      </c>
      <c r="I190">
        <f>RTD("tos.rtd", , "GAMMA", ".SPY150515C209.5")</f>
        <v>8.0670000000000006E-2</v>
      </c>
      <c r="J190">
        <f>RTD("tos.rtd", , "VEGA", ".SPY150515C209.5")</f>
        <v>0.13972999999999999</v>
      </c>
      <c r="K190">
        <f>RTD("tos.rtd", , "RHO", ".SPY150515C209.5")</f>
        <v>4.1029999999999997E-2</v>
      </c>
      <c r="L190">
        <f>RTD("tos.rtd", , "ASK", ".SPY150515P209.5")</f>
        <v>0.99</v>
      </c>
      <c r="M190">
        <f>RTD("tos.rtd", , "ASK_SIZE", ".SPY150515P209.5")</f>
        <v>446</v>
      </c>
      <c r="N190">
        <f>RTD("tos.rtd", , "BID", ".SPY150515P209.5")</f>
        <v>0.97</v>
      </c>
      <c r="O190">
        <f>RTD("tos.rtd", , "BID_SIZE", ".SPY150515P209.5")</f>
        <v>3</v>
      </c>
      <c r="P190">
        <f>RTD("tos.rtd", , "VOLUME", ".SPY150515P209.5")</f>
        <v>4486</v>
      </c>
      <c r="Q190">
        <f>RTD("tos.rtd", , "OPEN_INT", ".SPY150515P209.5")</f>
        <v>26869</v>
      </c>
      <c r="R190">
        <f>RTD("tos.rtd", , "DELTA", ".SPY150515P209.5")</f>
        <v>-0.33215</v>
      </c>
      <c r="S190">
        <f>RTD("tos.rtd", , "THETA", ".SPY150515P209.5")</f>
        <v>-6.8699999999999997E-2</v>
      </c>
      <c r="T190">
        <f>RTD("tos.rtd", , "GAMMA", ".SPY150515P209.5")</f>
        <v>8.2189999999999999E-2</v>
      </c>
      <c r="U190">
        <f>RTD("tos.rtd", , "VEGA", ".SPY150515P209.5")</f>
        <v>0.13930000000000001</v>
      </c>
      <c r="V190">
        <f>RTD("tos.rtd", , "RHO", ".SPY150515P209.5")</f>
        <v>-2.341E-2</v>
      </c>
    </row>
    <row r="191" spans="1:22" x14ac:dyDescent="0.25">
      <c r="A191">
        <f>RTD("tos.rtd", , "ASK", ".SPY150515C210")</f>
        <v>2.62</v>
      </c>
      <c r="B191">
        <f>RTD("tos.rtd", , "ASK_SIZE", ".SPY150515C210")</f>
        <v>349</v>
      </c>
      <c r="C191">
        <f>RTD("tos.rtd", , "BID", ".SPY150515C210")</f>
        <v>2.54</v>
      </c>
      <c r="D191">
        <f>RTD("tos.rtd", , "BID_SIZE", ".SPY150515C210")</f>
        <v>951</v>
      </c>
      <c r="E191">
        <f>RTD("tos.rtd", , "VOLUME", ".SPY150515C210")</f>
        <v>8837</v>
      </c>
      <c r="F191">
        <f>RTD("tos.rtd", , "OPEN_INT", ".SPY150515C210")</f>
        <v>140432</v>
      </c>
      <c r="G191">
        <f>RTD("tos.rtd", , "DELTA", ".SPY150515C210")</f>
        <v>0.62314999999999998</v>
      </c>
      <c r="H191">
        <f>RTD("tos.rtd", , "THETA", ".SPY150515C210")</f>
        <v>-6.6040000000000001E-2</v>
      </c>
      <c r="I191">
        <f>RTD("tos.rtd", , "GAMMA", ".SPY150515C210")</f>
        <v>8.405E-2</v>
      </c>
      <c r="J191">
        <f>RTD("tos.rtd", , "VEGA", ".SPY150515C210")</f>
        <v>0.14548</v>
      </c>
      <c r="K191">
        <f>RTD("tos.rtd", , "RHO", ".SPY150515C210")</f>
        <v>3.925E-2</v>
      </c>
      <c r="L191">
        <f>RTD("tos.rtd", , "ASK", ".SPY150515P210")</f>
        <v>1.1299999999999999</v>
      </c>
      <c r="M191">
        <f>RTD("tos.rtd", , "ASK_SIZE", ".SPY150515P210")</f>
        <v>793</v>
      </c>
      <c r="N191">
        <f>RTD("tos.rtd", , "BID", ".SPY150515P210")</f>
        <v>1.1100000000000001</v>
      </c>
      <c r="O191">
        <f>RTD("tos.rtd", , "BID_SIZE", ".SPY150515P210")</f>
        <v>11</v>
      </c>
      <c r="P191">
        <f>RTD("tos.rtd", , "VOLUME", ".SPY150515P210")</f>
        <v>21531</v>
      </c>
      <c r="Q191">
        <f>RTD("tos.rtd", , "OPEN_INT", ".SPY150515P210")</f>
        <v>167618</v>
      </c>
      <c r="R191">
        <f>RTD("tos.rtd", , "DELTA", ".SPY150515P210")</f>
        <v>-0.37167</v>
      </c>
      <c r="S191">
        <f>RTD("tos.rtd", , "THETA", ".SPY150515P210")</f>
        <v>-6.9970000000000004E-2</v>
      </c>
      <c r="T191">
        <f>RTD("tos.rtd", , "GAMMA", ".SPY150515P210")</f>
        <v>8.7720000000000006E-2</v>
      </c>
      <c r="U191">
        <f>RTD("tos.rtd", , "VEGA", ".SPY150515P210")</f>
        <v>0.14499000000000001</v>
      </c>
      <c r="V191">
        <f>RTD("tos.rtd", , "RHO", ".SPY150515P210")</f>
        <v>-2.6200000000000001E-2</v>
      </c>
    </row>
    <row r="192" spans="1:22" x14ac:dyDescent="0.25">
      <c r="A192">
        <f>RTD("tos.rtd", , "ASK", ".SPY150515C210.5")</f>
        <v>2.2599999999999998</v>
      </c>
      <c r="B192">
        <f>RTD("tos.rtd", , "ASK_SIZE", ".SPY150515C210.5")</f>
        <v>424</v>
      </c>
      <c r="C192">
        <f>RTD("tos.rtd", , "BID", ".SPY150515C210.5")</f>
        <v>2.1800000000000002</v>
      </c>
      <c r="D192">
        <f>RTD("tos.rtd", , "BID_SIZE", ".SPY150515C210.5")</f>
        <v>349</v>
      </c>
      <c r="E192">
        <f>RTD("tos.rtd", , "VOLUME", ".SPY150515C210.5")</f>
        <v>6005</v>
      </c>
      <c r="F192">
        <f>RTD("tos.rtd", , "OPEN_INT", ".SPY150515C210.5")</f>
        <v>11751</v>
      </c>
      <c r="G192">
        <f>RTD("tos.rtd", , "DELTA", ".SPY150515C210.5")</f>
        <v>0.58296999999999999</v>
      </c>
      <c r="H192">
        <f>RTD("tos.rtd", , "THETA", ".SPY150515C210.5")</f>
        <v>-6.5600000000000006E-2</v>
      </c>
      <c r="I192">
        <f>RTD("tos.rtd", , "GAMMA", ".SPY150515C210.5")</f>
        <v>8.9300000000000004E-2</v>
      </c>
      <c r="J192">
        <f>RTD("tos.rtd", , "VEGA", ".SPY150515C210.5")</f>
        <v>0.14949000000000001</v>
      </c>
      <c r="K192">
        <f>RTD("tos.rtd", , "RHO", ".SPY150515C210.5")</f>
        <v>3.7269999999999998E-2</v>
      </c>
      <c r="L192">
        <f>RTD("tos.rtd", , "ASK", ".SPY150515P210.5")</f>
        <v>1.28</v>
      </c>
      <c r="M192">
        <f>RTD("tos.rtd", , "ASK_SIZE", ".SPY150515P210.5")</f>
        <v>262</v>
      </c>
      <c r="N192">
        <f>RTD("tos.rtd", , "BID", ".SPY150515P210.5")</f>
        <v>1.24</v>
      </c>
      <c r="O192">
        <f>RTD("tos.rtd", , "BID_SIZE", ".SPY150515P210.5")</f>
        <v>371</v>
      </c>
      <c r="P192">
        <f>RTD("tos.rtd", , "VOLUME", ".SPY150515P210.5")</f>
        <v>14614</v>
      </c>
      <c r="Q192">
        <f>RTD("tos.rtd", , "OPEN_INT", ".SPY150515P210.5")</f>
        <v>14680</v>
      </c>
      <c r="R192">
        <f>RTD("tos.rtd", , "DELTA", ".SPY150515P210.5")</f>
        <v>-0.41370000000000001</v>
      </c>
      <c r="S192">
        <f>RTD("tos.rtd", , "THETA", ".SPY150515P210.5")</f>
        <v>-6.9750000000000006E-2</v>
      </c>
      <c r="T192">
        <f>RTD("tos.rtd", , "GAMMA", ".SPY150515P210.5")</f>
        <v>9.375E-2</v>
      </c>
      <c r="U192">
        <f>RTD("tos.rtd", , "VEGA", ".SPY150515P210.5")</f>
        <v>0.14932000000000001</v>
      </c>
      <c r="V192">
        <f>RTD("tos.rtd", , "RHO", ".SPY150515P210.5")</f>
        <v>-2.9170000000000001E-2</v>
      </c>
    </row>
    <row r="193" spans="1:22" x14ac:dyDescent="0.25">
      <c r="A193">
        <f>RTD("tos.rtd", , "ASK", ".SPY150515C211")</f>
        <v>1.93</v>
      </c>
      <c r="B193">
        <f>RTD("tos.rtd", , "ASK_SIZE", ".SPY150515C211")</f>
        <v>350</v>
      </c>
      <c r="C193">
        <f>RTD("tos.rtd", , "BID", ".SPY150515C211")</f>
        <v>1.88</v>
      </c>
      <c r="D193">
        <f>RTD("tos.rtd", , "BID_SIZE", ".SPY150515C211")</f>
        <v>349</v>
      </c>
      <c r="E193">
        <f>RTD("tos.rtd", , "VOLUME", ".SPY150515C211")</f>
        <v>11356</v>
      </c>
      <c r="F193">
        <f>RTD("tos.rtd", , "OPEN_INT", ".SPY150515C211")</f>
        <v>68990</v>
      </c>
      <c r="G193">
        <f>RTD("tos.rtd", , "DELTA", ".SPY150515C211")</f>
        <v>0.53849000000000002</v>
      </c>
      <c r="H193">
        <f>RTD("tos.rtd", , "THETA", ".SPY150515C211")</f>
        <v>-6.5500000000000003E-2</v>
      </c>
      <c r="I193">
        <f>RTD("tos.rtd", , "GAMMA", ".SPY150515C211")</f>
        <v>9.2660000000000006E-2</v>
      </c>
      <c r="J193">
        <f>RTD("tos.rtd", , "VEGA", ".SPY150515C211")</f>
        <v>0.15207999999999999</v>
      </c>
      <c r="K193">
        <f>RTD("tos.rtd", , "RHO", ".SPY150515C211")</f>
        <v>3.4889999999999997E-2</v>
      </c>
      <c r="L193">
        <f>RTD("tos.rtd", , "ASK", ".SPY150515P211")</f>
        <v>1.45</v>
      </c>
      <c r="M193">
        <f>RTD("tos.rtd", , "ASK_SIZE", ".SPY150515P211")</f>
        <v>250</v>
      </c>
      <c r="N193">
        <f>RTD("tos.rtd", , "BID", ".SPY150515P211")</f>
        <v>1.42</v>
      </c>
      <c r="O193">
        <f>RTD("tos.rtd", , "BID_SIZE", ".SPY150515P211")</f>
        <v>306</v>
      </c>
      <c r="P193">
        <f>RTD("tos.rtd", , "VOLUME", ".SPY150515P211")</f>
        <v>13954</v>
      </c>
      <c r="Q193">
        <f>RTD("tos.rtd", , "OPEN_INT", ".SPY150515P211")</f>
        <v>32801</v>
      </c>
      <c r="R193">
        <f>RTD("tos.rtd", , "DELTA", ".SPY150515P211")</f>
        <v>-0.46031</v>
      </c>
      <c r="S193">
        <f>RTD("tos.rtd", , "THETA", ".SPY150515P211")</f>
        <v>-6.9389999999999993E-2</v>
      </c>
      <c r="T193">
        <f>RTD("tos.rtd", , "GAMMA", ".SPY150515P211")</f>
        <v>9.8320000000000005E-2</v>
      </c>
      <c r="U193">
        <f>RTD("tos.rtd", , "VEGA", ".SPY150515P211")</f>
        <v>0.15210000000000001</v>
      </c>
      <c r="V193">
        <f>RTD("tos.rtd", , "RHO", ".SPY150515P211")</f>
        <v>-3.2460000000000003E-2</v>
      </c>
    </row>
    <row r="194" spans="1:22" x14ac:dyDescent="0.25">
      <c r="A194">
        <f>RTD("tos.rtd", , "ASK", ".SPY150515C211.5")</f>
        <v>1.62</v>
      </c>
      <c r="B194">
        <f>RTD("tos.rtd", , "ASK_SIZE", ".SPY150515C211.5")</f>
        <v>350</v>
      </c>
      <c r="C194">
        <f>RTD("tos.rtd", , "BID", ".SPY150515C211.5")</f>
        <v>1.57</v>
      </c>
      <c r="D194">
        <f>RTD("tos.rtd", , "BID_SIZE", ".SPY150515C211.5")</f>
        <v>349</v>
      </c>
      <c r="E194">
        <f>RTD("tos.rtd", , "VOLUME", ".SPY150515C211.5")</f>
        <v>6758</v>
      </c>
      <c r="F194">
        <f>RTD("tos.rtd", , "OPEN_INT", ".SPY150515C211.5")</f>
        <v>17490</v>
      </c>
      <c r="G194">
        <f>RTD("tos.rtd", , "DELTA", ".SPY150515C211.5")</f>
        <v>0.49136999999999997</v>
      </c>
      <c r="H194">
        <f>RTD("tos.rtd", , "THETA", ".SPY150515C211.5")</f>
        <v>-6.3810000000000006E-2</v>
      </c>
      <c r="I194">
        <f>RTD("tos.rtd", , "GAMMA", ".SPY150515C211.5")</f>
        <v>9.6049999999999996E-2</v>
      </c>
      <c r="J194">
        <f>RTD("tos.rtd", , "VEGA", ".SPY150515C211.5")</f>
        <v>0.15275</v>
      </c>
      <c r="K194">
        <f>RTD("tos.rtd", , "RHO", ".SPY150515C211.5")</f>
        <v>3.2210000000000003E-2</v>
      </c>
      <c r="L194">
        <f>RTD("tos.rtd", , "ASK", ".SPY150515P211.5")</f>
        <v>1.65</v>
      </c>
      <c r="M194">
        <f>RTD("tos.rtd", , "ASK_SIZE", ".SPY150515P211.5")</f>
        <v>250</v>
      </c>
      <c r="N194">
        <f>RTD("tos.rtd", , "BID", ".SPY150515P211.5")</f>
        <v>1.59</v>
      </c>
      <c r="O194">
        <f>RTD("tos.rtd", , "BID_SIZE", ".SPY150515P211.5")</f>
        <v>430</v>
      </c>
      <c r="P194">
        <f>RTD("tos.rtd", , "VOLUME", ".SPY150515P211.5")</f>
        <v>9535</v>
      </c>
      <c r="Q194">
        <f>RTD("tos.rtd", , "OPEN_INT", ".SPY150515P211.5")</f>
        <v>16598</v>
      </c>
      <c r="R194">
        <f>RTD("tos.rtd", , "DELTA", ".SPY150515P211.5")</f>
        <v>-0.51049999999999995</v>
      </c>
      <c r="S194">
        <f>RTD("tos.rtd", , "THETA", ".SPY150515P211.5")</f>
        <v>-6.7559999999999995E-2</v>
      </c>
      <c r="T194">
        <f>RTD("tos.rtd", , "GAMMA", ".SPY150515P211.5")</f>
        <v>0.10267999999999999</v>
      </c>
      <c r="U194">
        <f>RTD("tos.rtd", , "VEGA", ".SPY150515P211.5")</f>
        <v>0.15276000000000001</v>
      </c>
      <c r="V194">
        <f>RTD("tos.rtd", , "RHO", ".SPY150515P211.5")</f>
        <v>-3.601E-2</v>
      </c>
    </row>
    <row r="195" spans="1:22" x14ac:dyDescent="0.25">
      <c r="A195">
        <f>RTD("tos.rtd", , "ASK", ".SPY150515C212")</f>
        <v>1.34</v>
      </c>
      <c r="B195">
        <f>RTD("tos.rtd", , "ASK_SIZE", ".SPY150515C212")</f>
        <v>755</v>
      </c>
      <c r="C195">
        <f>RTD("tos.rtd", , "BID", ".SPY150515C212")</f>
        <v>1.29</v>
      </c>
      <c r="D195">
        <f>RTD("tos.rtd", , "BID_SIZE", ".SPY150515C212")</f>
        <v>350</v>
      </c>
      <c r="E195">
        <f>RTD("tos.rtd", , "VOLUME", ".SPY150515C212")</f>
        <v>13557</v>
      </c>
      <c r="F195">
        <f>RTD("tos.rtd", , "OPEN_INT", ".SPY150515C212")</f>
        <v>43798</v>
      </c>
      <c r="G195">
        <f>RTD("tos.rtd", , "DELTA", ".SPY150515C212")</f>
        <v>0.44157999999999997</v>
      </c>
      <c r="H195">
        <f>RTD("tos.rtd", , "THETA", ".SPY150515C212")</f>
        <v>-6.1409999999999999E-2</v>
      </c>
      <c r="I195">
        <f>RTD("tos.rtd", , "GAMMA", ".SPY150515C212")</f>
        <v>9.7970000000000002E-2</v>
      </c>
      <c r="J195">
        <f>RTD("tos.rtd", , "VEGA", ".SPY150515C212")</f>
        <v>0.15115999999999999</v>
      </c>
      <c r="K195">
        <f>RTD("tos.rtd", , "RHO", ".SPY150515C212")</f>
        <v>2.9239999999999999E-2</v>
      </c>
      <c r="L195">
        <f>RTD("tos.rtd", , "ASK", ".SPY150515P212")</f>
        <v>1.87</v>
      </c>
      <c r="M195">
        <f>RTD("tos.rtd", , "ASK_SIZE", ".SPY150515P212")</f>
        <v>348</v>
      </c>
      <c r="N195">
        <f>RTD("tos.rtd", , "BID", ".SPY150515P212")</f>
        <v>1.81</v>
      </c>
      <c r="O195">
        <f>RTD("tos.rtd", , "BID_SIZE", ".SPY150515P212")</f>
        <v>350</v>
      </c>
      <c r="P195">
        <f>RTD("tos.rtd", , "VOLUME", ".SPY150515P212")</f>
        <v>15345</v>
      </c>
      <c r="Q195">
        <f>RTD("tos.rtd", , "OPEN_INT", ".SPY150515P212")</f>
        <v>15627</v>
      </c>
      <c r="R195">
        <f>RTD("tos.rtd", , "DELTA", ".SPY150515P212")</f>
        <v>-0.56396999999999997</v>
      </c>
      <c r="S195">
        <f>RTD("tos.rtd", , "THETA", ".SPY150515P212")</f>
        <v>-6.5110000000000001E-2</v>
      </c>
      <c r="T195">
        <f>RTD("tos.rtd", , "GAMMA", ".SPY150515P212")</f>
        <v>0.105</v>
      </c>
      <c r="U195">
        <f>RTD("tos.rtd", , "VEGA", ".SPY150515P212")</f>
        <v>0.15082000000000001</v>
      </c>
      <c r="V195">
        <f>RTD("tos.rtd", , "RHO", ".SPY150515P212")</f>
        <v>-3.9800000000000002E-2</v>
      </c>
    </row>
    <row r="196" spans="1:22" x14ac:dyDescent="0.25">
      <c r="A196">
        <f>RTD("tos.rtd", , "ASK", ".SPY150515C212.5")</f>
        <v>1.07</v>
      </c>
      <c r="B196">
        <f>RTD("tos.rtd", , "ASK_SIZE", ".SPY150515C212.5")</f>
        <v>350</v>
      </c>
      <c r="C196">
        <f>RTD("tos.rtd", , "BID", ".SPY150515C212.5")</f>
        <v>1.03</v>
      </c>
      <c r="D196">
        <f>RTD("tos.rtd", , "BID_SIZE", ".SPY150515C212.5")</f>
        <v>349</v>
      </c>
      <c r="E196">
        <f>RTD("tos.rtd", , "VOLUME", ".SPY150515C212.5")</f>
        <v>2598</v>
      </c>
      <c r="F196">
        <f>RTD("tos.rtd", , "OPEN_INT", ".SPY150515C212.5")</f>
        <v>16938</v>
      </c>
      <c r="G196">
        <f>RTD("tos.rtd", , "DELTA", ".SPY150515C212.5")</f>
        <v>0.38891999999999999</v>
      </c>
      <c r="H196">
        <f>RTD("tos.rtd", , "THETA", ".SPY150515C212.5")</f>
        <v>-5.7590000000000002E-2</v>
      </c>
      <c r="I196">
        <f>RTD("tos.rtd", , "GAMMA", ".SPY150515C212.5")</f>
        <v>9.8860000000000003E-2</v>
      </c>
      <c r="J196">
        <f>RTD("tos.rtd", , "VEGA", ".SPY150515C212.5")</f>
        <v>0.14687</v>
      </c>
      <c r="K196">
        <f>RTD("tos.rtd", , "RHO", ".SPY150515C212.5")</f>
        <v>2.597E-2</v>
      </c>
      <c r="L196">
        <f>RTD("tos.rtd", , "ASK", ".SPY150515P212.5")</f>
        <v>2.16</v>
      </c>
      <c r="M196">
        <f>RTD("tos.rtd", , "ASK_SIZE", ".SPY150515P212.5")</f>
        <v>1300</v>
      </c>
      <c r="N196">
        <f>RTD("tos.rtd", , "BID", ".SPY150515P212.5")</f>
        <v>2.0299999999999998</v>
      </c>
      <c r="O196">
        <f>RTD("tos.rtd", , "BID_SIZE", ".SPY150515P212.5")</f>
        <v>349</v>
      </c>
      <c r="P196">
        <f>RTD("tos.rtd", , "VOLUME", ".SPY150515P212.5")</f>
        <v>371</v>
      </c>
      <c r="Q196">
        <f>RTD("tos.rtd", , "OPEN_INT", ".SPY150515P212.5")</f>
        <v>3368</v>
      </c>
      <c r="R196">
        <f>RTD("tos.rtd", , "DELTA", ".SPY150515P212.5")</f>
        <v>-0.61936000000000002</v>
      </c>
      <c r="S196">
        <f>RTD("tos.rtd", , "THETA", ".SPY150515P212.5")</f>
        <v>-6.1879999999999998E-2</v>
      </c>
      <c r="T196">
        <f>RTD("tos.rtd", , "GAMMA", ".SPY150515P212.5")</f>
        <v>0.10478999999999999</v>
      </c>
      <c r="U196">
        <f>RTD("tos.rtd", , "VEGA", ".SPY150515P212.5")</f>
        <v>0.1459</v>
      </c>
      <c r="V196">
        <f>RTD("tos.rtd", , "RHO", ".SPY150515P212.5")</f>
        <v>-4.3729999999999998E-2</v>
      </c>
    </row>
    <row r="197" spans="1:22" x14ac:dyDescent="0.25">
      <c r="A197">
        <f>RTD("tos.rtd", , "ASK", ".SPY150515C213")</f>
        <v>0.83</v>
      </c>
      <c r="B197">
        <f>RTD("tos.rtd", , "ASK_SIZE", ".SPY150515C213")</f>
        <v>26</v>
      </c>
      <c r="C197">
        <f>RTD("tos.rtd", , "BID", ".SPY150515C213")</f>
        <v>0.8</v>
      </c>
      <c r="D197">
        <f>RTD("tos.rtd", , "BID_SIZE", ".SPY150515C213")</f>
        <v>349</v>
      </c>
      <c r="E197">
        <f>RTD("tos.rtd", , "VOLUME", ".SPY150515C213")</f>
        <v>9324</v>
      </c>
      <c r="F197">
        <f>RTD("tos.rtd", , "OPEN_INT", ".SPY150515C213")</f>
        <v>60783</v>
      </c>
      <c r="G197">
        <f>RTD("tos.rtd", , "DELTA", ".SPY150515C213")</f>
        <v>0.33438000000000001</v>
      </c>
      <c r="H197">
        <f>RTD("tos.rtd", , "THETA", ".SPY150515C213")</f>
        <v>-5.2780000000000001E-2</v>
      </c>
      <c r="I197">
        <f>RTD("tos.rtd", , "GAMMA", ".SPY150515C213")</f>
        <v>9.7629999999999995E-2</v>
      </c>
      <c r="J197">
        <f>RTD("tos.rtd", , "VEGA", ".SPY150515C213")</f>
        <v>0.13952999999999999</v>
      </c>
      <c r="K197">
        <f>RTD("tos.rtd", , "RHO", ".SPY150515C213")</f>
        <v>2.249E-2</v>
      </c>
      <c r="L197">
        <f>RTD("tos.rtd", , "ASK", ".SPY150515P213")</f>
        <v>2.46</v>
      </c>
      <c r="M197">
        <f>RTD("tos.rtd", , "ASK_SIZE", ".SPY150515P213")</f>
        <v>349</v>
      </c>
      <c r="N197">
        <f>RTD("tos.rtd", , "BID", ".SPY150515P213")</f>
        <v>2.35</v>
      </c>
      <c r="O197">
        <f>RTD("tos.rtd", , "BID_SIZE", ".SPY150515P213")</f>
        <v>6</v>
      </c>
      <c r="P197">
        <f>RTD("tos.rtd", , "VOLUME", ".SPY150515P213")</f>
        <v>544</v>
      </c>
      <c r="Q197">
        <f>RTD("tos.rtd", , "OPEN_INT", ".SPY150515P213")</f>
        <v>4845</v>
      </c>
      <c r="R197">
        <f>RTD("tos.rtd", , "DELTA", ".SPY150515P213")</f>
        <v>-0.67230999999999996</v>
      </c>
      <c r="S197">
        <f>RTD("tos.rtd", , "THETA", ".SPY150515P213")</f>
        <v>-5.8819999999999997E-2</v>
      </c>
      <c r="T197">
        <f>RTD("tos.rtd", , "GAMMA", ".SPY150515P213")</f>
        <v>0.10056</v>
      </c>
      <c r="U197">
        <f>RTD("tos.rtd", , "VEGA", ".SPY150515P213")</f>
        <v>0.13833999999999999</v>
      </c>
      <c r="V197">
        <f>RTD("tos.rtd", , "RHO", ".SPY150515P213")</f>
        <v>-4.7509999999999997E-2</v>
      </c>
    </row>
    <row r="198" spans="1:22" x14ac:dyDescent="0.25">
      <c r="A198">
        <f>RTD("tos.rtd", , "ASK", ".SPY150515C213.5")</f>
        <v>0.64</v>
      </c>
      <c r="B198">
        <f>RTD("tos.rtd", , "ASK_SIZE", ".SPY150515C213.5")</f>
        <v>487</v>
      </c>
      <c r="C198">
        <f>RTD("tos.rtd", , "BID", ".SPY150515C213.5")</f>
        <v>0.61</v>
      </c>
      <c r="D198">
        <f>RTD("tos.rtd", , "BID_SIZE", ".SPY150515C213.5")</f>
        <v>299</v>
      </c>
      <c r="E198">
        <f>RTD("tos.rtd", , "VOLUME", ".SPY150515C213.5")</f>
        <v>4431</v>
      </c>
      <c r="F198">
        <f>RTD("tos.rtd", , "OPEN_INT", ".SPY150515C213.5")</f>
        <v>16669</v>
      </c>
      <c r="G198">
        <f>RTD("tos.rtd", , "DELTA", ".SPY150515C213.5")</f>
        <v>0.28132000000000001</v>
      </c>
      <c r="H198">
        <f>RTD("tos.rtd", , "THETA", ".SPY150515C213.5")</f>
        <v>-4.7710000000000002E-2</v>
      </c>
      <c r="I198">
        <f>RTD("tos.rtd", , "GAMMA", ".SPY150515C213.5")</f>
        <v>9.3219999999999997E-2</v>
      </c>
      <c r="J198">
        <f>RTD("tos.rtd", , "VEGA", ".SPY150515C213.5")</f>
        <v>0.12939999999999999</v>
      </c>
      <c r="K198">
        <f>RTD("tos.rtd", , "RHO", ".SPY150515C213.5")</f>
        <v>1.9040000000000001E-2</v>
      </c>
      <c r="L198">
        <f>RTD("tos.rtd", , "ASK", ".SPY150515P213.5")</f>
        <v>2.76</v>
      </c>
      <c r="M198">
        <f>RTD("tos.rtd", , "ASK_SIZE", ".SPY150515P213.5")</f>
        <v>349</v>
      </c>
      <c r="N198">
        <f>RTD("tos.rtd", , "BID", ".SPY150515P213.5")</f>
        <v>2.6</v>
      </c>
      <c r="O198">
        <f>RTD("tos.rtd", , "BID_SIZE", ".SPY150515P213.5")</f>
        <v>349</v>
      </c>
      <c r="P198">
        <f>RTD("tos.rtd", , "VOLUME", ".SPY150515P213.5")</f>
        <v>188</v>
      </c>
      <c r="Q198">
        <f>RTD("tos.rtd", , "OPEN_INT", ".SPY150515P213.5")</f>
        <v>599</v>
      </c>
      <c r="R198">
        <f>RTD("tos.rtd", , "DELTA", ".SPY150515P213.5")</f>
        <v>-0.73431000000000002</v>
      </c>
      <c r="S198">
        <f>RTD("tos.rtd", , "THETA", ".SPY150515P213.5")</f>
        <v>-5.151E-2</v>
      </c>
      <c r="T198">
        <f>RTD("tos.rtd", , "GAMMA", ".SPY150515P213.5")</f>
        <v>9.7570000000000004E-2</v>
      </c>
      <c r="U198">
        <f>RTD("tos.rtd", , "VEGA", ".SPY150515P213.5")</f>
        <v>0.12570000000000001</v>
      </c>
      <c r="V198">
        <f>RTD("tos.rtd", , "RHO", ".SPY150515P213.5")</f>
        <v>-5.1909999999999998E-2</v>
      </c>
    </row>
    <row r="199" spans="1:22" x14ac:dyDescent="0.25">
      <c r="A199">
        <f>RTD("tos.rtd", , "ASK", ".SPY150515C214")</f>
        <v>0.45</v>
      </c>
      <c r="B199">
        <f>RTD("tos.rtd", , "ASK_SIZE", ".SPY150515C214")</f>
        <v>12</v>
      </c>
      <c r="C199">
        <f>RTD("tos.rtd", , "BID", ".SPY150515C214")</f>
        <v>0.44</v>
      </c>
      <c r="D199">
        <f>RTD("tos.rtd", , "BID_SIZE", ".SPY150515C214")</f>
        <v>988</v>
      </c>
      <c r="E199">
        <f>RTD("tos.rtd", , "VOLUME", ".SPY150515C214")</f>
        <v>7677</v>
      </c>
      <c r="F199">
        <f>RTD("tos.rtd", , "OPEN_INT", ".SPY150515C214")</f>
        <v>87593</v>
      </c>
      <c r="G199">
        <f>RTD("tos.rtd", , "DELTA", ".SPY150515C214")</f>
        <v>0.22572</v>
      </c>
      <c r="H199">
        <f>RTD("tos.rtd", , "THETA", ".SPY150515C214")</f>
        <v>-4.07E-2</v>
      </c>
      <c r="I199">
        <f>RTD("tos.rtd", , "GAMMA", ".SPY150515C214")</f>
        <v>8.7160000000000001E-2</v>
      </c>
      <c r="J199">
        <f>RTD("tos.rtd", , "VEGA", ".SPY150515C214")</f>
        <v>0.11537</v>
      </c>
      <c r="K199">
        <f>RTD("tos.rtd", , "RHO", ".SPY150515C214")</f>
        <v>1.536E-2</v>
      </c>
      <c r="L199">
        <f>RTD("tos.rtd", , "ASK", ".SPY150515P214")</f>
        <v>3.1</v>
      </c>
      <c r="M199">
        <f>RTD("tos.rtd", , "ASK_SIZE", ".SPY150515P214")</f>
        <v>349</v>
      </c>
      <c r="N199">
        <f>RTD("tos.rtd", , "BID", ".SPY150515P214")</f>
        <v>2.92</v>
      </c>
      <c r="O199">
        <f>RTD("tos.rtd", , "BID_SIZE", ".SPY150515P214")</f>
        <v>349</v>
      </c>
      <c r="P199">
        <f>RTD("tos.rtd", , "VOLUME", ".SPY150515P214")</f>
        <v>609</v>
      </c>
      <c r="Q199">
        <f>RTD("tos.rtd", , "OPEN_INT", ".SPY150515P214")</f>
        <v>3363</v>
      </c>
      <c r="R199">
        <f>RTD("tos.rtd", , "DELTA", ".SPY150515P214")</f>
        <v>-0.79317000000000004</v>
      </c>
      <c r="S199">
        <f>RTD("tos.rtd", , "THETA", ".SPY150515P214")</f>
        <v>-4.4269999999999997E-2</v>
      </c>
      <c r="T199">
        <f>RTD("tos.rtd", , "GAMMA", ".SPY150515P214")</f>
        <v>8.9649999999999994E-2</v>
      </c>
      <c r="U199">
        <f>RTD("tos.rtd", , "VEGA", ".SPY150515P214")</f>
        <v>0.10958</v>
      </c>
      <c r="V199">
        <f>RTD("tos.rtd", , "RHO", ".SPY150515P214")</f>
        <v>-5.6099999999999997E-2</v>
      </c>
    </row>
    <row r="200" spans="1:22" x14ac:dyDescent="0.25">
      <c r="A200">
        <f>RTD("tos.rtd", , "ASK", ".SPY150515C214.5")</f>
        <v>0.34</v>
      </c>
      <c r="B200">
        <f>RTD("tos.rtd", , "ASK_SIZE", ".SPY150515C214.5")</f>
        <v>1143</v>
      </c>
      <c r="C200">
        <f>RTD("tos.rtd", , "BID", ".SPY150515C214.5")</f>
        <v>0.31</v>
      </c>
      <c r="D200">
        <f>RTD("tos.rtd", , "BID_SIZE", ".SPY150515C214.5")</f>
        <v>632</v>
      </c>
      <c r="E200">
        <f>RTD("tos.rtd", , "VOLUME", ".SPY150515C214.5")</f>
        <v>994</v>
      </c>
      <c r="F200">
        <f>RTD("tos.rtd", , "OPEN_INT", ".SPY150515C214.5")</f>
        <v>19643</v>
      </c>
      <c r="G200">
        <f>RTD("tos.rtd", , "DELTA", ".SPY150515C214.5")</f>
        <v>0.1797</v>
      </c>
      <c r="H200">
        <f>RTD("tos.rtd", , "THETA", ".SPY150515C214.5")</f>
        <v>-3.5020000000000003E-2</v>
      </c>
      <c r="I200">
        <f>RTD("tos.rtd", , "GAMMA", ".SPY150515C214.5")</f>
        <v>7.7670000000000003E-2</v>
      </c>
      <c r="J200">
        <f>RTD("tos.rtd", , "VEGA", ".SPY150515C214.5")</f>
        <v>0.10079</v>
      </c>
      <c r="K200">
        <f>RTD("tos.rtd", , "RHO", ".SPY150515C214.5")</f>
        <v>1.227E-2</v>
      </c>
      <c r="L200">
        <f>RTD("tos.rtd", , "ASK", ".SPY150515P214.5")</f>
        <v>3.49</v>
      </c>
      <c r="M200">
        <f>RTD("tos.rtd", , "ASK_SIZE", ".SPY150515P214.5")</f>
        <v>349</v>
      </c>
      <c r="N200">
        <f>RTD("tos.rtd", , "BID", ".SPY150515P214.5")</f>
        <v>3.28</v>
      </c>
      <c r="O200">
        <f>RTD("tos.rtd", , "BID_SIZE", ".SPY150515P214.5")</f>
        <v>349</v>
      </c>
      <c r="P200">
        <f>RTD("tos.rtd", , "VOLUME", ".SPY150515P214.5")</f>
        <v>454</v>
      </c>
      <c r="Q200">
        <f>RTD("tos.rtd", , "OPEN_INT", ".SPY150515P214.5")</f>
        <v>306</v>
      </c>
      <c r="R200">
        <f>RTD("tos.rtd", , "DELTA", ".SPY150515P214.5")</f>
        <v>-0.84575</v>
      </c>
      <c r="S200">
        <f>RTD("tos.rtd", , "THETA", ".SPY150515P214.5")</f>
        <v>-3.7220000000000003E-2</v>
      </c>
      <c r="T200">
        <f>RTD("tos.rtd", , "GAMMA", ".SPY150515P214.5")</f>
        <v>7.7920000000000003E-2</v>
      </c>
      <c r="U200">
        <f>RTD("tos.rtd", , "VEGA", ".SPY150515P214.5")</f>
        <v>9.1249999999999998E-2</v>
      </c>
      <c r="V200">
        <f>RTD("tos.rtd", , "RHO", ".SPY150515P214.5")</f>
        <v>-5.9880000000000003E-2</v>
      </c>
    </row>
    <row r="201" spans="1:22" x14ac:dyDescent="0.25">
      <c r="A201">
        <f>RTD("tos.rtd", , "ASK", ".SPY150515C215")</f>
        <v>0.24</v>
      </c>
      <c r="B201">
        <f>RTD("tos.rtd", , "ASK_SIZE", ".SPY150515C215")</f>
        <v>1360</v>
      </c>
      <c r="C201">
        <f>RTD("tos.rtd", , "BID", ".SPY150515C215")</f>
        <v>0.22</v>
      </c>
      <c r="D201">
        <f>RTD("tos.rtd", , "BID_SIZE", ".SPY150515C215")</f>
        <v>349</v>
      </c>
      <c r="E201">
        <f>RTD("tos.rtd", , "VOLUME", ".SPY150515C215")</f>
        <v>5705</v>
      </c>
      <c r="F201">
        <f>RTD("tos.rtd", , "OPEN_INT", ".SPY150515C215")</f>
        <v>115308</v>
      </c>
      <c r="G201">
        <f>RTD("tos.rtd", , "DELTA", ".SPY150515C215")</f>
        <v>0.13857</v>
      </c>
      <c r="H201">
        <f>RTD("tos.rtd", , "THETA", ".SPY150515C215")</f>
        <v>-2.9139999999999999E-2</v>
      </c>
      <c r="I201">
        <f>RTD("tos.rtd", , "GAMMA", ".SPY150515C215")</f>
        <v>6.6919999999999993E-2</v>
      </c>
      <c r="J201">
        <f>RTD("tos.rtd", , "VEGA", ".SPY150515C215")</f>
        <v>8.5139999999999993E-2</v>
      </c>
      <c r="K201">
        <f>RTD("tos.rtd", , "RHO", ".SPY150515C215")</f>
        <v>9.4900000000000002E-3</v>
      </c>
      <c r="L201">
        <f>RTD("tos.rtd", , "ASK", ".SPY150515P215")</f>
        <v>3.88</v>
      </c>
      <c r="M201">
        <f>RTD("tos.rtd", , "ASK_SIZE", ".SPY150515P215")</f>
        <v>160</v>
      </c>
      <c r="N201">
        <f>RTD("tos.rtd", , "BID", ".SPY150515P215")</f>
        <v>3.67</v>
      </c>
      <c r="O201">
        <f>RTD("tos.rtd", , "BID_SIZE", ".SPY150515P215")</f>
        <v>368</v>
      </c>
      <c r="P201">
        <f>RTD("tos.rtd", , "VOLUME", ".SPY150515P215")</f>
        <v>2648</v>
      </c>
      <c r="Q201">
        <f>RTD("tos.rtd", , "OPEN_INT", ".SPY150515P215")</f>
        <v>37703</v>
      </c>
      <c r="R201">
        <f>RTD("tos.rtd", , "DELTA", ".SPY150515P215")</f>
        <v>-0.89997000000000005</v>
      </c>
      <c r="S201">
        <f>RTD("tos.rtd", , "THETA", ".SPY150515P215")</f>
        <v>-2.836E-2</v>
      </c>
      <c r="T201">
        <f>RTD("tos.rtd", , "GAMMA", ".SPY150515P215")</f>
        <v>6.234E-2</v>
      </c>
      <c r="U201">
        <f>RTD("tos.rtd", , "VEGA", ".SPY150515P215")</f>
        <v>6.7599999999999993E-2</v>
      </c>
      <c r="V201">
        <f>RTD("tos.rtd", , "RHO", ".SPY150515P215")</f>
        <v>-6.3769999999999993E-2</v>
      </c>
    </row>
    <row r="202" spans="1:22" x14ac:dyDescent="0.25">
      <c r="A202">
        <f>RTD("tos.rtd", , "ASK", ".SPY150515C215.5")</f>
        <v>0.17</v>
      </c>
      <c r="B202">
        <f>RTD("tos.rtd", , "ASK_SIZE", ".SPY150515C215.5")</f>
        <v>1688</v>
      </c>
      <c r="C202">
        <f>RTD("tos.rtd", , "BID", ".SPY150515C215.5")</f>
        <v>0.15</v>
      </c>
      <c r="D202">
        <f>RTD("tos.rtd", , "BID_SIZE", ".SPY150515C215.5")</f>
        <v>349</v>
      </c>
      <c r="E202">
        <f>RTD("tos.rtd", , "VOLUME", ".SPY150515C215.5")</f>
        <v>994</v>
      </c>
      <c r="F202">
        <f>RTD("tos.rtd", , "OPEN_INT", ".SPY150515C215.5")</f>
        <v>7078</v>
      </c>
      <c r="G202">
        <f>RTD("tos.rtd", , "DELTA", ".SPY150515C215.5")</f>
        <v>0.10437</v>
      </c>
      <c r="H202">
        <f>RTD("tos.rtd", , "THETA", ".SPY150515C215.5")</f>
        <v>-2.3709999999999998E-2</v>
      </c>
      <c r="I202">
        <f>RTD("tos.rtd", , "GAMMA", ".SPY150515C215.5")</f>
        <v>5.5719999999999999E-2</v>
      </c>
      <c r="J202">
        <f>RTD("tos.rtd", , "VEGA", ".SPY150515C215.5")</f>
        <v>6.9900000000000004E-2</v>
      </c>
      <c r="K202">
        <f>RTD("tos.rtd", , "RHO", ".SPY150515C215.5")</f>
        <v>7.1599999999999997E-3</v>
      </c>
      <c r="L202">
        <f>RTD("tos.rtd", , "ASK", ".SPY150515P215.5")</f>
        <v>4.3099999999999996</v>
      </c>
      <c r="M202">
        <f>RTD("tos.rtd", , "ASK_SIZE", ".SPY150515P215.5")</f>
        <v>349</v>
      </c>
      <c r="N202">
        <f>RTD("tos.rtd", , "BID", ".SPY150515P215.5")</f>
        <v>4.09</v>
      </c>
      <c r="O202">
        <f>RTD("tos.rtd", , "BID_SIZE", ".SPY150515P215.5")</f>
        <v>349</v>
      </c>
      <c r="P202">
        <f>RTD("tos.rtd", , "VOLUME", ".SPY150515P215.5")</f>
        <v>10</v>
      </c>
      <c r="Q202">
        <f>RTD("tos.rtd", , "OPEN_INT", ".SPY150515P215.5")</f>
        <v>325</v>
      </c>
      <c r="R202">
        <f>RTD("tos.rtd", , "DELTA", ".SPY150515P215.5")</f>
        <v>-0.94660999999999995</v>
      </c>
      <c r="S202">
        <f>RTD("tos.rtd", , "THETA", ".SPY150515P215.5")</f>
        <v>-1.9859999999999999E-2</v>
      </c>
      <c r="T202">
        <f>RTD("tos.rtd", , "GAMMA", ".SPY150515P215.5")</f>
        <v>4.2520000000000002E-2</v>
      </c>
      <c r="U202">
        <f>RTD("tos.rtd", , "VEGA", ".SPY150515P215.5")</f>
        <v>4.197E-2</v>
      </c>
      <c r="V202">
        <f>RTD("tos.rtd", , "RHO", ".SPY150515P215.5")</f>
        <v>-6.7150000000000001E-2</v>
      </c>
    </row>
    <row r="203" spans="1:22" x14ac:dyDescent="0.25">
      <c r="A203">
        <f>RTD("tos.rtd", , "ASK", ".SPY150515C216")</f>
        <v>0.12</v>
      </c>
      <c r="B203">
        <f>RTD("tos.rtd", , "ASK_SIZE", ".SPY150515C216")</f>
        <v>2158</v>
      </c>
      <c r="C203">
        <f>RTD("tos.rtd", , "BID", ".SPY150515C216")</f>
        <v>0.1</v>
      </c>
      <c r="D203">
        <f>RTD("tos.rtd", , "BID_SIZE", ".SPY150515C216")</f>
        <v>349</v>
      </c>
      <c r="E203">
        <f>RTD("tos.rtd", , "VOLUME", ".SPY150515C216")</f>
        <v>1537</v>
      </c>
      <c r="F203">
        <f>RTD("tos.rtd", , "OPEN_INT", ".SPY150515C216")</f>
        <v>27832</v>
      </c>
      <c r="G203">
        <f>RTD("tos.rtd", , "DELTA", ".SPY150515C216")</f>
        <v>7.7009999999999995E-2</v>
      </c>
      <c r="H203">
        <f>RTD("tos.rtd", , "THETA", ".SPY150515C216")</f>
        <v>-1.8890000000000001E-2</v>
      </c>
      <c r="I203">
        <f>RTD("tos.rtd", , "GAMMA", ".SPY150515C216")</f>
        <v>4.4979999999999999E-2</v>
      </c>
      <c r="J203">
        <f>RTD("tos.rtd", , "VEGA", ".SPY150515C216")</f>
        <v>5.5910000000000001E-2</v>
      </c>
      <c r="K203">
        <f>RTD("tos.rtd", , "RHO", ".SPY150515C216")</f>
        <v>5.2900000000000004E-3</v>
      </c>
      <c r="L203">
        <f>RTD("tos.rtd", , "ASK", ".SPY150515P216")</f>
        <v>4.76</v>
      </c>
      <c r="M203">
        <f>RTD("tos.rtd", , "ASK_SIZE", ".SPY150515P216")</f>
        <v>111</v>
      </c>
      <c r="N203">
        <f>RTD("tos.rtd", , "BID", ".SPY150515P216")</f>
        <v>4.53</v>
      </c>
      <c r="O203">
        <f>RTD("tos.rtd", , "BID_SIZE", ".SPY150515P216")</f>
        <v>349</v>
      </c>
      <c r="P203">
        <f>RTD("tos.rtd", , "VOLUME", ".SPY150515P216")</f>
        <v>130</v>
      </c>
      <c r="Q203">
        <f>RTD("tos.rtd", , "OPEN_INT", ".SPY150515P216")</f>
        <v>1733</v>
      </c>
      <c r="R203">
        <f>RTD("tos.rtd", , "DELTA", ".SPY150515P216")</f>
        <v>-0.99941999999999998</v>
      </c>
      <c r="S203">
        <f>RTD("tos.rtd", , "THETA", ".SPY150515P216")</f>
        <v>-8.7200000000000003E-3</v>
      </c>
      <c r="T203">
        <f>RTD("tos.rtd", , "GAMMA", ".SPY150515P216")</f>
        <v>0</v>
      </c>
      <c r="U203">
        <f>RTD("tos.rtd", , "VEGA", ".SPY150515P216")</f>
        <v>0</v>
      </c>
      <c r="V203">
        <f>RTD("tos.rtd", , "RHO", ".SPY150515P216")</f>
        <v>-7.0959999999999995E-2</v>
      </c>
    </row>
    <row r="204" spans="1:22" x14ac:dyDescent="0.25">
      <c r="A204">
        <f>RTD("tos.rtd", , "ASK", ".SPY150515C216.5")</f>
        <v>0.08</v>
      </c>
      <c r="B204">
        <f>RTD("tos.rtd", , "ASK_SIZE", ".SPY150515C216.5")</f>
        <v>2640</v>
      </c>
      <c r="C204">
        <f>RTD("tos.rtd", , "BID", ".SPY150515C216.5")</f>
        <v>7.0000000000000007E-2</v>
      </c>
      <c r="D204">
        <f>RTD("tos.rtd", , "BID_SIZE", ".SPY150515C216.5")</f>
        <v>250</v>
      </c>
      <c r="E204">
        <f>RTD("tos.rtd", , "VOLUME", ".SPY150515C216.5")</f>
        <v>1585</v>
      </c>
      <c r="F204">
        <f>RTD("tos.rtd", , "OPEN_INT", ".SPY150515C216.5")</f>
        <v>3991</v>
      </c>
      <c r="G204">
        <f>RTD("tos.rtd", , "DELTA", ".SPY150515C216.5")</f>
        <v>5.5960000000000003E-2</v>
      </c>
      <c r="H204">
        <f>RTD("tos.rtd", , "THETA", ".SPY150515C216.5")</f>
        <v>-1.482E-2</v>
      </c>
      <c r="I204">
        <f>RTD("tos.rtd", , "GAMMA", ".SPY150515C216.5")</f>
        <v>3.5369999999999999E-2</v>
      </c>
      <c r="J204">
        <f>RTD("tos.rtd", , "VEGA", ".SPY150515C216.5")</f>
        <v>4.3770000000000003E-2</v>
      </c>
      <c r="K204">
        <f>RTD("tos.rtd", , "RHO", ".SPY150515C216.5")</f>
        <v>3.8500000000000001E-3</v>
      </c>
      <c r="L204">
        <f>RTD("tos.rtd", , "ASK", ".SPY150515P216.5")</f>
        <v>5.24</v>
      </c>
      <c r="M204">
        <f>RTD("tos.rtd", , "ASK_SIZE", ".SPY150515P216.5")</f>
        <v>250</v>
      </c>
      <c r="N204">
        <f>RTD("tos.rtd", , "BID", ".SPY150515P216.5")</f>
        <v>4.9800000000000004</v>
      </c>
      <c r="O204">
        <f>RTD("tos.rtd", , "BID_SIZE", ".SPY150515P216.5")</f>
        <v>250</v>
      </c>
      <c r="P204">
        <f>RTD("tos.rtd", , "VOLUME", ".SPY150515P216.5")</f>
        <v>20</v>
      </c>
      <c r="Q204">
        <f>RTD("tos.rtd", , "OPEN_INT", ".SPY150515P216.5")</f>
        <v>11</v>
      </c>
      <c r="R204">
        <f>RTD("tos.rtd", , "DELTA", ".SPY150515P216.5")</f>
        <v>-0.99941999999999998</v>
      </c>
      <c r="S204">
        <f>RTD("tos.rtd", , "THETA", ".SPY150515P216.5")</f>
        <v>-8.7100000000000007E-3</v>
      </c>
      <c r="T204">
        <f>RTD("tos.rtd", , "GAMMA", ".SPY150515P216.5")</f>
        <v>0</v>
      </c>
      <c r="U204">
        <f>RTD("tos.rtd", , "VEGA", ".SPY150515P216.5")</f>
        <v>0</v>
      </c>
      <c r="V204">
        <f>RTD("tos.rtd", , "RHO", ".SPY150515P216.5")</f>
        <v>-7.1120000000000003E-2</v>
      </c>
    </row>
    <row r="205" spans="1:22" x14ac:dyDescent="0.25">
      <c r="A205">
        <f>RTD("tos.rtd", , "ASK", ".SPY150515C217")</f>
        <v>0.06</v>
      </c>
      <c r="B205">
        <f>RTD("tos.rtd", , "ASK_SIZE", ".SPY150515C217")</f>
        <v>3000</v>
      </c>
      <c r="C205">
        <f>RTD("tos.rtd", , "BID", ".SPY150515C217")</f>
        <v>0.05</v>
      </c>
      <c r="D205">
        <f>RTD("tos.rtd", , "BID_SIZE", ".SPY150515C217")</f>
        <v>245</v>
      </c>
      <c r="E205">
        <f>RTD("tos.rtd", , "VOLUME", ".SPY150515C217")</f>
        <v>2892</v>
      </c>
      <c r="F205">
        <f>RTD("tos.rtd", , "OPEN_INT", ".SPY150515C217")</f>
        <v>59086</v>
      </c>
      <c r="G205">
        <f>RTD("tos.rtd", , "DELTA", ".SPY150515C217")</f>
        <v>4.2470000000000001E-2</v>
      </c>
      <c r="H205">
        <f>RTD("tos.rtd", , "THETA", ".SPY150515C217")</f>
        <v>-1.2160000000000001E-2</v>
      </c>
      <c r="I205">
        <f>RTD("tos.rtd", , "GAMMA", ".SPY150515C217")</f>
        <v>2.8039999999999999E-2</v>
      </c>
      <c r="J205">
        <f>RTD("tos.rtd", , "VEGA", ".SPY150515C217")</f>
        <v>3.5200000000000002E-2</v>
      </c>
      <c r="K205">
        <f>RTD("tos.rtd", , "RHO", ".SPY150515C217")</f>
        <v>2.9199999999999999E-3</v>
      </c>
      <c r="L205">
        <f>RTD("tos.rtd", , "ASK", ".SPY150515P217")</f>
        <v>5.71</v>
      </c>
      <c r="M205">
        <f>RTD("tos.rtd", , "ASK_SIZE", ".SPY150515P217")</f>
        <v>250</v>
      </c>
      <c r="N205">
        <f>RTD("tos.rtd", , "BID", ".SPY150515P217")</f>
        <v>5.48</v>
      </c>
      <c r="O205">
        <f>RTD("tos.rtd", , "BID_SIZE", ".SPY150515P217")</f>
        <v>250</v>
      </c>
      <c r="P205">
        <f>RTD("tos.rtd", , "VOLUME", ".SPY150515P217")</f>
        <v>10</v>
      </c>
      <c r="Q205">
        <f>RTD("tos.rtd", , "OPEN_INT", ".SPY150515P217")</f>
        <v>1259</v>
      </c>
      <c r="R205">
        <f>RTD("tos.rtd", , "DELTA", ".SPY150515P217")</f>
        <v>-1</v>
      </c>
      <c r="S205">
        <f>RTD("tos.rtd", , "THETA", ".SPY150515P217")</f>
        <v>0</v>
      </c>
      <c r="T205">
        <f>RTD("tos.rtd", , "GAMMA", ".SPY150515P217")</f>
        <v>0</v>
      </c>
      <c r="U205">
        <f>RTD("tos.rtd", , "VEGA", ".SPY150515P217")</f>
        <v>1.0455000000000001</v>
      </c>
      <c r="V205">
        <f>RTD("tos.rtd", , "RHO", ".SPY150515P217")</f>
        <v>0</v>
      </c>
    </row>
    <row r="206" spans="1:22" x14ac:dyDescent="0.25">
      <c r="A206">
        <f>RTD("tos.rtd", , "ASK", ".SPY150515C217.5")</f>
        <v>0.05</v>
      </c>
      <c r="B206">
        <f>RTD("tos.rtd", , "ASK_SIZE", ".SPY150515C217.5")</f>
        <v>3000</v>
      </c>
      <c r="C206">
        <f>RTD("tos.rtd", , "BID", ".SPY150515C217.5")</f>
        <v>0.03</v>
      </c>
      <c r="D206">
        <f>RTD("tos.rtd", , "BID_SIZE", ".SPY150515C217.5")</f>
        <v>3000</v>
      </c>
      <c r="E206">
        <f>RTD("tos.rtd", , "VOLUME", ".SPY150515C217.5")</f>
        <v>32</v>
      </c>
      <c r="F206">
        <f>RTD("tos.rtd", , "OPEN_INT", ".SPY150515C217.5")</f>
        <v>5999</v>
      </c>
      <c r="G206">
        <f>RTD("tos.rtd", , "DELTA", ".SPY150515C217.5")</f>
        <v>3.2070000000000001E-2</v>
      </c>
      <c r="H206">
        <f>RTD("tos.rtd", , "THETA", ".SPY150515C217.5")</f>
        <v>-9.8899999999999995E-3</v>
      </c>
      <c r="I206">
        <f>RTD("tos.rtd", , "GAMMA", ".SPY150515C217.5")</f>
        <v>2.2020000000000001E-2</v>
      </c>
      <c r="J206">
        <f>RTD("tos.rtd", , "VEGA", ".SPY150515C217.5")</f>
        <v>2.8039999999999999E-2</v>
      </c>
      <c r="K206">
        <f>RTD("tos.rtd", , "RHO", ".SPY150515C217.5")</f>
        <v>2.2100000000000002E-3</v>
      </c>
      <c r="L206">
        <f>RTD("tos.rtd", , "ASK", ".SPY150515P217.5")</f>
        <v>6.21</v>
      </c>
      <c r="M206">
        <f>RTD("tos.rtd", , "ASK_SIZE", ".SPY150515P217.5")</f>
        <v>250</v>
      </c>
      <c r="N206">
        <f>RTD("tos.rtd", , "BID", ".SPY150515P217.5")</f>
        <v>5.95</v>
      </c>
      <c r="O206">
        <f>RTD("tos.rtd", , "BID_SIZE", ".SPY150515P217.5")</f>
        <v>250</v>
      </c>
      <c r="P206">
        <f>RTD("tos.rtd", , "VOLUME", ".SPY150515P217.5")</f>
        <v>0</v>
      </c>
      <c r="Q206">
        <f>RTD("tos.rtd", , "OPEN_INT", ".SPY150515P217.5")</f>
        <v>42</v>
      </c>
      <c r="R206">
        <f>RTD("tos.rtd", , "DELTA", ".SPY150515P217.5")</f>
        <v>-0.99941999999999998</v>
      </c>
      <c r="S206">
        <f>RTD("tos.rtd", , "THETA", ".SPY150515P217.5")</f>
        <v>-8.7100000000000007E-3</v>
      </c>
      <c r="T206">
        <f>RTD("tos.rtd", , "GAMMA", ".SPY150515P217.5")</f>
        <v>0</v>
      </c>
      <c r="U206">
        <f>RTD("tos.rtd", , "VEGA", ".SPY150515P217.5")</f>
        <v>0</v>
      </c>
      <c r="V206">
        <f>RTD("tos.rtd", , "RHO", ".SPY150515P217.5")</f>
        <v>-7.145E-2</v>
      </c>
    </row>
    <row r="207" spans="1:22" x14ac:dyDescent="0.25">
      <c r="A207">
        <f>RTD("tos.rtd", , "ASK", ".SPY150515C218")</f>
        <v>0.04</v>
      </c>
      <c r="B207">
        <f>RTD("tos.rtd", , "ASK_SIZE", ".SPY150515C218")</f>
        <v>3000</v>
      </c>
      <c r="C207">
        <f>RTD("tos.rtd", , "BID", ".SPY150515C218")</f>
        <v>0.02</v>
      </c>
      <c r="D207">
        <f>RTD("tos.rtd", , "BID_SIZE", ".SPY150515C218")</f>
        <v>3000</v>
      </c>
      <c r="E207">
        <f>RTD("tos.rtd", , "VOLUME", ".SPY150515C218")</f>
        <v>360</v>
      </c>
      <c r="F207">
        <f>RTD("tos.rtd", , "OPEN_INT", ".SPY150515C218")</f>
        <v>46899</v>
      </c>
      <c r="G207">
        <f>RTD("tos.rtd", , "DELTA", ".SPY150515C218")</f>
        <v>2.436E-2</v>
      </c>
      <c r="H207">
        <f>RTD("tos.rtd", , "THETA", ".SPY150515C218")</f>
        <v>-8.0700000000000008E-3</v>
      </c>
      <c r="I207">
        <f>RTD("tos.rtd", , "GAMMA", ".SPY150515C218")</f>
        <v>1.7250000000000001E-2</v>
      </c>
      <c r="J207">
        <f>RTD("tos.rtd", , "VEGA", ".SPY150515C218")</f>
        <v>2.2349999999999998E-2</v>
      </c>
      <c r="K207">
        <f>RTD("tos.rtd", , "RHO", ".SPY150515C218")</f>
        <v>1.6800000000000001E-3</v>
      </c>
      <c r="L207">
        <f>RTD("tos.rtd", , "ASK", ".SPY150515P218")</f>
        <v>6.69</v>
      </c>
      <c r="M207">
        <f>RTD("tos.rtd", , "ASK_SIZE", ".SPY150515P218")</f>
        <v>250</v>
      </c>
      <c r="N207">
        <f>RTD("tos.rtd", , "BID", ".SPY150515P218")</f>
        <v>6.45</v>
      </c>
      <c r="O207">
        <f>RTD("tos.rtd", , "BID_SIZE", ".SPY150515P218")</f>
        <v>11</v>
      </c>
      <c r="P207">
        <f>RTD("tos.rtd", , "VOLUME", ".SPY150515P218")</f>
        <v>36</v>
      </c>
      <c r="Q207">
        <f>RTD("tos.rtd", , "OPEN_INT", ".SPY150515P218")</f>
        <v>4983</v>
      </c>
      <c r="R207">
        <f>RTD("tos.rtd", , "DELTA", ".SPY150515P218")</f>
        <v>-0.99941999999999998</v>
      </c>
      <c r="S207">
        <f>RTD("tos.rtd", , "THETA", ".SPY150515P218")</f>
        <v>-8.6999999999999994E-3</v>
      </c>
      <c r="T207">
        <f>RTD("tos.rtd", , "GAMMA", ".SPY150515P218")</f>
        <v>0</v>
      </c>
      <c r="U207">
        <f>RTD("tos.rtd", , "VEGA", ".SPY150515P218")</f>
        <v>0</v>
      </c>
      <c r="V207">
        <f>RTD("tos.rtd", , "RHO", ".SPY150515P218")</f>
        <v>-7.1620000000000003E-2</v>
      </c>
    </row>
    <row r="208" spans="1:22" x14ac:dyDescent="0.25">
      <c r="A208">
        <f>RTD("tos.rtd", , "ASK", ".SPY150515C218.5")</f>
        <v>0.03</v>
      </c>
      <c r="B208">
        <f>RTD("tos.rtd", , "ASK_SIZE", ".SPY150515C218.5")</f>
        <v>3000</v>
      </c>
      <c r="C208">
        <f>RTD("tos.rtd", , "BID", ".SPY150515C218.5")</f>
        <v>0.02</v>
      </c>
      <c r="D208">
        <f>RTD("tos.rtd", , "BID_SIZE", ".SPY150515C218.5")</f>
        <v>3000</v>
      </c>
      <c r="E208">
        <f>RTD("tos.rtd", , "VOLUME", ".SPY150515C218.5")</f>
        <v>23</v>
      </c>
      <c r="F208">
        <f>RTD("tos.rtd", , "OPEN_INT", ".SPY150515C218.5")</f>
        <v>964</v>
      </c>
      <c r="G208">
        <f>RTD("tos.rtd", , "DELTA", ".SPY150515C218.5")</f>
        <v>2.0119999999999999E-2</v>
      </c>
      <c r="H208">
        <f>RTD("tos.rtd", , "THETA", ".SPY150515C218.5")</f>
        <v>-7.1399999999999996E-3</v>
      </c>
      <c r="I208">
        <f>RTD("tos.rtd", , "GAMMA", ".SPY150515C218.5")</f>
        <v>1.422E-2</v>
      </c>
      <c r="J208">
        <f>RTD("tos.rtd", , "VEGA", ".SPY150515C218.5")</f>
        <v>1.9040000000000001E-2</v>
      </c>
      <c r="K208">
        <f>RTD("tos.rtd", , "RHO", ".SPY150515C218.5")</f>
        <v>1.39E-3</v>
      </c>
      <c r="L208">
        <f>RTD("tos.rtd", , "ASK", ".SPY150515P218.5")</f>
        <v>7.21</v>
      </c>
      <c r="M208">
        <f>RTD("tos.rtd", , "ASK_SIZE", ".SPY150515P218.5")</f>
        <v>250</v>
      </c>
      <c r="N208">
        <f>RTD("tos.rtd", , "BID", ".SPY150515P218.5")</f>
        <v>6.92</v>
      </c>
      <c r="O208">
        <f>RTD("tos.rtd", , "BID_SIZE", ".SPY150515P218.5")</f>
        <v>250</v>
      </c>
      <c r="P208">
        <f>RTD("tos.rtd", , "VOLUME", ".SPY150515P218.5")</f>
        <v>0</v>
      </c>
      <c r="Q208">
        <f>RTD("tos.rtd", , "OPEN_INT", ".SPY150515P218.5")</f>
        <v>14</v>
      </c>
      <c r="R208">
        <f>RTD("tos.rtd", , "DELTA", ".SPY150515P218.5")</f>
        <v>-1</v>
      </c>
      <c r="S208">
        <f>RTD("tos.rtd", , "THETA", ".SPY150515P218.5")</f>
        <v>0</v>
      </c>
      <c r="T208">
        <f>RTD("tos.rtd", , "GAMMA", ".SPY150515P218.5")</f>
        <v>0</v>
      </c>
      <c r="U208">
        <f>RTD("tos.rtd", , "VEGA", ".SPY150515P218.5")</f>
        <v>1.04426</v>
      </c>
      <c r="V208">
        <f>RTD("tos.rtd", , "RHO", ".SPY150515P218.5")</f>
        <v>0</v>
      </c>
    </row>
    <row r="209" spans="1:22" x14ac:dyDescent="0.25">
      <c r="A209">
        <f>RTD("tos.rtd", , "ASK", ".SPY150515C219")</f>
        <v>0.03</v>
      </c>
      <c r="B209">
        <f>RTD("tos.rtd", , "ASK_SIZE", ".SPY150515C219")</f>
        <v>3000</v>
      </c>
      <c r="C209">
        <f>RTD("tos.rtd", , "BID", ".SPY150515C219")</f>
        <v>0.02</v>
      </c>
      <c r="D209">
        <f>RTD("tos.rtd", , "BID_SIZE", ".SPY150515C219")</f>
        <v>50</v>
      </c>
      <c r="E209">
        <f>RTD("tos.rtd", , "VOLUME", ".SPY150515C219")</f>
        <v>2655</v>
      </c>
      <c r="F209">
        <f>RTD("tos.rtd", , "OPEN_INT", ".SPY150515C219")</f>
        <v>61773</v>
      </c>
      <c r="G209">
        <f>RTD("tos.rtd", , "DELTA", ".SPY150515C219")</f>
        <v>1.9140000000000001E-2</v>
      </c>
      <c r="H209">
        <f>RTD("tos.rtd", , "THETA", ".SPY150515C219")</f>
        <v>-7.2700000000000004E-3</v>
      </c>
      <c r="I209">
        <f>RTD("tos.rtd", , "GAMMA", ".SPY150515C219")</f>
        <v>1.289E-2</v>
      </c>
      <c r="J209">
        <f>RTD("tos.rtd", , "VEGA", ".SPY150515C219")</f>
        <v>1.823E-2</v>
      </c>
      <c r="K209">
        <f>RTD("tos.rtd", , "RHO", ".SPY150515C219")</f>
        <v>1.32E-3</v>
      </c>
      <c r="L209">
        <f>RTD("tos.rtd", , "ASK", ".SPY150515P219")</f>
        <v>7.73</v>
      </c>
      <c r="M209">
        <f>RTD("tos.rtd", , "ASK_SIZE", ".SPY150515P219")</f>
        <v>1</v>
      </c>
      <c r="N209">
        <f>RTD("tos.rtd", , "BID", ".SPY150515P219")</f>
        <v>7.43</v>
      </c>
      <c r="O209">
        <f>RTD("tos.rtd", , "BID_SIZE", ".SPY150515P219")</f>
        <v>251</v>
      </c>
      <c r="P209">
        <f>RTD("tos.rtd", , "VOLUME", ".SPY150515P219")</f>
        <v>75</v>
      </c>
      <c r="Q209">
        <f>RTD("tos.rtd", , "OPEN_INT", ".SPY150515P219")</f>
        <v>771</v>
      </c>
      <c r="R209">
        <f>RTD("tos.rtd", , "DELTA", ".SPY150515P219")</f>
        <v>-0.99941999999999998</v>
      </c>
      <c r="S209">
        <f>RTD("tos.rtd", , "THETA", ".SPY150515P219")</f>
        <v>-8.6999999999999994E-3</v>
      </c>
      <c r="T209">
        <f>RTD("tos.rtd", , "GAMMA", ".SPY150515P219")</f>
        <v>0</v>
      </c>
      <c r="U209">
        <f>RTD("tos.rtd", , "VEGA", ".SPY150515P219")</f>
        <v>0</v>
      </c>
      <c r="V209">
        <f>RTD("tos.rtd", , "RHO", ".SPY150515P219")</f>
        <v>-7.195E-2</v>
      </c>
    </row>
    <row r="210" spans="1:22" x14ac:dyDescent="0.25">
      <c r="A210">
        <f>RTD("tos.rtd", , "ASK", ".SPY150515C219.5")</f>
        <v>0.02</v>
      </c>
      <c r="B210">
        <f>RTD("tos.rtd", , "ASK_SIZE", ".SPY150515C219.5")</f>
        <v>3000</v>
      </c>
      <c r="C210">
        <f>RTD("tos.rtd", , "BID", ".SPY150515C219.5")</f>
        <v>0.01</v>
      </c>
      <c r="D210">
        <f>RTD("tos.rtd", , "BID_SIZE", ".SPY150515C219.5")</f>
        <v>3000</v>
      </c>
      <c r="E210">
        <f>RTD("tos.rtd", , "VOLUME", ".SPY150515C219.5")</f>
        <v>89</v>
      </c>
      <c r="F210">
        <f>RTD("tos.rtd", , "OPEN_INT", ".SPY150515C219.5")</f>
        <v>993</v>
      </c>
      <c r="G210">
        <f>RTD("tos.rtd", , "DELTA", ".SPY150515C219.5")</f>
        <v>1.2500000000000001E-2</v>
      </c>
      <c r="H210">
        <f>RTD("tos.rtd", , "THETA", ".SPY150515C219.5")</f>
        <v>-5.0400000000000002E-3</v>
      </c>
      <c r="I210">
        <f>RTD("tos.rtd", , "GAMMA", ".SPY150515C219.5")</f>
        <v>9.0799999999999995E-3</v>
      </c>
      <c r="J210">
        <f>RTD("tos.rtd", , "VEGA", ".SPY150515C219.5")</f>
        <v>1.2710000000000001E-2</v>
      </c>
      <c r="K210">
        <f>RTD("tos.rtd", , "RHO", ".SPY150515C219.5")</f>
        <v>8.5999999999999998E-4</v>
      </c>
      <c r="L210">
        <f>RTD("tos.rtd", , "ASK", ".SPY150515P219.5")</f>
        <v>8.2100000000000009</v>
      </c>
      <c r="M210">
        <f>RTD("tos.rtd", , "ASK_SIZE", ".SPY150515P219.5")</f>
        <v>250</v>
      </c>
      <c r="N210">
        <f>RTD("tos.rtd", , "BID", ".SPY150515P219.5")</f>
        <v>7.9</v>
      </c>
      <c r="O210">
        <f>RTD("tos.rtd", , "BID_SIZE", ".SPY150515P219.5")</f>
        <v>250</v>
      </c>
      <c r="P210">
        <f>RTD("tos.rtd", , "VOLUME", ".SPY150515P219.5")</f>
        <v>10</v>
      </c>
      <c r="Q210">
        <f>RTD("tos.rtd", , "OPEN_INT", ".SPY150515P219.5")</f>
        <v>21</v>
      </c>
      <c r="R210">
        <f>RTD("tos.rtd", , "DELTA", ".SPY150515P219.5")</f>
        <v>-0.99941999999999998</v>
      </c>
      <c r="S210">
        <f>RTD("tos.rtd", , "THETA", ".SPY150515P219.5")</f>
        <v>-8.6899999999999998E-3</v>
      </c>
      <c r="T210">
        <f>RTD("tos.rtd", , "GAMMA", ".SPY150515P219.5")</f>
        <v>0</v>
      </c>
      <c r="U210">
        <f>RTD("tos.rtd", , "VEGA", ".SPY150515P219.5")</f>
        <v>0</v>
      </c>
      <c r="V210">
        <f>RTD("tos.rtd", , "RHO", ".SPY150515P219.5")</f>
        <v>-7.2109999999999994E-2</v>
      </c>
    </row>
    <row r="211" spans="1:22" x14ac:dyDescent="0.25">
      <c r="A211" t="s">
        <v>5</v>
      </c>
      <c r="B211">
        <v>40</v>
      </c>
    </row>
    <row r="212" spans="1:22" x14ac:dyDescent="0.25">
      <c r="A212">
        <f>RTD("tos.rtd", ,"LAST", "SPY")</f>
        <v>211.32</v>
      </c>
    </row>
    <row r="213" spans="1:22" x14ac:dyDescent="0.25">
      <c r="A213">
        <f>RTD("tos.rtd", , "ASK", ".SPY150522C200")</f>
        <v>11.81</v>
      </c>
      <c r="B213">
        <f>RTD("tos.rtd", , "ASK_SIZE", ".SPY150522C200")</f>
        <v>121</v>
      </c>
      <c r="C213">
        <f>RTD("tos.rtd", , "BID", ".SPY150522C200")</f>
        <v>11.56</v>
      </c>
      <c r="D213">
        <f>RTD("tos.rtd", , "BID_SIZE", ".SPY150522C200")</f>
        <v>111</v>
      </c>
      <c r="E213">
        <f>RTD("tos.rtd", , "VOLUME", ".SPY150522C200")</f>
        <v>0</v>
      </c>
      <c r="F213">
        <f>RTD("tos.rtd", , "OPEN_INT", ".SPY150522C200")</f>
        <v>30</v>
      </c>
      <c r="G213">
        <f>RTD("tos.rtd", , "DELTA", ".SPY150522C200")</f>
        <v>0.91822999999999999</v>
      </c>
      <c r="H213">
        <f>RTD("tos.rtd", , "THETA", ".SPY150522C200")</f>
        <v>-2.9420000000000002E-2</v>
      </c>
      <c r="I213">
        <f>RTD("tos.rtd", , "GAMMA", ".SPY150522C200")</f>
        <v>1.779E-2</v>
      </c>
      <c r="J213">
        <f>RTD("tos.rtd", , "VEGA", ".SPY150522C200")</f>
        <v>7.1429999999999993E-2</v>
      </c>
      <c r="K213">
        <f>RTD("tos.rtd", , "RHO", ".SPY150522C200")</f>
        <v>5.203E-2</v>
      </c>
      <c r="L213">
        <f>RTD("tos.rtd", , "ASK", ".SPY150522P200")</f>
        <v>0.22</v>
      </c>
      <c r="M213">
        <f>RTD("tos.rtd", , "ASK_SIZE", ".SPY150522P200")</f>
        <v>488</v>
      </c>
      <c r="N213">
        <f>RTD("tos.rtd", , "BID", ".SPY150522P200")</f>
        <v>0.2</v>
      </c>
      <c r="O213">
        <f>RTD("tos.rtd", , "BID_SIZE", ".SPY150522P200")</f>
        <v>483</v>
      </c>
      <c r="P213">
        <f>RTD("tos.rtd", , "VOLUME", ".SPY150522P200")</f>
        <v>391</v>
      </c>
      <c r="Q213">
        <f>RTD("tos.rtd", , "OPEN_INT", ".SPY150522P200")</f>
        <v>5021</v>
      </c>
      <c r="R213">
        <f>RTD("tos.rtd", , "DELTA", ".SPY150522P200")</f>
        <v>-6.2359999999999999E-2</v>
      </c>
      <c r="S213">
        <f>RTD("tos.rtd", , "THETA", ".SPY150522P200")</f>
        <v>-2.5770000000000001E-2</v>
      </c>
      <c r="T213">
        <f>RTD("tos.rtd", , "GAMMA", ".SPY150522P200")</f>
        <v>1.6039999999999999E-2</v>
      </c>
      <c r="U213">
        <f>RTD("tos.rtd", , "VEGA", ".SPY150522P200")</f>
        <v>5.9679999999999997E-2</v>
      </c>
      <c r="V213">
        <f>RTD("tos.rtd", , "RHO", ".SPY150522P200")</f>
        <v>-6.9699999999999996E-3</v>
      </c>
    </row>
    <row r="214" spans="1:22" x14ac:dyDescent="0.25">
      <c r="A214">
        <f>RTD("tos.rtd", , "ASK", ".SPY150522C200.5")</f>
        <v>11.33</v>
      </c>
      <c r="B214">
        <f>RTD("tos.rtd", , "ASK_SIZE", ".SPY150522C200.5")</f>
        <v>121</v>
      </c>
      <c r="C214">
        <f>RTD("tos.rtd", , "BID", ".SPY150522C200.5")</f>
        <v>11.08</v>
      </c>
      <c r="D214">
        <f>RTD("tos.rtd", , "BID_SIZE", ".SPY150522C200.5")</f>
        <v>111</v>
      </c>
      <c r="E214" t="str">
        <f>RTD("tos.rtd", , "VOLUME", ".SPY150522C200.5")</f>
        <v>N/A</v>
      </c>
      <c r="F214">
        <f>RTD("tos.rtd", , "OPEN_INT", ".SPY150522C200.5")</f>
        <v>0</v>
      </c>
      <c r="G214">
        <f>RTD("tos.rtd", , "DELTA", ".SPY150522C200.5")</f>
        <v>0.91276999999999997</v>
      </c>
      <c r="H214">
        <f>RTD("tos.rtd", , "THETA", ".SPY150522C200.5")</f>
        <v>-3.0370000000000001E-2</v>
      </c>
      <c r="I214">
        <f>RTD("tos.rtd", , "GAMMA", ".SPY150522C200.5")</f>
        <v>1.9259999999999999E-2</v>
      </c>
      <c r="J214">
        <f>RTD("tos.rtd", , "VEGA", ".SPY150522C200.5")</f>
        <v>7.5230000000000005E-2</v>
      </c>
      <c r="K214">
        <f>RTD("tos.rtd", , "RHO", ".SPY150522C200.5")</f>
        <v>5.4039999999999998E-2</v>
      </c>
      <c r="L214">
        <f>RTD("tos.rtd", , "ASK", ".SPY150522P200.5")</f>
        <v>0.24</v>
      </c>
      <c r="M214">
        <f>RTD("tos.rtd", , "ASK_SIZE", ".SPY150522P200.5")</f>
        <v>455</v>
      </c>
      <c r="N214">
        <f>RTD("tos.rtd", , "BID", ".SPY150522P200.5")</f>
        <v>0.22</v>
      </c>
      <c r="O214">
        <f>RTD("tos.rtd", , "BID_SIZE", ".SPY150522P200.5")</f>
        <v>199</v>
      </c>
      <c r="P214">
        <f>RTD("tos.rtd", , "VOLUME", ".SPY150522P200.5")</f>
        <v>11</v>
      </c>
      <c r="Q214">
        <f>RTD("tos.rtd", , "OPEN_INT", ".SPY150522P200.5")</f>
        <v>534</v>
      </c>
      <c r="R214">
        <f>RTD("tos.rtd", , "DELTA", ".SPY150522P200.5")</f>
        <v>-6.8260000000000001E-2</v>
      </c>
      <c r="S214">
        <f>RTD("tos.rtd", , "THETA", ".SPY150522P200.5")</f>
        <v>-2.7189999999999999E-2</v>
      </c>
      <c r="T214">
        <f>RTD("tos.rtd", , "GAMMA", ".SPY150522P200.5")</f>
        <v>1.7469999999999999E-2</v>
      </c>
      <c r="U214">
        <f>RTD("tos.rtd", , "VEGA", ".SPY150522P200.5")</f>
        <v>6.4000000000000001E-2</v>
      </c>
      <c r="V214">
        <f>RTD("tos.rtd", , "RHO", ".SPY150522P200.5")</f>
        <v>-7.6299999999999996E-3</v>
      </c>
    </row>
    <row r="215" spans="1:22" x14ac:dyDescent="0.25">
      <c r="A215">
        <f>RTD("tos.rtd", , "ASK", ".SPY150522C201")</f>
        <v>10.84</v>
      </c>
      <c r="B215">
        <f>RTD("tos.rtd", , "ASK_SIZE", ".SPY150522C201")</f>
        <v>111</v>
      </c>
      <c r="C215">
        <f>RTD("tos.rtd", , "BID", ".SPY150522C201")</f>
        <v>10.6</v>
      </c>
      <c r="D215">
        <f>RTD("tos.rtd", , "BID_SIZE", ".SPY150522C201")</f>
        <v>111</v>
      </c>
      <c r="E215">
        <f>RTD("tos.rtd", , "VOLUME", ".SPY150522C201")</f>
        <v>2</v>
      </c>
      <c r="F215">
        <f>RTD("tos.rtd", , "OPEN_INT", ".SPY150522C201")</f>
        <v>37</v>
      </c>
      <c r="G215">
        <f>RTD("tos.rtd", , "DELTA", ".SPY150522C201")</f>
        <v>0.90786999999999995</v>
      </c>
      <c r="H215">
        <f>RTD("tos.rtd", , "THETA", ".SPY150522C201")</f>
        <v>-3.0880000000000001E-2</v>
      </c>
      <c r="I215">
        <f>RTD("tos.rtd", , "GAMMA", ".SPY150522C201")</f>
        <v>2.0760000000000001E-2</v>
      </c>
      <c r="J215">
        <f>RTD("tos.rtd", , "VEGA", ".SPY150522C201")</f>
        <v>7.8539999999999999E-2</v>
      </c>
      <c r="K215">
        <f>RTD("tos.rtd", , "RHO", ".SPY150522C201")</f>
        <v>5.5640000000000002E-2</v>
      </c>
      <c r="L215">
        <f>RTD("tos.rtd", , "ASK", ".SPY150522P201")</f>
        <v>0.26</v>
      </c>
      <c r="M215">
        <f>RTD("tos.rtd", , "ASK_SIZE", ".SPY150522P201")</f>
        <v>425</v>
      </c>
      <c r="N215">
        <f>RTD("tos.rtd", , "BID", ".SPY150522P201")</f>
        <v>0.24</v>
      </c>
      <c r="O215">
        <f>RTD("tos.rtd", , "BID_SIZE", ".SPY150522P201")</f>
        <v>423</v>
      </c>
      <c r="P215">
        <f>RTD("tos.rtd", , "VOLUME", ".SPY150522P201")</f>
        <v>37</v>
      </c>
      <c r="Q215">
        <f>RTD("tos.rtd", , "OPEN_INT", ".SPY150522P201")</f>
        <v>2572</v>
      </c>
      <c r="R215">
        <f>RTD("tos.rtd", , "DELTA", ".SPY150522P201")</f>
        <v>-7.4370000000000006E-2</v>
      </c>
      <c r="S215">
        <f>RTD("tos.rtd", , "THETA", ".SPY150522P201")</f>
        <v>-2.8500000000000001E-2</v>
      </c>
      <c r="T215">
        <f>RTD("tos.rtd", , "GAMMA", ".SPY150522P201")</f>
        <v>1.9E-2</v>
      </c>
      <c r="U215">
        <f>RTD("tos.rtd", , "VEGA", ".SPY150522P201")</f>
        <v>6.8330000000000002E-2</v>
      </c>
      <c r="V215">
        <f>RTD("tos.rtd", , "RHO", ".SPY150522P201")</f>
        <v>-8.3099999999999997E-3</v>
      </c>
    </row>
    <row r="216" spans="1:22" x14ac:dyDescent="0.25">
      <c r="A216">
        <f>RTD("tos.rtd", , "ASK", ".SPY150522C201.5")</f>
        <v>10.37</v>
      </c>
      <c r="B216">
        <f>RTD("tos.rtd", , "ASK_SIZE", ".SPY150522C201.5")</f>
        <v>111</v>
      </c>
      <c r="C216">
        <f>RTD("tos.rtd", , "BID", ".SPY150522C201.5")</f>
        <v>10.130000000000001</v>
      </c>
      <c r="D216">
        <f>RTD("tos.rtd", , "BID_SIZE", ".SPY150522C201.5")</f>
        <v>111</v>
      </c>
      <c r="E216">
        <f>RTD("tos.rtd", , "VOLUME", ".SPY150522C201.5")</f>
        <v>9</v>
      </c>
      <c r="F216">
        <f>RTD("tos.rtd", , "OPEN_INT", ".SPY150522C201.5")</f>
        <v>2</v>
      </c>
      <c r="G216">
        <f>RTD("tos.rtd", , "DELTA", ".SPY150522C201.5")</f>
        <v>0.90010000000000001</v>
      </c>
      <c r="H216">
        <f>RTD("tos.rtd", , "THETA", ".SPY150522C201.5")</f>
        <v>-3.2399999999999998E-2</v>
      </c>
      <c r="I216">
        <f>RTD("tos.rtd", , "GAMMA", ".SPY150522C201.5")</f>
        <v>2.2519999999999998E-2</v>
      </c>
      <c r="J216">
        <f>RTD("tos.rtd", , "VEGA", ".SPY150522C201.5")</f>
        <v>8.3589999999999998E-2</v>
      </c>
      <c r="K216">
        <f>RTD("tos.rtd", , "RHO", ".SPY150522C201.5")</f>
        <v>5.7790000000000001E-2</v>
      </c>
      <c r="L216">
        <f>RTD("tos.rtd", , "ASK", ".SPY150522P201.5")</f>
        <v>0.28999999999999998</v>
      </c>
      <c r="M216">
        <f>RTD("tos.rtd", , "ASK_SIZE", ".SPY150522P201.5")</f>
        <v>396</v>
      </c>
      <c r="N216">
        <f>RTD("tos.rtd", , "BID", ".SPY150522P201.5")</f>
        <v>0.26</v>
      </c>
      <c r="O216">
        <f>RTD("tos.rtd", , "BID_SIZE", ".SPY150522P201.5")</f>
        <v>2412</v>
      </c>
      <c r="P216">
        <f>RTD("tos.rtd", , "VOLUME", ".SPY150522P201.5")</f>
        <v>173</v>
      </c>
      <c r="Q216">
        <f>RTD("tos.rtd", , "OPEN_INT", ".SPY150522P201.5")</f>
        <v>782</v>
      </c>
      <c r="R216">
        <f>RTD("tos.rtd", , "DELTA", ".SPY150522P201.5")</f>
        <v>-8.1640000000000004E-2</v>
      </c>
      <c r="S216">
        <f>RTD("tos.rtd", , "THETA", ".SPY150522P201.5")</f>
        <v>-3.0089999999999999E-2</v>
      </c>
      <c r="T216">
        <f>RTD("tos.rtd", , "GAMMA", ".SPY150522P201.5")</f>
        <v>2.0709999999999999E-2</v>
      </c>
      <c r="U216">
        <f>RTD("tos.rtd", , "VEGA", ".SPY150522P201.5")</f>
        <v>7.3319999999999996E-2</v>
      </c>
      <c r="V216">
        <f>RTD("tos.rtd", , "RHO", ".SPY150522P201.5")</f>
        <v>-9.1199999999999996E-3</v>
      </c>
    </row>
    <row r="217" spans="1:22" x14ac:dyDescent="0.25">
      <c r="A217">
        <f>RTD("tos.rtd", , "ASK", ".SPY150522C202")</f>
        <v>9.9</v>
      </c>
      <c r="B217">
        <f>RTD("tos.rtd", , "ASK_SIZE", ".SPY150522C202")</f>
        <v>111</v>
      </c>
      <c r="C217">
        <f>RTD("tos.rtd", , "BID", ".SPY150522C202")</f>
        <v>9.66</v>
      </c>
      <c r="D217">
        <f>RTD("tos.rtd", , "BID_SIZE", ".SPY150522C202")</f>
        <v>111</v>
      </c>
      <c r="E217">
        <f>RTD("tos.rtd", , "VOLUME", ".SPY150522C202")</f>
        <v>12</v>
      </c>
      <c r="F217">
        <f>RTD("tos.rtd", , "OPEN_INT", ".SPY150522C202")</f>
        <v>24</v>
      </c>
      <c r="G217">
        <f>RTD("tos.rtd", , "DELTA", ".SPY150522C202")</f>
        <v>0.89202999999999999</v>
      </c>
      <c r="H217">
        <f>RTD("tos.rtd", , "THETA", ".SPY150522C202")</f>
        <v>-3.3790000000000001E-2</v>
      </c>
      <c r="I217">
        <f>RTD("tos.rtd", , "GAMMA", ".SPY150522C202")</f>
        <v>2.435E-2</v>
      </c>
      <c r="J217">
        <f>RTD("tos.rtd", , "VEGA", ".SPY150522C202")</f>
        <v>8.8639999999999997E-2</v>
      </c>
      <c r="K217">
        <f>RTD("tos.rtd", , "RHO", ".SPY150522C202")</f>
        <v>5.9679999999999997E-2</v>
      </c>
      <c r="L217">
        <f>RTD("tos.rtd", , "ASK", ".SPY150522P202")</f>
        <v>0.32</v>
      </c>
      <c r="M217">
        <f>RTD("tos.rtd", , "ASK_SIZE", ".SPY150522P202")</f>
        <v>369</v>
      </c>
      <c r="N217">
        <f>RTD("tos.rtd", , "BID", ".SPY150522P202")</f>
        <v>0.3</v>
      </c>
      <c r="O217">
        <f>RTD("tos.rtd", , "BID_SIZE", ".SPY150522P202")</f>
        <v>99</v>
      </c>
      <c r="P217">
        <f>RTD("tos.rtd", , "VOLUME", ".SPY150522P202")</f>
        <v>203</v>
      </c>
      <c r="Q217">
        <f>RTD("tos.rtd", , "OPEN_INT", ".SPY150522P202")</f>
        <v>1672</v>
      </c>
      <c r="R217">
        <f>RTD("tos.rtd", , "DELTA", ".SPY150522P202")</f>
        <v>-9.0870000000000006E-2</v>
      </c>
      <c r="S217">
        <f>RTD("tos.rtd", , "THETA", ".SPY150522P202")</f>
        <v>-3.2230000000000002E-2</v>
      </c>
      <c r="T217">
        <f>RTD("tos.rtd", , "GAMMA", ".SPY150522P202")</f>
        <v>2.266E-2</v>
      </c>
      <c r="U217">
        <f>RTD("tos.rtd", , "VEGA", ".SPY150522P202")</f>
        <v>7.9390000000000002E-2</v>
      </c>
      <c r="V217">
        <f>RTD("tos.rtd", , "RHO", ".SPY150522P202")</f>
        <v>-1.0149999999999999E-2</v>
      </c>
    </row>
    <row r="218" spans="1:22" x14ac:dyDescent="0.25">
      <c r="A218">
        <f>RTD("tos.rtd", , "ASK", ".SPY150522C202.5")</f>
        <v>9.41</v>
      </c>
      <c r="B218">
        <f>RTD("tos.rtd", , "ASK_SIZE", ".SPY150522C202.5")</f>
        <v>199</v>
      </c>
      <c r="C218">
        <f>RTD("tos.rtd", , "BID", ".SPY150522C202.5")</f>
        <v>9.19</v>
      </c>
      <c r="D218">
        <f>RTD("tos.rtd", , "BID_SIZE", ".SPY150522C202.5")</f>
        <v>199</v>
      </c>
      <c r="E218">
        <f>RTD("tos.rtd", , "VOLUME", ".SPY150522C202.5")</f>
        <v>25</v>
      </c>
      <c r="F218">
        <f>RTD("tos.rtd", , "OPEN_INT", ".SPY150522C202.5")</f>
        <v>11</v>
      </c>
      <c r="G218">
        <f>RTD("tos.rtd", , "DELTA", ".SPY150522C202.5")</f>
        <v>0.88522999999999996</v>
      </c>
      <c r="H218">
        <f>RTD("tos.rtd", , "THETA", ".SPY150522C202.5")</f>
        <v>-3.4410000000000003E-2</v>
      </c>
      <c r="I218">
        <f>RTD("tos.rtd", , "GAMMA", ".SPY150522C202.5")</f>
        <v>2.623E-2</v>
      </c>
      <c r="J218">
        <f>RTD("tos.rtd", , "VEGA", ".SPY150522C202.5")</f>
        <v>9.2740000000000003E-2</v>
      </c>
      <c r="K218">
        <f>RTD("tos.rtd", , "RHO", ".SPY150522C202.5")</f>
        <v>6.1030000000000001E-2</v>
      </c>
      <c r="L218">
        <f>RTD("tos.rtd", , "ASK", ".SPY150522P202.5")</f>
        <v>0.35</v>
      </c>
      <c r="M218">
        <f>RTD("tos.rtd", , "ASK_SIZE", ".SPY150522P202.5")</f>
        <v>344</v>
      </c>
      <c r="N218">
        <f>RTD("tos.rtd", , "BID", ".SPY150522P202.5")</f>
        <v>0.33</v>
      </c>
      <c r="O218">
        <f>RTD("tos.rtd", , "BID_SIZE", ".SPY150522P202.5")</f>
        <v>160</v>
      </c>
      <c r="P218">
        <f>RTD("tos.rtd", , "VOLUME", ".SPY150522P202.5")</f>
        <v>53</v>
      </c>
      <c r="Q218">
        <f>RTD("tos.rtd", , "OPEN_INT", ".SPY150522P202.5")</f>
        <v>825</v>
      </c>
      <c r="R218">
        <f>RTD("tos.rtd", , "DELTA", ".SPY150522P202.5")</f>
        <v>-9.9709999999999993E-2</v>
      </c>
      <c r="S218">
        <f>RTD("tos.rtd", , "THETA", ".SPY150522P202.5")</f>
        <v>-3.3930000000000002E-2</v>
      </c>
      <c r="T218">
        <f>RTD("tos.rtd", , "GAMMA", ".SPY150522P202.5")</f>
        <v>2.4660000000000001E-2</v>
      </c>
      <c r="U218">
        <f>RTD("tos.rtd", , "VEGA", ".SPY150522P202.5")</f>
        <v>8.498E-2</v>
      </c>
      <c r="V218">
        <f>RTD("tos.rtd", , "RHO", ".SPY150522P202.5")</f>
        <v>-1.1140000000000001E-2</v>
      </c>
    </row>
    <row r="219" spans="1:22" x14ac:dyDescent="0.25">
      <c r="A219">
        <f>RTD("tos.rtd", , "ASK", ".SPY150522C203")</f>
        <v>8.9600000000000009</v>
      </c>
      <c r="B219">
        <f>RTD("tos.rtd", , "ASK_SIZE", ".SPY150522C203")</f>
        <v>200</v>
      </c>
      <c r="C219">
        <f>RTD("tos.rtd", , "BID", ".SPY150522C203")</f>
        <v>8.73</v>
      </c>
      <c r="D219">
        <f>RTD("tos.rtd", , "BID_SIZE", ".SPY150522C203")</f>
        <v>199</v>
      </c>
      <c r="E219">
        <f>RTD("tos.rtd", , "VOLUME", ".SPY150522C203")</f>
        <v>3</v>
      </c>
      <c r="F219">
        <f>RTD("tos.rtd", , "OPEN_INT", ".SPY150522C203")</f>
        <v>58</v>
      </c>
      <c r="G219">
        <f>RTD("tos.rtd", , "DELTA", ".SPY150522C203")</f>
        <v>0.87400999999999995</v>
      </c>
      <c r="H219">
        <f>RTD("tos.rtd", , "THETA", ".SPY150522C203")</f>
        <v>-3.6470000000000002E-2</v>
      </c>
      <c r="I219">
        <f>RTD("tos.rtd", , "GAMMA", ".SPY150522C203")</f>
        <v>2.8340000000000001E-2</v>
      </c>
      <c r="J219">
        <f>RTD("tos.rtd", , "VEGA", ".SPY150522C203")</f>
        <v>9.9210000000000007E-2</v>
      </c>
      <c r="K219">
        <f>RTD("tos.rtd", , "RHO", ".SPY150522C203")</f>
        <v>6.2890000000000001E-2</v>
      </c>
      <c r="L219">
        <f>RTD("tos.rtd", , "ASK", ".SPY150522P203")</f>
        <v>0.39</v>
      </c>
      <c r="M219">
        <f>RTD("tos.rtd", , "ASK_SIZE", ".SPY150522P203")</f>
        <v>321</v>
      </c>
      <c r="N219">
        <f>RTD("tos.rtd", , "BID", ".SPY150522P203")</f>
        <v>0.36</v>
      </c>
      <c r="O219">
        <f>RTD("tos.rtd", , "BID_SIZE", ".SPY150522P203")</f>
        <v>210</v>
      </c>
      <c r="P219">
        <f>RTD("tos.rtd", , "VOLUME", ".SPY150522P203")</f>
        <v>53</v>
      </c>
      <c r="Q219">
        <f>RTD("tos.rtd", , "OPEN_INT", ".SPY150522P203")</f>
        <v>1214</v>
      </c>
      <c r="R219">
        <f>RTD("tos.rtd", , "DELTA", ".SPY150522P203")</f>
        <v>-0.10954999999999999</v>
      </c>
      <c r="S219">
        <f>RTD("tos.rtd", , "THETA", ".SPY150522P203")</f>
        <v>-3.5720000000000002E-2</v>
      </c>
      <c r="T219">
        <f>RTD("tos.rtd", , "GAMMA", ".SPY150522P203")</f>
        <v>2.683E-2</v>
      </c>
      <c r="U219">
        <f>RTD("tos.rtd", , "VEGA", ".SPY150522P203")</f>
        <v>9.0939999999999993E-2</v>
      </c>
      <c r="V219">
        <f>RTD("tos.rtd", , "RHO", ".SPY150522P203")</f>
        <v>-1.2239999999999999E-2</v>
      </c>
    </row>
    <row r="220" spans="1:22" x14ac:dyDescent="0.25">
      <c r="A220">
        <f>RTD("tos.rtd", , "ASK", ".SPY150522C203.5")</f>
        <v>8.49</v>
      </c>
      <c r="B220">
        <f>RTD("tos.rtd", , "ASK_SIZE", ".SPY150522C203.5")</f>
        <v>140</v>
      </c>
      <c r="C220">
        <f>RTD("tos.rtd", , "BID", ".SPY150522C203.5")</f>
        <v>8.27</v>
      </c>
      <c r="D220">
        <f>RTD("tos.rtd", , "BID_SIZE", ".SPY150522C203.5")</f>
        <v>140</v>
      </c>
      <c r="E220">
        <f>RTD("tos.rtd", , "VOLUME", ".SPY150522C203.5")</f>
        <v>26</v>
      </c>
      <c r="F220">
        <f>RTD("tos.rtd", , "OPEN_INT", ".SPY150522C203.5")</f>
        <v>58</v>
      </c>
      <c r="G220">
        <f>RTD("tos.rtd", , "DELTA", ".SPY150522C203.5")</f>
        <v>0.86400999999999994</v>
      </c>
      <c r="H220">
        <f>RTD("tos.rtd", , "THETA", ".SPY150522C203.5")</f>
        <v>-3.7719999999999997E-2</v>
      </c>
      <c r="I220">
        <f>RTD("tos.rtd", , "GAMMA", ".SPY150522C203.5")</f>
        <v>3.0530000000000002E-2</v>
      </c>
      <c r="J220">
        <f>RTD("tos.rtd", , "VEGA", ".SPY150522C203.5")</f>
        <v>0.10471</v>
      </c>
      <c r="K220">
        <f>RTD("tos.rtd", , "RHO", ".SPY150522C203.5")</f>
        <v>6.4199999999999993E-2</v>
      </c>
      <c r="L220">
        <f>RTD("tos.rtd", , "ASK", ".SPY150522P203.5")</f>
        <v>0.42</v>
      </c>
      <c r="M220">
        <f>RTD("tos.rtd", , "ASK_SIZE", ".SPY150522P203.5")</f>
        <v>300</v>
      </c>
      <c r="N220">
        <f>RTD("tos.rtd", , "BID", ".SPY150522P203.5")</f>
        <v>0.4</v>
      </c>
      <c r="O220">
        <f>RTD("tos.rtd", , "BID_SIZE", ".SPY150522P203.5")</f>
        <v>200</v>
      </c>
      <c r="P220">
        <f>RTD("tos.rtd", , "VOLUME", ".SPY150522P203.5")</f>
        <v>21</v>
      </c>
      <c r="Q220">
        <f>RTD("tos.rtd", , "OPEN_INT", ".SPY150522P203.5")</f>
        <v>1676</v>
      </c>
      <c r="R220">
        <f>RTD("tos.rtd", , "DELTA", ".SPY150522P203.5")</f>
        <v>-0.1197</v>
      </c>
      <c r="S220">
        <f>RTD("tos.rtd", , "THETA", ".SPY150522P203.5")</f>
        <v>-3.73E-2</v>
      </c>
      <c r="T220">
        <f>RTD("tos.rtd", , "GAMMA", ".SPY150522P203.5")</f>
        <v>2.9139999999999999E-2</v>
      </c>
      <c r="U220">
        <f>RTD("tos.rtd", , "VEGA", ".SPY150522P203.5")</f>
        <v>9.6820000000000003E-2</v>
      </c>
      <c r="V220">
        <f>RTD("tos.rtd", , "RHO", ".SPY150522P203.5")</f>
        <v>-1.338E-2</v>
      </c>
    </row>
    <row r="221" spans="1:22" x14ac:dyDescent="0.25">
      <c r="A221">
        <f>RTD("tos.rtd", , "ASK", ".SPY150522C204")</f>
        <v>8.0399999999999991</v>
      </c>
      <c r="B221">
        <f>RTD("tos.rtd", , "ASK_SIZE", ".SPY150522C204")</f>
        <v>161</v>
      </c>
      <c r="C221">
        <f>RTD("tos.rtd", , "BID", ".SPY150522C204")</f>
        <v>7.83</v>
      </c>
      <c r="D221">
        <f>RTD("tos.rtd", , "BID_SIZE", ".SPY150522C204")</f>
        <v>140</v>
      </c>
      <c r="E221">
        <f>RTD("tos.rtd", , "VOLUME", ".SPY150522C204")</f>
        <v>4</v>
      </c>
      <c r="F221">
        <f>RTD("tos.rtd", , "OPEN_INT", ".SPY150522C204")</f>
        <v>6</v>
      </c>
      <c r="G221">
        <f>RTD("tos.rtd", , "DELTA", ".SPY150522C204")</f>
        <v>0.85058999999999996</v>
      </c>
      <c r="H221">
        <f>RTD("tos.rtd", , "THETA", ".SPY150522C204")</f>
        <v>-3.9899999999999998E-2</v>
      </c>
      <c r="I221">
        <f>RTD("tos.rtd", , "GAMMA", ".SPY150522C204")</f>
        <v>3.2840000000000001E-2</v>
      </c>
      <c r="J221">
        <f>RTD("tos.rtd", , "VEGA", ".SPY150522C204")</f>
        <v>0.11171</v>
      </c>
      <c r="K221">
        <f>RTD("tos.rtd", , "RHO", ".SPY150522C204")</f>
        <v>6.5600000000000006E-2</v>
      </c>
      <c r="L221">
        <f>RTD("tos.rtd", , "ASK", ".SPY150522P204")</f>
        <v>0.47</v>
      </c>
      <c r="M221">
        <f>RTD("tos.rtd", , "ASK_SIZE", ".SPY150522P204")</f>
        <v>281</v>
      </c>
      <c r="N221">
        <f>RTD("tos.rtd", , "BID", ".SPY150522P204")</f>
        <v>0.45</v>
      </c>
      <c r="O221">
        <f>RTD("tos.rtd", , "BID_SIZE", ".SPY150522P204")</f>
        <v>111</v>
      </c>
      <c r="P221">
        <f>RTD("tos.rtd", , "VOLUME", ".SPY150522P204")</f>
        <v>319</v>
      </c>
      <c r="Q221">
        <f>RTD("tos.rtd", , "OPEN_INT", ".SPY150522P204")</f>
        <v>1541</v>
      </c>
      <c r="R221">
        <f>RTD("tos.rtd", , "DELTA", ".SPY150522P204")</f>
        <v>-0.13275999999999999</v>
      </c>
      <c r="S221">
        <f>RTD("tos.rtd", , "THETA", ".SPY150522P204")</f>
        <v>-3.9600000000000003E-2</v>
      </c>
      <c r="T221">
        <f>RTD("tos.rtd", , "GAMMA", ".SPY150522P204")</f>
        <v>3.168E-2</v>
      </c>
      <c r="U221">
        <f>RTD("tos.rtd", , "VEGA", ".SPY150522P204")</f>
        <v>0.10401000000000001</v>
      </c>
      <c r="V221">
        <f>RTD("tos.rtd", , "RHO", ".SPY150522P204")</f>
        <v>-1.4840000000000001E-2</v>
      </c>
    </row>
    <row r="222" spans="1:22" x14ac:dyDescent="0.25">
      <c r="A222">
        <f>RTD("tos.rtd", , "ASK", ".SPY150522C204.5")</f>
        <v>7.58</v>
      </c>
      <c r="B222">
        <f>RTD("tos.rtd", , "ASK_SIZE", ".SPY150522C204.5")</f>
        <v>199</v>
      </c>
      <c r="C222">
        <f>RTD("tos.rtd", , "BID", ".SPY150522C204.5")</f>
        <v>7.37</v>
      </c>
      <c r="D222">
        <f>RTD("tos.rtd", , "BID_SIZE", ".SPY150522C204.5")</f>
        <v>199</v>
      </c>
      <c r="E222">
        <f>RTD("tos.rtd", , "VOLUME", ".SPY150522C204.5")</f>
        <v>3</v>
      </c>
      <c r="F222">
        <f>RTD("tos.rtd", , "OPEN_INT", ".SPY150522C204.5")</f>
        <v>25</v>
      </c>
      <c r="G222">
        <f>RTD("tos.rtd", , "DELTA", ".SPY150522C204.5")</f>
        <v>0.83887</v>
      </c>
      <c r="H222">
        <f>RTD("tos.rtd", , "THETA", ".SPY150522C204.5")</f>
        <v>-4.1029999999999997E-2</v>
      </c>
      <c r="I222">
        <f>RTD("tos.rtd", , "GAMMA", ".SPY150522C204.5")</f>
        <v>3.5290000000000002E-2</v>
      </c>
      <c r="J222">
        <f>RTD("tos.rtd", , "VEGA", ".SPY150522C204.5")</f>
        <v>0.11749999999999999</v>
      </c>
      <c r="K222">
        <f>RTD("tos.rtd", , "RHO", ".SPY150522C204.5")</f>
        <v>6.6489999999999994E-2</v>
      </c>
      <c r="L222">
        <f>RTD("tos.rtd", , "ASK", ".SPY150522P204.5")</f>
        <v>0.52</v>
      </c>
      <c r="M222">
        <f>RTD("tos.rtd", , "ASK_SIZE", ".SPY150522P204.5")</f>
        <v>264</v>
      </c>
      <c r="N222">
        <f>RTD("tos.rtd", , "BID", ".SPY150522P204.5")</f>
        <v>0.49</v>
      </c>
      <c r="O222">
        <f>RTD("tos.rtd", , "BID_SIZE", ".SPY150522P204.5")</f>
        <v>161</v>
      </c>
      <c r="P222">
        <f>RTD("tos.rtd", , "VOLUME", ".SPY150522P204.5")</f>
        <v>86</v>
      </c>
      <c r="Q222">
        <f>RTD("tos.rtd", , "OPEN_INT", ".SPY150522P204.5")</f>
        <v>1790</v>
      </c>
      <c r="R222">
        <f>RTD("tos.rtd", , "DELTA", ".SPY150522P204.5")</f>
        <v>-0.14548</v>
      </c>
      <c r="S222">
        <f>RTD("tos.rtd", , "THETA", ".SPY150522P204.5")</f>
        <v>-4.1360000000000001E-2</v>
      </c>
      <c r="T222">
        <f>RTD("tos.rtd", , "GAMMA", ".SPY150522P204.5")</f>
        <v>3.4360000000000002E-2</v>
      </c>
      <c r="U222">
        <f>RTD("tos.rtd", , "VEGA", ".SPY150522P204.5")</f>
        <v>0.11065</v>
      </c>
      <c r="V222">
        <f>RTD("tos.rtd", , "RHO", ".SPY150522P204.5")</f>
        <v>-1.626E-2</v>
      </c>
    </row>
    <row r="223" spans="1:22" x14ac:dyDescent="0.25">
      <c r="A223">
        <f>RTD("tos.rtd", , "ASK", ".SPY150522C205")</f>
        <v>7.11</v>
      </c>
      <c r="B223">
        <f>RTD("tos.rtd", , "ASK_SIZE", ".SPY150522C205")</f>
        <v>160</v>
      </c>
      <c r="C223">
        <f>RTD("tos.rtd", , "BID", ".SPY150522C205")</f>
        <v>6.92</v>
      </c>
      <c r="D223">
        <f>RTD("tos.rtd", , "BID_SIZE", ".SPY150522C205")</f>
        <v>199</v>
      </c>
      <c r="E223">
        <f>RTD("tos.rtd", , "VOLUME", ".SPY150522C205")</f>
        <v>3</v>
      </c>
      <c r="F223">
        <f>RTD("tos.rtd", , "OPEN_INT", ".SPY150522C205")</f>
        <v>187</v>
      </c>
      <c r="G223">
        <f>RTD("tos.rtd", , "DELTA", ".SPY150522C205")</f>
        <v>0.82662999999999998</v>
      </c>
      <c r="H223">
        <f>RTD("tos.rtd", , "THETA", ".SPY150522C205")</f>
        <v>-4.1930000000000002E-2</v>
      </c>
      <c r="I223">
        <f>RTD("tos.rtd", , "GAMMA", ".SPY150522C205")</f>
        <v>3.7949999999999998E-2</v>
      </c>
      <c r="J223">
        <f>RTD("tos.rtd", , "VEGA", ".SPY150522C205")</f>
        <v>0.12325</v>
      </c>
      <c r="K223">
        <f>RTD("tos.rtd", , "RHO", ".SPY150522C205")</f>
        <v>6.7159999999999997E-2</v>
      </c>
      <c r="L223">
        <f>RTD("tos.rtd", , "ASK", ".SPY150522P205")</f>
        <v>0.56999999999999995</v>
      </c>
      <c r="M223">
        <f>RTD("tos.rtd", , "ASK_SIZE", ".SPY150522P205")</f>
        <v>248</v>
      </c>
      <c r="N223">
        <f>RTD("tos.rtd", , "BID", ".SPY150522P205")</f>
        <v>0.54</v>
      </c>
      <c r="O223">
        <f>RTD("tos.rtd", , "BID_SIZE", ".SPY150522P205")</f>
        <v>2294</v>
      </c>
      <c r="P223">
        <f>RTD("tos.rtd", , "VOLUME", ".SPY150522P205")</f>
        <v>413</v>
      </c>
      <c r="Q223">
        <f>RTD("tos.rtd", , "OPEN_INT", ".SPY150522P205")</f>
        <v>2156</v>
      </c>
      <c r="R223">
        <f>RTD("tos.rtd", , "DELTA", ".SPY150522P205")</f>
        <v>-0.15939</v>
      </c>
      <c r="S223">
        <f>RTD("tos.rtd", , "THETA", ".SPY150522P205")</f>
        <v>-4.3099999999999999E-2</v>
      </c>
      <c r="T223">
        <f>RTD("tos.rtd", , "GAMMA", ".SPY150522P205")</f>
        <v>3.7220000000000003E-2</v>
      </c>
      <c r="U223">
        <f>RTD("tos.rtd", , "VEGA", ".SPY150522P205")</f>
        <v>0.11752</v>
      </c>
      <c r="V223">
        <f>RTD("tos.rtd", , "RHO", ".SPY150522P205")</f>
        <v>-1.7819999999999999E-2</v>
      </c>
    </row>
    <row r="224" spans="1:22" x14ac:dyDescent="0.25">
      <c r="A224">
        <f>RTD("tos.rtd", , "ASK", ".SPY150522C205.5")</f>
        <v>6.68</v>
      </c>
      <c r="B224">
        <f>RTD("tos.rtd", , "ASK_SIZE", ".SPY150522C205.5")</f>
        <v>199</v>
      </c>
      <c r="C224">
        <f>RTD("tos.rtd", , "BID", ".SPY150522C205.5")</f>
        <v>6.49</v>
      </c>
      <c r="D224">
        <f>RTD("tos.rtd", , "BID_SIZE", ".SPY150522C205.5")</f>
        <v>199</v>
      </c>
      <c r="E224">
        <f>RTD("tos.rtd", , "VOLUME", ".SPY150522C205.5")</f>
        <v>3</v>
      </c>
      <c r="F224">
        <f>RTD("tos.rtd", , "OPEN_INT", ".SPY150522C205.5")</f>
        <v>303</v>
      </c>
      <c r="G224">
        <f>RTD("tos.rtd", , "DELTA", ".SPY150522C205.5")</f>
        <v>0.80976999999999999</v>
      </c>
      <c r="H224">
        <f>RTD("tos.rtd", , "THETA", ".SPY150522C205.5")</f>
        <v>-4.4019999999999997E-2</v>
      </c>
      <c r="I224">
        <f>RTD("tos.rtd", , "GAMMA", ".SPY150522C205.5")</f>
        <v>4.0599999999999997E-2</v>
      </c>
      <c r="J224">
        <f>RTD("tos.rtd", , "VEGA", ".SPY150522C205.5")</f>
        <v>0.13067999999999999</v>
      </c>
      <c r="K224">
        <f>RTD("tos.rtd", , "RHO", ".SPY150522C205.5")</f>
        <v>6.7790000000000003E-2</v>
      </c>
      <c r="L224">
        <f>RTD("tos.rtd", , "ASK", ".SPY150522P205.5")</f>
        <v>0.63</v>
      </c>
      <c r="M224">
        <f>RTD("tos.rtd", , "ASK_SIZE", ".SPY150522P205.5")</f>
        <v>233</v>
      </c>
      <c r="N224">
        <f>RTD("tos.rtd", , "BID", ".SPY150522P205.5")</f>
        <v>0.61</v>
      </c>
      <c r="O224">
        <f>RTD("tos.rtd", , "BID_SIZE", ".SPY150522P205.5")</f>
        <v>111</v>
      </c>
      <c r="P224">
        <f>RTD("tos.rtd", , "VOLUME", ".SPY150522P205.5")</f>
        <v>19</v>
      </c>
      <c r="Q224">
        <f>RTD("tos.rtd", , "OPEN_INT", ".SPY150522P205.5")</f>
        <v>1453</v>
      </c>
      <c r="R224">
        <f>RTD("tos.rtd", , "DELTA", ".SPY150522P205.5")</f>
        <v>-0.17602000000000001</v>
      </c>
      <c r="S224">
        <f>RTD("tos.rtd", , "THETA", ".SPY150522P205.5")</f>
        <v>-4.53E-2</v>
      </c>
      <c r="T224">
        <f>RTD("tos.rtd", , "GAMMA", ".SPY150522P205.5")</f>
        <v>4.0239999999999998E-2</v>
      </c>
      <c r="U224">
        <f>RTD("tos.rtd", , "VEGA", ".SPY150522P205.5")</f>
        <v>0.12522</v>
      </c>
      <c r="V224">
        <f>RTD("tos.rtd", , "RHO", ".SPY150522P205.5")</f>
        <v>-1.968E-2</v>
      </c>
    </row>
    <row r="225" spans="1:22" x14ac:dyDescent="0.25">
      <c r="A225">
        <f>RTD("tos.rtd", , "ASK", ".SPY150522C206")</f>
        <v>6.25</v>
      </c>
      <c r="B225">
        <f>RTD("tos.rtd", , "ASK_SIZE", ".SPY150522C206")</f>
        <v>160</v>
      </c>
      <c r="C225">
        <f>RTD("tos.rtd", , "BID", ".SPY150522C206")</f>
        <v>6.05</v>
      </c>
      <c r="D225">
        <f>RTD("tos.rtd", , "BID_SIZE", ".SPY150522C206")</f>
        <v>199</v>
      </c>
      <c r="E225">
        <f>RTD("tos.rtd", , "VOLUME", ".SPY150522C206")</f>
        <v>6</v>
      </c>
      <c r="F225">
        <f>RTD("tos.rtd", , "OPEN_INT", ".SPY150522C206")</f>
        <v>311</v>
      </c>
      <c r="G225">
        <f>RTD("tos.rtd", , "DELTA", ".SPY150522C206")</f>
        <v>0.79303000000000001</v>
      </c>
      <c r="H225">
        <f>RTD("tos.rtd", , "THETA", ".SPY150522C206")</f>
        <v>-4.5519999999999998E-2</v>
      </c>
      <c r="I225">
        <f>RTD("tos.rtd", , "GAMMA", ".SPY150522C206")</f>
        <v>4.3439999999999999E-2</v>
      </c>
      <c r="J225">
        <f>RTD("tos.rtd", , "VEGA", ".SPY150522C206")</f>
        <v>0.13755000000000001</v>
      </c>
      <c r="K225">
        <f>RTD("tos.rtd", , "RHO", ".SPY150522C206")</f>
        <v>6.8070000000000006E-2</v>
      </c>
      <c r="L225">
        <f>RTD("tos.rtd", , "ASK", ".SPY150522P206")</f>
        <v>0.7</v>
      </c>
      <c r="M225">
        <f>RTD("tos.rtd", , "ASK_SIZE", ".SPY150522P206")</f>
        <v>219</v>
      </c>
      <c r="N225">
        <f>RTD("tos.rtd", , "BID", ".SPY150522P206")</f>
        <v>0.67</v>
      </c>
      <c r="O225">
        <f>RTD("tos.rtd", , "BID_SIZE", ".SPY150522P206")</f>
        <v>129</v>
      </c>
      <c r="P225">
        <f>RTD("tos.rtd", , "VOLUME", ".SPY150522P206")</f>
        <v>1692</v>
      </c>
      <c r="Q225">
        <f>RTD("tos.rtd", , "OPEN_INT", ".SPY150522P206")</f>
        <v>2128</v>
      </c>
      <c r="R225">
        <f>RTD("tos.rtd", , "DELTA", ".SPY150522P206")</f>
        <v>-0.19319</v>
      </c>
      <c r="S225">
        <f>RTD("tos.rtd", , "THETA", ".SPY150522P206")</f>
        <v>-4.7129999999999998E-2</v>
      </c>
      <c r="T225">
        <f>RTD("tos.rtd", , "GAMMA", ".SPY150522P206")</f>
        <v>4.3439999999999999E-2</v>
      </c>
      <c r="U225">
        <f>RTD("tos.rtd", , "VEGA", ".SPY150522P206")</f>
        <v>0.13261999999999999</v>
      </c>
      <c r="V225">
        <f>RTD("tos.rtd", , "RHO", ".SPY150522P206")</f>
        <v>-2.1600000000000001E-2</v>
      </c>
    </row>
    <row r="226" spans="1:22" x14ac:dyDescent="0.25">
      <c r="A226">
        <f>RTD("tos.rtd", , "ASK", ".SPY150522C206.5")</f>
        <v>5.82</v>
      </c>
      <c r="B226">
        <f>RTD("tos.rtd", , "ASK_SIZE", ".SPY150522C206.5")</f>
        <v>160</v>
      </c>
      <c r="C226">
        <f>RTD("tos.rtd", , "BID", ".SPY150522C206.5")</f>
        <v>5.64</v>
      </c>
      <c r="D226">
        <f>RTD("tos.rtd", , "BID_SIZE", ".SPY150522C206.5")</f>
        <v>199</v>
      </c>
      <c r="E226">
        <f>RTD("tos.rtd", , "VOLUME", ".SPY150522C206.5")</f>
        <v>3</v>
      </c>
      <c r="F226">
        <f>RTD("tos.rtd", , "OPEN_INT", ".SPY150522C206.5")</f>
        <v>237</v>
      </c>
      <c r="G226">
        <f>RTD("tos.rtd", , "DELTA", ".SPY150522C206.5")</f>
        <v>0.77388000000000001</v>
      </c>
      <c r="H226">
        <f>RTD("tos.rtd", , "THETA", ".SPY150522C206.5")</f>
        <v>-4.7300000000000002E-2</v>
      </c>
      <c r="I226">
        <f>RTD("tos.rtd", , "GAMMA", ".SPY150522C206.5")</f>
        <v>4.6300000000000001E-2</v>
      </c>
      <c r="J226">
        <f>RTD("tos.rtd", , "VEGA", ".SPY150522C206.5")</f>
        <v>0.14482</v>
      </c>
      <c r="K226">
        <f>RTD("tos.rtd", , "RHO", ".SPY150522C206.5")</f>
        <v>6.8089999999999998E-2</v>
      </c>
      <c r="L226">
        <f>RTD("tos.rtd", , "ASK", ".SPY150522P206.5")</f>
        <v>0.77</v>
      </c>
      <c r="M226">
        <f>RTD("tos.rtd", , "ASK_SIZE", ".SPY150522P206.5")</f>
        <v>207</v>
      </c>
      <c r="N226">
        <f>RTD("tos.rtd", , "BID", ".SPY150522P206.5")</f>
        <v>0.74</v>
      </c>
      <c r="O226">
        <f>RTD("tos.rtd", , "BID_SIZE", ".SPY150522P206.5")</f>
        <v>2284</v>
      </c>
      <c r="P226">
        <f>RTD("tos.rtd", , "VOLUME", ".SPY150522P206.5")</f>
        <v>271</v>
      </c>
      <c r="Q226">
        <f>RTD("tos.rtd", , "OPEN_INT", ".SPY150522P206.5")</f>
        <v>1401</v>
      </c>
      <c r="R226">
        <f>RTD("tos.rtd", , "DELTA", ".SPY150522P206.5")</f>
        <v>-0.21171999999999999</v>
      </c>
      <c r="S226">
        <f>RTD("tos.rtd", , "THETA", ".SPY150522P206.5")</f>
        <v>-4.8820000000000002E-2</v>
      </c>
      <c r="T226">
        <f>RTD("tos.rtd", , "GAMMA", ".SPY150522P206.5")</f>
        <v>4.6820000000000001E-2</v>
      </c>
      <c r="U226">
        <f>RTD("tos.rtd", , "VEGA", ".SPY150522P206.5")</f>
        <v>0.14004</v>
      </c>
      <c r="V226">
        <f>RTD("tos.rtd", , "RHO", ".SPY150522P206.5")</f>
        <v>-2.368E-2</v>
      </c>
    </row>
    <row r="227" spans="1:22" x14ac:dyDescent="0.25">
      <c r="A227">
        <f>RTD("tos.rtd", , "ASK", ".SPY150522C207")</f>
        <v>5.39</v>
      </c>
      <c r="B227">
        <f>RTD("tos.rtd", , "ASK_SIZE", ".SPY150522C207")</f>
        <v>199</v>
      </c>
      <c r="C227">
        <f>RTD("tos.rtd", , "BID", ".SPY150522C207")</f>
        <v>5.21</v>
      </c>
      <c r="D227">
        <f>RTD("tos.rtd", , "BID_SIZE", ".SPY150522C207")</f>
        <v>199</v>
      </c>
      <c r="E227">
        <f>RTD("tos.rtd", , "VOLUME", ".SPY150522C207")</f>
        <v>703</v>
      </c>
      <c r="F227">
        <f>RTD("tos.rtd", , "OPEN_INT", ".SPY150522C207")</f>
        <v>1049</v>
      </c>
      <c r="G227">
        <f>RTD("tos.rtd", , "DELTA", ".SPY150522C207")</f>
        <v>0.75512000000000001</v>
      </c>
      <c r="H227">
        <f>RTD("tos.rtd", , "THETA", ".SPY150522C207")</f>
        <v>-4.827E-2</v>
      </c>
      <c r="I227">
        <f>RTD("tos.rtd", , "GAMMA", ".SPY150522C207")</f>
        <v>4.9489999999999999E-2</v>
      </c>
      <c r="J227">
        <f>RTD("tos.rtd", , "VEGA", ".SPY150522C207")</f>
        <v>0.15135000000000001</v>
      </c>
      <c r="K227">
        <f>RTD("tos.rtd", , "RHO", ".SPY150522C207")</f>
        <v>6.7809999999999995E-2</v>
      </c>
      <c r="L227">
        <f>RTD("tos.rtd", , "ASK", ".SPY150522P207")</f>
        <v>0.85</v>
      </c>
      <c r="M227">
        <f>RTD("tos.rtd", , "ASK_SIZE", ".SPY150522P207")</f>
        <v>197</v>
      </c>
      <c r="N227">
        <f>RTD("tos.rtd", , "BID", ".SPY150522P207")</f>
        <v>0.82</v>
      </c>
      <c r="O227">
        <f>RTD("tos.rtd", , "BID_SIZE", ".SPY150522P207")</f>
        <v>111</v>
      </c>
      <c r="P227">
        <f>RTD("tos.rtd", , "VOLUME", ".SPY150522P207")</f>
        <v>464</v>
      </c>
      <c r="Q227">
        <f>RTD("tos.rtd", , "OPEN_INT", ".SPY150522P207")</f>
        <v>2186</v>
      </c>
      <c r="R227">
        <f>RTD("tos.rtd", , "DELTA", ".SPY150522P207")</f>
        <v>-0.23227999999999999</v>
      </c>
      <c r="S227">
        <f>RTD("tos.rtd", , "THETA", ".SPY150522P207")</f>
        <v>-5.0529999999999999E-2</v>
      </c>
      <c r="T227">
        <f>RTD("tos.rtd", , "GAMMA", ".SPY150522P207")</f>
        <v>5.033E-2</v>
      </c>
      <c r="U227">
        <f>RTD("tos.rtd", , "VEGA", ".SPY150522P207")</f>
        <v>0.14757999999999999</v>
      </c>
      <c r="V227">
        <f>RTD("tos.rtd", , "RHO", ".SPY150522P207")</f>
        <v>-2.598E-2</v>
      </c>
    </row>
    <row r="228" spans="1:22" x14ac:dyDescent="0.25">
      <c r="A228">
        <f>RTD("tos.rtd", , "ASK", ".SPY150522C207.5")</f>
        <v>4.9800000000000004</v>
      </c>
      <c r="B228">
        <f>RTD("tos.rtd", , "ASK_SIZE", ".SPY150522C207.5")</f>
        <v>199</v>
      </c>
      <c r="C228">
        <f>RTD("tos.rtd", , "BID", ".SPY150522C207.5")</f>
        <v>4.8099999999999996</v>
      </c>
      <c r="D228">
        <f>RTD("tos.rtd", , "BID_SIZE", ".SPY150522C207.5")</f>
        <v>199</v>
      </c>
      <c r="E228">
        <f>RTD("tos.rtd", , "VOLUME", ".SPY150522C207.5")</f>
        <v>2</v>
      </c>
      <c r="F228">
        <f>RTD("tos.rtd", , "OPEN_INT", ".SPY150522C207.5")</f>
        <v>446</v>
      </c>
      <c r="G228">
        <f>RTD("tos.rtd", , "DELTA", ".SPY150522C207.5")</f>
        <v>0.7329</v>
      </c>
      <c r="H228">
        <f>RTD("tos.rtd", , "THETA", ".SPY150522C207.5")</f>
        <v>-4.9770000000000002E-2</v>
      </c>
      <c r="I228">
        <f>RTD("tos.rtd", , "GAMMA", ".SPY150522C207.5")</f>
        <v>5.253E-2</v>
      </c>
      <c r="J228">
        <f>RTD("tos.rtd", , "VEGA", ".SPY150522C207.5")</f>
        <v>0.15839</v>
      </c>
      <c r="K228">
        <f>RTD("tos.rtd", , "RHO", ".SPY150522C207.5")</f>
        <v>6.7210000000000006E-2</v>
      </c>
      <c r="L228">
        <f>RTD("tos.rtd", , "ASK", ".SPY150522P207.5")</f>
        <v>0.94</v>
      </c>
      <c r="M228">
        <f>RTD("tos.rtd", , "ASK_SIZE", ".SPY150522P207.5")</f>
        <v>188</v>
      </c>
      <c r="N228">
        <f>RTD("tos.rtd", , "BID", ".SPY150522P207.5")</f>
        <v>0.91</v>
      </c>
      <c r="O228">
        <f>RTD("tos.rtd", , "BID_SIZE", ".SPY150522P207.5")</f>
        <v>100</v>
      </c>
      <c r="P228">
        <f>RTD("tos.rtd", , "VOLUME", ".SPY150522P207.5")</f>
        <v>319</v>
      </c>
      <c r="Q228">
        <f>RTD("tos.rtd", , "OPEN_INT", ".SPY150522P207.5")</f>
        <v>1088</v>
      </c>
      <c r="R228">
        <f>RTD("tos.rtd", , "DELTA", ".SPY150522P207.5")</f>
        <v>-0.25481999999999999</v>
      </c>
      <c r="S228">
        <f>RTD("tos.rtd", , "THETA", ".SPY150522P207.5")</f>
        <v>-5.2170000000000001E-2</v>
      </c>
      <c r="T228">
        <f>RTD("tos.rtd", , "GAMMA", ".SPY150522P207.5")</f>
        <v>5.3949999999999998E-2</v>
      </c>
      <c r="U228">
        <f>RTD("tos.rtd", , "VEGA", ".SPY150522P207.5")</f>
        <v>0.15509000000000001</v>
      </c>
      <c r="V228">
        <f>RTD("tos.rtd", , "RHO", ".SPY150522P207.5")</f>
        <v>-2.8510000000000001E-2</v>
      </c>
    </row>
    <row r="229" spans="1:22" x14ac:dyDescent="0.25">
      <c r="A229">
        <f>RTD("tos.rtd", , "ASK", ".SPY150522C208")</f>
        <v>4.57</v>
      </c>
      <c r="B229">
        <f>RTD("tos.rtd", , "ASK_SIZE", ".SPY150522C208")</f>
        <v>160</v>
      </c>
      <c r="C229">
        <f>RTD("tos.rtd", , "BID", ".SPY150522C208")</f>
        <v>4.4000000000000004</v>
      </c>
      <c r="D229">
        <f>RTD("tos.rtd", , "BID_SIZE", ".SPY150522C208")</f>
        <v>199</v>
      </c>
      <c r="E229">
        <f>RTD("tos.rtd", , "VOLUME", ".SPY150522C208")</f>
        <v>719</v>
      </c>
      <c r="F229">
        <f>RTD("tos.rtd", , "OPEN_INT", ".SPY150522C208")</f>
        <v>1110</v>
      </c>
      <c r="G229">
        <f>RTD("tos.rtd", , "DELTA", ".SPY150522C208")</f>
        <v>0.71026999999999996</v>
      </c>
      <c r="H229">
        <f>RTD("tos.rtd", , "THETA", ".SPY150522C208")</f>
        <v>-5.0599999999999999E-2</v>
      </c>
      <c r="I229">
        <f>RTD("tos.rtd", , "GAMMA", ".SPY150522C208")</f>
        <v>5.5879999999999999E-2</v>
      </c>
      <c r="J229">
        <f>RTD("tos.rtd", , "VEGA", ".SPY150522C208")</f>
        <v>0.1648</v>
      </c>
      <c r="K229">
        <f>RTD("tos.rtd", , "RHO", ".SPY150522C208")</f>
        <v>6.633E-2</v>
      </c>
      <c r="L229">
        <f>RTD("tos.rtd", , "ASK", ".SPY150522P208")</f>
        <v>1.04</v>
      </c>
      <c r="M229">
        <f>RTD("tos.rtd", , "ASK_SIZE", ".SPY150522P208")</f>
        <v>320</v>
      </c>
      <c r="N229">
        <f>RTD("tos.rtd", , "BID", ".SPY150522P208")</f>
        <v>1</v>
      </c>
      <c r="O229">
        <f>RTD("tos.rtd", , "BID_SIZE", ".SPY150522P208")</f>
        <v>2650</v>
      </c>
      <c r="P229">
        <f>RTD("tos.rtd", , "VOLUME", ".SPY150522P208")</f>
        <v>1106</v>
      </c>
      <c r="Q229">
        <f>RTD("tos.rtd", , "OPEN_INT", ".SPY150522P208")</f>
        <v>5920</v>
      </c>
      <c r="R229">
        <f>RTD("tos.rtd", , "DELTA", ".SPY150522P208")</f>
        <v>-0.27886</v>
      </c>
      <c r="S229">
        <f>RTD("tos.rtd", , "THETA", ".SPY150522P208")</f>
        <v>-5.3490000000000003E-2</v>
      </c>
      <c r="T229">
        <f>RTD("tos.rtd", , "GAMMA", ".SPY150522P208")</f>
        <v>5.7729999999999997E-2</v>
      </c>
      <c r="U229">
        <f>RTD("tos.rtd", , "VEGA", ".SPY150522P208")</f>
        <v>0.16225000000000001</v>
      </c>
      <c r="V229">
        <f>RTD("tos.rtd", , "RHO", ".SPY150522P208")</f>
        <v>-3.1199999999999999E-2</v>
      </c>
    </row>
    <row r="230" spans="1:22" x14ac:dyDescent="0.25">
      <c r="A230">
        <f>RTD("tos.rtd", , "ASK", ".SPY150522C208.5")</f>
        <v>4.16</v>
      </c>
      <c r="B230">
        <f>RTD("tos.rtd", , "ASK_SIZE", ".SPY150522C208.5")</f>
        <v>199</v>
      </c>
      <c r="C230">
        <f>RTD("tos.rtd", , "BID", ".SPY150522C208.5")</f>
        <v>4.04</v>
      </c>
      <c r="D230">
        <f>RTD("tos.rtd", , "BID_SIZE", ".SPY150522C208.5")</f>
        <v>160</v>
      </c>
      <c r="E230">
        <f>RTD("tos.rtd", , "VOLUME", ".SPY150522C208.5")</f>
        <v>40</v>
      </c>
      <c r="F230">
        <f>RTD("tos.rtd", , "OPEN_INT", ".SPY150522C208.5")</f>
        <v>554</v>
      </c>
      <c r="G230">
        <f>RTD("tos.rtd", , "DELTA", ".SPY150522C208.5")</f>
        <v>0.68447999999999998</v>
      </c>
      <c r="H230">
        <f>RTD("tos.rtd", , "THETA", ".SPY150522C208.5")</f>
        <v>-5.176E-2</v>
      </c>
      <c r="I230">
        <f>RTD("tos.rtd", , "GAMMA", ".SPY150522C208.5")</f>
        <v>5.8959999999999999E-2</v>
      </c>
      <c r="J230">
        <f>RTD("tos.rtd", , "VEGA", ".SPY150522C208.5")</f>
        <v>0.17122999999999999</v>
      </c>
      <c r="K230">
        <f>RTD("tos.rtd", , "RHO", ".SPY150522C208.5")</f>
        <v>6.5070000000000003E-2</v>
      </c>
      <c r="L230">
        <f>RTD("tos.rtd", , "ASK", ".SPY150522P208.5")</f>
        <v>1.1499999999999999</v>
      </c>
      <c r="M230">
        <f>RTD("tos.rtd", , "ASK_SIZE", ".SPY150522P208.5")</f>
        <v>765</v>
      </c>
      <c r="N230">
        <f>RTD("tos.rtd", , "BID", ".SPY150522P208.5")</f>
        <v>1.1100000000000001</v>
      </c>
      <c r="O230">
        <f>RTD("tos.rtd", , "BID_SIZE", ".SPY150522P208.5")</f>
        <v>100</v>
      </c>
      <c r="P230">
        <f>RTD("tos.rtd", , "VOLUME", ".SPY150522P208.5")</f>
        <v>190</v>
      </c>
      <c r="Q230">
        <f>RTD("tos.rtd", , "OPEN_INT", ".SPY150522P208.5")</f>
        <v>2005</v>
      </c>
      <c r="R230">
        <f>RTD("tos.rtd", , "DELTA", ".SPY150522P208.5")</f>
        <v>-0.30542000000000002</v>
      </c>
      <c r="S230">
        <f>RTD("tos.rtd", , "THETA", ".SPY150522P208.5")</f>
        <v>-5.4769999999999999E-2</v>
      </c>
      <c r="T230">
        <f>RTD("tos.rtd", , "GAMMA", ".SPY150522P208.5")</f>
        <v>6.1490000000000003E-2</v>
      </c>
      <c r="U230">
        <f>RTD("tos.rtd", , "VEGA", ".SPY150522P208.5")</f>
        <v>0.16919999999999999</v>
      </c>
      <c r="V230">
        <f>RTD("tos.rtd", , "RHO", ".SPY150522P208.5")</f>
        <v>-3.4180000000000002E-2</v>
      </c>
    </row>
    <row r="231" spans="1:22" x14ac:dyDescent="0.25">
      <c r="A231">
        <f>RTD("tos.rtd", , "ASK", ".SPY150522C209")</f>
        <v>3.77</v>
      </c>
      <c r="B231">
        <f>RTD("tos.rtd", , "ASK_SIZE", ".SPY150522C209")</f>
        <v>199</v>
      </c>
      <c r="C231">
        <f>RTD("tos.rtd", , "BID", ".SPY150522C209")</f>
        <v>3.63</v>
      </c>
      <c r="D231">
        <f>RTD("tos.rtd", , "BID_SIZE", ".SPY150522C209")</f>
        <v>199</v>
      </c>
      <c r="E231">
        <f>RTD("tos.rtd", , "VOLUME", ".SPY150522C209")</f>
        <v>50</v>
      </c>
      <c r="F231">
        <f>RTD("tos.rtd", , "OPEN_INT", ".SPY150522C209")</f>
        <v>833</v>
      </c>
      <c r="G231">
        <f>RTD("tos.rtd", , "DELTA", ".SPY150522C209")</f>
        <v>0.65858000000000005</v>
      </c>
      <c r="H231">
        <f>RTD("tos.rtd", , "THETA", ".SPY150522C209")</f>
        <v>-5.1869999999999999E-2</v>
      </c>
      <c r="I231">
        <f>RTD("tos.rtd", , "GAMMA", ".SPY150522C209")</f>
        <v>6.2649999999999997E-2</v>
      </c>
      <c r="J231">
        <f>RTD("tos.rtd", , "VEGA", ".SPY150522C209")</f>
        <v>0.17677000000000001</v>
      </c>
      <c r="K231">
        <f>RTD("tos.rtd", , "RHO", ".SPY150522C209")</f>
        <v>6.3560000000000005E-2</v>
      </c>
      <c r="L231">
        <f>RTD("tos.rtd", , "ASK", ".SPY150522P209")</f>
        <v>1.27</v>
      </c>
      <c r="M231">
        <f>RTD("tos.rtd", , "ASK_SIZE", ".SPY150522P209")</f>
        <v>526</v>
      </c>
      <c r="N231">
        <f>RTD("tos.rtd", , "BID", ".SPY150522P209")</f>
        <v>1.22</v>
      </c>
      <c r="O231">
        <f>RTD("tos.rtd", , "BID_SIZE", ".SPY150522P209")</f>
        <v>2433</v>
      </c>
      <c r="P231">
        <f>RTD("tos.rtd", , "VOLUME", ".SPY150522P209")</f>
        <v>528</v>
      </c>
      <c r="Q231">
        <f>RTD("tos.rtd", , "OPEN_INT", ".SPY150522P209")</f>
        <v>2239</v>
      </c>
      <c r="R231">
        <f>RTD("tos.rtd", , "DELTA", ".SPY150522P209")</f>
        <v>-0.33366000000000001</v>
      </c>
      <c r="S231">
        <f>RTD("tos.rtd", , "THETA", ".SPY150522P209")</f>
        <v>-5.561E-2</v>
      </c>
      <c r="T231">
        <f>RTD("tos.rtd", , "GAMMA", ".SPY150522P209")</f>
        <v>6.5390000000000004E-2</v>
      </c>
      <c r="U231">
        <f>RTD("tos.rtd", , "VEGA", ".SPY150522P209")</f>
        <v>0.17552999999999999</v>
      </c>
      <c r="V231">
        <f>RTD("tos.rtd", , "RHO", ".SPY150522P209")</f>
        <v>-3.7350000000000001E-2</v>
      </c>
    </row>
    <row r="232" spans="1:22" x14ac:dyDescent="0.25">
      <c r="A232">
        <f>RTD("tos.rtd", , "ASK", ".SPY150522C209.5")</f>
        <v>3.41</v>
      </c>
      <c r="B232">
        <f>RTD("tos.rtd", , "ASK_SIZE", ".SPY150522C209.5")</f>
        <v>160</v>
      </c>
      <c r="C232">
        <f>RTD("tos.rtd", , "BID", ".SPY150522C209.5")</f>
        <v>3.32</v>
      </c>
      <c r="D232">
        <f>RTD("tos.rtd", , "BID_SIZE", ".SPY150522C209.5")</f>
        <v>160</v>
      </c>
      <c r="E232">
        <f>RTD("tos.rtd", , "VOLUME", ".SPY150522C209.5")</f>
        <v>126</v>
      </c>
      <c r="F232">
        <f>RTD("tos.rtd", , "OPEN_INT", ".SPY150522C209.5")</f>
        <v>1565</v>
      </c>
      <c r="G232">
        <f>RTD("tos.rtd", , "DELTA", ".SPY150522C209.5")</f>
        <v>0.62744999999999995</v>
      </c>
      <c r="H232">
        <f>RTD("tos.rtd", , "THETA", ".SPY150522C209.5")</f>
        <v>-5.3280000000000001E-2</v>
      </c>
      <c r="I232">
        <f>RTD("tos.rtd", , "GAMMA", ".SPY150522C209.5")</f>
        <v>6.4909999999999995E-2</v>
      </c>
      <c r="J232">
        <f>RTD("tos.rtd", , "VEGA", ".SPY150522C209.5")</f>
        <v>0.18226000000000001</v>
      </c>
      <c r="K232">
        <f>RTD("tos.rtd", , "RHO", ".SPY150522C209.5")</f>
        <v>6.1539999999999997E-2</v>
      </c>
      <c r="L232">
        <f>RTD("tos.rtd", , "ASK", ".SPY150522P209.5")</f>
        <v>1.4</v>
      </c>
      <c r="M232">
        <f>RTD("tos.rtd", , "ASK_SIZE", ".SPY150522P209.5")</f>
        <v>199</v>
      </c>
      <c r="N232">
        <f>RTD("tos.rtd", , "BID", ".SPY150522P209.5")</f>
        <v>1.35</v>
      </c>
      <c r="O232">
        <f>RTD("tos.rtd", , "BID_SIZE", ".SPY150522P209.5")</f>
        <v>200</v>
      </c>
      <c r="P232">
        <f>RTD("tos.rtd", , "VOLUME", ".SPY150522P209.5")</f>
        <v>1818</v>
      </c>
      <c r="Q232">
        <f>RTD("tos.rtd", , "OPEN_INT", ".SPY150522P209.5")</f>
        <v>1915</v>
      </c>
      <c r="R232">
        <f>RTD("tos.rtd", , "DELTA", ".SPY150522P209.5")</f>
        <v>-0.36437999999999998</v>
      </c>
      <c r="S232">
        <f>RTD("tos.rtd", , "THETA", ".SPY150522P209.5")</f>
        <v>-5.6239999999999998E-2</v>
      </c>
      <c r="T232">
        <f>RTD("tos.rtd", , "GAMMA", ".SPY150522P209.5")</f>
        <v>6.9190000000000002E-2</v>
      </c>
      <c r="U232">
        <f>RTD("tos.rtd", , "VEGA", ".SPY150522P209.5")</f>
        <v>0.18121999999999999</v>
      </c>
      <c r="V232">
        <f>RTD("tos.rtd", , "RHO", ".SPY150522P209.5")</f>
        <v>-4.079E-2</v>
      </c>
    </row>
    <row r="233" spans="1:22" x14ac:dyDescent="0.25">
      <c r="A233">
        <f>RTD("tos.rtd", , "ASK", ".SPY150522C210")</f>
        <v>3.05</v>
      </c>
      <c r="B233">
        <f>RTD("tos.rtd", , "ASK_SIZE", ".SPY150522C210")</f>
        <v>568</v>
      </c>
      <c r="C233">
        <f>RTD("tos.rtd", , "BID", ".SPY150522C210")</f>
        <v>2.93</v>
      </c>
      <c r="D233">
        <f>RTD("tos.rtd", , "BID_SIZE", ".SPY150522C210")</f>
        <v>482</v>
      </c>
      <c r="E233">
        <f>RTD("tos.rtd", , "VOLUME", ".SPY150522C210")</f>
        <v>564</v>
      </c>
      <c r="F233">
        <f>RTD("tos.rtd", , "OPEN_INT", ".SPY150522C210")</f>
        <v>3482</v>
      </c>
      <c r="G233">
        <f>RTD("tos.rtd", , "DELTA", ".SPY150522C210")</f>
        <v>0.59721999999999997</v>
      </c>
      <c r="H233">
        <f>RTD("tos.rtd", , "THETA", ".SPY150522C210")</f>
        <v>-5.2819999999999999E-2</v>
      </c>
      <c r="I233">
        <f>RTD("tos.rtd", , "GAMMA", ".SPY150522C210")</f>
        <v>6.8459999999999993E-2</v>
      </c>
      <c r="J233">
        <f>RTD("tos.rtd", , "VEGA", ".SPY150522C210")</f>
        <v>0.18642</v>
      </c>
      <c r="K233">
        <f>RTD("tos.rtd", , "RHO", ".SPY150522C210")</f>
        <v>5.9330000000000001E-2</v>
      </c>
      <c r="L233">
        <f>RTD("tos.rtd", , "ASK", ".SPY150522P210")</f>
        <v>1.54</v>
      </c>
      <c r="M233">
        <f>RTD("tos.rtd", , "ASK_SIZE", ".SPY150522P210")</f>
        <v>155</v>
      </c>
      <c r="N233">
        <f>RTD("tos.rtd", , "BID", ".SPY150522P210")</f>
        <v>1.49</v>
      </c>
      <c r="O233">
        <f>RTD("tos.rtd", , "BID_SIZE", ".SPY150522P210")</f>
        <v>199</v>
      </c>
      <c r="P233">
        <f>RTD("tos.rtd", , "VOLUME", ".SPY150522P210")</f>
        <v>2750</v>
      </c>
      <c r="Q233">
        <f>RTD("tos.rtd", , "OPEN_INT", ".SPY150522P210")</f>
        <v>11151</v>
      </c>
      <c r="R233">
        <f>RTD("tos.rtd", , "DELTA", ".SPY150522P210")</f>
        <v>-0.39733000000000002</v>
      </c>
      <c r="S233">
        <f>RTD("tos.rtd", , "THETA", ".SPY150522P210")</f>
        <v>-5.6430000000000001E-2</v>
      </c>
      <c r="T233">
        <f>RTD("tos.rtd", , "GAMMA", ".SPY150522P210")</f>
        <v>7.2969999999999993E-2</v>
      </c>
      <c r="U233">
        <f>RTD("tos.rtd", , "VEGA", ".SPY150522P210")</f>
        <v>0.18597</v>
      </c>
      <c r="V233">
        <f>RTD("tos.rtd", , "RHO", ".SPY150522P210")</f>
        <v>-4.4490000000000002E-2</v>
      </c>
    </row>
    <row r="234" spans="1:22" x14ac:dyDescent="0.25">
      <c r="A234">
        <f>RTD("tos.rtd", , "ASK", ".SPY150522C210.5")</f>
        <v>2.69</v>
      </c>
      <c r="B234">
        <f>RTD("tos.rtd", , "ASK_SIZE", ".SPY150522C210.5")</f>
        <v>200</v>
      </c>
      <c r="C234">
        <f>RTD("tos.rtd", , "BID", ".SPY150522C210.5")</f>
        <v>2.6</v>
      </c>
      <c r="D234">
        <f>RTD("tos.rtd", , "BID_SIZE", ".SPY150522C210.5")</f>
        <v>111</v>
      </c>
      <c r="E234">
        <f>RTD("tos.rtd", , "VOLUME", ".SPY150522C210.5")</f>
        <v>310</v>
      </c>
      <c r="F234">
        <f>RTD("tos.rtd", , "OPEN_INT", ".SPY150522C210.5")</f>
        <v>1439</v>
      </c>
      <c r="G234">
        <f>RTD("tos.rtd", , "DELTA", ".SPY150522C210.5")</f>
        <v>0.56396999999999997</v>
      </c>
      <c r="H234">
        <f>RTD("tos.rtd", , "THETA", ".SPY150522C210.5")</f>
        <v>-5.2470000000000003E-2</v>
      </c>
      <c r="I234">
        <f>RTD("tos.rtd", , "GAMMA", ".SPY150522C210.5")</f>
        <v>7.1370000000000003E-2</v>
      </c>
      <c r="J234">
        <f>RTD("tos.rtd", , "VEGA", ".SPY150522C210.5")</f>
        <v>0.18967999999999999</v>
      </c>
      <c r="K234">
        <f>RTD("tos.rtd", , "RHO", ".SPY150522C210.5")</f>
        <v>5.672E-2</v>
      </c>
      <c r="L234">
        <f>RTD("tos.rtd", , "ASK", ".SPY150522P210.5")</f>
        <v>1.7</v>
      </c>
      <c r="M234">
        <f>RTD("tos.rtd", , "ASK_SIZE", ".SPY150522P210.5")</f>
        <v>196</v>
      </c>
      <c r="N234">
        <f>RTD("tos.rtd", , "BID", ".SPY150522P210.5")</f>
        <v>1.65</v>
      </c>
      <c r="O234">
        <f>RTD("tos.rtd", , "BID_SIZE", ".SPY150522P210.5")</f>
        <v>160</v>
      </c>
      <c r="P234">
        <f>RTD("tos.rtd", , "VOLUME", ".SPY150522P210.5")</f>
        <v>1283</v>
      </c>
      <c r="Q234">
        <f>RTD("tos.rtd", , "OPEN_INT", ".SPY150522P210.5")</f>
        <v>1281</v>
      </c>
      <c r="R234">
        <f>RTD("tos.rtd", , "DELTA", ".SPY150522P210.5")</f>
        <v>-0.43297999999999998</v>
      </c>
      <c r="S234">
        <f>RTD("tos.rtd", , "THETA", ".SPY150522P210.5")</f>
        <v>-5.6370000000000003E-2</v>
      </c>
      <c r="T234">
        <f>RTD("tos.rtd", , "GAMMA", ".SPY150522P210.5")</f>
        <v>7.6319999999999999E-2</v>
      </c>
      <c r="U234">
        <f>RTD("tos.rtd", , "VEGA", ".SPY150522P210.5")</f>
        <v>0.18959999999999999</v>
      </c>
      <c r="V234">
        <f>RTD("tos.rtd", , "RHO", ".SPY150522P210.5")</f>
        <v>-4.8489999999999998E-2</v>
      </c>
    </row>
    <row r="235" spans="1:22" x14ac:dyDescent="0.25">
      <c r="A235">
        <f>RTD("tos.rtd", , "ASK", ".SPY150522C211")</f>
        <v>2.35</v>
      </c>
      <c r="B235">
        <f>RTD("tos.rtd", , "ASK_SIZE", ".SPY150522C211")</f>
        <v>199</v>
      </c>
      <c r="C235">
        <f>RTD("tos.rtd", , "BID", ".SPY150522C211")</f>
        <v>2.2999999999999998</v>
      </c>
      <c r="D235">
        <f>RTD("tos.rtd", , "BID_SIZE", ".SPY150522C211")</f>
        <v>110</v>
      </c>
      <c r="E235">
        <f>RTD("tos.rtd", , "VOLUME", ".SPY150522C211")</f>
        <v>1579</v>
      </c>
      <c r="F235">
        <f>RTD("tos.rtd", , "OPEN_INT", ".SPY150522C211")</f>
        <v>2522</v>
      </c>
      <c r="G235">
        <f>RTD("tos.rtd", , "DELTA", ".SPY150522C211")</f>
        <v>0.52844999999999998</v>
      </c>
      <c r="H235">
        <f>RTD("tos.rtd", , "THETA", ".SPY150522C211")</f>
        <v>-5.194E-2</v>
      </c>
      <c r="I235">
        <f>RTD("tos.rtd", , "GAMMA", ".SPY150522C211")</f>
        <v>7.3679999999999995E-2</v>
      </c>
      <c r="J235">
        <f>RTD("tos.rtd", , "VEGA", ".SPY150522C211")</f>
        <v>0.19167000000000001</v>
      </c>
      <c r="K235">
        <f>RTD("tos.rtd", , "RHO", ".SPY150522C211")</f>
        <v>5.3749999999999999E-2</v>
      </c>
      <c r="L235">
        <f>RTD("tos.rtd", , "ASK", ".SPY150522P211")</f>
        <v>1.87</v>
      </c>
      <c r="M235">
        <f>RTD("tos.rtd", , "ASK_SIZE", ".SPY150522P211")</f>
        <v>99</v>
      </c>
      <c r="N235">
        <f>RTD("tos.rtd", , "BID", ".SPY150522P211")</f>
        <v>1.82</v>
      </c>
      <c r="O235">
        <f>RTD("tos.rtd", , "BID_SIZE", ".SPY150522P211")</f>
        <v>211</v>
      </c>
      <c r="P235">
        <f>RTD("tos.rtd", , "VOLUME", ".SPY150522P211")</f>
        <v>2889</v>
      </c>
      <c r="Q235">
        <f>RTD("tos.rtd", , "OPEN_INT", ".SPY150522P211")</f>
        <v>3248</v>
      </c>
      <c r="R235">
        <f>RTD("tos.rtd", , "DELTA", ".SPY150522P211")</f>
        <v>-0.47094000000000003</v>
      </c>
      <c r="S235">
        <f>RTD("tos.rtd", , "THETA", ".SPY150522P211")</f>
        <v>-5.5690000000000003E-2</v>
      </c>
      <c r="T235">
        <f>RTD("tos.rtd", , "GAMMA", ".SPY150522P211")</f>
        <v>7.9560000000000006E-2</v>
      </c>
      <c r="U235">
        <f>RTD("tos.rtd", , "VEGA", ".SPY150522P211")</f>
        <v>0.19175</v>
      </c>
      <c r="V235">
        <f>RTD("tos.rtd", , "RHO", ".SPY150522P211")</f>
        <v>-5.2760000000000001E-2</v>
      </c>
    </row>
    <row r="236" spans="1:22" x14ac:dyDescent="0.25">
      <c r="A236">
        <f>RTD("tos.rtd", , "ASK", ".SPY150522C211.5")</f>
        <v>2.04</v>
      </c>
      <c r="B236">
        <f>RTD("tos.rtd", , "ASK_SIZE", ".SPY150522C211.5")</f>
        <v>200</v>
      </c>
      <c r="C236">
        <f>RTD("tos.rtd", , "BID", ".SPY150522C211.5")</f>
        <v>1.96</v>
      </c>
      <c r="D236">
        <f>RTD("tos.rtd", , "BID_SIZE", ".SPY150522C211.5")</f>
        <v>2490</v>
      </c>
      <c r="E236">
        <f>RTD("tos.rtd", , "VOLUME", ".SPY150522C211.5")</f>
        <v>1477</v>
      </c>
      <c r="F236">
        <f>RTD("tos.rtd", , "OPEN_INT", ".SPY150522C211.5")</f>
        <v>808</v>
      </c>
      <c r="G236">
        <f>RTD("tos.rtd", , "DELTA", ".SPY150522C211.5")</f>
        <v>0.49079</v>
      </c>
      <c r="H236">
        <f>RTD("tos.rtd", , "THETA", ".SPY150522C211.5")</f>
        <v>-5.0380000000000001E-2</v>
      </c>
      <c r="I236">
        <f>RTD("tos.rtd", , "GAMMA", ".SPY150522C211.5")</f>
        <v>7.6350000000000001E-2</v>
      </c>
      <c r="J236">
        <f>RTD("tos.rtd", , "VEGA", ".SPY150522C211.5")</f>
        <v>0.19212000000000001</v>
      </c>
      <c r="K236">
        <f>RTD("tos.rtd", , "RHO", ".SPY150522C211.5")</f>
        <v>5.0430000000000003E-2</v>
      </c>
      <c r="L236">
        <f>RTD("tos.rtd", , "ASK", ".SPY150522P211.5")</f>
        <v>2.06</v>
      </c>
      <c r="M236">
        <f>RTD("tos.rtd", , "ASK_SIZE", ".SPY150522P211.5")</f>
        <v>200</v>
      </c>
      <c r="N236">
        <f>RTD("tos.rtd", , "BID", ".SPY150522P211.5")</f>
        <v>2</v>
      </c>
      <c r="O236">
        <f>RTD("tos.rtd", , "BID_SIZE", ".SPY150522P211.5")</f>
        <v>458</v>
      </c>
      <c r="P236">
        <f>RTD("tos.rtd", , "VOLUME", ".SPY150522P211.5")</f>
        <v>3351</v>
      </c>
      <c r="Q236">
        <f>RTD("tos.rtd", , "OPEN_INT", ".SPY150522P211.5")</f>
        <v>563</v>
      </c>
      <c r="R236">
        <f>RTD("tos.rtd", , "DELTA", ".SPY150522P211.5")</f>
        <v>-0.51165000000000005</v>
      </c>
      <c r="S236">
        <f>RTD("tos.rtd", , "THETA", ".SPY150522P211.5")</f>
        <v>-5.4429999999999999E-2</v>
      </c>
      <c r="T236">
        <f>RTD("tos.rtd", , "GAMMA", ".SPY150522P211.5")</f>
        <v>8.2430000000000003E-2</v>
      </c>
      <c r="U236">
        <f>RTD("tos.rtd", , "VEGA", ".SPY150522P211.5")</f>
        <v>0.19214000000000001</v>
      </c>
      <c r="V236">
        <f>RTD("tos.rtd", , "RHO", ".SPY150522P211.5")</f>
        <v>-5.7329999999999999E-2</v>
      </c>
    </row>
    <row r="237" spans="1:22" x14ac:dyDescent="0.25">
      <c r="A237">
        <f>RTD("tos.rtd", , "ASK", ".SPY150522C212")</f>
        <v>1.75</v>
      </c>
      <c r="B237">
        <f>RTD("tos.rtd", , "ASK_SIZE", ".SPY150522C212")</f>
        <v>199</v>
      </c>
      <c r="C237">
        <f>RTD("tos.rtd", , "BID", ".SPY150522C212")</f>
        <v>1.7</v>
      </c>
      <c r="D237">
        <f>RTD("tos.rtd", , "BID_SIZE", ".SPY150522C212")</f>
        <v>151</v>
      </c>
      <c r="E237">
        <f>RTD("tos.rtd", , "VOLUME", ".SPY150522C212")</f>
        <v>1541</v>
      </c>
      <c r="F237">
        <f>RTD("tos.rtd", , "OPEN_INT", ".SPY150522C212")</f>
        <v>1502</v>
      </c>
      <c r="G237">
        <f>RTD("tos.rtd", , "DELTA", ".SPY150522C212")</f>
        <v>0.45155000000000001</v>
      </c>
      <c r="H237">
        <f>RTD("tos.rtd", , "THETA", ".SPY150522C212")</f>
        <v>-4.9119999999999997E-2</v>
      </c>
      <c r="I237">
        <f>RTD("tos.rtd", , "GAMMA", ".SPY150522C212")</f>
        <v>7.7380000000000004E-2</v>
      </c>
      <c r="J237">
        <f>RTD("tos.rtd", , "VEGA", ".SPY150522C212")</f>
        <v>0.19078000000000001</v>
      </c>
      <c r="K237">
        <f>RTD("tos.rtd", , "RHO", ".SPY150522C212")</f>
        <v>4.6820000000000001E-2</v>
      </c>
      <c r="L237">
        <f>RTD("tos.rtd", , "ASK", ".SPY150522P212")</f>
        <v>2.29</v>
      </c>
      <c r="M237">
        <f>RTD("tos.rtd", , "ASK_SIZE", ".SPY150522P212")</f>
        <v>177</v>
      </c>
      <c r="N237">
        <f>RTD("tos.rtd", , "BID", ".SPY150522P212")</f>
        <v>2.21</v>
      </c>
      <c r="O237">
        <f>RTD("tos.rtd", , "BID_SIZE", ".SPY150522P212")</f>
        <v>498</v>
      </c>
      <c r="P237">
        <f>RTD("tos.rtd", , "VOLUME", ".SPY150522P212")</f>
        <v>4396</v>
      </c>
      <c r="Q237">
        <f>RTD("tos.rtd", , "OPEN_INT", ".SPY150522P212")</f>
        <v>1013</v>
      </c>
      <c r="R237">
        <f>RTD("tos.rtd", , "DELTA", ".SPY150522P212")</f>
        <v>-0.55437999999999998</v>
      </c>
      <c r="S237">
        <f>RTD("tos.rtd", , "THETA", ".SPY150522P212")</f>
        <v>-5.3019999999999998E-2</v>
      </c>
      <c r="T237">
        <f>RTD("tos.rtd", , "GAMMA", ".SPY150522P212")</f>
        <v>8.3970000000000003E-2</v>
      </c>
      <c r="U237">
        <f>RTD("tos.rtd", , "VEGA", ".SPY150522P212")</f>
        <v>0.19040000000000001</v>
      </c>
      <c r="V237">
        <f>RTD("tos.rtd", , "RHO", ".SPY150522P212")</f>
        <v>-6.2149999999999997E-2</v>
      </c>
    </row>
    <row r="238" spans="1:22" x14ac:dyDescent="0.25">
      <c r="A238">
        <f>RTD("tos.rtd", , "ASK", ".SPY150522C212.5")</f>
        <v>1.49</v>
      </c>
      <c r="B238">
        <f>RTD("tos.rtd", , "ASK_SIZE", ".SPY150522C212.5")</f>
        <v>953</v>
      </c>
      <c r="C238">
        <f>RTD("tos.rtd", , "BID", ".SPY150522C212.5")</f>
        <v>1.43</v>
      </c>
      <c r="D238">
        <f>RTD("tos.rtd", , "BID_SIZE", ".SPY150522C212.5")</f>
        <v>100</v>
      </c>
      <c r="E238">
        <f>RTD("tos.rtd", , "VOLUME", ".SPY150522C212.5")</f>
        <v>632</v>
      </c>
      <c r="F238">
        <f>RTD("tos.rtd", , "OPEN_INT", ".SPY150522C212.5")</f>
        <v>1022</v>
      </c>
      <c r="G238">
        <f>RTD("tos.rtd", , "DELTA", ".SPY150522C212.5")</f>
        <v>0.41077000000000002</v>
      </c>
      <c r="H238">
        <f>RTD("tos.rtd", , "THETA", ".SPY150522C212.5")</f>
        <v>-4.7149999999999997E-2</v>
      </c>
      <c r="I238">
        <f>RTD("tos.rtd", , "GAMMA", ".SPY150522C212.5")</f>
        <v>7.7950000000000005E-2</v>
      </c>
      <c r="J238">
        <f>RTD("tos.rtd", , "VEGA", ".SPY150522C212.5")</f>
        <v>0.18740999999999999</v>
      </c>
      <c r="K238">
        <f>RTD("tos.rtd", , "RHO", ".SPY150522C212.5")</f>
        <v>4.2939999999999999E-2</v>
      </c>
      <c r="L238">
        <f>RTD("tos.rtd", , "ASK", ".SPY150522P212.5")</f>
        <v>2.56</v>
      </c>
      <c r="M238">
        <f>RTD("tos.rtd", , "ASK_SIZE", ".SPY150522P212.5")</f>
        <v>240</v>
      </c>
      <c r="N238">
        <f>RTD("tos.rtd", , "BID", ".SPY150522P212.5")</f>
        <v>2.44</v>
      </c>
      <c r="O238">
        <f>RTD("tos.rtd", , "BID_SIZE", ".SPY150522P212.5")</f>
        <v>200</v>
      </c>
      <c r="P238">
        <f>RTD("tos.rtd", , "VOLUME", ".SPY150522P212.5")</f>
        <v>70</v>
      </c>
      <c r="Q238">
        <f>RTD("tos.rtd", , "OPEN_INT", ".SPY150522P212.5")</f>
        <v>323</v>
      </c>
      <c r="R238">
        <f>RTD("tos.rtd", , "DELTA", ".SPY150522P212.5")</f>
        <v>-0.59833999999999998</v>
      </c>
      <c r="S238">
        <f>RTD("tos.rtd", , "THETA", ".SPY150522P212.5")</f>
        <v>-5.126E-2</v>
      </c>
      <c r="T238">
        <f>RTD("tos.rtd", , "GAMMA", ".SPY150522P212.5")</f>
        <v>8.4169999999999995E-2</v>
      </c>
      <c r="U238">
        <f>RTD("tos.rtd", , "VEGA", ".SPY150522P212.5")</f>
        <v>0.18631</v>
      </c>
      <c r="V238">
        <f>RTD("tos.rtd", , "RHO", ".SPY150522P212.5")</f>
        <v>-6.7110000000000003E-2</v>
      </c>
    </row>
    <row r="239" spans="1:22" x14ac:dyDescent="0.25">
      <c r="A239">
        <f>RTD("tos.rtd", , "ASK", ".SPY150522C213")</f>
        <v>1.22</v>
      </c>
      <c r="B239">
        <f>RTD("tos.rtd", , "ASK_SIZE", ".SPY150522C213")</f>
        <v>176</v>
      </c>
      <c r="C239">
        <f>RTD("tos.rtd", , "BID", ".SPY150522C213")</f>
        <v>1.18</v>
      </c>
      <c r="D239">
        <f>RTD("tos.rtd", , "BID_SIZE", ".SPY150522C213")</f>
        <v>199</v>
      </c>
      <c r="E239">
        <f>RTD("tos.rtd", , "VOLUME", ".SPY150522C213")</f>
        <v>1620</v>
      </c>
      <c r="F239">
        <f>RTD("tos.rtd", , "OPEN_INT", ".SPY150522C213")</f>
        <v>1207</v>
      </c>
      <c r="G239">
        <f>RTD("tos.rtd", , "DELTA", ".SPY150522C213")</f>
        <v>0.36754999999999999</v>
      </c>
      <c r="H239">
        <f>RTD("tos.rtd", , "THETA", ".SPY150522C213")</f>
        <v>-4.4150000000000002E-2</v>
      </c>
      <c r="I239">
        <f>RTD("tos.rtd", , "GAMMA", ".SPY150522C213")</f>
        <v>7.8289999999999998E-2</v>
      </c>
      <c r="J239">
        <f>RTD("tos.rtd", , "VEGA", ".SPY150522C213")</f>
        <v>0.18160000000000001</v>
      </c>
      <c r="K239">
        <f>RTD("tos.rtd", , "RHO", ".SPY150522C213")</f>
        <v>3.8710000000000001E-2</v>
      </c>
      <c r="L239">
        <f>RTD("tos.rtd", , "ASK", ".SPY150522P213")</f>
        <v>2.82</v>
      </c>
      <c r="M239">
        <f>RTD("tos.rtd", , "ASK_SIZE", ".SPY150522P213")</f>
        <v>160</v>
      </c>
      <c r="N239">
        <f>RTD("tos.rtd", , "BID", ".SPY150522P213")</f>
        <v>2.68</v>
      </c>
      <c r="O239">
        <f>RTD("tos.rtd", , "BID_SIZE", ".SPY150522P213")</f>
        <v>174</v>
      </c>
      <c r="P239">
        <f>RTD("tos.rtd", , "VOLUME", ".SPY150522P213")</f>
        <v>199</v>
      </c>
      <c r="Q239">
        <f>RTD("tos.rtd", , "OPEN_INT", ".SPY150522P213")</f>
        <v>278</v>
      </c>
      <c r="R239">
        <f>RTD("tos.rtd", , "DELTA", ".SPY150522P213")</f>
        <v>-0.64498</v>
      </c>
      <c r="S239">
        <f>RTD("tos.rtd", , "THETA", ".SPY150522P213")</f>
        <v>-4.8320000000000002E-2</v>
      </c>
      <c r="T239">
        <f>RTD("tos.rtd", , "GAMMA", ".SPY150522P213")</f>
        <v>8.412E-2</v>
      </c>
      <c r="U239">
        <f>RTD("tos.rtd", , "VEGA", ".SPY150522P213")</f>
        <v>0.17935999999999999</v>
      </c>
      <c r="V239">
        <f>RTD("tos.rtd", , "RHO", ".SPY150522P213")</f>
        <v>-7.2370000000000004E-2</v>
      </c>
    </row>
    <row r="240" spans="1:22" x14ac:dyDescent="0.25">
      <c r="A240">
        <f>RTD("tos.rtd", , "ASK", ".SPY150522C213.5")</f>
        <v>1</v>
      </c>
      <c r="B240">
        <f>RTD("tos.rtd", , "ASK_SIZE", ".SPY150522C213.5")</f>
        <v>110</v>
      </c>
      <c r="C240">
        <f>RTD("tos.rtd", , "BID", ".SPY150522C213.5")</f>
        <v>0.96</v>
      </c>
      <c r="D240">
        <f>RTD("tos.rtd", , "BID_SIZE", ".SPY150522C213.5")</f>
        <v>199</v>
      </c>
      <c r="E240">
        <f>RTD("tos.rtd", , "VOLUME", ".SPY150522C213.5")</f>
        <v>428</v>
      </c>
      <c r="F240">
        <f>RTD("tos.rtd", , "OPEN_INT", ".SPY150522C213.5")</f>
        <v>645</v>
      </c>
      <c r="G240">
        <f>RTD("tos.rtd", , "DELTA", ".SPY150522C213.5")</f>
        <v>0.32450000000000001</v>
      </c>
      <c r="H240">
        <f>RTD("tos.rtd", , "THETA", ".SPY150522C213.5")</f>
        <v>-4.1099999999999998E-2</v>
      </c>
      <c r="I240">
        <f>RTD("tos.rtd", , "GAMMA", ".SPY150522C213.5")</f>
        <v>7.689E-2</v>
      </c>
      <c r="J240">
        <f>RTD("tos.rtd", , "VEGA", ".SPY150522C213.5")</f>
        <v>0.17346</v>
      </c>
      <c r="K240">
        <f>RTD("tos.rtd", , "RHO", ".SPY150522C213.5")</f>
        <v>3.44E-2</v>
      </c>
      <c r="L240">
        <f>RTD("tos.rtd", , "ASK", ".SPY150522P213.5")</f>
        <v>3.11</v>
      </c>
      <c r="M240">
        <f>RTD("tos.rtd", , "ASK_SIZE", ".SPY150522P213.5")</f>
        <v>111</v>
      </c>
      <c r="N240">
        <f>RTD("tos.rtd", , "BID", ".SPY150522P213.5")</f>
        <v>2.95</v>
      </c>
      <c r="O240">
        <f>RTD("tos.rtd", , "BID_SIZE", ".SPY150522P213.5")</f>
        <v>199</v>
      </c>
      <c r="P240">
        <f>RTD("tos.rtd", , "VOLUME", ".SPY150522P213.5")</f>
        <v>55</v>
      </c>
      <c r="Q240">
        <f>RTD("tos.rtd", , "OPEN_INT", ".SPY150522P213.5")</f>
        <v>498</v>
      </c>
      <c r="R240">
        <f>RTD("tos.rtd", , "DELTA", ".SPY150522P213.5")</f>
        <v>-0.69257000000000002</v>
      </c>
      <c r="S240">
        <f>RTD("tos.rtd", , "THETA", ".SPY150522P213.5")</f>
        <v>-4.4900000000000002E-2</v>
      </c>
      <c r="T240">
        <f>RTD("tos.rtd", , "GAMMA", ".SPY150522P213.5")</f>
        <v>8.2419999999999993E-2</v>
      </c>
      <c r="U240">
        <f>RTD("tos.rtd", , "VEGA", ".SPY150522P213.5")</f>
        <v>0.16936999999999999</v>
      </c>
      <c r="V240">
        <f>RTD("tos.rtd", , "RHO", ".SPY150522P213.5")</f>
        <v>-7.775E-2</v>
      </c>
    </row>
    <row r="241" spans="1:22" x14ac:dyDescent="0.25">
      <c r="A241">
        <f>RTD("tos.rtd", , "ASK", ".SPY150522C214")</f>
        <v>0.81</v>
      </c>
      <c r="B241">
        <f>RTD("tos.rtd", , "ASK_SIZE", ".SPY150522C214")</f>
        <v>200</v>
      </c>
      <c r="C241">
        <f>RTD("tos.rtd", , "BID", ".SPY150522C214")</f>
        <v>0.77</v>
      </c>
      <c r="D241">
        <f>RTD("tos.rtd", , "BID_SIZE", ".SPY150522C214")</f>
        <v>207</v>
      </c>
      <c r="E241">
        <f>RTD("tos.rtd", , "VOLUME", ".SPY150522C214")</f>
        <v>436</v>
      </c>
      <c r="F241">
        <f>RTD("tos.rtd", , "OPEN_INT", ".SPY150522C214")</f>
        <v>6804</v>
      </c>
      <c r="G241">
        <f>RTD("tos.rtd", , "DELTA", ".SPY150522C214")</f>
        <v>0.28219</v>
      </c>
      <c r="H241">
        <f>RTD("tos.rtd", , "THETA", ".SPY150522C214")</f>
        <v>-3.7780000000000001E-2</v>
      </c>
      <c r="I241">
        <f>RTD("tos.rtd", , "GAMMA", ".SPY150522C214")</f>
        <v>7.4069999999999997E-2</v>
      </c>
      <c r="J241">
        <f>RTD("tos.rtd", , "VEGA", ".SPY150522C214")</f>
        <v>0.16305</v>
      </c>
      <c r="K241">
        <f>RTD("tos.rtd", , "RHO", ".SPY150522C214")</f>
        <v>3.0079999999999999E-2</v>
      </c>
      <c r="L241">
        <f>RTD("tos.rtd", , "ASK", ".SPY150522P214")</f>
        <v>3.42</v>
      </c>
      <c r="M241">
        <f>RTD("tos.rtd", , "ASK_SIZE", ".SPY150522P214")</f>
        <v>160</v>
      </c>
      <c r="N241">
        <f>RTD("tos.rtd", , "BID", ".SPY150522P214")</f>
        <v>3.24</v>
      </c>
      <c r="O241">
        <f>RTD("tos.rtd", , "BID_SIZE", ".SPY150522P214")</f>
        <v>199</v>
      </c>
      <c r="P241">
        <f>RTD("tos.rtd", , "VOLUME", ".SPY150522P214")</f>
        <v>24</v>
      </c>
      <c r="Q241">
        <f>RTD("tos.rtd", , "OPEN_INT", ".SPY150522P214")</f>
        <v>293</v>
      </c>
      <c r="R241">
        <f>RTD("tos.rtd", , "DELTA", ".SPY150522P214")</f>
        <v>-0.74158999999999997</v>
      </c>
      <c r="S241">
        <f>RTD("tos.rtd", , "THETA", ".SPY150522P214")</f>
        <v>-4.07E-2</v>
      </c>
      <c r="T241">
        <f>RTD("tos.rtd", , "GAMMA", ".SPY150522P214")</f>
        <v>7.9200000000000007E-2</v>
      </c>
      <c r="U241">
        <f>RTD("tos.rtd", , "VEGA", ".SPY150522P214")</f>
        <v>0.15586</v>
      </c>
      <c r="V241">
        <f>RTD("tos.rtd", , "RHO", ".SPY150522P214")</f>
        <v>-8.3299999999999999E-2</v>
      </c>
    </row>
    <row r="242" spans="1:22" x14ac:dyDescent="0.25">
      <c r="A242">
        <f>RTD("tos.rtd", , "ASK", ".SPY150522C214.5")</f>
        <v>0.64</v>
      </c>
      <c r="B242">
        <f>RTD("tos.rtd", , "ASK_SIZE", ".SPY150522C214.5")</f>
        <v>349</v>
      </c>
      <c r="C242">
        <f>RTD("tos.rtd", , "BID", ".SPY150522C214.5")</f>
        <v>0.6</v>
      </c>
      <c r="D242">
        <f>RTD("tos.rtd", , "BID_SIZE", ".SPY150522C214.5")</f>
        <v>306</v>
      </c>
      <c r="E242">
        <f>RTD("tos.rtd", , "VOLUME", ".SPY150522C214.5")</f>
        <v>594</v>
      </c>
      <c r="F242">
        <f>RTD("tos.rtd", , "OPEN_INT", ".SPY150522C214.5")</f>
        <v>2859</v>
      </c>
      <c r="G242">
        <f>RTD("tos.rtd", , "DELTA", ".SPY150522C214.5")</f>
        <v>0.2402</v>
      </c>
      <c r="H242">
        <f>RTD("tos.rtd", , "THETA", ".SPY150522C214.5")</f>
        <v>-3.3930000000000002E-2</v>
      </c>
      <c r="I242">
        <f>RTD("tos.rtd", , "GAMMA", ".SPY150522C214.5")</f>
        <v>7.016E-2</v>
      </c>
      <c r="J242">
        <f>RTD("tos.rtd", , "VEGA", ".SPY150522C214.5")</f>
        <v>0.15021999999999999</v>
      </c>
      <c r="K242">
        <f>RTD("tos.rtd", , "RHO", ".SPY150522C214.5")</f>
        <v>2.5729999999999999E-2</v>
      </c>
      <c r="L242">
        <f>RTD("tos.rtd", , "ASK", ".SPY150522P214.5")</f>
        <v>3.75</v>
      </c>
      <c r="M242">
        <f>RTD("tos.rtd", , "ASK_SIZE", ".SPY150522P214.5")</f>
        <v>160</v>
      </c>
      <c r="N242">
        <f>RTD("tos.rtd", , "BID", ".SPY150522P214.5")</f>
        <v>3.58</v>
      </c>
      <c r="O242">
        <f>RTD("tos.rtd", , "BID_SIZE", ".SPY150522P214.5")</f>
        <v>199</v>
      </c>
      <c r="P242">
        <f>RTD("tos.rtd", , "VOLUME", ".SPY150522P214.5")</f>
        <v>8</v>
      </c>
      <c r="Q242">
        <f>RTD("tos.rtd", , "OPEN_INT", ".SPY150522P214.5")</f>
        <v>67</v>
      </c>
      <c r="R242">
        <f>RTD("tos.rtd", , "DELTA", ".SPY150522P214.5")</f>
        <v>-0.78898999999999997</v>
      </c>
      <c r="S242">
        <f>RTD("tos.rtd", , "THETA", ".SPY150522P214.5")</f>
        <v>-3.6269999999999997E-2</v>
      </c>
      <c r="T242">
        <f>RTD("tos.rtd", , "GAMMA", ".SPY150522P214.5")</f>
        <v>7.3749999999999996E-2</v>
      </c>
      <c r="U242">
        <f>RTD("tos.rtd", , "VEGA", ".SPY150522P214.5")</f>
        <v>0.1394</v>
      </c>
      <c r="V242">
        <f>RTD("tos.rtd", , "RHO", ".SPY150522P214.5")</f>
        <v>-8.8690000000000005E-2</v>
      </c>
    </row>
    <row r="243" spans="1:22" x14ac:dyDescent="0.25">
      <c r="A243">
        <f>RTD("tos.rtd", , "ASK", ".SPY150522C215")</f>
        <v>0.49</v>
      </c>
      <c r="B243">
        <f>RTD("tos.rtd", , "ASK_SIZE", ".SPY150522C215")</f>
        <v>213</v>
      </c>
      <c r="C243">
        <f>RTD("tos.rtd", , "BID", ".SPY150522C215")</f>
        <v>0.46</v>
      </c>
      <c r="D243">
        <f>RTD("tos.rtd", , "BID_SIZE", ".SPY150522C215")</f>
        <v>200</v>
      </c>
      <c r="E243">
        <f>RTD("tos.rtd", , "VOLUME", ".SPY150522C215")</f>
        <v>549</v>
      </c>
      <c r="F243">
        <f>RTD("tos.rtd", , "OPEN_INT", ".SPY150522C215")</f>
        <v>5722</v>
      </c>
      <c r="G243">
        <f>RTD("tos.rtd", , "DELTA", ".SPY150522C215")</f>
        <v>0.19993</v>
      </c>
      <c r="H243">
        <f>RTD("tos.rtd", , "THETA", ".SPY150522C215")</f>
        <v>-2.98E-2</v>
      </c>
      <c r="I243">
        <f>RTD("tos.rtd", , "GAMMA", ".SPY150522C215")</f>
        <v>6.4979999999999996E-2</v>
      </c>
      <c r="J243">
        <f>RTD("tos.rtd", , "VEGA", ".SPY150522C215")</f>
        <v>0.13535</v>
      </c>
      <c r="K243">
        <f>RTD("tos.rtd", , "RHO", ".SPY150522C215")</f>
        <v>2.1499999999999998E-2</v>
      </c>
      <c r="L243">
        <f>RTD("tos.rtd", , "ASK", ".SPY150522P215")</f>
        <v>4.12</v>
      </c>
      <c r="M243">
        <f>RTD("tos.rtd", , "ASK_SIZE", ".SPY150522P215")</f>
        <v>199</v>
      </c>
      <c r="N243">
        <f>RTD("tos.rtd", , "BID", ".SPY150522P215")</f>
        <v>3.91</v>
      </c>
      <c r="O243">
        <f>RTD("tos.rtd", , "BID_SIZE", ".SPY150522P215")</f>
        <v>199</v>
      </c>
      <c r="P243">
        <f>RTD("tos.rtd", , "VOLUME", ".SPY150522P215")</f>
        <v>991</v>
      </c>
      <c r="Q243">
        <f>RTD("tos.rtd", , "OPEN_INT", ".SPY150522P215")</f>
        <v>595</v>
      </c>
      <c r="R243">
        <f>RTD("tos.rtd", , "DELTA", ".SPY150522P215")</f>
        <v>-0.83792</v>
      </c>
      <c r="S243">
        <f>RTD("tos.rtd", , "THETA", ".SPY150522P215")</f>
        <v>-3.0890000000000001E-2</v>
      </c>
      <c r="T243">
        <f>RTD("tos.rtd", , "GAMMA", ".SPY150522P215")</f>
        <v>6.6309999999999994E-2</v>
      </c>
      <c r="U243">
        <f>RTD("tos.rtd", , "VEGA", ".SPY150522P215")</f>
        <v>0.11847000000000001</v>
      </c>
      <c r="V243">
        <f>RTD("tos.rtd", , "RHO", ".SPY150522P215")</f>
        <v>-9.4259999999999997E-2</v>
      </c>
    </row>
    <row r="244" spans="1:22" x14ac:dyDescent="0.25">
      <c r="A244">
        <f>RTD("tos.rtd", , "ASK", ".SPY150522C215.5")</f>
        <v>0.37</v>
      </c>
      <c r="B244">
        <f>RTD("tos.rtd", , "ASK_SIZE", ".SPY150522C215.5")</f>
        <v>243</v>
      </c>
      <c r="C244">
        <f>RTD("tos.rtd", , "BID", ".SPY150522C215.5")</f>
        <v>0.34</v>
      </c>
      <c r="D244">
        <f>RTD("tos.rtd", , "BID_SIZE", ".SPY150522C215.5")</f>
        <v>2283</v>
      </c>
      <c r="E244">
        <f>RTD("tos.rtd", , "VOLUME", ".SPY150522C215.5")</f>
        <v>893</v>
      </c>
      <c r="F244">
        <f>RTD("tos.rtd", , "OPEN_INT", ".SPY150522C215.5")</f>
        <v>2105</v>
      </c>
      <c r="G244">
        <f>RTD("tos.rtd", , "DELTA", ".SPY150522C215.5")</f>
        <v>0.16239999999999999</v>
      </c>
      <c r="H244">
        <f>RTD("tos.rtd", , "THETA", ".SPY150522C215.5")</f>
        <v>-2.5559999999999999E-2</v>
      </c>
      <c r="I244">
        <f>RTD("tos.rtd", , "GAMMA", ".SPY150522C215.5")</f>
        <v>5.867E-2</v>
      </c>
      <c r="J244">
        <f>RTD("tos.rtd", , "VEGA", ".SPY150522C215.5")</f>
        <v>0.11898</v>
      </c>
      <c r="K244">
        <f>RTD("tos.rtd", , "RHO", ".SPY150522C215.5")</f>
        <v>1.753E-2</v>
      </c>
      <c r="L244">
        <f>RTD("tos.rtd", , "ASK", ".SPY150522P215.5")</f>
        <v>4.51</v>
      </c>
      <c r="M244">
        <f>RTD("tos.rtd", , "ASK_SIZE", ".SPY150522P215.5")</f>
        <v>199</v>
      </c>
      <c r="N244">
        <f>RTD("tos.rtd", , "BID", ".SPY150522P215.5")</f>
        <v>4.3099999999999996</v>
      </c>
      <c r="O244">
        <f>RTD("tos.rtd", , "BID_SIZE", ".SPY150522P215.5")</f>
        <v>199</v>
      </c>
      <c r="P244">
        <f>RTD("tos.rtd", , "VOLUME", ".SPY150522P215.5")</f>
        <v>35</v>
      </c>
      <c r="Q244">
        <f>RTD("tos.rtd", , "OPEN_INT", ".SPY150522P215.5")</f>
        <v>54</v>
      </c>
      <c r="R244">
        <f>RTD("tos.rtd", , "DELTA", ".SPY150522P215.5")</f>
        <v>-0.87958999999999998</v>
      </c>
      <c r="S244">
        <f>RTD("tos.rtd", , "THETA", ".SPY150522P215.5")</f>
        <v>-2.6110000000000001E-2</v>
      </c>
      <c r="T244">
        <f>RTD("tos.rtd", , "GAMMA", ".SPY150522P215.5")</f>
        <v>5.6669999999999998E-2</v>
      </c>
      <c r="U244">
        <f>RTD("tos.rtd", , "VEGA", ".SPY150522P215.5")</f>
        <v>9.6930000000000002E-2</v>
      </c>
      <c r="V244">
        <f>RTD("tos.rtd", , "RHO", ".SPY150522P215.5")</f>
        <v>-9.9049999999999999E-2</v>
      </c>
    </row>
    <row r="245" spans="1:22" x14ac:dyDescent="0.25">
      <c r="A245">
        <f>RTD("tos.rtd", , "ASK", ".SPY150522C216")</f>
        <v>0.28000000000000003</v>
      </c>
      <c r="B245">
        <f>RTD("tos.rtd", , "ASK_SIZE", ".SPY150522C216")</f>
        <v>284</v>
      </c>
      <c r="C245">
        <f>RTD("tos.rtd", , "BID", ".SPY150522C216")</f>
        <v>0.25</v>
      </c>
      <c r="D245">
        <f>RTD("tos.rtd", , "BID_SIZE", ".SPY150522C216")</f>
        <v>2294</v>
      </c>
      <c r="E245">
        <f>RTD("tos.rtd", , "VOLUME", ".SPY150522C216")</f>
        <v>224</v>
      </c>
      <c r="F245">
        <f>RTD("tos.rtd", , "OPEN_INT", ".SPY150522C216")</f>
        <v>2359</v>
      </c>
      <c r="G245">
        <f>RTD("tos.rtd", , "DELTA", ".SPY150522C216")</f>
        <v>0.13034999999999999</v>
      </c>
      <c r="H245">
        <f>RTD("tos.rtd", , "THETA", ".SPY150522C216")</f>
        <v>-2.1739999999999999E-2</v>
      </c>
      <c r="I245">
        <f>RTD("tos.rtd", , "GAMMA", ".SPY150522C216")</f>
        <v>5.1619999999999999E-2</v>
      </c>
      <c r="J245">
        <f>RTD("tos.rtd", , "VEGA", ".SPY150522C216")</f>
        <v>0.10281</v>
      </c>
      <c r="K245">
        <f>RTD("tos.rtd", , "RHO", ".SPY150522C216")</f>
        <v>1.4109999999999999E-2</v>
      </c>
      <c r="L245">
        <f>RTD("tos.rtd", , "ASK", ".SPY150522P216")</f>
        <v>4.91</v>
      </c>
      <c r="M245">
        <f>RTD("tos.rtd", , "ASK_SIZE", ".SPY150522P216")</f>
        <v>160</v>
      </c>
      <c r="N245">
        <f>RTD("tos.rtd", , "BID", ".SPY150522P216")</f>
        <v>4.6900000000000004</v>
      </c>
      <c r="O245">
        <f>RTD("tos.rtd", , "BID_SIZE", ".SPY150522P216")</f>
        <v>199</v>
      </c>
      <c r="P245">
        <f>RTD("tos.rtd", , "VOLUME", ".SPY150522P216")</f>
        <v>10</v>
      </c>
      <c r="Q245">
        <f>RTD("tos.rtd", , "OPEN_INT", ".SPY150522P216")</f>
        <v>23</v>
      </c>
      <c r="R245">
        <f>RTD("tos.rtd", , "DELTA", ".SPY150522P216")</f>
        <v>-0.92978000000000005</v>
      </c>
      <c r="S245">
        <f>RTD("tos.rtd", , "THETA", ".SPY150522P216")</f>
        <v>-1.917E-2</v>
      </c>
      <c r="T245">
        <f>RTD("tos.rtd", , "GAMMA", ".SPY150522P216")</f>
        <v>4.2500000000000003E-2</v>
      </c>
      <c r="U245">
        <f>RTD("tos.rtd", , "VEGA", ".SPY150522P216")</f>
        <v>6.5180000000000002E-2</v>
      </c>
      <c r="V245">
        <f>RTD("tos.rtd", , "RHO", ".SPY150522P216")</f>
        <v>-0.10477</v>
      </c>
    </row>
    <row r="246" spans="1:22" x14ac:dyDescent="0.25">
      <c r="A246">
        <f>RTD("tos.rtd", , "ASK", ".SPY150522C216.5")</f>
        <v>0.2</v>
      </c>
      <c r="B246">
        <f>RTD("tos.rtd", , "ASK_SIZE", ".SPY150522C216.5")</f>
        <v>338</v>
      </c>
      <c r="C246">
        <f>RTD("tos.rtd", , "BID", ".SPY150522C216.5")</f>
        <v>0.19</v>
      </c>
      <c r="D246">
        <f>RTD("tos.rtd", , "BID_SIZE", ".SPY150522C216.5")</f>
        <v>199</v>
      </c>
      <c r="E246">
        <f>RTD("tos.rtd", , "VOLUME", ".SPY150522C216.5")</f>
        <v>637</v>
      </c>
      <c r="F246">
        <f>RTD("tos.rtd", , "OPEN_INT", ".SPY150522C216.5")</f>
        <v>3525</v>
      </c>
      <c r="G246">
        <f>RTD("tos.rtd", , "DELTA", ".SPY150522C216.5")</f>
        <v>0.10274999999999999</v>
      </c>
      <c r="H246">
        <f>RTD("tos.rtd", , "THETA", ".SPY150522C216.5")</f>
        <v>-1.8159999999999999E-2</v>
      </c>
      <c r="I246">
        <f>RTD("tos.rtd", , "GAMMA", ".SPY150522C216.5")</f>
        <v>4.4339999999999997E-2</v>
      </c>
      <c r="J246">
        <f>RTD("tos.rtd", , "VEGA", ".SPY150522C216.5")</f>
        <v>8.6999999999999994E-2</v>
      </c>
      <c r="K246">
        <f>RTD("tos.rtd", , "RHO", ".SPY150522C216.5")</f>
        <v>1.1140000000000001E-2</v>
      </c>
      <c r="L246">
        <f>RTD("tos.rtd", , "ASK", ".SPY150522P216.5")</f>
        <v>5.34</v>
      </c>
      <c r="M246">
        <f>RTD("tos.rtd", , "ASK_SIZE", ".SPY150522P216.5")</f>
        <v>111</v>
      </c>
      <c r="N246">
        <f>RTD("tos.rtd", , "BID", ".SPY150522P216.5")</f>
        <v>5.13</v>
      </c>
      <c r="O246">
        <f>RTD("tos.rtd", , "BID_SIZE", ".SPY150522P216.5")</f>
        <v>199</v>
      </c>
      <c r="P246">
        <f>RTD("tos.rtd", , "VOLUME", ".SPY150522P216.5")</f>
        <v>37</v>
      </c>
      <c r="Q246">
        <f>RTD("tos.rtd", , "OPEN_INT", ".SPY150522P216.5")</f>
        <v>227</v>
      </c>
      <c r="R246">
        <f>RTD("tos.rtd", , "DELTA", ".SPY150522P216.5")</f>
        <v>-0.97014</v>
      </c>
      <c r="S246">
        <f>RTD("tos.rtd", , "THETA", ".SPY150522P216.5")</f>
        <v>-1.3270000000000001E-2</v>
      </c>
      <c r="T246">
        <f>RTD("tos.rtd", , "GAMMA", ".SPY150522P216.5")</f>
        <v>2.436E-2</v>
      </c>
      <c r="U246">
        <f>RTD("tos.rtd", , "VEGA", ".SPY150522P216.5")</f>
        <v>3.2770000000000001E-2</v>
      </c>
      <c r="V246">
        <f>RTD("tos.rtd", , "RHO", ".SPY150522P216.5")</f>
        <v>-0.10944</v>
      </c>
    </row>
    <row r="247" spans="1:22" x14ac:dyDescent="0.25">
      <c r="A247">
        <f>RTD("tos.rtd", , "ASK", ".SPY150522C217")</f>
        <v>0.15</v>
      </c>
      <c r="B247">
        <f>RTD("tos.rtd", , "ASK_SIZE", ".SPY150522C217")</f>
        <v>399</v>
      </c>
      <c r="C247">
        <f>RTD("tos.rtd", , "BID", ".SPY150522C217")</f>
        <v>0.14000000000000001</v>
      </c>
      <c r="D247">
        <f>RTD("tos.rtd", , "BID_SIZE", ".SPY150522C217")</f>
        <v>161</v>
      </c>
      <c r="E247">
        <f>RTD("tos.rtd", , "VOLUME", ".SPY150522C217")</f>
        <v>474</v>
      </c>
      <c r="F247">
        <f>RTD("tos.rtd", , "OPEN_INT", ".SPY150522C217")</f>
        <v>2335</v>
      </c>
      <c r="G247">
        <f>RTD("tos.rtd", , "DELTA", ".SPY150522C217")</f>
        <v>8.0879999999999994E-2</v>
      </c>
      <c r="H247">
        <f>RTD("tos.rtd", , "THETA", ".SPY150522C217")</f>
        <v>-1.5180000000000001E-2</v>
      </c>
      <c r="I247">
        <f>RTD("tos.rtd", , "GAMMA", ".SPY150522C217")</f>
        <v>3.7440000000000001E-2</v>
      </c>
      <c r="J247">
        <f>RTD("tos.rtd", , "VEGA", ".SPY150522C217")</f>
        <v>7.3020000000000002E-2</v>
      </c>
      <c r="K247">
        <f>RTD("tos.rtd", , "RHO", ".SPY150522C217")</f>
        <v>8.7899999999999992E-3</v>
      </c>
      <c r="L247">
        <f>RTD("tos.rtd", , "ASK", ".SPY150522P217")</f>
        <v>5.8</v>
      </c>
      <c r="M247">
        <f>RTD("tos.rtd", , "ASK_SIZE", ".SPY150522P217")</f>
        <v>160</v>
      </c>
      <c r="N247">
        <f>RTD("tos.rtd", , "BID", ".SPY150522P217")</f>
        <v>5.57</v>
      </c>
      <c r="O247">
        <f>RTD("tos.rtd", , "BID_SIZE", ".SPY150522P217")</f>
        <v>160</v>
      </c>
      <c r="P247">
        <f>RTD("tos.rtd", , "VOLUME", ".SPY150522P217")</f>
        <v>3</v>
      </c>
      <c r="Q247">
        <f>RTD("tos.rtd", , "OPEN_INT", ".SPY150522P217")</f>
        <v>46</v>
      </c>
      <c r="R247">
        <f>RTD("tos.rtd", , "DELTA", ".SPY150522P217")</f>
        <v>-1</v>
      </c>
      <c r="S247">
        <f>RTD("tos.rtd", , "THETA", ".SPY150522P217")</f>
        <v>0</v>
      </c>
      <c r="T247">
        <f>RTD("tos.rtd", , "GAMMA", ".SPY150522P217")</f>
        <v>0</v>
      </c>
      <c r="U247">
        <f>RTD("tos.rtd", , "VEGA", ".SPY150522P217")</f>
        <v>1.6550499999999999</v>
      </c>
      <c r="V247">
        <f>RTD("tos.rtd", , "RHO", ".SPY150522P217")</f>
        <v>0</v>
      </c>
    </row>
    <row r="248" spans="1:22" x14ac:dyDescent="0.25">
      <c r="A248">
        <f>RTD("tos.rtd", , "ASK", ".SPY150522C217.5")</f>
        <v>0.11</v>
      </c>
      <c r="B248">
        <f>RTD("tos.rtd", , "ASK_SIZE", ".SPY150522C217.5")</f>
        <v>494</v>
      </c>
      <c r="C248">
        <f>RTD("tos.rtd", , "BID", ".SPY150522C217.5")</f>
        <v>0.1</v>
      </c>
      <c r="D248">
        <f>RTD("tos.rtd", , "BID_SIZE", ".SPY150522C217.5")</f>
        <v>160</v>
      </c>
      <c r="E248">
        <f>RTD("tos.rtd", , "VOLUME", ".SPY150522C217.5")</f>
        <v>320</v>
      </c>
      <c r="F248">
        <f>RTD("tos.rtd", , "OPEN_INT", ".SPY150522C217.5")</f>
        <v>3005</v>
      </c>
      <c r="G248">
        <f>RTD("tos.rtd", , "DELTA", ".SPY150522C217.5")</f>
        <v>6.1990000000000003E-2</v>
      </c>
      <c r="H248">
        <f>RTD("tos.rtd", , "THETA", ".SPY150522C217.5")</f>
        <v>-1.2330000000000001E-2</v>
      </c>
      <c r="I248">
        <f>RTD("tos.rtd", , "GAMMA", ".SPY150522C217.5")</f>
        <v>3.0859999999999999E-2</v>
      </c>
      <c r="J248">
        <f>RTD("tos.rtd", , "VEGA", ".SPY150522C217.5")</f>
        <v>5.9659999999999998E-2</v>
      </c>
      <c r="K248">
        <f>RTD("tos.rtd", , "RHO", ".SPY150522C217.5")</f>
        <v>6.7400000000000003E-3</v>
      </c>
      <c r="L248">
        <f>RTD("tos.rtd", , "ASK", ".SPY150522P217.5")</f>
        <v>6.26</v>
      </c>
      <c r="M248">
        <f>RTD("tos.rtd", , "ASK_SIZE", ".SPY150522P217.5")</f>
        <v>100</v>
      </c>
      <c r="N248">
        <f>RTD("tos.rtd", , "BID", ".SPY150522P217.5")</f>
        <v>6.01</v>
      </c>
      <c r="O248">
        <f>RTD("tos.rtd", , "BID_SIZE", ".SPY150522P217.5")</f>
        <v>100</v>
      </c>
      <c r="P248">
        <f>RTD("tos.rtd", , "VOLUME", ".SPY150522P217.5")</f>
        <v>2</v>
      </c>
      <c r="Q248">
        <f>RTD("tos.rtd", , "OPEN_INT", ".SPY150522P217.5")</f>
        <v>90</v>
      </c>
      <c r="R248">
        <f>RTD("tos.rtd", , "DELTA", ".SPY150522P217.5")</f>
        <v>-0.99907999999999997</v>
      </c>
      <c r="S248">
        <f>RTD("tos.rtd", , "THETA", ".SPY150522P217.5")</f>
        <v>-8.6999999999999994E-3</v>
      </c>
      <c r="T248">
        <f>RTD("tos.rtd", , "GAMMA", ".SPY150522P217.5")</f>
        <v>0</v>
      </c>
      <c r="U248">
        <f>RTD("tos.rtd", , "VEGA", ".SPY150522P217.5")</f>
        <v>0</v>
      </c>
      <c r="V248">
        <f>RTD("tos.rtd", , "RHO", ".SPY150522P217.5")</f>
        <v>-0.11312999999999999</v>
      </c>
    </row>
    <row r="249" spans="1:22" x14ac:dyDescent="0.25">
      <c r="A249">
        <f>RTD("tos.rtd", , "ASK", ".SPY150522C218")</f>
        <v>0.09</v>
      </c>
      <c r="B249">
        <f>RTD("tos.rtd", , "ASK_SIZE", ".SPY150522C218")</f>
        <v>576</v>
      </c>
      <c r="C249">
        <f>RTD("tos.rtd", , "BID", ".SPY150522C218")</f>
        <v>7.0000000000000007E-2</v>
      </c>
      <c r="D249">
        <f>RTD("tos.rtd", , "BID_SIZE", ".SPY150522C218")</f>
        <v>582</v>
      </c>
      <c r="E249">
        <f>RTD("tos.rtd", , "VOLUME", ".SPY150522C218")</f>
        <v>77</v>
      </c>
      <c r="F249">
        <f>RTD("tos.rtd", , "OPEN_INT", ".SPY150522C218")</f>
        <v>160</v>
      </c>
      <c r="G249">
        <f>RTD("tos.rtd", , "DELTA", ".SPY150522C218")</f>
        <v>4.897E-2</v>
      </c>
      <c r="H249">
        <f>RTD("tos.rtd", , "THETA", ".SPY150522C218")</f>
        <v>-1.034E-2</v>
      </c>
      <c r="I249">
        <f>RTD("tos.rtd", , "GAMMA", ".SPY150522C218")</f>
        <v>2.5520000000000001E-2</v>
      </c>
      <c r="J249">
        <f>RTD("tos.rtd", , "VEGA", ".SPY150522C218")</f>
        <v>4.9630000000000001E-2</v>
      </c>
      <c r="K249">
        <f>RTD("tos.rtd", , "RHO", ".SPY150522C218")</f>
        <v>5.3299999999999997E-3</v>
      </c>
      <c r="L249">
        <f>RTD("tos.rtd", , "ASK", ".SPY150522P218")</f>
        <v>6.74</v>
      </c>
      <c r="M249">
        <f>RTD("tos.rtd", , "ASK_SIZE", ".SPY150522P218")</f>
        <v>100</v>
      </c>
      <c r="N249">
        <f>RTD("tos.rtd", , "BID", ".SPY150522P218")</f>
        <v>6.49</v>
      </c>
      <c r="O249">
        <f>RTD("tos.rtd", , "BID_SIZE", ".SPY150522P218")</f>
        <v>100</v>
      </c>
      <c r="P249">
        <f>RTD("tos.rtd", , "VOLUME", ".SPY150522P218")</f>
        <v>21</v>
      </c>
      <c r="Q249">
        <f>RTD("tos.rtd", , "OPEN_INT", ".SPY150522P218")</f>
        <v>12</v>
      </c>
      <c r="R249">
        <f>RTD("tos.rtd", , "DELTA", ".SPY150522P218")</f>
        <v>-1</v>
      </c>
      <c r="S249">
        <f>RTD("tos.rtd", , "THETA", ".SPY150522P218")</f>
        <v>-0.17396</v>
      </c>
      <c r="T249">
        <f>RTD("tos.rtd", , "GAMMA", ".SPY150522P218")</f>
        <v>0</v>
      </c>
      <c r="U249">
        <f>RTD("tos.rtd", , "VEGA", ".SPY150522P218")</f>
        <v>1.6537500000000001</v>
      </c>
      <c r="V249">
        <f>RTD("tos.rtd", , "RHO", ".SPY150522P218")</f>
        <v>0</v>
      </c>
    </row>
    <row r="250" spans="1:22" x14ac:dyDescent="0.25">
      <c r="A250">
        <f>RTD("tos.rtd", , "ASK", ".SPY150522C218.5")</f>
        <v>7.0000000000000007E-2</v>
      </c>
      <c r="B250">
        <f>RTD("tos.rtd", , "ASK_SIZE", ".SPY150522C218.5")</f>
        <v>600</v>
      </c>
      <c r="C250">
        <f>RTD("tos.rtd", , "BID", ".SPY150522C218.5")</f>
        <v>0.05</v>
      </c>
      <c r="D250">
        <f>RTD("tos.rtd", , "BID_SIZE", ".SPY150522C218.5")</f>
        <v>600</v>
      </c>
      <c r="E250">
        <f>RTD("tos.rtd", , "VOLUME", ".SPY150522C218.5")</f>
        <v>1</v>
      </c>
      <c r="F250">
        <f>RTD("tos.rtd", , "OPEN_INT", ".SPY150522C218.5")</f>
        <v>247</v>
      </c>
      <c r="G250">
        <f>RTD("tos.rtd", , "DELTA", ".SPY150522C218.5")</f>
        <v>3.814E-2</v>
      </c>
      <c r="H250">
        <f>RTD("tos.rtd", , "THETA", ".SPY150522C218.5")</f>
        <v>-8.5299999999999994E-3</v>
      </c>
      <c r="I250">
        <f>RTD("tos.rtd", , "GAMMA", ".SPY150522C218.5")</f>
        <v>2.0799999999999999E-2</v>
      </c>
      <c r="J250">
        <f>RTD("tos.rtd", , "VEGA", ".SPY150522C218.5")</f>
        <v>4.0649999999999999E-2</v>
      </c>
      <c r="K250">
        <f>RTD("tos.rtd", , "RHO", ".SPY150522C218.5")</f>
        <v>4.1599999999999996E-3</v>
      </c>
      <c r="L250">
        <f>RTD("tos.rtd", , "ASK", ".SPY150522P218.5")</f>
        <v>7.23</v>
      </c>
      <c r="M250">
        <f>RTD("tos.rtd", , "ASK_SIZE", ".SPY150522P218.5")</f>
        <v>100</v>
      </c>
      <c r="N250">
        <f>RTD("tos.rtd", , "BID", ".SPY150522P218.5")</f>
        <v>6.97</v>
      </c>
      <c r="O250">
        <f>RTD("tos.rtd", , "BID_SIZE", ".SPY150522P218.5")</f>
        <v>100</v>
      </c>
      <c r="P250">
        <f>RTD("tos.rtd", , "VOLUME", ".SPY150522P218.5")</f>
        <v>1</v>
      </c>
      <c r="Q250">
        <f>RTD("tos.rtd", , "OPEN_INT", ".SPY150522P218.5")</f>
        <v>0</v>
      </c>
      <c r="R250">
        <f>RTD("tos.rtd", , "DELTA", ".SPY150522P218.5")</f>
        <v>-0.99907999999999997</v>
      </c>
      <c r="S250">
        <f>RTD("tos.rtd", , "THETA", ".SPY150522P218.5")</f>
        <v>-8.6999999999999994E-3</v>
      </c>
      <c r="T250">
        <f>RTD("tos.rtd", , "GAMMA", ".SPY150522P218.5")</f>
        <v>0</v>
      </c>
      <c r="U250">
        <f>RTD("tos.rtd", , "VEGA", ".SPY150522P218.5")</f>
        <v>0</v>
      </c>
      <c r="V250">
        <f>RTD("tos.rtd", , "RHO", ".SPY150522P218.5")</f>
        <v>-0.11365</v>
      </c>
    </row>
    <row r="251" spans="1:22" x14ac:dyDescent="0.25">
      <c r="A251">
        <f>RTD("tos.rtd", , "ASK", ".SPY150522C219")</f>
        <v>0.05</v>
      </c>
      <c r="B251">
        <f>RTD("tos.rtd", , "ASK_SIZE", ".SPY150522C219")</f>
        <v>600</v>
      </c>
      <c r="C251">
        <f>RTD("tos.rtd", , "BID", ".SPY150522C219")</f>
        <v>0.04</v>
      </c>
      <c r="D251">
        <f>RTD("tos.rtd", , "BID_SIZE", ".SPY150522C219")</f>
        <v>600</v>
      </c>
      <c r="E251">
        <f>RTD("tos.rtd", , "VOLUME", ".SPY150522C219")</f>
        <v>45</v>
      </c>
      <c r="F251">
        <f>RTD("tos.rtd", , "OPEN_INT", ".SPY150522C219")</f>
        <v>36</v>
      </c>
      <c r="G251">
        <f>RTD("tos.rtd", , "DELTA", ".SPY150522C219")</f>
        <v>2.9690000000000001E-2</v>
      </c>
      <c r="H251">
        <f>RTD("tos.rtd", , "THETA", ".SPY150522C219")</f>
        <v>-7.0299999999999998E-3</v>
      </c>
      <c r="I251">
        <f>RTD("tos.rtd", , "GAMMA", ".SPY150522C219")</f>
        <v>1.685E-2</v>
      </c>
      <c r="J251">
        <f>RTD("tos.rtd", , "VEGA", ".SPY150522C219")</f>
        <v>3.3160000000000002E-2</v>
      </c>
      <c r="K251">
        <f>RTD("tos.rtd", , "RHO", ".SPY150522C219")</f>
        <v>3.2399999999999998E-3</v>
      </c>
      <c r="L251">
        <f>RTD("tos.rtd", , "ASK", ".SPY150522P219")</f>
        <v>7.71</v>
      </c>
      <c r="M251">
        <f>RTD("tos.rtd", , "ASK_SIZE", ".SPY150522P219")</f>
        <v>31</v>
      </c>
      <c r="N251">
        <f>RTD("tos.rtd", , "BID", ".SPY150522P219")</f>
        <v>7.45</v>
      </c>
      <c r="O251">
        <f>RTD("tos.rtd", , "BID_SIZE", ".SPY150522P219")</f>
        <v>100</v>
      </c>
      <c r="P251" t="str">
        <f>RTD("tos.rtd", , "VOLUME", ".SPY150522P219")</f>
        <v>N/A</v>
      </c>
      <c r="Q251">
        <f>RTD("tos.rtd", , "OPEN_INT", ".SPY150522P219")</f>
        <v>0</v>
      </c>
      <c r="R251">
        <f>RTD("tos.rtd", , "DELTA", ".SPY150522P219")</f>
        <v>-0.99907999999999997</v>
      </c>
      <c r="S251">
        <f>RTD("tos.rtd", , "THETA", ".SPY150522P219")</f>
        <v>-8.6899999999999998E-3</v>
      </c>
      <c r="T251">
        <f>RTD("tos.rtd", , "GAMMA", ".SPY150522P219")</f>
        <v>0</v>
      </c>
      <c r="U251">
        <f>RTD("tos.rtd", , "VEGA", ".SPY150522P219")</f>
        <v>0</v>
      </c>
      <c r="V251">
        <f>RTD("tos.rtd", , "RHO", ".SPY150522P219")</f>
        <v>-0.11391</v>
      </c>
    </row>
    <row r="252" spans="1:22" x14ac:dyDescent="0.25">
      <c r="A252">
        <f>RTD("tos.rtd", , "ASK", ".SPY150522C219.5")</f>
        <v>0.04</v>
      </c>
      <c r="B252">
        <f>RTD("tos.rtd", , "ASK_SIZE", ".SPY150522C219.5")</f>
        <v>600</v>
      </c>
      <c r="C252">
        <f>RTD("tos.rtd", , "BID", ".SPY150522C219.5")</f>
        <v>0.03</v>
      </c>
      <c r="D252">
        <f>RTD("tos.rtd", , "BID_SIZE", ".SPY150522C219.5")</f>
        <v>600</v>
      </c>
      <c r="E252">
        <f>RTD("tos.rtd", , "VOLUME", ".SPY150522C219.5")</f>
        <v>3</v>
      </c>
      <c r="F252">
        <f>RTD("tos.rtd", , "OPEN_INT", ".SPY150522C219.5")</f>
        <v>29</v>
      </c>
      <c r="G252">
        <f>RTD("tos.rtd", , "DELTA", ".SPY150522C219.5")</f>
        <v>2.342E-2</v>
      </c>
      <c r="H252">
        <f>RTD("tos.rtd", , "THETA", ".SPY150522C219.5")</f>
        <v>-5.8500000000000002E-3</v>
      </c>
      <c r="I252">
        <f>RTD("tos.rtd", , "GAMMA", ".SPY150522C219.5")</f>
        <v>1.3690000000000001E-2</v>
      </c>
      <c r="J252">
        <f>RTD("tos.rtd", , "VEGA", ".SPY150522C219.5")</f>
        <v>2.725E-2</v>
      </c>
      <c r="K252">
        <f>RTD("tos.rtd", , "RHO", ".SPY150522C219.5")</f>
        <v>2.5500000000000002E-3</v>
      </c>
      <c r="L252">
        <f>RTD("tos.rtd", , "ASK", ".SPY150522P219.5")</f>
        <v>8.2200000000000006</v>
      </c>
      <c r="M252">
        <f>RTD("tos.rtd", , "ASK_SIZE", ".SPY150522P219.5")</f>
        <v>100</v>
      </c>
      <c r="N252">
        <f>RTD("tos.rtd", , "BID", ".SPY150522P219.5")</f>
        <v>7.92</v>
      </c>
      <c r="O252">
        <f>RTD("tos.rtd", , "BID_SIZE", ".SPY150522P219.5")</f>
        <v>100</v>
      </c>
      <c r="P252" t="str">
        <f>RTD("tos.rtd", , "VOLUME", ".SPY150522P219.5")</f>
        <v>N/A</v>
      </c>
      <c r="Q252">
        <f>RTD("tos.rtd", , "OPEN_INT", ".SPY150522P219.5")</f>
        <v>0</v>
      </c>
      <c r="R252">
        <f>RTD("tos.rtd", , "DELTA", ".SPY150522P219.5")</f>
        <v>-0.99907999999999997</v>
      </c>
      <c r="S252">
        <f>RTD("tos.rtd", , "THETA", ".SPY150522P219.5")</f>
        <v>-8.6899999999999998E-3</v>
      </c>
      <c r="T252">
        <f>RTD("tos.rtd", , "GAMMA", ".SPY150522P219.5")</f>
        <v>0</v>
      </c>
      <c r="U252">
        <f>RTD("tos.rtd", , "VEGA", ".SPY150522P219.5")</f>
        <v>0</v>
      </c>
      <c r="V252">
        <f>RTD("tos.rtd", , "RHO", ".SPY150522P219.5")</f>
        <v>-0.11416999999999999</v>
      </c>
    </row>
    <row r="253" spans="1:22" x14ac:dyDescent="0.25">
      <c r="A253" t="s">
        <v>6</v>
      </c>
      <c r="B253">
        <v>40</v>
      </c>
    </row>
    <row r="254" spans="1:22" x14ac:dyDescent="0.25">
      <c r="A254">
        <f>RTD("tos.rtd", ,"LAST", "SPY")</f>
        <v>211.32</v>
      </c>
    </row>
    <row r="255" spans="1:22" x14ac:dyDescent="0.25">
      <c r="A255">
        <f>RTD("tos.rtd", , "ASK", ".SPY150529C200")</f>
        <v>11.97</v>
      </c>
      <c r="B255">
        <f>RTD("tos.rtd", , "ASK_SIZE", ".SPY150529C200")</f>
        <v>141</v>
      </c>
      <c r="C255">
        <f>RTD("tos.rtd", , "BID", ".SPY150529C200")</f>
        <v>11.7</v>
      </c>
      <c r="D255">
        <f>RTD("tos.rtd", , "BID_SIZE", ".SPY150529C200")</f>
        <v>131</v>
      </c>
      <c r="E255">
        <f>RTD("tos.rtd", , "VOLUME", ".SPY150529C200")</f>
        <v>182</v>
      </c>
      <c r="F255">
        <f>RTD("tos.rtd", , "OPEN_INT", ".SPY150529C200")</f>
        <v>104</v>
      </c>
      <c r="G255">
        <f>RTD("tos.rtd", , "DELTA", ".SPY150529C200")</f>
        <v>0.89307000000000003</v>
      </c>
      <c r="H255">
        <f>RTD("tos.rtd", , "THETA", ".SPY150529C200")</f>
        <v>-2.929E-2</v>
      </c>
      <c r="I255">
        <f>RTD("tos.rtd", , "GAMMA", ".SPY150529C200")</f>
        <v>2.009E-2</v>
      </c>
      <c r="J255">
        <f>RTD("tos.rtd", , "VEGA", ".SPY150529C200")</f>
        <v>0.10263</v>
      </c>
      <c r="K255">
        <f>RTD("tos.rtd", , "RHO", ".SPY150529C200")</f>
        <v>7.8729999999999994E-2</v>
      </c>
      <c r="L255">
        <f>RTD("tos.rtd", , "ASK", ".SPY150529P200")</f>
        <v>0.36</v>
      </c>
      <c r="M255">
        <f>RTD("tos.rtd", , "ASK_SIZE", ".SPY150529P200")</f>
        <v>250</v>
      </c>
      <c r="N255">
        <f>RTD("tos.rtd", , "BID", ".SPY150529P200")</f>
        <v>0.34</v>
      </c>
      <c r="O255">
        <f>RTD("tos.rtd", , "BID_SIZE", ".SPY150529P200")</f>
        <v>240</v>
      </c>
      <c r="P255">
        <f>RTD("tos.rtd", , "VOLUME", ".SPY150529P200")</f>
        <v>1308</v>
      </c>
      <c r="Q255">
        <f>RTD("tos.rtd", , "OPEN_INT", ".SPY150529P200")</f>
        <v>10597</v>
      </c>
      <c r="R255">
        <f>RTD("tos.rtd", , "DELTA", ".SPY150529P200")</f>
        <v>-8.6639999999999995E-2</v>
      </c>
      <c r="S255">
        <f>RTD("tos.rtd", , "THETA", ".SPY150529P200")</f>
        <v>-2.717E-2</v>
      </c>
      <c r="T255">
        <f>RTD("tos.rtd", , "GAMMA", ".SPY150529P200")</f>
        <v>1.831E-2</v>
      </c>
      <c r="U255">
        <f>RTD("tos.rtd", , "VEGA", ".SPY150529P200")</f>
        <v>8.9620000000000005E-2</v>
      </c>
      <c r="V255">
        <f>RTD("tos.rtd", , "RHO", ".SPY150529P200")</f>
        <v>-1.328E-2</v>
      </c>
    </row>
    <row r="256" spans="1:22" x14ac:dyDescent="0.25">
      <c r="A256">
        <f>RTD("tos.rtd", , "ASK", ".SPY150529C200.5")</f>
        <v>11.48</v>
      </c>
      <c r="B256">
        <f>RTD("tos.rtd", , "ASK_SIZE", ".SPY150529C200.5")</f>
        <v>111</v>
      </c>
      <c r="C256">
        <f>RTD("tos.rtd", , "BID", ".SPY150529C200.5")</f>
        <v>11.23</v>
      </c>
      <c r="D256">
        <f>RTD("tos.rtd", , "BID_SIZE", ".SPY150529C200.5")</f>
        <v>131</v>
      </c>
      <c r="E256">
        <f>RTD("tos.rtd", , "VOLUME", ".SPY150529C200.5")</f>
        <v>0</v>
      </c>
      <c r="F256">
        <f>RTD("tos.rtd", , "OPEN_INT", ".SPY150529C200.5")</f>
        <v>113</v>
      </c>
      <c r="G256">
        <f>RTD("tos.rtd", , "DELTA", ".SPY150529C200.5")</f>
        <v>0.88746000000000003</v>
      </c>
      <c r="H256">
        <f>RTD("tos.rtd", , "THETA", ".SPY150529C200.5")</f>
        <v>-2.9760000000000002E-2</v>
      </c>
      <c r="I256">
        <f>RTD("tos.rtd", , "GAMMA", ".SPY150529C200.5")</f>
        <v>2.137E-2</v>
      </c>
      <c r="J256">
        <f>RTD("tos.rtd", , "VEGA", ".SPY150529C200.5")</f>
        <v>0.10662000000000001</v>
      </c>
      <c r="K256">
        <f>RTD("tos.rtd", , "RHO", ".SPY150529C200.5")</f>
        <v>8.0350000000000005E-2</v>
      </c>
      <c r="L256">
        <f>RTD("tos.rtd", , "ASK", ".SPY150529P200.5")</f>
        <v>0.39</v>
      </c>
      <c r="M256">
        <f>RTD("tos.rtd", , "ASK_SIZE", ".SPY150529P200.5")</f>
        <v>250</v>
      </c>
      <c r="N256">
        <f>RTD("tos.rtd", , "BID", ".SPY150529P200.5")</f>
        <v>0.37</v>
      </c>
      <c r="O256">
        <f>RTD("tos.rtd", , "BID_SIZE", ".SPY150529P200.5")</f>
        <v>240</v>
      </c>
      <c r="P256">
        <f>RTD("tos.rtd", , "VOLUME", ".SPY150529P200.5")</f>
        <v>9</v>
      </c>
      <c r="Q256">
        <f>RTD("tos.rtd", , "OPEN_INT", ".SPY150529P200.5")</f>
        <v>960</v>
      </c>
      <c r="R256">
        <f>RTD("tos.rtd", , "DELTA", ".SPY150529P200.5")</f>
        <v>-9.3840000000000007E-2</v>
      </c>
      <c r="S256">
        <f>RTD("tos.rtd", , "THETA", ".SPY150529P200.5")</f>
        <v>-2.844E-2</v>
      </c>
      <c r="T256">
        <f>RTD("tos.rtd", , "GAMMA", ".SPY150529P200.5")</f>
        <v>1.9699999999999999E-2</v>
      </c>
      <c r="U256">
        <f>RTD("tos.rtd", , "VEGA", ".SPY150529P200.5")</f>
        <v>9.5070000000000002E-2</v>
      </c>
      <c r="V256">
        <f>RTD("tos.rtd", , "RHO", ".SPY150529P200.5")</f>
        <v>-1.439E-2</v>
      </c>
    </row>
    <row r="257" spans="1:22" x14ac:dyDescent="0.25">
      <c r="A257">
        <f>RTD("tos.rtd", , "ASK", ".SPY150529C201")</f>
        <v>11.03</v>
      </c>
      <c r="B257">
        <f>RTD("tos.rtd", , "ASK_SIZE", ".SPY150529C201")</f>
        <v>130</v>
      </c>
      <c r="C257">
        <f>RTD("tos.rtd", , "BID", ".SPY150529C201")</f>
        <v>10.76</v>
      </c>
      <c r="D257">
        <f>RTD("tos.rtd", , "BID_SIZE", ".SPY150529C201")</f>
        <v>120</v>
      </c>
      <c r="E257">
        <f>RTD("tos.rtd", , "VOLUME", ".SPY150529C201")</f>
        <v>2</v>
      </c>
      <c r="F257">
        <f>RTD("tos.rtd", , "OPEN_INT", ".SPY150529C201")</f>
        <v>67</v>
      </c>
      <c r="G257">
        <f>RTD("tos.rtd", , "DELTA", ".SPY150529C201")</f>
        <v>0.87888999999999995</v>
      </c>
      <c r="H257">
        <f>RTD("tos.rtd", , "THETA", ".SPY150529C201")</f>
        <v>-3.1099999999999999E-2</v>
      </c>
      <c r="I257">
        <f>RTD("tos.rtd", , "GAMMA", ".SPY150529C201")</f>
        <v>2.2780000000000002E-2</v>
      </c>
      <c r="J257">
        <f>RTD("tos.rtd", , "VEGA", ".SPY150529C201")</f>
        <v>0.11252</v>
      </c>
      <c r="K257">
        <f>RTD("tos.rtd", , "RHO", ".SPY150529C201")</f>
        <v>8.2500000000000004E-2</v>
      </c>
      <c r="L257">
        <f>RTD("tos.rtd", , "ASK", ".SPY150529P201")</f>
        <v>0.43</v>
      </c>
      <c r="M257">
        <f>RTD("tos.rtd", , "ASK_SIZE", ".SPY150529P201")</f>
        <v>1030</v>
      </c>
      <c r="N257">
        <f>RTD("tos.rtd", , "BID", ".SPY150529P201")</f>
        <v>0.4</v>
      </c>
      <c r="O257">
        <f>RTD("tos.rtd", , "BID_SIZE", ".SPY150529P201")</f>
        <v>2500</v>
      </c>
      <c r="P257">
        <f>RTD("tos.rtd", , "VOLUME", ".SPY150529P201")</f>
        <v>29</v>
      </c>
      <c r="Q257">
        <f>RTD("tos.rtd", , "OPEN_INT", ".SPY150529P201")</f>
        <v>2706</v>
      </c>
      <c r="R257">
        <f>RTD("tos.rtd", , "DELTA", ".SPY150529P201")</f>
        <v>-0.10199</v>
      </c>
      <c r="S257">
        <f>RTD("tos.rtd", , "THETA", ".SPY150529P201")</f>
        <v>-2.9870000000000001E-2</v>
      </c>
      <c r="T257">
        <f>RTD("tos.rtd", , "GAMMA", ".SPY150529P201")</f>
        <v>2.1190000000000001E-2</v>
      </c>
      <c r="U257">
        <f>RTD("tos.rtd", , "VEGA", ".SPY150529P201")</f>
        <v>0.10101</v>
      </c>
      <c r="V257">
        <f>RTD("tos.rtd", , "RHO", ".SPY150529P201")</f>
        <v>-1.5640000000000001E-2</v>
      </c>
    </row>
    <row r="258" spans="1:22" x14ac:dyDescent="0.25">
      <c r="A258">
        <f>RTD("tos.rtd", , "ASK", ".SPY150529C201.5")</f>
        <v>10.55</v>
      </c>
      <c r="B258">
        <f>RTD("tos.rtd", , "ASK_SIZE", ".SPY150529C201.5")</f>
        <v>111</v>
      </c>
      <c r="C258">
        <f>RTD("tos.rtd", , "BID", ".SPY150529C201.5")</f>
        <v>10.31</v>
      </c>
      <c r="D258">
        <f>RTD("tos.rtd", , "BID_SIZE", ".SPY150529C201.5")</f>
        <v>111</v>
      </c>
      <c r="E258">
        <f>RTD("tos.rtd", , "VOLUME", ".SPY150529C201.5")</f>
        <v>3</v>
      </c>
      <c r="F258">
        <f>RTD("tos.rtd", , "OPEN_INT", ".SPY150529C201.5")</f>
        <v>43</v>
      </c>
      <c r="G258">
        <f>RTD("tos.rtd", , "DELTA", ".SPY150529C201.5")</f>
        <v>0.87073</v>
      </c>
      <c r="H258">
        <f>RTD("tos.rtd", , "THETA", ".SPY150529C201.5")</f>
        <v>-3.209E-2</v>
      </c>
      <c r="I258">
        <f>RTD("tos.rtd", , "GAMMA", ".SPY150529C201.5")</f>
        <v>2.4250000000000001E-2</v>
      </c>
      <c r="J258">
        <f>RTD("tos.rtd", , "VEGA", ".SPY150529C201.5")</f>
        <v>0.11792</v>
      </c>
      <c r="K258">
        <f>RTD("tos.rtd", , "RHO", ".SPY150529C201.5")</f>
        <v>8.4220000000000003E-2</v>
      </c>
      <c r="L258">
        <f>RTD("tos.rtd", , "ASK", ".SPY150529P201.5")</f>
        <v>0.46</v>
      </c>
      <c r="M258">
        <f>RTD("tos.rtd", , "ASK_SIZE", ".SPY150529P201.5")</f>
        <v>250</v>
      </c>
      <c r="N258">
        <f>RTD("tos.rtd", , "BID", ".SPY150529P201.5")</f>
        <v>0.44</v>
      </c>
      <c r="O258">
        <f>RTD("tos.rtd", , "BID_SIZE", ".SPY150529P201.5")</f>
        <v>240</v>
      </c>
      <c r="P258">
        <f>RTD("tos.rtd", , "VOLUME", ".SPY150529P201.5")</f>
        <v>308</v>
      </c>
      <c r="Q258">
        <f>RTD("tos.rtd", , "OPEN_INT", ".SPY150529P201.5")</f>
        <v>1866</v>
      </c>
      <c r="R258">
        <f>RTD("tos.rtd", , "DELTA", ".SPY150529P201.5")</f>
        <v>-0.11036</v>
      </c>
      <c r="S258">
        <f>RTD("tos.rtd", , "THETA", ".SPY150529P201.5")</f>
        <v>-3.117E-2</v>
      </c>
      <c r="T258">
        <f>RTD("tos.rtd", , "GAMMA", ".SPY150529P201.5")</f>
        <v>2.2749999999999999E-2</v>
      </c>
      <c r="U258">
        <f>RTD("tos.rtd", , "VEGA", ".SPY150529P201.5")</f>
        <v>0.1069</v>
      </c>
      <c r="V258">
        <f>RTD("tos.rtd", , "RHO", ".SPY150529P201.5")</f>
        <v>-1.6920000000000001E-2</v>
      </c>
    </row>
    <row r="259" spans="1:22" x14ac:dyDescent="0.25">
      <c r="A259">
        <f>RTD("tos.rtd", , "ASK", ".SPY150529C202")</f>
        <v>10.08</v>
      </c>
      <c r="B259">
        <f>RTD("tos.rtd", , "ASK_SIZE", ".SPY150529C202")</f>
        <v>111</v>
      </c>
      <c r="C259">
        <f>RTD("tos.rtd", , "BID", ".SPY150529C202")</f>
        <v>9.85</v>
      </c>
      <c r="D259">
        <f>RTD("tos.rtd", , "BID_SIZE", ".SPY150529C202")</f>
        <v>111</v>
      </c>
      <c r="E259">
        <f>RTD("tos.rtd", , "VOLUME", ".SPY150529C202")</f>
        <v>11</v>
      </c>
      <c r="F259">
        <f>RTD("tos.rtd", , "OPEN_INT", ".SPY150529C202")</f>
        <v>43</v>
      </c>
      <c r="G259">
        <f>RTD("tos.rtd", , "DELTA", ".SPY150529C202")</f>
        <v>0.86226999999999998</v>
      </c>
      <c r="H259">
        <f>RTD("tos.rtd", , "THETA", ".SPY150529C202")</f>
        <v>-3.2980000000000002E-2</v>
      </c>
      <c r="I259">
        <f>RTD("tos.rtd", , "GAMMA", ".SPY150529C202")</f>
        <v>2.579E-2</v>
      </c>
      <c r="J259">
        <f>RTD("tos.rtd", , "VEGA", ".SPY150529C202")</f>
        <v>0.12330000000000001</v>
      </c>
      <c r="K259">
        <f>RTD("tos.rtd", , "RHO", ".SPY150529C202")</f>
        <v>8.5720000000000005E-2</v>
      </c>
      <c r="L259">
        <f>RTD("tos.rtd", , "ASK", ".SPY150529P202")</f>
        <v>0.5</v>
      </c>
      <c r="M259">
        <f>RTD("tos.rtd", , "ASK_SIZE", ".SPY150529P202")</f>
        <v>250</v>
      </c>
      <c r="N259">
        <f>RTD("tos.rtd", , "BID", ".SPY150529P202")</f>
        <v>0.47</v>
      </c>
      <c r="O259">
        <f>RTD("tos.rtd", , "BID_SIZE", ".SPY150529P202")</f>
        <v>2321</v>
      </c>
      <c r="P259">
        <f>RTD("tos.rtd", , "VOLUME", ".SPY150529P202")</f>
        <v>96</v>
      </c>
      <c r="Q259">
        <f>RTD("tos.rtd", , "OPEN_INT", ".SPY150529P202")</f>
        <v>3092</v>
      </c>
      <c r="R259">
        <f>RTD("tos.rtd", , "DELTA", ".SPY150529P202")</f>
        <v>-0.11898</v>
      </c>
      <c r="S259">
        <f>RTD("tos.rtd", , "THETA", ".SPY150529P202")</f>
        <v>-3.2349999999999997E-2</v>
      </c>
      <c r="T259">
        <f>RTD("tos.rtd", , "GAMMA", ".SPY150529P202")</f>
        <v>2.4400000000000002E-2</v>
      </c>
      <c r="U259">
        <f>RTD("tos.rtd", , "VEGA", ".SPY150529P202")</f>
        <v>0.11274000000000001</v>
      </c>
      <c r="V259">
        <f>RTD("tos.rtd", , "RHO", ".SPY150529P202")</f>
        <v>-1.8249999999999999E-2</v>
      </c>
    </row>
    <row r="260" spans="1:22" x14ac:dyDescent="0.25">
      <c r="A260">
        <f>RTD("tos.rtd", , "ASK", ".SPY150529C202.5")</f>
        <v>9.6300000000000008</v>
      </c>
      <c r="B260">
        <f>RTD("tos.rtd", , "ASK_SIZE", ".SPY150529C202.5")</f>
        <v>249</v>
      </c>
      <c r="C260">
        <f>RTD("tos.rtd", , "BID", ".SPY150529C202.5")</f>
        <v>9.4</v>
      </c>
      <c r="D260">
        <f>RTD("tos.rtd", , "BID_SIZE", ".SPY150529C202.5")</f>
        <v>249</v>
      </c>
      <c r="E260">
        <f>RTD("tos.rtd", , "VOLUME", ".SPY150529C202.5")</f>
        <v>1</v>
      </c>
      <c r="F260">
        <f>RTD("tos.rtd", , "OPEN_INT", ".SPY150529C202.5")</f>
        <v>8</v>
      </c>
      <c r="G260">
        <f>RTD("tos.rtd", , "DELTA", ".SPY150529C202.5")</f>
        <v>0.85163</v>
      </c>
      <c r="H260">
        <f>RTD("tos.rtd", , "THETA", ".SPY150529C202.5")</f>
        <v>-3.4369999999999998E-2</v>
      </c>
      <c r="I260">
        <f>RTD("tos.rtd", , "GAMMA", ".SPY150529C202.5")</f>
        <v>2.7400000000000001E-2</v>
      </c>
      <c r="J260">
        <f>RTD("tos.rtd", , "VEGA", ".SPY150529C202.5")</f>
        <v>0.1298</v>
      </c>
      <c r="K260">
        <f>RTD("tos.rtd", , "RHO", ".SPY150529C202.5")</f>
        <v>8.7290000000000006E-2</v>
      </c>
      <c r="L260">
        <f>RTD("tos.rtd", , "ASK", ".SPY150529P202.5")</f>
        <v>0.55000000000000004</v>
      </c>
      <c r="M260">
        <f>RTD("tos.rtd", , "ASK_SIZE", ".SPY150529P202.5")</f>
        <v>249</v>
      </c>
      <c r="N260">
        <f>RTD("tos.rtd", , "BID", ".SPY150529P202.5")</f>
        <v>0.52</v>
      </c>
      <c r="O260">
        <f>RTD("tos.rtd", , "BID_SIZE", ".SPY150529P202.5")</f>
        <v>316</v>
      </c>
      <c r="P260">
        <f>RTD("tos.rtd", , "VOLUME", ".SPY150529P202.5")</f>
        <v>28</v>
      </c>
      <c r="Q260">
        <f>RTD("tos.rtd", , "OPEN_INT", ".SPY150529P202.5")</f>
        <v>1109</v>
      </c>
      <c r="R260">
        <f>RTD("tos.rtd", , "DELTA", ".SPY150529P202.5")</f>
        <v>-0.12995000000000001</v>
      </c>
      <c r="S260">
        <f>RTD("tos.rtd", , "THETA", ".SPY150529P202.5")</f>
        <v>-3.4079999999999999E-2</v>
      </c>
      <c r="T260">
        <f>RTD("tos.rtd", , "GAMMA", ".SPY150529P202.5")</f>
        <v>2.6210000000000001E-2</v>
      </c>
      <c r="U260">
        <f>RTD("tos.rtd", , "VEGA", ".SPY150529P202.5")</f>
        <v>0.11987</v>
      </c>
      <c r="V260">
        <f>RTD("tos.rtd", , "RHO", ".SPY150529P202.5")</f>
        <v>-1.993E-2</v>
      </c>
    </row>
    <row r="261" spans="1:22" x14ac:dyDescent="0.25">
      <c r="A261">
        <f>RTD("tos.rtd", , "ASK", ".SPY150529C203")</f>
        <v>9.18</v>
      </c>
      <c r="B261">
        <f>RTD("tos.rtd", , "ASK_SIZE", ".SPY150529C203")</f>
        <v>240</v>
      </c>
      <c r="C261">
        <f>RTD("tos.rtd", , "BID", ".SPY150529C203")</f>
        <v>8.9600000000000009</v>
      </c>
      <c r="D261">
        <f>RTD("tos.rtd", , "BID_SIZE", ".SPY150529C203")</f>
        <v>249</v>
      </c>
      <c r="E261">
        <f>RTD("tos.rtd", , "VOLUME", ".SPY150529C203")</f>
        <v>2</v>
      </c>
      <c r="F261">
        <f>RTD("tos.rtd", , "OPEN_INT", ".SPY150529C203")</f>
        <v>43</v>
      </c>
      <c r="G261">
        <f>RTD("tos.rtd", , "DELTA", ".SPY150529C203")</f>
        <v>0.84008000000000005</v>
      </c>
      <c r="H261">
        <f>RTD("tos.rtd", , "THETA", ".SPY150529C203")</f>
        <v>-3.5810000000000002E-2</v>
      </c>
      <c r="I261">
        <f>RTD("tos.rtd", , "GAMMA", ".SPY150529C203")</f>
        <v>2.9059999999999999E-2</v>
      </c>
      <c r="J261">
        <f>RTD("tos.rtd", , "VEGA", ".SPY150529C203")</f>
        <v>0.13652</v>
      </c>
      <c r="K261">
        <f>RTD("tos.rtd", , "RHO", ".SPY150529C203")</f>
        <v>8.863E-2</v>
      </c>
      <c r="L261">
        <f>RTD("tos.rtd", , "ASK", ".SPY150529P203")</f>
        <v>0.6</v>
      </c>
      <c r="M261">
        <f>RTD("tos.rtd", , "ASK_SIZE", ".SPY150529P203")</f>
        <v>224</v>
      </c>
      <c r="N261">
        <f>RTD("tos.rtd", , "BID", ".SPY150529P203")</f>
        <v>0.56999999999999995</v>
      </c>
      <c r="O261">
        <f>RTD("tos.rtd", , "BID_SIZE", ".SPY150529P203")</f>
        <v>240</v>
      </c>
      <c r="P261">
        <f>RTD("tos.rtd", , "VOLUME", ".SPY150529P203")</f>
        <v>1018</v>
      </c>
      <c r="Q261">
        <f>RTD("tos.rtd", , "OPEN_INT", ".SPY150529P203")</f>
        <v>2871</v>
      </c>
      <c r="R261">
        <f>RTD("tos.rtd", , "DELTA", ".SPY150529P203")</f>
        <v>-0.14122999999999999</v>
      </c>
      <c r="S261">
        <f>RTD("tos.rtd", , "THETA", ".SPY150529P203")</f>
        <v>-3.5639999999999998E-2</v>
      </c>
      <c r="T261">
        <f>RTD("tos.rtd", , "GAMMA", ".SPY150529P203")</f>
        <v>2.809E-2</v>
      </c>
      <c r="U261">
        <f>RTD("tos.rtd", , "VEGA", ".SPY150529P203")</f>
        <v>0.12684999999999999</v>
      </c>
      <c r="V261">
        <f>RTD("tos.rtd", , "RHO", ".SPY150529P203")</f>
        <v>-2.1659999999999999E-2</v>
      </c>
    </row>
    <row r="262" spans="1:22" x14ac:dyDescent="0.25">
      <c r="A262">
        <f>RTD("tos.rtd", , "ASK", ".SPY150529C203.5")</f>
        <v>8.7200000000000006</v>
      </c>
      <c r="B262">
        <f>RTD("tos.rtd", , "ASK_SIZE", ".SPY150529C203.5")</f>
        <v>249</v>
      </c>
      <c r="C262">
        <f>RTD("tos.rtd", , "BID", ".SPY150529C203.5")</f>
        <v>8.51</v>
      </c>
      <c r="D262">
        <f>RTD("tos.rtd", , "BID_SIZE", ".SPY150529C203.5")</f>
        <v>249</v>
      </c>
      <c r="E262">
        <f>RTD("tos.rtd", , "VOLUME", ".SPY150529C203.5")</f>
        <v>2</v>
      </c>
      <c r="F262">
        <f>RTD("tos.rtd", , "OPEN_INT", ".SPY150529C203.5")</f>
        <v>0</v>
      </c>
      <c r="G262">
        <f>RTD("tos.rtd", , "DELTA", ".SPY150529C203.5")</f>
        <v>0.82942000000000005</v>
      </c>
      <c r="H262">
        <f>RTD("tos.rtd", , "THETA", ".SPY150529C203.5")</f>
        <v>-3.669E-2</v>
      </c>
      <c r="I262">
        <f>RTD("tos.rtd", , "GAMMA", ".SPY150529C203.5")</f>
        <v>3.0839999999999999E-2</v>
      </c>
      <c r="J262">
        <f>RTD("tos.rtd", , "VEGA", ".SPY150529C203.5")</f>
        <v>0.14241999999999999</v>
      </c>
      <c r="K262">
        <f>RTD("tos.rtd", , "RHO", ".SPY150529C203.5")</f>
        <v>8.9569999999999997E-2</v>
      </c>
      <c r="L262">
        <f>RTD("tos.rtd", , "ASK", ".SPY150529P203.5")</f>
        <v>0.65</v>
      </c>
      <c r="M262">
        <f>RTD("tos.rtd", , "ASK_SIZE", ".SPY150529P203.5")</f>
        <v>240</v>
      </c>
      <c r="N262">
        <f>RTD("tos.rtd", , "BID", ".SPY150529P203.5")</f>
        <v>0.62</v>
      </c>
      <c r="O262">
        <f>RTD("tos.rtd", , "BID_SIZE", ".SPY150529P203.5")</f>
        <v>241</v>
      </c>
      <c r="P262">
        <f>RTD("tos.rtd", , "VOLUME", ".SPY150529P203.5")</f>
        <v>841</v>
      </c>
      <c r="Q262">
        <f>RTD("tos.rtd", , "OPEN_INT", ".SPY150529P203.5")</f>
        <v>395</v>
      </c>
      <c r="R262">
        <f>RTD("tos.rtd", , "DELTA", ".SPY150529P203.5")</f>
        <v>-0.15273999999999999</v>
      </c>
      <c r="S262">
        <f>RTD("tos.rtd", , "THETA", ".SPY150529P203.5")</f>
        <v>-3.6999999999999998E-2</v>
      </c>
      <c r="T262">
        <f>RTD("tos.rtd", , "GAMMA", ".SPY150529P203.5")</f>
        <v>3.007E-2</v>
      </c>
      <c r="U262">
        <f>RTD("tos.rtd", , "VEGA", ".SPY150529P203.5")</f>
        <v>0.13364999999999999</v>
      </c>
      <c r="V262">
        <f>RTD("tos.rtd", , "RHO", ".SPY150529P203.5")</f>
        <v>-2.3429999999999999E-2</v>
      </c>
    </row>
    <row r="263" spans="1:22" x14ac:dyDescent="0.25">
      <c r="A263">
        <f>RTD("tos.rtd", , "ASK", ".SPY150529C204")</f>
        <v>8.26</v>
      </c>
      <c r="B263">
        <f>RTD("tos.rtd", , "ASK_SIZE", ".SPY150529C204")</f>
        <v>150</v>
      </c>
      <c r="C263">
        <f>RTD("tos.rtd", , "BID", ".SPY150529C204")</f>
        <v>8.06</v>
      </c>
      <c r="D263">
        <f>RTD("tos.rtd", , "BID_SIZE", ".SPY150529C204")</f>
        <v>249</v>
      </c>
      <c r="E263">
        <f>RTD("tos.rtd", , "VOLUME", ".SPY150529C204")</f>
        <v>0</v>
      </c>
      <c r="F263">
        <f>RTD("tos.rtd", , "OPEN_INT", ".SPY150529C204")</f>
        <v>42</v>
      </c>
      <c r="G263">
        <f>RTD("tos.rtd", , "DELTA", ".SPY150529C204")</f>
        <v>0.81833</v>
      </c>
      <c r="H263">
        <f>RTD("tos.rtd", , "THETA", ".SPY150529C204")</f>
        <v>-3.7429999999999998E-2</v>
      </c>
      <c r="I263">
        <f>RTD("tos.rtd", , "GAMMA", ".SPY150529C204")</f>
        <v>3.2730000000000002E-2</v>
      </c>
      <c r="J263">
        <f>RTD("tos.rtd", , "VEGA", ".SPY150529C204")</f>
        <v>0.14829000000000001</v>
      </c>
      <c r="K263">
        <f>RTD("tos.rtd", , "RHO", ".SPY150529C204")</f>
        <v>9.0289999999999995E-2</v>
      </c>
      <c r="L263">
        <f>RTD("tos.rtd", , "ASK", ".SPY150529P204")</f>
        <v>0.71</v>
      </c>
      <c r="M263">
        <f>RTD("tos.rtd", , "ASK_SIZE", ".SPY150529P204")</f>
        <v>512</v>
      </c>
      <c r="N263">
        <f>RTD("tos.rtd", , "BID", ".SPY150529P204")</f>
        <v>0.68</v>
      </c>
      <c r="O263">
        <f>RTD("tos.rtd", , "BID_SIZE", ".SPY150529P204")</f>
        <v>150</v>
      </c>
      <c r="P263">
        <f>RTD("tos.rtd", , "VOLUME", ".SPY150529P204")</f>
        <v>779</v>
      </c>
      <c r="Q263">
        <f>RTD("tos.rtd", , "OPEN_INT", ".SPY150529P204")</f>
        <v>1907</v>
      </c>
      <c r="R263">
        <f>RTD("tos.rtd", , "DELTA", ".SPY150529P204")</f>
        <v>-0.16585</v>
      </c>
      <c r="S263">
        <f>RTD("tos.rtd", , "THETA", ".SPY150529P204")</f>
        <v>-3.8559999999999997E-2</v>
      </c>
      <c r="T263">
        <f>RTD("tos.rtd", , "GAMMA", ".SPY150529P204")</f>
        <v>3.2149999999999998E-2</v>
      </c>
      <c r="U263">
        <f>RTD("tos.rtd", , "VEGA", ".SPY150529P204")</f>
        <v>0.14099999999999999</v>
      </c>
      <c r="V263">
        <f>RTD("tos.rtd", , "RHO", ".SPY150529P204")</f>
        <v>-2.545E-2</v>
      </c>
    </row>
    <row r="264" spans="1:22" x14ac:dyDescent="0.25">
      <c r="A264">
        <f>RTD("tos.rtd", , "ASK", ".SPY150529C204.5")</f>
        <v>7.83</v>
      </c>
      <c r="B264">
        <f>RTD("tos.rtd", , "ASK_SIZE", ".SPY150529C204.5")</f>
        <v>249</v>
      </c>
      <c r="C264">
        <f>RTD("tos.rtd", , "BID", ".SPY150529C204.5")</f>
        <v>7.63</v>
      </c>
      <c r="D264">
        <f>RTD("tos.rtd", , "BID_SIZE", ".SPY150529C204.5")</f>
        <v>240</v>
      </c>
      <c r="E264">
        <f>RTD("tos.rtd", , "VOLUME", ".SPY150529C204.5")</f>
        <v>2</v>
      </c>
      <c r="F264">
        <f>RTD("tos.rtd", , "OPEN_INT", ".SPY150529C204.5")</f>
        <v>151</v>
      </c>
      <c r="G264">
        <f>RTD("tos.rtd", , "DELTA", ".SPY150529C204.5")</f>
        <v>0.80410000000000004</v>
      </c>
      <c r="H264">
        <f>RTD("tos.rtd", , "THETA", ".SPY150529C204.5")</f>
        <v>-3.8859999999999999E-2</v>
      </c>
      <c r="I264">
        <f>RTD("tos.rtd", , "GAMMA", ".SPY150529C204.5")</f>
        <v>3.4590000000000003E-2</v>
      </c>
      <c r="J264">
        <f>RTD("tos.rtd", , "VEGA", ".SPY150529C204.5")</f>
        <v>0.15543000000000001</v>
      </c>
      <c r="K264">
        <f>RTD("tos.rtd", , "RHO", ".SPY150529C204.5")</f>
        <v>9.0950000000000003E-2</v>
      </c>
      <c r="L264">
        <f>RTD("tos.rtd", , "ASK", ".SPY150529P204.5")</f>
        <v>0.77</v>
      </c>
      <c r="M264">
        <f>RTD("tos.rtd", , "ASK_SIZE", ".SPY150529P204.5")</f>
        <v>240</v>
      </c>
      <c r="N264">
        <f>RTD("tos.rtd", , "BID", ".SPY150529P204.5")</f>
        <v>0.74</v>
      </c>
      <c r="O264">
        <f>RTD("tos.rtd", , "BID_SIZE", ".SPY150529P204.5")</f>
        <v>150</v>
      </c>
      <c r="P264">
        <f>RTD("tos.rtd", , "VOLUME", ".SPY150529P204.5")</f>
        <v>723</v>
      </c>
      <c r="Q264">
        <f>RTD("tos.rtd", , "OPEN_INT", ".SPY150529P204.5")</f>
        <v>773</v>
      </c>
      <c r="R264">
        <f>RTD("tos.rtd", , "DELTA", ".SPY150529P204.5")</f>
        <v>-0.1794</v>
      </c>
      <c r="S264">
        <f>RTD("tos.rtd", , "THETA", ".SPY150529P204.5")</f>
        <v>-3.9940000000000003E-2</v>
      </c>
      <c r="T264">
        <f>RTD("tos.rtd", , "GAMMA", ".SPY150529P204.5")</f>
        <v>3.4340000000000002E-2</v>
      </c>
      <c r="U264">
        <f>RTD("tos.rtd", , "VEGA", ".SPY150529P204.5")</f>
        <v>0.14818999999999999</v>
      </c>
      <c r="V264">
        <f>RTD("tos.rtd", , "RHO", ".SPY150529P204.5")</f>
        <v>-2.7529999999999999E-2</v>
      </c>
    </row>
    <row r="265" spans="1:22" x14ac:dyDescent="0.25">
      <c r="A265">
        <f>RTD("tos.rtd", , "ASK", ".SPY150529C205")</f>
        <v>7.39</v>
      </c>
      <c r="B265">
        <f>RTD("tos.rtd", , "ASK_SIZE", ".SPY150529C205")</f>
        <v>240</v>
      </c>
      <c r="C265">
        <f>RTD("tos.rtd", , "BID", ".SPY150529C205")</f>
        <v>7.19</v>
      </c>
      <c r="D265">
        <f>RTD("tos.rtd", , "BID_SIZE", ".SPY150529C205")</f>
        <v>240</v>
      </c>
      <c r="E265">
        <f>RTD("tos.rtd", , "VOLUME", ".SPY150529C205")</f>
        <v>12</v>
      </c>
      <c r="F265">
        <f>RTD("tos.rtd", , "OPEN_INT", ".SPY150529C205")</f>
        <v>505</v>
      </c>
      <c r="G265">
        <f>RTD("tos.rtd", , "DELTA", ".SPY150529C205")</f>
        <v>0.79049000000000003</v>
      </c>
      <c r="H265">
        <f>RTD("tos.rtd", , "THETA", ".SPY150529C205")</f>
        <v>-3.9739999999999998E-2</v>
      </c>
      <c r="I265">
        <f>RTD("tos.rtd", , "GAMMA", ".SPY150529C205")</f>
        <v>3.6630000000000003E-2</v>
      </c>
      <c r="J265">
        <f>RTD("tos.rtd", , "VEGA", ".SPY150529C205")</f>
        <v>0.16184999999999999</v>
      </c>
      <c r="K265">
        <f>RTD("tos.rtd", , "RHO", ".SPY150529C205")</f>
        <v>9.1259999999999994E-2</v>
      </c>
      <c r="L265">
        <f>RTD("tos.rtd", , "ASK", ".SPY150529P205")</f>
        <v>0.84</v>
      </c>
      <c r="M265">
        <f>RTD("tos.rtd", , "ASK_SIZE", ".SPY150529P205")</f>
        <v>240</v>
      </c>
      <c r="N265">
        <f>RTD("tos.rtd", , "BID", ".SPY150529P205")</f>
        <v>0.8</v>
      </c>
      <c r="O265">
        <f>RTD("tos.rtd", , "BID_SIZE", ".SPY150529P205")</f>
        <v>240</v>
      </c>
      <c r="P265">
        <f>RTD("tos.rtd", , "VOLUME", ".SPY150529P205")</f>
        <v>168</v>
      </c>
      <c r="Q265">
        <f>RTD("tos.rtd", , "OPEN_INT", ".SPY150529P205")</f>
        <v>15010</v>
      </c>
      <c r="R265">
        <f>RTD("tos.rtd", , "DELTA", ".SPY150529P205")</f>
        <v>-0.19392000000000001</v>
      </c>
      <c r="S265">
        <f>RTD("tos.rtd", , "THETA", ".SPY150529P205")</f>
        <v>-4.1270000000000001E-2</v>
      </c>
      <c r="T265">
        <f>RTD("tos.rtd", , "GAMMA", ".SPY150529P205")</f>
        <v>3.6630000000000003E-2</v>
      </c>
      <c r="U265">
        <f>RTD("tos.rtd", , "VEGA", ".SPY150529P205")</f>
        <v>0.15545</v>
      </c>
      <c r="V265">
        <f>RTD("tos.rtd", , "RHO", ".SPY150529P205")</f>
        <v>-2.9760000000000002E-2</v>
      </c>
    </row>
    <row r="266" spans="1:22" x14ac:dyDescent="0.25">
      <c r="A266">
        <f>RTD("tos.rtd", , "ASK", ".SPY150529C205.5")</f>
        <v>6.96</v>
      </c>
      <c r="B266">
        <f>RTD("tos.rtd", , "ASK_SIZE", ".SPY150529C205.5")</f>
        <v>249</v>
      </c>
      <c r="C266">
        <f>RTD("tos.rtd", , "BID", ".SPY150529C205.5")</f>
        <v>6.77</v>
      </c>
      <c r="D266">
        <f>RTD("tos.rtd", , "BID_SIZE", ".SPY150529C205.5")</f>
        <v>249</v>
      </c>
      <c r="E266">
        <f>RTD("tos.rtd", , "VOLUME", ".SPY150529C205.5")</f>
        <v>2</v>
      </c>
      <c r="F266">
        <f>RTD("tos.rtd", , "OPEN_INT", ".SPY150529C205.5")</f>
        <v>144</v>
      </c>
      <c r="G266">
        <f>RTD("tos.rtd", , "DELTA", ".SPY150529C205.5")</f>
        <v>0.77490000000000003</v>
      </c>
      <c r="H266">
        <f>RTD("tos.rtd", , "THETA", ".SPY150529C205.5")</f>
        <v>-4.088E-2</v>
      </c>
      <c r="I266">
        <f>RTD("tos.rtd", , "GAMMA", ".SPY150529C205.5")</f>
        <v>3.866E-2</v>
      </c>
      <c r="J266">
        <f>RTD("tos.rtd", , "VEGA", ".SPY150529C205.5")</f>
        <v>0.16875000000000001</v>
      </c>
      <c r="K266">
        <f>RTD("tos.rtd", , "RHO", ".SPY150529C205.5")</f>
        <v>9.1359999999999997E-2</v>
      </c>
      <c r="L266">
        <f>RTD("tos.rtd", , "ASK", ".SPY150529P205.5")</f>
        <v>0.91</v>
      </c>
      <c r="M266">
        <f>RTD("tos.rtd", , "ASK_SIZE", ".SPY150529P205.5")</f>
        <v>1185</v>
      </c>
      <c r="N266">
        <f>RTD("tos.rtd", , "BID", ".SPY150529P205.5")</f>
        <v>0.87</v>
      </c>
      <c r="O266">
        <f>RTD("tos.rtd", , "BID_SIZE", ".SPY150529P205.5")</f>
        <v>240</v>
      </c>
      <c r="P266">
        <f>RTD("tos.rtd", , "VOLUME", ".SPY150529P205.5")</f>
        <v>453</v>
      </c>
      <c r="Q266">
        <f>RTD("tos.rtd", , "OPEN_INT", ".SPY150529P205.5")</f>
        <v>773</v>
      </c>
      <c r="R266">
        <f>RTD("tos.rtd", , "DELTA", ".SPY150529P205.5")</f>
        <v>-0.20952000000000001</v>
      </c>
      <c r="S266">
        <f>RTD("tos.rtd", , "THETA", ".SPY150529P205.5")</f>
        <v>-4.2529999999999998E-2</v>
      </c>
      <c r="T266">
        <f>RTD("tos.rtd", , "GAMMA", ".SPY150529P205.5")</f>
        <v>3.9039999999999998E-2</v>
      </c>
      <c r="U266">
        <f>RTD("tos.rtd", , "VEGA", ".SPY150529P205.5")</f>
        <v>0.16277</v>
      </c>
      <c r="V266">
        <f>RTD("tos.rtd", , "RHO", ".SPY150529P205.5")</f>
        <v>-3.2160000000000001E-2</v>
      </c>
    </row>
    <row r="267" spans="1:22" x14ac:dyDescent="0.25">
      <c r="A267">
        <f>RTD("tos.rtd", , "ASK", ".SPY150529C206")</f>
        <v>6.54</v>
      </c>
      <c r="B267">
        <f>RTD("tos.rtd", , "ASK_SIZE", ".SPY150529C206")</f>
        <v>250</v>
      </c>
      <c r="C267">
        <f>RTD("tos.rtd", , "BID", ".SPY150529C206")</f>
        <v>6.34</v>
      </c>
      <c r="D267">
        <f>RTD("tos.rtd", , "BID_SIZE", ".SPY150529C206")</f>
        <v>249</v>
      </c>
      <c r="E267">
        <f>RTD("tos.rtd", , "VOLUME", ".SPY150529C206")</f>
        <v>2</v>
      </c>
      <c r="F267">
        <f>RTD("tos.rtd", , "OPEN_INT", ".SPY150529C206")</f>
        <v>88</v>
      </c>
      <c r="G267">
        <f>RTD("tos.rtd", , "DELTA", ".SPY150529C206")</f>
        <v>0.75880000000000003</v>
      </c>
      <c r="H267">
        <f>RTD("tos.rtd", , "THETA", ".SPY150529C206")</f>
        <v>-4.1790000000000001E-2</v>
      </c>
      <c r="I267">
        <f>RTD("tos.rtd", , "GAMMA", ".SPY150529C206")</f>
        <v>4.0820000000000002E-2</v>
      </c>
      <c r="J267">
        <f>RTD("tos.rtd", , "VEGA", ".SPY150529C206")</f>
        <v>0.17538999999999999</v>
      </c>
      <c r="K267">
        <f>RTD("tos.rtd", , "RHO", ".SPY150529C206")</f>
        <v>9.1170000000000001E-2</v>
      </c>
      <c r="L267">
        <f>RTD("tos.rtd", , "ASK", ".SPY150529P206")</f>
        <v>0.99</v>
      </c>
      <c r="M267">
        <f>RTD("tos.rtd", , "ASK_SIZE", ".SPY150529P206")</f>
        <v>1093</v>
      </c>
      <c r="N267">
        <f>RTD("tos.rtd", , "BID", ".SPY150529P206")</f>
        <v>0.95</v>
      </c>
      <c r="O267">
        <f>RTD("tos.rtd", , "BID_SIZE", ".SPY150529P206")</f>
        <v>222</v>
      </c>
      <c r="P267">
        <f>RTD("tos.rtd", , "VOLUME", ".SPY150529P206")</f>
        <v>726</v>
      </c>
      <c r="Q267">
        <f>RTD("tos.rtd", , "OPEN_INT", ".SPY150529P206")</f>
        <v>534</v>
      </c>
      <c r="R267">
        <f>RTD("tos.rtd", , "DELTA", ".SPY150529P206")</f>
        <v>-0.22670999999999999</v>
      </c>
      <c r="S267">
        <f>RTD("tos.rtd", , "THETA", ".SPY150529P206")</f>
        <v>-4.3860000000000003E-2</v>
      </c>
      <c r="T267">
        <f>RTD("tos.rtd", , "GAMMA", ".SPY150529P206")</f>
        <v>4.1509999999999998E-2</v>
      </c>
      <c r="U267">
        <f>RTD("tos.rtd", , "VEGA", ".SPY150529P206")</f>
        <v>0.17027999999999999</v>
      </c>
      <c r="V267">
        <f>RTD("tos.rtd", , "RHO", ".SPY150529P206")</f>
        <v>-3.4799999999999998E-2</v>
      </c>
    </row>
    <row r="268" spans="1:22" x14ac:dyDescent="0.25">
      <c r="A268">
        <f>RTD("tos.rtd", , "ASK", ".SPY150529C206.5")</f>
        <v>6.12</v>
      </c>
      <c r="B268">
        <f>RTD("tos.rtd", , "ASK_SIZE", ".SPY150529C206.5")</f>
        <v>250</v>
      </c>
      <c r="C268">
        <f>RTD("tos.rtd", , "BID", ".SPY150529C206.5")</f>
        <v>5.93</v>
      </c>
      <c r="D268">
        <f>RTD("tos.rtd", , "BID_SIZE", ".SPY150529C206.5")</f>
        <v>249</v>
      </c>
      <c r="E268">
        <f>RTD("tos.rtd", , "VOLUME", ".SPY150529C206.5")</f>
        <v>3</v>
      </c>
      <c r="F268">
        <f>RTD("tos.rtd", , "OPEN_INT", ".SPY150529C206.5")</f>
        <v>152</v>
      </c>
      <c r="G268">
        <f>RTD("tos.rtd", , "DELTA", ".SPY150529C206.5")</f>
        <v>0.74123000000000006</v>
      </c>
      <c r="H268">
        <f>RTD("tos.rtd", , "THETA", ".SPY150529C206.5")</f>
        <v>-4.2709999999999998E-2</v>
      </c>
      <c r="I268">
        <f>RTD("tos.rtd", , "GAMMA", ".SPY150529C206.5")</f>
        <v>4.2999999999999997E-2</v>
      </c>
      <c r="J268">
        <f>RTD("tos.rtd", , "VEGA", ".SPY150529C206.5")</f>
        <v>0.18209</v>
      </c>
      <c r="K268">
        <f>RTD("tos.rtd", , "RHO", ".SPY150529C206.5")</f>
        <v>9.0709999999999999E-2</v>
      </c>
      <c r="L268">
        <f>RTD("tos.rtd", , "ASK", ".SPY150529P206.5")</f>
        <v>1.08</v>
      </c>
      <c r="M268">
        <f>RTD("tos.rtd", , "ASK_SIZE", ".SPY150529P206.5")</f>
        <v>255</v>
      </c>
      <c r="N268">
        <f>RTD("tos.rtd", , "BID", ".SPY150529P206.5")</f>
        <v>1.03</v>
      </c>
      <c r="O268">
        <f>RTD("tos.rtd", , "BID_SIZE", ".SPY150529P206.5")</f>
        <v>241</v>
      </c>
      <c r="P268">
        <f>RTD("tos.rtd", , "VOLUME", ".SPY150529P206.5")</f>
        <v>205</v>
      </c>
      <c r="Q268">
        <f>RTD("tos.rtd", , "OPEN_INT", ".SPY150529P206.5")</f>
        <v>1042</v>
      </c>
      <c r="R268">
        <f>RTD("tos.rtd", , "DELTA", ".SPY150529P206.5")</f>
        <v>-0.24496999999999999</v>
      </c>
      <c r="S268">
        <f>RTD("tos.rtd", , "THETA", ".SPY150529P206.5")</f>
        <v>-4.5060000000000003E-2</v>
      </c>
      <c r="T268">
        <f>RTD("tos.rtd", , "GAMMA", ".SPY150529P206.5")</f>
        <v>4.4080000000000001E-2</v>
      </c>
      <c r="U268">
        <f>RTD("tos.rtd", , "VEGA", ".SPY150529P206.5")</f>
        <v>0.17765</v>
      </c>
      <c r="V268">
        <f>RTD("tos.rtd", , "RHO", ".SPY150529P206.5")</f>
        <v>-3.7609999999999998E-2</v>
      </c>
    </row>
    <row r="269" spans="1:22" x14ac:dyDescent="0.25">
      <c r="A269">
        <f>RTD("tos.rtd", , "ASK", ".SPY150529C207")</f>
        <v>5.71</v>
      </c>
      <c r="B269">
        <f>RTD("tos.rtd", , "ASK_SIZE", ".SPY150529C207")</f>
        <v>243</v>
      </c>
      <c r="C269">
        <f>RTD("tos.rtd", , "BID", ".SPY150529C207")</f>
        <v>5.53</v>
      </c>
      <c r="D269">
        <f>RTD("tos.rtd", , "BID_SIZE", ".SPY150529C207")</f>
        <v>249</v>
      </c>
      <c r="E269">
        <f>RTD("tos.rtd", , "VOLUME", ".SPY150529C207")</f>
        <v>14</v>
      </c>
      <c r="F269">
        <f>RTD("tos.rtd", , "OPEN_INT", ".SPY150529C207")</f>
        <v>390</v>
      </c>
      <c r="G269">
        <f>RTD("tos.rtd", , "DELTA", ".SPY150529C207")</f>
        <v>0.72224999999999995</v>
      </c>
      <c r="H269">
        <f>RTD("tos.rtd", , "THETA", ".SPY150529C207")</f>
        <v>-4.3619999999999999E-2</v>
      </c>
      <c r="I269">
        <f>RTD("tos.rtd", , "GAMMA", ".SPY150529C207")</f>
        <v>4.5190000000000001E-2</v>
      </c>
      <c r="J269">
        <f>RTD("tos.rtd", , "VEGA", ".SPY150529C207")</f>
        <v>0.18873000000000001</v>
      </c>
      <c r="K269">
        <f>RTD("tos.rtd", , "RHO", ".SPY150529C207")</f>
        <v>8.9940000000000006E-2</v>
      </c>
      <c r="L269">
        <f>RTD("tos.rtd", , "ASK", ".SPY150529P207")</f>
        <v>1.17</v>
      </c>
      <c r="M269">
        <f>RTD("tos.rtd", , "ASK_SIZE", ".SPY150529P207")</f>
        <v>1113</v>
      </c>
      <c r="N269">
        <f>RTD("tos.rtd", , "BID", ".SPY150529P207")</f>
        <v>1.1200000000000001</v>
      </c>
      <c r="O269">
        <f>RTD("tos.rtd", , "BID_SIZE", ".SPY150529P207")</f>
        <v>240</v>
      </c>
      <c r="P269">
        <f>RTD("tos.rtd", , "VOLUME", ".SPY150529P207")</f>
        <v>1149</v>
      </c>
      <c r="Q269">
        <f>RTD("tos.rtd", , "OPEN_INT", ".SPY150529P207")</f>
        <v>4044</v>
      </c>
      <c r="R269">
        <f>RTD("tos.rtd", , "DELTA", ".SPY150529P207")</f>
        <v>-0.26438</v>
      </c>
      <c r="S269">
        <f>RTD("tos.rtd", , "THETA", ".SPY150529P207")</f>
        <v>-4.6100000000000002E-2</v>
      </c>
      <c r="T269">
        <f>RTD("tos.rtd", , "GAMMA", ".SPY150529P207")</f>
        <v>4.675E-2</v>
      </c>
      <c r="U269">
        <f>RTD("tos.rtd", , "VEGA", ".SPY150529P207")</f>
        <v>0.18482000000000001</v>
      </c>
      <c r="V269">
        <f>RTD("tos.rtd", , "RHO", ".SPY150529P207")</f>
        <v>-4.0590000000000001E-2</v>
      </c>
    </row>
    <row r="270" spans="1:22" x14ac:dyDescent="0.25">
      <c r="A270">
        <f>RTD("tos.rtd", , "ASK", ".SPY150529C207.5")</f>
        <v>5.3</v>
      </c>
      <c r="B270">
        <f>RTD("tos.rtd", , "ASK_SIZE", ".SPY150529C207.5")</f>
        <v>248</v>
      </c>
      <c r="C270">
        <f>RTD("tos.rtd", , "BID", ".SPY150529C207.5")</f>
        <v>5.13</v>
      </c>
      <c r="D270">
        <f>RTD("tos.rtd", , "BID_SIZE", ".SPY150529C207.5")</f>
        <v>240</v>
      </c>
      <c r="E270">
        <f>RTD("tos.rtd", , "VOLUME", ".SPY150529C207.5")</f>
        <v>3</v>
      </c>
      <c r="F270">
        <f>RTD("tos.rtd", , "OPEN_INT", ".SPY150529C207.5")</f>
        <v>99</v>
      </c>
      <c r="G270">
        <f>RTD("tos.rtd", , "DELTA", ".SPY150529C207.5")</f>
        <v>0.70257000000000003</v>
      </c>
      <c r="H270">
        <f>RTD("tos.rtd", , "THETA", ".SPY150529C207.5")</f>
        <v>-4.4229999999999998E-2</v>
      </c>
      <c r="I270">
        <f>RTD("tos.rtd", , "GAMMA", ".SPY150529C207.5")</f>
        <v>4.7530000000000003E-2</v>
      </c>
      <c r="J270">
        <f>RTD("tos.rtd", , "VEGA", ".SPY150529C207.5")</f>
        <v>0.19495000000000001</v>
      </c>
      <c r="K270">
        <f>RTD("tos.rtd", , "RHO", ".SPY150529C207.5")</f>
        <v>8.8889999999999997E-2</v>
      </c>
      <c r="L270">
        <f>RTD("tos.rtd", , "ASK", ".SPY150529P207.5")</f>
        <v>1.27</v>
      </c>
      <c r="M270">
        <f>RTD("tos.rtd", , "ASK_SIZE", ".SPY150529P207.5")</f>
        <v>283</v>
      </c>
      <c r="N270">
        <f>RTD("tos.rtd", , "BID", ".SPY150529P207.5")</f>
        <v>1.22</v>
      </c>
      <c r="O270">
        <f>RTD("tos.rtd", , "BID_SIZE", ".SPY150529P207.5")</f>
        <v>240</v>
      </c>
      <c r="P270">
        <f>RTD("tos.rtd", , "VOLUME", ".SPY150529P207.5")</f>
        <v>290</v>
      </c>
      <c r="Q270">
        <f>RTD("tos.rtd", , "OPEN_INT", ".SPY150529P207.5")</f>
        <v>1074</v>
      </c>
      <c r="R270">
        <f>RTD("tos.rtd", , "DELTA", ".SPY150529P207.5")</f>
        <v>-0.28538999999999998</v>
      </c>
      <c r="S270">
        <f>RTD("tos.rtd", , "THETA", ".SPY150529P207.5")</f>
        <v>-4.709E-2</v>
      </c>
      <c r="T270">
        <f>RTD("tos.rtd", , "GAMMA", ".SPY150529P207.5")</f>
        <v>4.9459999999999997E-2</v>
      </c>
      <c r="U270">
        <f>RTD("tos.rtd", , "VEGA", ".SPY150529P207.5")</f>
        <v>0.19186</v>
      </c>
      <c r="V270">
        <f>RTD("tos.rtd", , "RHO", ".SPY150529P207.5")</f>
        <v>-4.3830000000000001E-2</v>
      </c>
    </row>
    <row r="271" spans="1:22" x14ac:dyDescent="0.25">
      <c r="A271">
        <f>RTD("tos.rtd", , "ASK", ".SPY150529C208")</f>
        <v>4.91</v>
      </c>
      <c r="B271">
        <f>RTD("tos.rtd", , "ASK_SIZE", ".SPY150529C208")</f>
        <v>243</v>
      </c>
      <c r="C271">
        <f>RTD("tos.rtd", , "BID", ".SPY150529C208")</f>
        <v>4.74</v>
      </c>
      <c r="D271">
        <f>RTD("tos.rtd", , "BID_SIZE", ".SPY150529C208")</f>
        <v>240</v>
      </c>
      <c r="E271">
        <f>RTD("tos.rtd", , "VOLUME", ".SPY150529C208")</f>
        <v>75</v>
      </c>
      <c r="F271">
        <f>RTD("tos.rtd", , "OPEN_INT", ".SPY150529C208")</f>
        <v>15708</v>
      </c>
      <c r="G271">
        <f>RTD("tos.rtd", , "DELTA", ".SPY150529C208")</f>
        <v>0.68108999999999997</v>
      </c>
      <c r="H271">
        <f>RTD("tos.rtd", , "THETA", ".SPY150529C208")</f>
        <v>-4.487E-2</v>
      </c>
      <c r="I271">
        <f>RTD("tos.rtd", , "GAMMA", ".SPY150529C208")</f>
        <v>4.9790000000000001E-2</v>
      </c>
      <c r="J271">
        <f>RTD("tos.rtd", , "VEGA", ".SPY150529C208")</f>
        <v>0.20102999999999999</v>
      </c>
      <c r="K271">
        <f>RTD("tos.rtd", , "RHO", ".SPY150529C208")</f>
        <v>8.7499999999999994E-2</v>
      </c>
      <c r="L271">
        <f>RTD("tos.rtd", , "ASK", ".SPY150529P208")</f>
        <v>1.38</v>
      </c>
      <c r="M271">
        <f>RTD("tos.rtd", , "ASK_SIZE", ".SPY150529P208")</f>
        <v>240</v>
      </c>
      <c r="N271">
        <f>RTD("tos.rtd", , "BID", ".SPY150529P208")</f>
        <v>1.33</v>
      </c>
      <c r="O271">
        <f>RTD("tos.rtd", , "BID_SIZE", ".SPY150529P208")</f>
        <v>249</v>
      </c>
      <c r="P271">
        <f>RTD("tos.rtd", , "VOLUME", ".SPY150529P208")</f>
        <v>1143</v>
      </c>
      <c r="Q271">
        <f>RTD("tos.rtd", , "OPEN_INT", ".SPY150529P208")</f>
        <v>16887</v>
      </c>
      <c r="R271">
        <f>RTD("tos.rtd", , "DELTA", ".SPY150529P208")</f>
        <v>-0.30798999999999999</v>
      </c>
      <c r="S271">
        <f>RTD("tos.rtd", , "THETA", ".SPY150529P208")</f>
        <v>-4.7969999999999999E-2</v>
      </c>
      <c r="T271">
        <f>RTD("tos.rtd", , "GAMMA", ".SPY150529P208")</f>
        <v>5.2179999999999997E-2</v>
      </c>
      <c r="U271">
        <f>RTD("tos.rtd", , "VEGA", ".SPY150529P208")</f>
        <v>0.1986</v>
      </c>
      <c r="V271">
        <f>RTD("tos.rtd", , "RHO", ".SPY150529P208")</f>
        <v>-4.7300000000000002E-2</v>
      </c>
    </row>
    <row r="272" spans="1:22" x14ac:dyDescent="0.25">
      <c r="A272">
        <f>RTD("tos.rtd", , "ASK", ".SPY150529C208.5")</f>
        <v>4.51</v>
      </c>
      <c r="B272">
        <f>RTD("tos.rtd", , "ASK_SIZE", ".SPY150529C208.5")</f>
        <v>240</v>
      </c>
      <c r="C272">
        <f>RTD("tos.rtd", , "BID", ".SPY150529C208.5")</f>
        <v>4.3499999999999996</v>
      </c>
      <c r="D272">
        <f>RTD("tos.rtd", , "BID_SIZE", ".SPY150529C208.5")</f>
        <v>249</v>
      </c>
      <c r="E272">
        <f>RTD("tos.rtd", , "VOLUME", ".SPY150529C208.5")</f>
        <v>3</v>
      </c>
      <c r="F272">
        <f>RTD("tos.rtd", , "OPEN_INT", ".SPY150529C208.5")</f>
        <v>180</v>
      </c>
      <c r="G272">
        <f>RTD("tos.rtd", , "DELTA", ".SPY150529C208.5")</f>
        <v>0.65900999999999998</v>
      </c>
      <c r="H272">
        <f>RTD("tos.rtd", , "THETA", ".SPY150529C208.5")</f>
        <v>-4.5060000000000003E-2</v>
      </c>
      <c r="I272">
        <f>RTD("tos.rtd", , "GAMMA", ".SPY150529C208.5")</f>
        <v>5.2299999999999999E-2</v>
      </c>
      <c r="J272">
        <f>RTD("tos.rtd", , "VEGA", ".SPY150529C208.5")</f>
        <v>0.20651</v>
      </c>
      <c r="K272">
        <f>RTD("tos.rtd", , "RHO", ".SPY150529C208.5")</f>
        <v>8.5830000000000004E-2</v>
      </c>
      <c r="L272">
        <f>RTD("tos.rtd", , "ASK", ".SPY150529P208.5")</f>
        <v>1.51</v>
      </c>
      <c r="M272">
        <f>RTD("tos.rtd", , "ASK_SIZE", ".SPY150529P208.5")</f>
        <v>3011</v>
      </c>
      <c r="N272">
        <f>RTD("tos.rtd", , "BID", ".SPY150529P208.5")</f>
        <v>1.44</v>
      </c>
      <c r="O272">
        <f>RTD("tos.rtd", , "BID_SIZE", ".SPY150529P208.5")</f>
        <v>201</v>
      </c>
      <c r="P272">
        <f>RTD("tos.rtd", , "VOLUME", ".SPY150529P208.5")</f>
        <v>861</v>
      </c>
      <c r="Q272">
        <f>RTD("tos.rtd", , "OPEN_INT", ".SPY150529P208.5")</f>
        <v>2162</v>
      </c>
      <c r="R272">
        <f>RTD("tos.rtd", , "DELTA", ".SPY150529P208.5")</f>
        <v>-0.33218999999999999</v>
      </c>
      <c r="S272">
        <f>RTD("tos.rtd", , "THETA", ".SPY150529P208.5")</f>
        <v>-4.8719999999999999E-2</v>
      </c>
      <c r="T272">
        <f>RTD("tos.rtd", , "GAMMA", ".SPY150529P208.5")</f>
        <v>5.4890000000000001E-2</v>
      </c>
      <c r="U272">
        <f>RTD("tos.rtd", , "VEGA", ".SPY150529P208.5")</f>
        <v>0.20491999999999999</v>
      </c>
      <c r="V272">
        <f>RTD("tos.rtd", , "RHO", ".SPY150529P208.5")</f>
        <v>-5.1029999999999999E-2</v>
      </c>
    </row>
    <row r="273" spans="1:22" x14ac:dyDescent="0.25">
      <c r="A273">
        <f>RTD("tos.rtd", , "ASK", ".SPY150529C209")</f>
        <v>4.12</v>
      </c>
      <c r="B273">
        <f>RTD("tos.rtd", , "ASK_SIZE", ".SPY150529C209")</f>
        <v>199</v>
      </c>
      <c r="C273">
        <f>RTD("tos.rtd", , "BID", ".SPY150529C209")</f>
        <v>3.98</v>
      </c>
      <c r="D273">
        <f>RTD("tos.rtd", , "BID_SIZE", ".SPY150529C209")</f>
        <v>249</v>
      </c>
      <c r="E273">
        <f>RTD("tos.rtd", , "VOLUME", ".SPY150529C209")</f>
        <v>408</v>
      </c>
      <c r="F273">
        <f>RTD("tos.rtd", , "OPEN_INT", ".SPY150529C209")</f>
        <v>1059</v>
      </c>
      <c r="G273">
        <f>RTD("tos.rtd", , "DELTA", ".SPY150529C209")</f>
        <v>0.63507000000000002</v>
      </c>
      <c r="H273">
        <f>RTD("tos.rtd", , "THETA", ".SPY150529C209")</f>
        <v>-4.5199999999999997E-2</v>
      </c>
      <c r="I273">
        <f>RTD("tos.rtd", , "GAMMA", ".SPY150529C209")</f>
        <v>5.4719999999999998E-2</v>
      </c>
      <c r="J273">
        <f>RTD("tos.rtd", , "VEGA", ".SPY150529C209")</f>
        <v>0.21160999999999999</v>
      </c>
      <c r="K273">
        <f>RTD("tos.rtd", , "RHO", ".SPY150529C209")</f>
        <v>8.3809999999999996E-2</v>
      </c>
      <c r="L273">
        <f>RTD("tos.rtd", , "ASK", ".SPY150529P209")</f>
        <v>1.63</v>
      </c>
      <c r="M273">
        <f>RTD("tos.rtd", , "ASK_SIZE", ".SPY150529P209")</f>
        <v>2471</v>
      </c>
      <c r="N273">
        <f>RTD("tos.rtd", , "BID", ".SPY150529P209")</f>
        <v>1.57</v>
      </c>
      <c r="O273">
        <f>RTD("tos.rtd", , "BID_SIZE", ".SPY150529P209")</f>
        <v>216</v>
      </c>
      <c r="P273">
        <f>RTD("tos.rtd", , "VOLUME", ".SPY150529P209")</f>
        <v>544</v>
      </c>
      <c r="Q273">
        <f>RTD("tos.rtd", , "OPEN_INT", ".SPY150529P209")</f>
        <v>5116</v>
      </c>
      <c r="R273">
        <f>RTD("tos.rtd", , "DELTA", ".SPY150529P209")</f>
        <v>-0.35768</v>
      </c>
      <c r="S273">
        <f>RTD("tos.rtd", , "THETA", ".SPY150529P209")</f>
        <v>-4.9160000000000002E-2</v>
      </c>
      <c r="T273">
        <f>RTD("tos.rtd", , "GAMMA", ".SPY150529P209")</f>
        <v>5.7689999999999998E-2</v>
      </c>
      <c r="U273">
        <f>RTD("tos.rtd", , "VEGA", ".SPY150529P209")</f>
        <v>0.21060000000000001</v>
      </c>
      <c r="V273">
        <f>RTD("tos.rtd", , "RHO", ".SPY150529P209")</f>
        <v>-5.4960000000000002E-2</v>
      </c>
    </row>
    <row r="274" spans="1:22" x14ac:dyDescent="0.25">
      <c r="A274">
        <f>RTD("tos.rtd", , "ASK", ".SPY150529C209.5")</f>
        <v>3.78</v>
      </c>
      <c r="B274">
        <f>RTD("tos.rtd", , "ASK_SIZE", ".SPY150529C209.5")</f>
        <v>241</v>
      </c>
      <c r="C274">
        <f>RTD("tos.rtd", , "BID", ".SPY150529C209.5")</f>
        <v>3.62</v>
      </c>
      <c r="D274">
        <f>RTD("tos.rtd", , "BID_SIZE", ".SPY150529C209.5")</f>
        <v>249</v>
      </c>
      <c r="E274">
        <f>RTD("tos.rtd", , "VOLUME", ".SPY150529C209.5")</f>
        <v>46</v>
      </c>
      <c r="F274">
        <f>RTD("tos.rtd", , "OPEN_INT", ".SPY150529C209.5")</f>
        <v>1390</v>
      </c>
      <c r="G274">
        <f>RTD("tos.rtd", , "DELTA", ".SPY150529C209.5")</f>
        <v>0.60879000000000005</v>
      </c>
      <c r="H274">
        <f>RTD("tos.rtd", , "THETA", ".SPY150529C209.5")</f>
        <v>-4.5560000000000003E-2</v>
      </c>
      <c r="I274">
        <f>RTD("tos.rtd", , "GAMMA", ".SPY150529C209.5")</f>
        <v>5.67E-2</v>
      </c>
      <c r="J274">
        <f>RTD("tos.rtd", , "VEGA", ".SPY150529C209.5")</f>
        <v>0.21622</v>
      </c>
      <c r="K274">
        <f>RTD("tos.rtd", , "RHO", ".SPY150529C209.5")</f>
        <v>8.1390000000000004E-2</v>
      </c>
      <c r="L274">
        <f>RTD("tos.rtd", , "ASK", ".SPY150529P209.5")</f>
        <v>1.76</v>
      </c>
      <c r="M274">
        <f>RTD("tos.rtd", , "ASK_SIZE", ".SPY150529P209.5")</f>
        <v>210</v>
      </c>
      <c r="N274">
        <f>RTD("tos.rtd", , "BID", ".SPY150529P209.5")</f>
        <v>1.7</v>
      </c>
      <c r="O274">
        <f>RTD("tos.rtd", , "BID_SIZE", ".SPY150529P209.5")</f>
        <v>240</v>
      </c>
      <c r="P274">
        <f>RTD("tos.rtd", , "VOLUME", ".SPY150529P209.5")</f>
        <v>106</v>
      </c>
      <c r="Q274">
        <f>RTD("tos.rtd", , "OPEN_INT", ".SPY150529P209.5")</f>
        <v>2290</v>
      </c>
      <c r="R274">
        <f>RTD("tos.rtd", , "DELTA", ".SPY150529P209.5")</f>
        <v>-0.38468000000000002</v>
      </c>
      <c r="S274">
        <f>RTD("tos.rtd", , "THETA", ".SPY150529P209.5")</f>
        <v>-4.9270000000000001E-2</v>
      </c>
      <c r="T274">
        <f>RTD("tos.rtd", , "GAMMA", ".SPY150529P209.5")</f>
        <v>6.0569999999999999E-2</v>
      </c>
      <c r="U274">
        <f>RTD("tos.rtd", , "VEGA", ".SPY150529P209.5")</f>
        <v>0.21554000000000001</v>
      </c>
      <c r="V274">
        <f>RTD("tos.rtd", , "RHO", ".SPY150529P209.5")</f>
        <v>-5.9110000000000003E-2</v>
      </c>
    </row>
    <row r="275" spans="1:22" x14ac:dyDescent="0.25">
      <c r="A275">
        <f>RTD("tos.rtd", , "ASK", ".SPY150529C210")</f>
        <v>3.41</v>
      </c>
      <c r="B275">
        <f>RTD("tos.rtd", , "ASK_SIZE", ".SPY150529C210")</f>
        <v>923</v>
      </c>
      <c r="C275">
        <f>RTD("tos.rtd", , "BID", ".SPY150529C210")</f>
        <v>3.27</v>
      </c>
      <c r="D275">
        <f>RTD("tos.rtd", , "BID_SIZE", ".SPY150529C210")</f>
        <v>404</v>
      </c>
      <c r="E275">
        <f>RTD("tos.rtd", , "VOLUME", ".SPY150529C210")</f>
        <v>268</v>
      </c>
      <c r="F275">
        <f>RTD("tos.rtd", , "OPEN_INT", ".SPY150529C210")</f>
        <v>2366</v>
      </c>
      <c r="G275">
        <f>RTD("tos.rtd", , "DELTA", ".SPY150529C210")</f>
        <v>0.58179999999999998</v>
      </c>
      <c r="H275">
        <f>RTD("tos.rtd", , "THETA", ".SPY150529C210")</f>
        <v>-4.5260000000000002E-2</v>
      </c>
      <c r="I275">
        <f>RTD("tos.rtd", , "GAMMA", ".SPY150529C210")</f>
        <v>5.9029999999999999E-2</v>
      </c>
      <c r="J275">
        <f>RTD("tos.rtd", , "VEGA", ".SPY150529C210")</f>
        <v>0.21990000000000001</v>
      </c>
      <c r="K275">
        <f>RTD("tos.rtd", , "RHO", ".SPY150529C210")</f>
        <v>7.868E-2</v>
      </c>
      <c r="L275">
        <f>RTD("tos.rtd", , "ASK", ".SPY150529P210")</f>
        <v>1.92</v>
      </c>
      <c r="M275">
        <f>RTD("tos.rtd", , "ASK_SIZE", ".SPY150529P210")</f>
        <v>2469</v>
      </c>
      <c r="N275">
        <f>RTD("tos.rtd", , "BID", ".SPY150529P210")</f>
        <v>1.88</v>
      </c>
      <c r="O275">
        <f>RTD("tos.rtd", , "BID_SIZE", ".SPY150529P210")</f>
        <v>2</v>
      </c>
      <c r="P275">
        <f>RTD("tos.rtd", , "VOLUME", ".SPY150529P210")</f>
        <v>1811</v>
      </c>
      <c r="Q275">
        <f>RTD("tos.rtd", , "OPEN_INT", ".SPY150529P210")</f>
        <v>12207</v>
      </c>
      <c r="R275">
        <f>RTD("tos.rtd", , "DELTA", ".SPY150529P210")</f>
        <v>-0.41447000000000001</v>
      </c>
      <c r="S275">
        <f>RTD("tos.rtd", , "THETA", ".SPY150529P210")</f>
        <v>-4.9730000000000003E-2</v>
      </c>
      <c r="T275">
        <f>RTD("tos.rtd", , "GAMMA", ".SPY150529P210")</f>
        <v>6.2670000000000003E-2</v>
      </c>
      <c r="U275">
        <f>RTD("tos.rtd", , "VEGA", ".SPY150529P210")</f>
        <v>0.21975</v>
      </c>
      <c r="V275">
        <f>RTD("tos.rtd", , "RHO", ".SPY150529P210")</f>
        <v>-6.3719999999999999E-2</v>
      </c>
    </row>
    <row r="276" spans="1:22" x14ac:dyDescent="0.25">
      <c r="A276">
        <f>RTD("tos.rtd", , "ASK", ".SPY150529C210.5")</f>
        <v>3.06</v>
      </c>
      <c r="B276">
        <f>RTD("tos.rtd", , "ASK_SIZE", ".SPY150529C210.5")</f>
        <v>305</v>
      </c>
      <c r="C276">
        <f>RTD("tos.rtd", , "BID", ".SPY150529C210.5")</f>
        <v>2.95</v>
      </c>
      <c r="D276">
        <f>RTD("tos.rtd", , "BID_SIZE", ".SPY150529C210.5")</f>
        <v>510</v>
      </c>
      <c r="E276">
        <f>RTD("tos.rtd", , "VOLUME", ".SPY150529C210.5")</f>
        <v>96</v>
      </c>
      <c r="F276">
        <f>RTD("tos.rtd", , "OPEN_INT", ".SPY150529C210.5")</f>
        <v>1251</v>
      </c>
      <c r="G276">
        <f>RTD("tos.rtd", , "DELTA", ".SPY150529C210.5")</f>
        <v>0.55286999999999997</v>
      </c>
      <c r="H276">
        <f>RTD("tos.rtd", , "THETA", ".SPY150529C210.5")</f>
        <v>-4.4979999999999999E-2</v>
      </c>
      <c r="I276">
        <f>RTD("tos.rtd", , "GAMMA", ".SPY150529C210.5")</f>
        <v>6.0929999999999998E-2</v>
      </c>
      <c r="J276">
        <f>RTD("tos.rtd", , "VEGA", ".SPY150529C210.5")</f>
        <v>0.22267999999999999</v>
      </c>
      <c r="K276">
        <f>RTD("tos.rtd", , "RHO", ".SPY150529C210.5")</f>
        <v>7.5590000000000004E-2</v>
      </c>
      <c r="L276">
        <f>RTD("tos.rtd", , "ASK", ".SPY150529P210.5")</f>
        <v>2.08</v>
      </c>
      <c r="M276">
        <f>RTD("tos.rtd", , "ASK_SIZE", ".SPY150529P210.5")</f>
        <v>2373</v>
      </c>
      <c r="N276">
        <f>RTD("tos.rtd", , "BID", ".SPY150529P210.5")</f>
        <v>1.99</v>
      </c>
      <c r="O276">
        <f>RTD("tos.rtd", , "BID_SIZE", ".SPY150529P210.5")</f>
        <v>2322</v>
      </c>
      <c r="P276">
        <f>RTD("tos.rtd", , "VOLUME", ".SPY150529P210.5")</f>
        <v>40</v>
      </c>
      <c r="Q276">
        <f>RTD("tos.rtd", , "OPEN_INT", ".SPY150529P210.5")</f>
        <v>4025</v>
      </c>
      <c r="R276">
        <f>RTD("tos.rtd", , "DELTA", ".SPY150529P210.5")</f>
        <v>-0.44470999999999999</v>
      </c>
      <c r="S276">
        <f>RTD("tos.rtd", , "THETA", ".SPY150529P210.5")</f>
        <v>-4.8959999999999997E-2</v>
      </c>
      <c r="T276">
        <f>RTD("tos.rtd", , "GAMMA", ".SPY150529P210.5")</f>
        <v>6.5820000000000004E-2</v>
      </c>
      <c r="U276">
        <f>RTD("tos.rtd", , "VEGA", ".SPY150529P210.5")</f>
        <v>0.22272</v>
      </c>
      <c r="V276">
        <f>RTD("tos.rtd", , "RHO", ".SPY150529P210.5")</f>
        <v>-6.8360000000000004E-2</v>
      </c>
    </row>
    <row r="277" spans="1:22" x14ac:dyDescent="0.25">
      <c r="A277">
        <f>RTD("tos.rtd", , "ASK", ".SPY150529C211")</f>
        <v>2.74</v>
      </c>
      <c r="B277">
        <f>RTD("tos.rtd", , "ASK_SIZE", ".SPY150529C211")</f>
        <v>2994</v>
      </c>
      <c r="C277">
        <f>RTD("tos.rtd", , "BID", ".SPY150529C211")</f>
        <v>2.61</v>
      </c>
      <c r="D277">
        <f>RTD("tos.rtd", , "BID_SIZE", ".SPY150529C211")</f>
        <v>2510</v>
      </c>
      <c r="E277">
        <f>RTD("tos.rtd", , "VOLUME", ".SPY150529C211")</f>
        <v>219</v>
      </c>
      <c r="F277">
        <f>RTD("tos.rtd", , "OPEN_INT", ".SPY150529C211")</f>
        <v>4308</v>
      </c>
      <c r="G277">
        <f>RTD("tos.rtd", , "DELTA", ".SPY150529C211")</f>
        <v>0.52251999999999998</v>
      </c>
      <c r="H277">
        <f>RTD("tos.rtd", , "THETA", ".SPY150529C211")</f>
        <v>-4.4249999999999998E-2</v>
      </c>
      <c r="I277">
        <f>RTD("tos.rtd", , "GAMMA", ".SPY150529C211")</f>
        <v>6.2859999999999999E-2</v>
      </c>
      <c r="J277">
        <f>RTD("tos.rtd", , "VEGA", ".SPY150529C211")</f>
        <v>0.22431000000000001</v>
      </c>
      <c r="K277">
        <f>RTD("tos.rtd", , "RHO", ".SPY150529C211")</f>
        <v>7.2160000000000002E-2</v>
      </c>
      <c r="L277">
        <f>RTD("tos.rtd", , "ASK", ".SPY150529P211")</f>
        <v>2.25</v>
      </c>
      <c r="M277">
        <f>RTD("tos.rtd", , "ASK_SIZE", ".SPY150529P211")</f>
        <v>2311</v>
      </c>
      <c r="N277">
        <f>RTD("tos.rtd", , "BID", ".SPY150529P211")</f>
        <v>2.17</v>
      </c>
      <c r="O277">
        <f>RTD("tos.rtd", , "BID_SIZE", ".SPY150529P211")</f>
        <v>647</v>
      </c>
      <c r="P277">
        <f>RTD("tos.rtd", , "VOLUME", ".SPY150529P211")</f>
        <v>282</v>
      </c>
      <c r="Q277">
        <f>RTD("tos.rtd", , "OPEN_INT", ".SPY150529P211")</f>
        <v>1673</v>
      </c>
      <c r="R277">
        <f>RTD("tos.rtd", , "DELTA", ".SPY150529P211")</f>
        <v>-0.47760000000000002</v>
      </c>
      <c r="S277">
        <f>RTD("tos.rtd", , "THETA", ".SPY150529P211")</f>
        <v>-4.8410000000000002E-2</v>
      </c>
      <c r="T277">
        <f>RTD("tos.rtd", , "GAMMA", ".SPY150529P211")</f>
        <v>6.8089999999999998E-2</v>
      </c>
      <c r="U277">
        <f>RTD("tos.rtd", , "VEGA", ".SPY150529P211")</f>
        <v>0.22447</v>
      </c>
      <c r="V277">
        <f>RTD("tos.rtd", , "RHO", ".SPY150529P211")</f>
        <v>-7.3440000000000005E-2</v>
      </c>
    </row>
    <row r="278" spans="1:22" x14ac:dyDescent="0.25">
      <c r="A278">
        <f>RTD("tos.rtd", , "ASK", ".SPY150529C211.5")</f>
        <v>2.4300000000000002</v>
      </c>
      <c r="B278">
        <f>RTD("tos.rtd", , "ASK_SIZE", ".SPY150529C211.5")</f>
        <v>2611</v>
      </c>
      <c r="C278">
        <f>RTD("tos.rtd", , "BID", ".SPY150529C211.5")</f>
        <v>2.2999999999999998</v>
      </c>
      <c r="D278">
        <f>RTD("tos.rtd", , "BID_SIZE", ".SPY150529C211.5")</f>
        <v>2461</v>
      </c>
      <c r="E278">
        <f>RTD("tos.rtd", , "VOLUME", ".SPY150529C211.5")</f>
        <v>416</v>
      </c>
      <c r="F278">
        <f>RTD("tos.rtd", , "OPEN_INT", ".SPY150529C211.5")</f>
        <v>556</v>
      </c>
      <c r="G278">
        <f>RTD("tos.rtd", , "DELTA", ".SPY150529C211.5")</f>
        <v>0.49043999999999999</v>
      </c>
      <c r="H278">
        <f>RTD("tos.rtd", , "THETA", ".SPY150529C211.5")</f>
        <v>-4.3360000000000003E-2</v>
      </c>
      <c r="I278">
        <f>RTD("tos.rtd", , "GAMMA", ".SPY150529C211.5")</f>
        <v>6.4399999999999999E-2</v>
      </c>
      <c r="J278">
        <f>RTD("tos.rtd", , "VEGA", ".SPY150529C211.5")</f>
        <v>0.22463</v>
      </c>
      <c r="K278">
        <f>RTD("tos.rtd", , "RHO", ".SPY150529C211.5")</f>
        <v>6.837E-2</v>
      </c>
      <c r="L278">
        <f>RTD("tos.rtd", , "ASK", ".SPY150529P211.5")</f>
        <v>2.4500000000000002</v>
      </c>
      <c r="M278">
        <f>RTD("tos.rtd", , "ASK_SIZE", ".SPY150529P211.5")</f>
        <v>2321</v>
      </c>
      <c r="N278">
        <f>RTD("tos.rtd", , "BID", ".SPY150529P211.5")</f>
        <v>2.34</v>
      </c>
      <c r="O278">
        <f>RTD("tos.rtd", , "BID_SIZE", ".SPY150529P211.5")</f>
        <v>2311</v>
      </c>
      <c r="P278">
        <f>RTD("tos.rtd", , "VOLUME", ".SPY150529P211.5")</f>
        <v>401</v>
      </c>
      <c r="Q278">
        <f>RTD("tos.rtd", , "OPEN_INT", ".SPY150529P211.5")</f>
        <v>1062</v>
      </c>
      <c r="R278">
        <f>RTD("tos.rtd", , "DELTA", ".SPY150529P211.5")</f>
        <v>-0.51254</v>
      </c>
      <c r="S278">
        <f>RTD("tos.rtd", , "THETA", ".SPY150529P211.5")</f>
        <v>-4.7449999999999999E-2</v>
      </c>
      <c r="T278">
        <f>RTD("tos.rtd", , "GAMMA", ".SPY150529P211.5")</f>
        <v>7.0209999999999995E-2</v>
      </c>
      <c r="U278">
        <f>RTD("tos.rtd", , "VEGA", ".SPY150529P211.5")</f>
        <v>0.22467000000000001</v>
      </c>
      <c r="V278">
        <f>RTD("tos.rtd", , "RHO", ".SPY150529P211.5")</f>
        <v>-7.8829999999999997E-2</v>
      </c>
    </row>
    <row r="279" spans="1:22" x14ac:dyDescent="0.25">
      <c r="A279">
        <f>RTD("tos.rtd", , "ASK", ".SPY150529C212")</f>
        <v>2.11</v>
      </c>
      <c r="B279">
        <f>RTD("tos.rtd", , "ASK_SIZE", ".SPY150529C212")</f>
        <v>249</v>
      </c>
      <c r="C279">
        <f>RTD("tos.rtd", , "BID", ".SPY150529C212")</f>
        <v>2.04</v>
      </c>
      <c r="D279">
        <f>RTD("tos.rtd", , "BID_SIZE", ".SPY150529C212")</f>
        <v>480</v>
      </c>
      <c r="E279">
        <f>RTD("tos.rtd", , "VOLUME", ".SPY150529C212")</f>
        <v>5822</v>
      </c>
      <c r="F279">
        <f>RTD("tos.rtd", , "OPEN_INT", ".SPY150529C212")</f>
        <v>3842</v>
      </c>
      <c r="G279">
        <f>RTD("tos.rtd", , "DELTA", ".SPY150529C212")</f>
        <v>0.45707999999999999</v>
      </c>
      <c r="H279">
        <f>RTD("tos.rtd", , "THETA", ".SPY150529C212")</f>
        <v>-4.2209999999999998E-2</v>
      </c>
      <c r="I279">
        <f>RTD("tos.rtd", , "GAMMA", ".SPY150529C212")</f>
        <v>6.5540000000000001E-2</v>
      </c>
      <c r="J279">
        <f>RTD("tos.rtd", , "VEGA", ".SPY150529C212")</f>
        <v>0.22342999999999999</v>
      </c>
      <c r="K279">
        <f>RTD("tos.rtd", , "RHO", ".SPY150529C212")</f>
        <v>6.4269999999999994E-2</v>
      </c>
      <c r="L279">
        <f>RTD("tos.rtd", , "ASK", ".SPY150529P212")</f>
        <v>2.67</v>
      </c>
      <c r="M279">
        <f>RTD("tos.rtd", , "ASK_SIZE", ".SPY150529P212")</f>
        <v>2321</v>
      </c>
      <c r="N279">
        <f>RTD("tos.rtd", , "BID", ".SPY150529P212")</f>
        <v>2.5499999999999998</v>
      </c>
      <c r="O279">
        <f>RTD("tos.rtd", , "BID_SIZE", ".SPY150529P212")</f>
        <v>2321</v>
      </c>
      <c r="P279">
        <f>RTD("tos.rtd", , "VOLUME", ".SPY150529P212")</f>
        <v>420</v>
      </c>
      <c r="Q279">
        <f>RTD("tos.rtd", , "OPEN_INT", ".SPY150529P212")</f>
        <v>3911</v>
      </c>
      <c r="R279">
        <f>RTD("tos.rtd", , "DELTA", ".SPY150529P212")</f>
        <v>-0.54900000000000004</v>
      </c>
      <c r="S279">
        <f>RTD("tos.rtd", , "THETA", ".SPY150529P212")</f>
        <v>-4.6390000000000001E-2</v>
      </c>
      <c r="T279">
        <f>RTD("tos.rtd", , "GAMMA", ".SPY150529P212")</f>
        <v>7.1510000000000004E-2</v>
      </c>
      <c r="U279">
        <f>RTD("tos.rtd", , "VEGA", ".SPY150529P212")</f>
        <v>0.22305</v>
      </c>
      <c r="V279">
        <f>RTD("tos.rtd", , "RHO", ".SPY150529P212")</f>
        <v>-8.4470000000000003E-2</v>
      </c>
    </row>
    <row r="280" spans="1:22" x14ac:dyDescent="0.25">
      <c r="A280">
        <f>RTD("tos.rtd", , "ASK", ".SPY150529C212.5")</f>
        <v>1.83</v>
      </c>
      <c r="B280">
        <f>RTD("tos.rtd", , "ASK_SIZE", ".SPY150529C212.5")</f>
        <v>249</v>
      </c>
      <c r="C280">
        <f>RTD("tos.rtd", , "BID", ".SPY150529C212.5")</f>
        <v>1.77</v>
      </c>
      <c r="D280">
        <f>RTD("tos.rtd", , "BID_SIZE", ".SPY150529C212.5")</f>
        <v>240</v>
      </c>
      <c r="E280">
        <f>RTD("tos.rtd", , "VOLUME", ".SPY150529C212.5")</f>
        <v>74</v>
      </c>
      <c r="F280">
        <f>RTD("tos.rtd", , "OPEN_INT", ".SPY150529C212.5")</f>
        <v>463</v>
      </c>
      <c r="G280">
        <f>RTD("tos.rtd", , "DELTA", ".SPY150529C212.5")</f>
        <v>0.42243000000000003</v>
      </c>
      <c r="H280">
        <f>RTD("tos.rtd", , "THETA", ".SPY150529C212.5")</f>
        <v>-4.0730000000000002E-2</v>
      </c>
      <c r="I280">
        <f>RTD("tos.rtd", , "GAMMA", ".SPY150529C212.5")</f>
        <v>6.6259999999999999E-2</v>
      </c>
      <c r="J280">
        <f>RTD("tos.rtd", , "VEGA", ".SPY150529C212.5")</f>
        <v>0.22051999999999999</v>
      </c>
      <c r="K280">
        <f>RTD("tos.rtd", , "RHO", ".SPY150529C212.5")</f>
        <v>5.987E-2</v>
      </c>
      <c r="L280">
        <f>RTD("tos.rtd", , "ASK", ".SPY150529P212.5")</f>
        <v>2.89</v>
      </c>
      <c r="M280">
        <f>RTD("tos.rtd", , "ASK_SIZE", ".SPY150529P212.5")</f>
        <v>322</v>
      </c>
      <c r="N280">
        <f>RTD("tos.rtd", , "BID", ".SPY150529P212.5")</f>
        <v>2.77</v>
      </c>
      <c r="O280">
        <f>RTD("tos.rtd", , "BID_SIZE", ".SPY150529P212.5")</f>
        <v>249</v>
      </c>
      <c r="P280">
        <f>RTD("tos.rtd", , "VOLUME", ".SPY150529P212.5")</f>
        <v>4</v>
      </c>
      <c r="Q280">
        <f>RTD("tos.rtd", , "OPEN_INT", ".SPY150529P212.5")</f>
        <v>658</v>
      </c>
      <c r="R280">
        <f>RTD("tos.rtd", , "DELTA", ".SPY150529P212.5")</f>
        <v>-0.58748999999999996</v>
      </c>
      <c r="S280">
        <f>RTD("tos.rtd", , "THETA", ".SPY150529P212.5")</f>
        <v>-4.471E-2</v>
      </c>
      <c r="T280">
        <f>RTD("tos.rtd", , "GAMMA", ".SPY150529P212.5")</f>
        <v>7.2650000000000006E-2</v>
      </c>
      <c r="U280">
        <f>RTD("tos.rtd", , "VEGA", ".SPY150529P212.5")</f>
        <v>0.21929999999999999</v>
      </c>
      <c r="V280">
        <f>RTD("tos.rtd", , "RHO", ".SPY150529P212.5")</f>
        <v>-9.042E-2</v>
      </c>
    </row>
    <row r="281" spans="1:22" x14ac:dyDescent="0.25">
      <c r="A281">
        <f>RTD("tos.rtd", , "ASK", ".SPY150529C213")</f>
        <v>1.57</v>
      </c>
      <c r="B281">
        <f>RTD("tos.rtd", , "ASK_SIZE", ".SPY150529C213")</f>
        <v>249</v>
      </c>
      <c r="C281">
        <f>RTD("tos.rtd", , "BID", ".SPY150529C213")</f>
        <v>1.51</v>
      </c>
      <c r="D281">
        <f>RTD("tos.rtd", , "BID_SIZE", ".SPY150529C213")</f>
        <v>240</v>
      </c>
      <c r="E281">
        <f>RTD("tos.rtd", , "VOLUME", ".SPY150529C213")</f>
        <v>55</v>
      </c>
      <c r="F281">
        <f>RTD("tos.rtd", , "OPEN_INT", ".SPY150529C213")</f>
        <v>4835</v>
      </c>
      <c r="G281">
        <f>RTD("tos.rtd", , "DELTA", ".SPY150529C213")</f>
        <v>0.38656000000000001</v>
      </c>
      <c r="H281">
        <f>RTD("tos.rtd", , "THETA", ".SPY150529C213")</f>
        <v>-3.8879999999999998E-2</v>
      </c>
      <c r="I281">
        <f>RTD("tos.rtd", , "GAMMA", ".SPY150529C213")</f>
        <v>6.651E-2</v>
      </c>
      <c r="J281">
        <f>RTD("tos.rtd", , "VEGA", ".SPY150529C213")</f>
        <v>0.2157</v>
      </c>
      <c r="K281">
        <f>RTD("tos.rtd", , "RHO", ".SPY150529C213")</f>
        <v>5.518E-2</v>
      </c>
      <c r="L281">
        <f>RTD("tos.rtd", , "ASK", ".SPY150529P213")</f>
        <v>3.12</v>
      </c>
      <c r="M281">
        <f>RTD("tos.rtd", , "ASK_SIZE", ".SPY150529P213")</f>
        <v>240</v>
      </c>
      <c r="N281">
        <f>RTD("tos.rtd", , "BID", ".SPY150529P213")</f>
        <v>3</v>
      </c>
      <c r="O281">
        <f>RTD("tos.rtd", , "BID_SIZE", ".SPY150529P213")</f>
        <v>240</v>
      </c>
      <c r="P281">
        <f>RTD("tos.rtd", , "VOLUME", ".SPY150529P213")</f>
        <v>637</v>
      </c>
      <c r="Q281">
        <f>RTD("tos.rtd", , "OPEN_INT", ".SPY150529P213")</f>
        <v>502</v>
      </c>
      <c r="R281">
        <f>RTD("tos.rtd", , "DELTA", ".SPY150529P213")</f>
        <v>-0.62834999999999996</v>
      </c>
      <c r="S281">
        <f>RTD("tos.rtd", , "THETA", ".SPY150529P213")</f>
        <v>-4.2450000000000002E-2</v>
      </c>
      <c r="T281">
        <f>RTD("tos.rtd", , "GAMMA", ".SPY150529P213")</f>
        <v>7.3380000000000001E-2</v>
      </c>
      <c r="U281">
        <f>RTD("tos.rtd", , "VEGA", ".SPY150529P213")</f>
        <v>0.21298</v>
      </c>
      <c r="V281">
        <f>RTD("tos.rtd", , "RHO", ".SPY150529P213")</f>
        <v>-9.6729999999999997E-2</v>
      </c>
    </row>
    <row r="282" spans="1:22" x14ac:dyDescent="0.25">
      <c r="A282">
        <f>RTD("tos.rtd", , "ASK", ".SPY150529C213.5")</f>
        <v>1.33</v>
      </c>
      <c r="B282">
        <f>RTD("tos.rtd", , "ASK_SIZE", ".SPY150529C213.5")</f>
        <v>249</v>
      </c>
      <c r="C282">
        <f>RTD("tos.rtd", , "BID", ".SPY150529C213.5")</f>
        <v>1.27</v>
      </c>
      <c r="D282">
        <f>RTD("tos.rtd", , "BID_SIZE", ".SPY150529C213.5")</f>
        <v>2311</v>
      </c>
      <c r="E282">
        <f>RTD("tos.rtd", , "VOLUME", ".SPY150529C213.5")</f>
        <v>191</v>
      </c>
      <c r="F282">
        <f>RTD("tos.rtd", , "OPEN_INT", ".SPY150529C213.5")</f>
        <v>1118</v>
      </c>
      <c r="G282">
        <f>RTD("tos.rtd", , "DELTA", ".SPY150529C213.5")</f>
        <v>0.34976000000000002</v>
      </c>
      <c r="H282">
        <f>RTD("tos.rtd", , "THETA", ".SPY150529C213.5")</f>
        <v>-3.669E-2</v>
      </c>
      <c r="I282">
        <f>RTD("tos.rtd", , "GAMMA", ".SPY150529C213.5")</f>
        <v>6.6140000000000004E-2</v>
      </c>
      <c r="J282">
        <f>RTD("tos.rtd", , "VEGA", ".SPY150529C213.5")</f>
        <v>0.20879</v>
      </c>
      <c r="K282">
        <f>RTD("tos.rtd", , "RHO", ".SPY150529C213.5")</f>
        <v>5.0259999999999999E-2</v>
      </c>
      <c r="L282">
        <f>RTD("tos.rtd", , "ASK", ".SPY150529P213.5")</f>
        <v>3.41</v>
      </c>
      <c r="M282">
        <f>RTD("tos.rtd", , "ASK_SIZE", ".SPY150529P213.5")</f>
        <v>240</v>
      </c>
      <c r="N282">
        <f>RTD("tos.rtd", , "BID", ".SPY150529P213.5")</f>
        <v>3.26</v>
      </c>
      <c r="O282">
        <f>RTD("tos.rtd", , "BID_SIZE", ".SPY150529P213.5")</f>
        <v>249</v>
      </c>
      <c r="P282">
        <f>RTD("tos.rtd", , "VOLUME", ".SPY150529P213.5")</f>
        <v>1</v>
      </c>
      <c r="Q282">
        <f>RTD("tos.rtd", , "OPEN_INT", ".SPY150529P213.5")</f>
        <v>28</v>
      </c>
      <c r="R282">
        <f>RTD("tos.rtd", , "DELTA", ".SPY150529P213.5")</f>
        <v>-0.66893000000000002</v>
      </c>
      <c r="S282">
        <f>RTD("tos.rtd", , "THETA", ".SPY150529P213.5")</f>
        <v>-4.0280000000000003E-2</v>
      </c>
      <c r="T282">
        <f>RTD("tos.rtd", , "GAMMA", ".SPY150529P213.5")</f>
        <v>7.2419999999999998E-2</v>
      </c>
      <c r="U282">
        <f>RTD("tos.rtd", , "VEGA", ".SPY150529P213.5")</f>
        <v>0.20426</v>
      </c>
      <c r="V282">
        <f>RTD("tos.rtd", , "RHO", ".SPY150529P213.5")</f>
        <v>-0.10304000000000001</v>
      </c>
    </row>
    <row r="283" spans="1:22" x14ac:dyDescent="0.25">
      <c r="A283">
        <f>RTD("tos.rtd", , "ASK", ".SPY150529C214")</f>
        <v>1.1100000000000001</v>
      </c>
      <c r="B283">
        <f>RTD("tos.rtd", , "ASK_SIZE", ".SPY150529C214")</f>
        <v>249</v>
      </c>
      <c r="C283">
        <f>RTD("tos.rtd", , "BID", ".SPY150529C214")</f>
        <v>1.06</v>
      </c>
      <c r="D283">
        <f>RTD("tos.rtd", , "BID_SIZE", ".SPY150529C214")</f>
        <v>345</v>
      </c>
      <c r="E283">
        <f>RTD("tos.rtd", , "VOLUME", ".SPY150529C214")</f>
        <v>395</v>
      </c>
      <c r="F283">
        <f>RTD("tos.rtd", , "OPEN_INT", ".SPY150529C214")</f>
        <v>3568</v>
      </c>
      <c r="G283">
        <f>RTD("tos.rtd", , "DELTA", ".SPY150529C214")</f>
        <v>0.31275999999999998</v>
      </c>
      <c r="H283">
        <f>RTD("tos.rtd", , "THETA", ".SPY150529C214")</f>
        <v>-3.4270000000000002E-2</v>
      </c>
      <c r="I283">
        <f>RTD("tos.rtd", , "GAMMA", ".SPY150529C214")</f>
        <v>6.4920000000000005E-2</v>
      </c>
      <c r="J283">
        <f>RTD("tos.rtd", , "VEGA", ".SPY150529C214")</f>
        <v>0.19979</v>
      </c>
      <c r="K283">
        <f>RTD("tos.rtd", , "RHO", ".SPY150529C214")</f>
        <v>4.521E-2</v>
      </c>
      <c r="L283">
        <f>RTD("tos.rtd", , "ASK", ".SPY150529P214")</f>
        <v>3.7</v>
      </c>
      <c r="M283">
        <f>RTD("tos.rtd", , "ASK_SIZE", ".SPY150529P214")</f>
        <v>240</v>
      </c>
      <c r="N283">
        <f>RTD("tos.rtd", , "BID", ".SPY150529P214")</f>
        <v>3.53</v>
      </c>
      <c r="O283">
        <f>RTD("tos.rtd", , "BID_SIZE", ".SPY150529P214")</f>
        <v>240</v>
      </c>
      <c r="P283">
        <f>RTD("tos.rtd", , "VOLUME", ".SPY150529P214")</f>
        <v>72</v>
      </c>
      <c r="Q283">
        <f>RTD("tos.rtd", , "OPEN_INT", ".SPY150529P214")</f>
        <v>1201</v>
      </c>
      <c r="R283">
        <f>RTD("tos.rtd", , "DELTA", ".SPY150529P214")</f>
        <v>-0.71191000000000004</v>
      </c>
      <c r="S283">
        <f>RTD("tos.rtd", , "THETA", ".SPY150529P214")</f>
        <v>-3.7339999999999998E-2</v>
      </c>
      <c r="T283">
        <f>RTD("tos.rtd", , "GAMMA", ".SPY150529P214")</f>
        <v>7.0930000000000007E-2</v>
      </c>
      <c r="U283">
        <f>RTD("tos.rtd", , "VEGA", ".SPY150529P214")</f>
        <v>0.19225999999999999</v>
      </c>
      <c r="V283">
        <f>RTD("tos.rtd", , "RHO", ".SPY150529P214")</f>
        <v>-0.10971</v>
      </c>
    </row>
    <row r="284" spans="1:22" x14ac:dyDescent="0.25">
      <c r="A284">
        <f>RTD("tos.rtd", , "ASK", ".SPY150529C214.5")</f>
        <v>0.92</v>
      </c>
      <c r="B284">
        <f>RTD("tos.rtd", , "ASK_SIZE", ".SPY150529C214.5")</f>
        <v>268</v>
      </c>
      <c r="C284">
        <f>RTD("tos.rtd", , "BID", ".SPY150529C214.5")</f>
        <v>0.87</v>
      </c>
      <c r="D284">
        <f>RTD("tos.rtd", , "BID_SIZE", ".SPY150529C214.5")</f>
        <v>420</v>
      </c>
      <c r="E284">
        <f>RTD("tos.rtd", , "VOLUME", ".SPY150529C214.5")</f>
        <v>174</v>
      </c>
      <c r="F284">
        <f>RTD("tos.rtd", , "OPEN_INT", ".SPY150529C214.5")</f>
        <v>655</v>
      </c>
      <c r="G284">
        <f>RTD("tos.rtd", , "DELTA", ".SPY150529C214.5")</f>
        <v>0.27625</v>
      </c>
      <c r="H284">
        <f>RTD("tos.rtd", , "THETA", ".SPY150529C214.5")</f>
        <v>-3.1669999999999997E-2</v>
      </c>
      <c r="I284">
        <f>RTD("tos.rtd", , "GAMMA", ".SPY150529C214.5")</f>
        <v>6.2820000000000001E-2</v>
      </c>
      <c r="J284">
        <f>RTD("tos.rtd", , "VEGA", ".SPY150529C214.5")</f>
        <v>0.18876999999999999</v>
      </c>
      <c r="K284">
        <f>RTD("tos.rtd", , "RHO", ".SPY150529C214.5")</f>
        <v>4.0140000000000002E-2</v>
      </c>
      <c r="L284">
        <f>RTD("tos.rtd", , "ASK", ".SPY150529P214.5")</f>
        <v>4.01</v>
      </c>
      <c r="M284">
        <f>RTD("tos.rtd", , "ASK_SIZE", ".SPY150529P214.5")</f>
        <v>240</v>
      </c>
      <c r="N284">
        <f>RTD("tos.rtd", , "BID", ".SPY150529P214.5")</f>
        <v>3.83</v>
      </c>
      <c r="O284">
        <f>RTD("tos.rtd", , "BID_SIZE", ".SPY150529P214.5")</f>
        <v>243</v>
      </c>
      <c r="P284">
        <f>RTD("tos.rtd", , "VOLUME", ".SPY150529P214.5")</f>
        <v>15</v>
      </c>
      <c r="Q284">
        <f>RTD("tos.rtd", , "OPEN_INT", ".SPY150529P214.5")</f>
        <v>89</v>
      </c>
      <c r="R284">
        <f>RTD("tos.rtd", , "DELTA", ".SPY150529P214.5")</f>
        <v>-0.75543000000000005</v>
      </c>
      <c r="S284">
        <f>RTD("tos.rtd", , "THETA", ".SPY150529P214.5")</f>
        <v>-3.4049999999999997E-2</v>
      </c>
      <c r="T284">
        <f>RTD("tos.rtd", , "GAMMA", ".SPY150529P214.5")</f>
        <v>6.8099999999999994E-2</v>
      </c>
      <c r="U284">
        <f>RTD("tos.rtd", , "VEGA", ".SPY150529P214.5")</f>
        <v>0.17699999999999999</v>
      </c>
      <c r="V284">
        <f>RTD("tos.rtd", , "RHO", ".SPY150529P214.5")</f>
        <v>-0.11648</v>
      </c>
    </row>
    <row r="285" spans="1:22" x14ac:dyDescent="0.25">
      <c r="A285">
        <f>RTD("tos.rtd", , "ASK", ".SPY150529C215")</f>
        <v>0.76</v>
      </c>
      <c r="B285">
        <f>RTD("tos.rtd", , "ASK_SIZE", ".SPY150529C215")</f>
        <v>158</v>
      </c>
      <c r="C285">
        <f>RTD("tos.rtd", , "BID", ".SPY150529C215")</f>
        <v>0.71</v>
      </c>
      <c r="D285">
        <f>RTD("tos.rtd", , "BID_SIZE", ".SPY150529C215")</f>
        <v>333</v>
      </c>
      <c r="E285">
        <f>RTD("tos.rtd", , "VOLUME", ".SPY150529C215")</f>
        <v>5970</v>
      </c>
      <c r="F285">
        <f>RTD("tos.rtd", , "OPEN_INT", ".SPY150529C215")</f>
        <v>72257</v>
      </c>
      <c r="G285">
        <f>RTD("tos.rtd", , "DELTA", ".SPY150529C215")</f>
        <v>0.24162</v>
      </c>
      <c r="H285">
        <f>RTD("tos.rtd", , "THETA", ".SPY150529C215")</f>
        <v>-2.9080000000000002E-2</v>
      </c>
      <c r="I285">
        <f>RTD("tos.rtd", , "GAMMA", ".SPY150529C215")</f>
        <v>5.9760000000000001E-2</v>
      </c>
      <c r="J285">
        <f>RTD("tos.rtd", , "VEGA", ".SPY150529C215")</f>
        <v>0.17627000000000001</v>
      </c>
      <c r="K285">
        <f>RTD("tos.rtd", , "RHO", ".SPY150529C215")</f>
        <v>3.5270000000000003E-2</v>
      </c>
      <c r="L285">
        <f>RTD("tos.rtd", , "ASK", ".SPY150529P215")</f>
        <v>4.3499999999999996</v>
      </c>
      <c r="M285">
        <f>RTD("tos.rtd", , "ASK_SIZE", ".SPY150529P215")</f>
        <v>249</v>
      </c>
      <c r="N285">
        <f>RTD("tos.rtd", , "BID", ".SPY150529P215")</f>
        <v>4.16</v>
      </c>
      <c r="O285">
        <f>RTD("tos.rtd", , "BID_SIZE", ".SPY150529P215")</f>
        <v>240</v>
      </c>
      <c r="P285">
        <f>RTD("tos.rtd", , "VOLUME", ".SPY150529P215")</f>
        <v>93</v>
      </c>
      <c r="Q285">
        <f>RTD("tos.rtd", , "OPEN_INT", ".SPY150529P215")</f>
        <v>502</v>
      </c>
      <c r="R285">
        <f>RTD("tos.rtd", , "DELTA", ".SPY150529P215")</f>
        <v>-0.79795000000000005</v>
      </c>
      <c r="S285">
        <f>RTD("tos.rtd", , "THETA", ".SPY150529P215")</f>
        <v>-3.057E-2</v>
      </c>
      <c r="T285">
        <f>RTD("tos.rtd", , "GAMMA", ".SPY150529P215")</f>
        <v>6.3670000000000004E-2</v>
      </c>
      <c r="U285">
        <f>RTD("tos.rtd", , "VEGA", ".SPY150529P215")</f>
        <v>0.15881999999999999</v>
      </c>
      <c r="V285">
        <f>RTD("tos.rtd", , "RHO", ".SPY150529P215")</f>
        <v>-0.12311</v>
      </c>
    </row>
    <row r="286" spans="1:22" x14ac:dyDescent="0.25">
      <c r="A286">
        <f>RTD("tos.rtd", , "ASK", ".SPY150529C215.5")</f>
        <v>0.6</v>
      </c>
      <c r="B286">
        <f>RTD("tos.rtd", , "ASK_SIZE", ".SPY150529C215.5")</f>
        <v>240</v>
      </c>
      <c r="C286">
        <f>RTD("tos.rtd", , "BID", ".SPY150529C215.5")</f>
        <v>0.56000000000000005</v>
      </c>
      <c r="D286">
        <f>RTD("tos.rtd", , "BID_SIZE", ".SPY150529C215.5")</f>
        <v>240</v>
      </c>
      <c r="E286">
        <f>RTD("tos.rtd", , "VOLUME", ".SPY150529C215.5")</f>
        <v>30</v>
      </c>
      <c r="F286">
        <f>RTD("tos.rtd", , "OPEN_INT", ".SPY150529C215.5")</f>
        <v>1087</v>
      </c>
      <c r="G286">
        <f>RTD("tos.rtd", , "DELTA", ".SPY150529C215.5")</f>
        <v>0.20594999999999999</v>
      </c>
      <c r="H286">
        <f>RTD("tos.rtd", , "THETA", ".SPY150529C215.5")</f>
        <v>-2.5860000000000001E-2</v>
      </c>
      <c r="I286">
        <f>RTD("tos.rtd", , "GAMMA", ".SPY150529C215.5")</f>
        <v>5.6210000000000003E-2</v>
      </c>
      <c r="J286">
        <f>RTD("tos.rtd", , "VEGA", ".SPY150529C215.5")</f>
        <v>0.16112000000000001</v>
      </c>
      <c r="K286">
        <f>RTD("tos.rtd", , "RHO", ".SPY150529C215.5")</f>
        <v>3.0190000000000002E-2</v>
      </c>
      <c r="L286">
        <f>RTD("tos.rtd", , "ASK", ".SPY150529P215.5")</f>
        <v>4.71</v>
      </c>
      <c r="M286">
        <f>RTD("tos.rtd", , "ASK_SIZE", ".SPY150529P215.5")</f>
        <v>249</v>
      </c>
      <c r="N286">
        <f>RTD("tos.rtd", , "BID", ".SPY150529P215.5")</f>
        <v>4.51</v>
      </c>
      <c r="O286">
        <f>RTD("tos.rtd", , "BID_SIZE", ".SPY150529P215.5")</f>
        <v>240</v>
      </c>
      <c r="P286">
        <f>RTD("tos.rtd", , "VOLUME", ".SPY150529P215.5")</f>
        <v>3</v>
      </c>
      <c r="Q286">
        <f>RTD("tos.rtd", , "OPEN_INT", ".SPY150529P215.5")</f>
        <v>1</v>
      </c>
      <c r="R286">
        <f>RTD("tos.rtd", , "DELTA", ".SPY150529P215.5")</f>
        <v>-0.84043999999999996</v>
      </c>
      <c r="S286">
        <f>RTD("tos.rtd", , "THETA", ".SPY150529P215.5")</f>
        <v>-2.6679999999999999E-2</v>
      </c>
      <c r="T286">
        <f>RTD("tos.rtd", , "GAMMA", ".SPY150529P215.5")</f>
        <v>5.7700000000000001E-2</v>
      </c>
      <c r="U286">
        <f>RTD("tos.rtd", , "VEGA", ".SPY150529P215.5")</f>
        <v>0.13703000000000001</v>
      </c>
      <c r="V286">
        <f>RTD("tos.rtd", , "RHO", ".SPY150529P215.5")</f>
        <v>-0.12977</v>
      </c>
    </row>
    <row r="287" spans="1:22" x14ac:dyDescent="0.25">
      <c r="A287">
        <f>RTD("tos.rtd", , "ASK", ".SPY150529C216")</f>
        <v>0.47</v>
      </c>
      <c r="B287">
        <f>RTD("tos.rtd", , "ASK_SIZE", ".SPY150529C216")</f>
        <v>100</v>
      </c>
      <c r="C287">
        <f>RTD("tos.rtd", , "BID", ".SPY150529C216")</f>
        <v>0.44</v>
      </c>
      <c r="D287">
        <f>RTD("tos.rtd", , "BID_SIZE", ".SPY150529C216")</f>
        <v>415</v>
      </c>
      <c r="E287">
        <f>RTD("tos.rtd", , "VOLUME", ".SPY150529C216")</f>
        <v>570</v>
      </c>
      <c r="F287">
        <f>RTD("tos.rtd", , "OPEN_INT", ".SPY150529C216")</f>
        <v>6338</v>
      </c>
      <c r="G287">
        <f>RTD("tos.rtd", , "DELTA", ".SPY150529C216")</f>
        <v>0.17348</v>
      </c>
      <c r="H287">
        <f>RTD("tos.rtd", , "THETA", ".SPY150529C216")</f>
        <v>-2.281E-2</v>
      </c>
      <c r="I287">
        <f>RTD("tos.rtd", , "GAMMA", ".SPY150529C216")</f>
        <v>5.1790000000000003E-2</v>
      </c>
      <c r="J287">
        <f>RTD("tos.rtd", , "VEGA", ".SPY150529C216")</f>
        <v>0.14515</v>
      </c>
      <c r="K287">
        <f>RTD("tos.rtd", , "RHO", ".SPY150529C216")</f>
        <v>2.5520000000000001E-2</v>
      </c>
      <c r="L287">
        <f>RTD("tos.rtd", , "ASK", ".SPY150529P216")</f>
        <v>5.09</v>
      </c>
      <c r="M287">
        <f>RTD("tos.rtd", , "ASK_SIZE", ".SPY150529P216")</f>
        <v>249</v>
      </c>
      <c r="N287">
        <f>RTD("tos.rtd", , "BID", ".SPY150529P216")</f>
        <v>4.8899999999999997</v>
      </c>
      <c r="O287">
        <f>RTD("tos.rtd", , "BID_SIZE", ".SPY150529P216")</f>
        <v>249</v>
      </c>
      <c r="P287">
        <f>RTD("tos.rtd", , "VOLUME", ".SPY150529P216")</f>
        <v>40</v>
      </c>
      <c r="Q287">
        <f>RTD("tos.rtd", , "OPEN_INT", ".SPY150529P216")</f>
        <v>127</v>
      </c>
      <c r="R287">
        <f>RTD("tos.rtd", , "DELTA", ".SPY150529P216")</f>
        <v>-0.88158000000000003</v>
      </c>
      <c r="S287">
        <f>RTD("tos.rtd", , "THETA", ".SPY150529P216")</f>
        <v>-2.257E-2</v>
      </c>
      <c r="T287">
        <f>RTD("tos.rtd", , "GAMMA", ".SPY150529P216")</f>
        <v>4.9880000000000001E-2</v>
      </c>
      <c r="U287">
        <f>RTD("tos.rtd", , "VEGA", ".SPY150529P216")</f>
        <v>0.11189</v>
      </c>
      <c r="V287">
        <f>RTD("tos.rtd", , "RHO", ".SPY150529P216")</f>
        <v>-0.13622999999999999</v>
      </c>
    </row>
    <row r="288" spans="1:22" x14ac:dyDescent="0.25">
      <c r="A288">
        <f>RTD("tos.rtd", , "ASK", ".SPY150529C216.5")</f>
        <v>0.37</v>
      </c>
      <c r="B288">
        <f>RTD("tos.rtd", , "ASK_SIZE", ".SPY150529C216.5")</f>
        <v>151</v>
      </c>
      <c r="C288">
        <f>RTD("tos.rtd", , "BID", ".SPY150529C216.5")</f>
        <v>0.34</v>
      </c>
      <c r="D288">
        <f>RTD("tos.rtd", , "BID_SIZE", ".SPY150529C216.5")</f>
        <v>315</v>
      </c>
      <c r="E288">
        <f>RTD("tos.rtd", , "VOLUME", ".SPY150529C216.5")</f>
        <v>63</v>
      </c>
      <c r="F288">
        <f>RTD("tos.rtd", , "OPEN_INT", ".SPY150529C216.5")</f>
        <v>613</v>
      </c>
      <c r="G288">
        <f>RTD("tos.rtd", , "DELTA", ".SPY150529C216.5")</f>
        <v>0.14443</v>
      </c>
      <c r="H288">
        <f>RTD("tos.rtd", , "THETA", ".SPY150529C216.5")</f>
        <v>-1.992E-2</v>
      </c>
      <c r="I288">
        <f>RTD("tos.rtd", , "GAMMA", ".SPY150529C216.5")</f>
        <v>4.6820000000000001E-2</v>
      </c>
      <c r="J288">
        <f>RTD("tos.rtd", , "VEGA", ".SPY150529C216.5")</f>
        <v>0.12889999999999999</v>
      </c>
      <c r="K288">
        <f>RTD("tos.rtd", , "RHO", ".SPY150529C216.5")</f>
        <v>2.1309999999999999E-2</v>
      </c>
      <c r="L288">
        <f>RTD("tos.rtd", , "ASK", ".SPY150529P216.5")</f>
        <v>5.5</v>
      </c>
      <c r="M288">
        <f>RTD("tos.rtd", , "ASK_SIZE", ".SPY150529P216.5")</f>
        <v>240</v>
      </c>
      <c r="N288">
        <f>RTD("tos.rtd", , "BID", ".SPY150529P216.5")</f>
        <v>5.27</v>
      </c>
      <c r="O288">
        <f>RTD("tos.rtd", , "BID_SIZE", ".SPY150529P216.5")</f>
        <v>240</v>
      </c>
      <c r="P288">
        <f>RTD("tos.rtd", , "VOLUME", ".SPY150529P216.5")</f>
        <v>2</v>
      </c>
      <c r="Q288">
        <f>RTD("tos.rtd", , "OPEN_INT", ".SPY150529P216.5")</f>
        <v>37</v>
      </c>
      <c r="R288">
        <f>RTD("tos.rtd", , "DELTA", ".SPY150529P216.5")</f>
        <v>-0.92412000000000005</v>
      </c>
      <c r="S288">
        <f>RTD("tos.rtd", , "THETA", ".SPY150529P216.5")</f>
        <v>-1.7829999999999999E-2</v>
      </c>
      <c r="T288">
        <f>RTD("tos.rtd", , "GAMMA", ".SPY150529P216.5")</f>
        <v>3.9210000000000002E-2</v>
      </c>
      <c r="U288">
        <f>RTD("tos.rtd", , "VEGA", ".SPY150529P216.5")</f>
        <v>8.0680000000000002E-2</v>
      </c>
      <c r="V288">
        <f>RTD("tos.rtd", , "RHO", ".SPY150529P216.5")</f>
        <v>-0.14291999999999999</v>
      </c>
    </row>
    <row r="289" spans="1:22" x14ac:dyDescent="0.25">
      <c r="A289">
        <f>RTD("tos.rtd", , "ASK", ".SPY150529C217")</f>
        <v>0.28999999999999998</v>
      </c>
      <c r="B289">
        <f>RTD("tos.rtd", , "ASK_SIZE", ".SPY150529C217")</f>
        <v>249</v>
      </c>
      <c r="C289">
        <f>RTD("tos.rtd", , "BID", ".SPY150529C217")</f>
        <v>0.26</v>
      </c>
      <c r="D289">
        <f>RTD("tos.rtd", , "BID_SIZE", ".SPY150529C217")</f>
        <v>249</v>
      </c>
      <c r="E289">
        <f>RTD("tos.rtd", , "VOLUME", ".SPY150529C217")</f>
        <v>124</v>
      </c>
      <c r="F289">
        <f>RTD("tos.rtd", , "OPEN_INT", ".SPY150529C217")</f>
        <v>2484</v>
      </c>
      <c r="G289">
        <f>RTD("tos.rtd", , "DELTA", ".SPY150529C217")</f>
        <v>0.11878</v>
      </c>
      <c r="H289">
        <f>RTD("tos.rtd", , "THETA", ".SPY150529C217")</f>
        <v>-1.72E-2</v>
      </c>
      <c r="I289">
        <f>RTD("tos.rtd", , "GAMMA", ".SPY150529C217")</f>
        <v>4.1579999999999999E-2</v>
      </c>
      <c r="J289">
        <f>RTD("tos.rtd", , "VEGA", ".SPY150529C217")</f>
        <v>0.1128</v>
      </c>
      <c r="K289">
        <f>RTD("tos.rtd", , "RHO", ".SPY150529C217")</f>
        <v>1.7569999999999999E-2</v>
      </c>
      <c r="L289">
        <f>RTD("tos.rtd", , "ASK", ".SPY150529P217")</f>
        <v>5.92</v>
      </c>
      <c r="M289">
        <f>RTD("tos.rtd", , "ASK_SIZE", ".SPY150529P217")</f>
        <v>240</v>
      </c>
      <c r="N289">
        <f>RTD("tos.rtd", , "BID", ".SPY150529P217")</f>
        <v>5.68</v>
      </c>
      <c r="O289">
        <f>RTD("tos.rtd", , "BID_SIZE", ".SPY150529P217")</f>
        <v>240</v>
      </c>
      <c r="P289">
        <f>RTD("tos.rtd", , "VOLUME", ".SPY150529P217")</f>
        <v>3</v>
      </c>
      <c r="Q289">
        <f>RTD("tos.rtd", , "OPEN_INT", ".SPY150529P217")</f>
        <v>0</v>
      </c>
      <c r="R289">
        <f>RTD("tos.rtd", , "DELTA", ".SPY150529P217")</f>
        <v>-0.96930000000000005</v>
      </c>
      <c r="S289">
        <f>RTD("tos.rtd", , "THETA", ".SPY150529P217")</f>
        <v>-1.2370000000000001E-2</v>
      </c>
      <c r="T289">
        <f>RTD("tos.rtd", , "GAMMA", ".SPY150529P217")</f>
        <v>2.2249999999999999E-2</v>
      </c>
      <c r="U289">
        <f>RTD("tos.rtd", , "VEGA", ".SPY150529P217")</f>
        <v>3.8949999999999999E-2</v>
      </c>
      <c r="V289">
        <f>RTD("tos.rtd", , "RHO", ".SPY150529P217")</f>
        <v>-0.15001999999999999</v>
      </c>
    </row>
    <row r="290" spans="1:22" x14ac:dyDescent="0.25">
      <c r="A290">
        <f>RTD("tos.rtd", , "ASK", ".SPY150529C217.5")</f>
        <v>0.22</v>
      </c>
      <c r="B290">
        <f>RTD("tos.rtd", , "ASK_SIZE", ".SPY150529C217.5")</f>
        <v>99</v>
      </c>
      <c r="C290">
        <f>RTD("tos.rtd", , "BID", ".SPY150529C217.5")</f>
        <v>0.2</v>
      </c>
      <c r="D290">
        <f>RTD("tos.rtd", , "BID_SIZE", ".SPY150529C217.5")</f>
        <v>250</v>
      </c>
      <c r="E290">
        <f>RTD("tos.rtd", , "VOLUME", ".SPY150529C217.5")</f>
        <v>433</v>
      </c>
      <c r="F290">
        <f>RTD("tos.rtd", , "OPEN_INT", ".SPY150529C217.5")</f>
        <v>7398</v>
      </c>
      <c r="G290">
        <f>RTD("tos.rtd", , "DELTA", ".SPY150529C217.5")</f>
        <v>9.6250000000000002E-2</v>
      </c>
      <c r="H290">
        <f>RTD("tos.rtd", , "THETA", ".SPY150529C217.5")</f>
        <v>-1.4630000000000001E-2</v>
      </c>
      <c r="I290">
        <f>RTD("tos.rtd", , "GAMMA", ".SPY150529C217.5")</f>
        <v>3.6260000000000001E-2</v>
      </c>
      <c r="J290">
        <f>RTD("tos.rtd", , "VEGA", ".SPY150529C217.5")</f>
        <v>9.7100000000000006E-2</v>
      </c>
      <c r="K290">
        <f>RTD("tos.rtd", , "RHO", ".SPY150529C217.5")</f>
        <v>1.427E-2</v>
      </c>
      <c r="L290">
        <f>RTD("tos.rtd", , "ASK", ".SPY150529P217.5")</f>
        <v>6.36</v>
      </c>
      <c r="M290">
        <f>RTD("tos.rtd", , "ASK_SIZE", ".SPY150529P217.5")</f>
        <v>150</v>
      </c>
      <c r="N290">
        <f>RTD("tos.rtd", , "BID", ".SPY150529P217.5")</f>
        <v>6.12</v>
      </c>
      <c r="O290">
        <f>RTD("tos.rtd", , "BID_SIZE", ".SPY150529P217.5")</f>
        <v>150</v>
      </c>
      <c r="P290">
        <f>RTD("tos.rtd", , "VOLUME", ".SPY150529P217.5")</f>
        <v>65</v>
      </c>
      <c r="Q290">
        <f>RTD("tos.rtd", , "OPEN_INT", ".SPY150529P217.5")</f>
        <v>94</v>
      </c>
      <c r="R290">
        <f>RTD("tos.rtd", , "DELTA", ".SPY150529P217.5")</f>
        <v>-1</v>
      </c>
      <c r="S290">
        <f>RTD("tos.rtd", , "THETA", ".SPY150529P217.5")</f>
        <v>0</v>
      </c>
      <c r="T290">
        <f>RTD("tos.rtd", , "GAMMA", ".SPY150529P217.5")</f>
        <v>0</v>
      </c>
      <c r="U290">
        <f>RTD("tos.rtd", , "VEGA", ".SPY150529P217.5")</f>
        <v>2.2634699999999999</v>
      </c>
      <c r="V290">
        <f>RTD("tos.rtd", , "RHO", ".SPY150529P217.5")</f>
        <v>0</v>
      </c>
    </row>
    <row r="291" spans="1:22" x14ac:dyDescent="0.25">
      <c r="A291">
        <f>RTD("tos.rtd", , "ASK", ".SPY150529C218")</f>
        <v>0.18</v>
      </c>
      <c r="B291">
        <f>RTD("tos.rtd", , "ASK_SIZE", ".SPY150529C218")</f>
        <v>250</v>
      </c>
      <c r="C291">
        <f>RTD("tos.rtd", , "BID", ".SPY150529C218")</f>
        <v>0.15</v>
      </c>
      <c r="D291">
        <f>RTD("tos.rtd", , "BID_SIZE", ".SPY150529C218")</f>
        <v>250</v>
      </c>
      <c r="E291">
        <f>RTD("tos.rtd", , "VOLUME", ".SPY150529C218")</f>
        <v>880</v>
      </c>
      <c r="F291">
        <f>RTD("tos.rtd", , "OPEN_INT", ".SPY150529C218")</f>
        <v>195</v>
      </c>
      <c r="G291">
        <f>RTD("tos.rtd", , "DELTA", ".SPY150529C218")</f>
        <v>7.8960000000000002E-2</v>
      </c>
      <c r="H291">
        <f>RTD("tos.rtd", , "THETA", ".SPY150529C218")</f>
        <v>-1.264E-2</v>
      </c>
      <c r="I291">
        <f>RTD("tos.rtd", , "GAMMA", ".SPY150529C218")</f>
        <v>3.1399999999999997E-2</v>
      </c>
      <c r="J291">
        <f>RTD("tos.rtd", , "VEGA", ".SPY150529C218")</f>
        <v>8.3900000000000002E-2</v>
      </c>
      <c r="K291">
        <f>RTD("tos.rtd", , "RHO", ".SPY150529C218")</f>
        <v>1.172E-2</v>
      </c>
      <c r="L291">
        <f>RTD("tos.rtd", , "ASK", ".SPY150529P218")</f>
        <v>6.81</v>
      </c>
      <c r="M291">
        <f>RTD("tos.rtd", , "ASK_SIZE", ".SPY150529P218")</f>
        <v>240</v>
      </c>
      <c r="N291">
        <f>RTD("tos.rtd", , "BID", ".SPY150529P218")</f>
        <v>6.56</v>
      </c>
      <c r="O291">
        <f>RTD("tos.rtd", , "BID_SIZE", ".SPY150529P218")</f>
        <v>240</v>
      </c>
      <c r="P291">
        <f>RTD("tos.rtd", , "VOLUME", ".SPY150529P218")</f>
        <v>1</v>
      </c>
      <c r="Q291">
        <f>RTD("tos.rtd", , "OPEN_INT", ".SPY150529P218")</f>
        <v>0</v>
      </c>
      <c r="R291">
        <f>RTD("tos.rtd", , "DELTA", ".SPY150529P218")</f>
        <v>-0.99875000000000003</v>
      </c>
      <c r="S291">
        <f>RTD("tos.rtd", , "THETA", ".SPY150529P218")</f>
        <v>-8.6999999999999994E-3</v>
      </c>
      <c r="T291">
        <f>RTD("tos.rtd", , "GAMMA", ".SPY150529P218")</f>
        <v>0</v>
      </c>
      <c r="U291">
        <f>RTD("tos.rtd", , "VEGA", ".SPY150529P218")</f>
        <v>0</v>
      </c>
      <c r="V291">
        <f>RTD("tos.rtd", , "RHO", ".SPY150529P218")</f>
        <v>-0.15515000000000001</v>
      </c>
    </row>
    <row r="292" spans="1:22" x14ac:dyDescent="0.25">
      <c r="A292">
        <f>RTD("tos.rtd", , "ASK", ".SPY150529C218.5")</f>
        <v>0.14000000000000001</v>
      </c>
      <c r="B292">
        <f>RTD("tos.rtd", , "ASK_SIZE", ".SPY150529C218.5")</f>
        <v>250</v>
      </c>
      <c r="C292">
        <f>RTD("tos.rtd", , "BID", ".SPY150529C218.5")</f>
        <v>0.11</v>
      </c>
      <c r="D292">
        <f>RTD("tos.rtd", , "BID_SIZE", ".SPY150529C218.5")</f>
        <v>545</v>
      </c>
      <c r="E292">
        <f>RTD("tos.rtd", , "VOLUME", ".SPY150529C218.5")</f>
        <v>0</v>
      </c>
      <c r="F292">
        <f>RTD("tos.rtd", , "OPEN_INT", ".SPY150529C218.5")</f>
        <v>172</v>
      </c>
      <c r="G292">
        <f>RTD("tos.rtd", , "DELTA", ".SPY150529C218.5")</f>
        <v>6.2829999999999997E-2</v>
      </c>
      <c r="H292">
        <f>RTD("tos.rtd", , "THETA", ".SPY150529C218.5")</f>
        <v>-1.055E-2</v>
      </c>
      <c r="I292">
        <f>RTD("tos.rtd", , "GAMMA", ".SPY150529C218.5")</f>
        <v>2.6620000000000001E-2</v>
      </c>
      <c r="J292">
        <f>RTD("tos.rtd", , "VEGA", ".SPY150529C218.5")</f>
        <v>7.0540000000000005E-2</v>
      </c>
      <c r="K292">
        <f>RTD("tos.rtd", , "RHO", ".SPY150529C218.5")</f>
        <v>9.3399999999999993E-3</v>
      </c>
      <c r="L292">
        <f>RTD("tos.rtd", , "ASK", ".SPY150529P218.5")</f>
        <v>7.28</v>
      </c>
      <c r="M292">
        <f>RTD("tos.rtd", , "ASK_SIZE", ".SPY150529P218.5")</f>
        <v>150</v>
      </c>
      <c r="N292">
        <f>RTD("tos.rtd", , "BID", ".SPY150529P218.5")</f>
        <v>7.02</v>
      </c>
      <c r="O292">
        <f>RTD("tos.rtd", , "BID_SIZE", ".SPY150529P218.5")</f>
        <v>150</v>
      </c>
      <c r="P292">
        <f>RTD("tos.rtd", , "VOLUME", ".SPY150529P218.5")</f>
        <v>1</v>
      </c>
      <c r="Q292">
        <f>RTD("tos.rtd", , "OPEN_INT", ".SPY150529P218.5")</f>
        <v>0</v>
      </c>
      <c r="R292">
        <f>RTD("tos.rtd", , "DELTA", ".SPY150529P218.5")</f>
        <v>-1</v>
      </c>
      <c r="S292">
        <f>RTD("tos.rtd", , "THETA", ".SPY150529P218.5")</f>
        <v>0</v>
      </c>
      <c r="T292">
        <f>RTD("tos.rtd", , "GAMMA", ".SPY150529P218.5")</f>
        <v>0</v>
      </c>
      <c r="U292">
        <f>RTD("tos.rtd", , "VEGA", ".SPY150529P218.5")</f>
        <v>2.2616900000000002</v>
      </c>
      <c r="V292">
        <f>RTD("tos.rtd", , "RHO", ".SPY150529P218.5")</f>
        <v>0</v>
      </c>
    </row>
    <row r="293" spans="1:22" x14ac:dyDescent="0.25">
      <c r="A293">
        <f>RTD("tos.rtd", , "ASK", ".SPY150529C219")</f>
        <v>0.11</v>
      </c>
      <c r="B293">
        <f>RTD("tos.rtd", , "ASK_SIZE", ".SPY150529C219")</f>
        <v>1707</v>
      </c>
      <c r="C293">
        <f>RTD("tos.rtd", , "BID", ".SPY150529C219")</f>
        <v>0.09</v>
      </c>
      <c r="D293">
        <f>RTD("tos.rtd", , "BID_SIZE", ".SPY150529C219")</f>
        <v>399</v>
      </c>
      <c r="E293">
        <f>RTD("tos.rtd", , "VOLUME", ".SPY150529C219")</f>
        <v>556</v>
      </c>
      <c r="F293">
        <f>RTD("tos.rtd", , "OPEN_INT", ".SPY150529C219")</f>
        <v>2925</v>
      </c>
      <c r="G293">
        <f>RTD("tos.rtd", , "DELTA", ".SPY150529C219")</f>
        <v>5.1709999999999999E-2</v>
      </c>
      <c r="H293">
        <f>RTD("tos.rtd", , "THETA", ".SPY150529C219")</f>
        <v>-9.1400000000000006E-3</v>
      </c>
      <c r="I293">
        <f>RTD("tos.rtd", , "GAMMA", ".SPY150529C219")</f>
        <v>2.2720000000000001E-2</v>
      </c>
      <c r="J293">
        <f>RTD("tos.rtd", , "VEGA", ".SPY150529C219")</f>
        <v>6.0609999999999997E-2</v>
      </c>
      <c r="K293">
        <f>RTD("tos.rtd", , "RHO", ".SPY150529C219")</f>
        <v>7.7000000000000002E-3</v>
      </c>
      <c r="L293">
        <f>RTD("tos.rtd", , "ASK", ".SPY150529P219")</f>
        <v>7.75</v>
      </c>
      <c r="M293">
        <f>RTD("tos.rtd", , "ASK_SIZE", ".SPY150529P219")</f>
        <v>150</v>
      </c>
      <c r="N293">
        <f>RTD("tos.rtd", , "BID", ".SPY150529P219")</f>
        <v>7.49</v>
      </c>
      <c r="O293">
        <f>RTD("tos.rtd", , "BID_SIZE", ".SPY150529P219")</f>
        <v>150</v>
      </c>
      <c r="P293">
        <f>RTD("tos.rtd", , "VOLUME", ".SPY150529P219")</f>
        <v>1</v>
      </c>
      <c r="Q293">
        <f>RTD("tos.rtd", , "OPEN_INT", ".SPY150529P219")</f>
        <v>0</v>
      </c>
      <c r="R293">
        <f>RTD("tos.rtd", , "DELTA", ".SPY150529P219")</f>
        <v>-0.99875000000000003</v>
      </c>
      <c r="S293">
        <f>RTD("tos.rtd", , "THETA", ".SPY150529P219")</f>
        <v>-8.6899999999999998E-3</v>
      </c>
      <c r="T293">
        <f>RTD("tos.rtd", , "GAMMA", ".SPY150529P219")</f>
        <v>0</v>
      </c>
      <c r="U293">
        <f>RTD("tos.rtd", , "VEGA", ".SPY150529P219")</f>
        <v>0</v>
      </c>
      <c r="V293">
        <f>RTD("tos.rtd", , "RHO", ".SPY150529P219")</f>
        <v>-0.15586</v>
      </c>
    </row>
    <row r="294" spans="1:22" x14ac:dyDescent="0.25">
      <c r="A294">
        <f>RTD("tos.rtd", , "ASK", ".SPY150529C219.5")</f>
        <v>0.09</v>
      </c>
      <c r="B294">
        <f>RTD("tos.rtd", , "ASK_SIZE", ".SPY150529C219.5")</f>
        <v>250</v>
      </c>
      <c r="C294">
        <f>RTD("tos.rtd", , "BID", ".SPY150529C219.5")</f>
        <v>7.0000000000000007E-2</v>
      </c>
      <c r="D294">
        <f>RTD("tos.rtd", , "BID_SIZE", ".SPY150529C219.5")</f>
        <v>250</v>
      </c>
      <c r="E294">
        <f>RTD("tos.rtd", , "VOLUME", ".SPY150529C219.5")</f>
        <v>12</v>
      </c>
      <c r="F294">
        <f>RTD("tos.rtd", , "OPEN_INT", ".SPY150529C219.5")</f>
        <v>1009</v>
      </c>
      <c r="G294">
        <f>RTD("tos.rtd", , "DELTA", ".SPY150529C219.5")</f>
        <v>4.249E-2</v>
      </c>
      <c r="H294">
        <f>RTD("tos.rtd", , "THETA", ".SPY150529C219.5")</f>
        <v>-7.8899999999999994E-3</v>
      </c>
      <c r="I294">
        <f>RTD("tos.rtd", , "GAMMA", ".SPY150529C219.5")</f>
        <v>1.9300000000000001E-2</v>
      </c>
      <c r="J294">
        <f>RTD("tos.rtd", , "VEGA", ".SPY150529C219.5")</f>
        <v>5.1869999999999999E-2</v>
      </c>
      <c r="K294">
        <f>RTD("tos.rtd", , "RHO", ".SPY150529C219.5")</f>
        <v>6.3299999999999997E-3</v>
      </c>
      <c r="L294">
        <f>RTD("tos.rtd", , "ASK", ".SPY150529P219.5")</f>
        <v>8.25</v>
      </c>
      <c r="M294">
        <f>RTD("tos.rtd", , "ASK_SIZE", ".SPY150529P219.5")</f>
        <v>150</v>
      </c>
      <c r="N294">
        <f>RTD("tos.rtd", , "BID", ".SPY150529P219.5")</f>
        <v>7.94</v>
      </c>
      <c r="O294">
        <f>RTD("tos.rtd", , "BID_SIZE", ".SPY150529P219.5")</f>
        <v>151</v>
      </c>
      <c r="P294">
        <f>RTD("tos.rtd", , "VOLUME", ".SPY150529P219.5")</f>
        <v>4</v>
      </c>
      <c r="Q294">
        <f>RTD("tos.rtd", , "OPEN_INT", ".SPY150529P219.5")</f>
        <v>3</v>
      </c>
      <c r="R294">
        <f>RTD("tos.rtd", , "DELTA", ".SPY150529P219.5")</f>
        <v>-0.99875000000000003</v>
      </c>
      <c r="S294">
        <f>RTD("tos.rtd", , "THETA", ".SPY150529P219.5")</f>
        <v>-8.6899999999999998E-3</v>
      </c>
      <c r="T294">
        <f>RTD("tos.rtd", , "GAMMA", ".SPY150529P219.5")</f>
        <v>0</v>
      </c>
      <c r="U294">
        <f>RTD("tos.rtd", , "VEGA", ".SPY150529P219.5")</f>
        <v>0</v>
      </c>
      <c r="V294">
        <f>RTD("tos.rtd", , "RHO", ".SPY150529P219.5")</f>
        <v>-0.15622</v>
      </c>
    </row>
    <row r="295" spans="1:22" x14ac:dyDescent="0.25">
      <c r="A295" t="s">
        <v>7</v>
      </c>
      <c r="B295">
        <v>40</v>
      </c>
    </row>
    <row r="296" spans="1:22" x14ac:dyDescent="0.25">
      <c r="A296">
        <f>RTD("tos.rtd", ,"LAST", "SPY")</f>
        <v>211.32</v>
      </c>
    </row>
    <row r="297" spans="1:22" x14ac:dyDescent="0.25">
      <c r="A297">
        <f>RTD("tos.rtd", , "ASK", ".SPY150619C200")</f>
        <v>12.6</v>
      </c>
      <c r="B297">
        <f>RTD("tos.rtd", , "ASK_SIZE", ".SPY150619C200")</f>
        <v>99</v>
      </c>
      <c r="C297">
        <f>RTD("tos.rtd", , "BID", ".SPY150619C200")</f>
        <v>12.36</v>
      </c>
      <c r="D297">
        <f>RTD("tos.rtd", , "BID_SIZE", ".SPY150619C200")</f>
        <v>111</v>
      </c>
      <c r="E297">
        <f>RTD("tos.rtd", , "VOLUME", ".SPY150619C200")</f>
        <v>31</v>
      </c>
      <c r="F297">
        <f>RTD("tos.rtd", , "OPEN_INT", ".SPY150619C200")</f>
        <v>49745</v>
      </c>
      <c r="G297">
        <f>RTD("tos.rtd", , "DELTA", ".SPY150619C200")</f>
        <v>0.82257000000000002</v>
      </c>
      <c r="H297">
        <f>RTD("tos.rtd", , "THETA", ".SPY150619C200")</f>
        <v>-3.0689999999999999E-2</v>
      </c>
      <c r="I297">
        <f>RTD("tos.rtd", , "GAMMA", ".SPY150619C200")</f>
        <v>2.1149999999999999E-2</v>
      </c>
      <c r="J297">
        <f>RTD("tos.rtd", , "VEGA", ".SPY150619C200")</f>
        <v>0.19559000000000001</v>
      </c>
      <c r="K297">
        <f>RTD("tos.rtd", , "RHO", ".SPY150619C200")</f>
        <v>0.15418999999999999</v>
      </c>
      <c r="L297">
        <f>RTD("tos.rtd", , "ASK", ".SPY150619P200")</f>
        <v>1.2</v>
      </c>
      <c r="M297">
        <f>RTD("tos.rtd", , "ASK_SIZE", ".SPY150619P200")</f>
        <v>573</v>
      </c>
      <c r="N297">
        <f>RTD("tos.rtd", , "BID", ".SPY150619P200")</f>
        <v>1.17</v>
      </c>
      <c r="O297">
        <f>RTD("tos.rtd", , "BID_SIZE", ".SPY150619P200")</f>
        <v>316</v>
      </c>
      <c r="P297">
        <f>RTD("tos.rtd", , "VOLUME", ".SPY150619P200")</f>
        <v>21940</v>
      </c>
      <c r="Q297">
        <f>RTD("tos.rtd", , "OPEN_INT", ".SPY150619P200")</f>
        <v>193842</v>
      </c>
      <c r="R297">
        <f>RTD("tos.rtd", , "DELTA", ".SPY150619P200")</f>
        <v>-0.17244999999999999</v>
      </c>
      <c r="S297">
        <f>RTD("tos.rtd", , "THETA", ".SPY150619P200")</f>
        <v>-3.5310000000000001E-2</v>
      </c>
      <c r="T297">
        <f>RTD("tos.rtd", , "GAMMA", ".SPY150619P200")</f>
        <v>2.0500000000000001E-2</v>
      </c>
      <c r="U297">
        <f>RTD("tos.rtd", , "VEGA", ".SPY150619P200")</f>
        <v>0.19411999999999999</v>
      </c>
      <c r="V297">
        <f>RTD("tos.rtd", , "RHO", ".SPY150619P200")</f>
        <v>-4.8399999999999999E-2</v>
      </c>
    </row>
    <row r="298" spans="1:22" x14ac:dyDescent="0.25">
      <c r="A298" t="str">
        <f>RTD("tos.rtd", , "ASK", ".SPY150619C200.5")</f>
        <v>N/A</v>
      </c>
      <c r="B298" t="str">
        <f>RTD("tos.rtd", , "ASK_SIZE", ".SPY150619C200.5")</f>
        <v>N/A</v>
      </c>
      <c r="C298" t="str">
        <f>RTD("tos.rtd", , "BID", ".SPY150619C200.5")</f>
        <v>N/A</v>
      </c>
      <c r="D298" t="str">
        <f>RTD("tos.rtd", , "BID_SIZE", ".SPY150619C200.5")</f>
        <v>N/A</v>
      </c>
      <c r="E298" t="str">
        <f>RTD("tos.rtd", , "VOLUME", ".SPY150619C200.5")</f>
        <v>N/A</v>
      </c>
      <c r="F298" t="str">
        <f>RTD("tos.rtd", , "OPEN_INT", ".SPY150619C200.5")</f>
        <v>N/A</v>
      </c>
      <c r="G298" t="str">
        <f>RTD("tos.rtd", , "DELTA", ".SPY150619C200.5")</f>
        <v>N/A</v>
      </c>
      <c r="H298" t="str">
        <f>RTD("tos.rtd", , "THETA", ".SPY150619C200.5")</f>
        <v>N/A</v>
      </c>
      <c r="I298" t="str">
        <f>RTD("tos.rtd", , "GAMMA", ".SPY150619C200.5")</f>
        <v>N/A</v>
      </c>
      <c r="J298" t="str">
        <f>RTD("tos.rtd", , "VEGA", ".SPY150619C200.5")</f>
        <v>N/A</v>
      </c>
      <c r="K298" t="str">
        <f>RTD("tos.rtd", , "RHO", ".SPY150619C200.5")</f>
        <v>N/A</v>
      </c>
      <c r="L298" t="str">
        <f>RTD("tos.rtd", , "ASK", ".SPY150619P200.5")</f>
        <v>N/A</v>
      </c>
      <c r="M298" t="str">
        <f>RTD("tos.rtd", , "ASK_SIZE", ".SPY150619P200.5")</f>
        <v>N/A</v>
      </c>
      <c r="N298" t="str">
        <f>RTD("tos.rtd", , "BID", ".SPY150619P200.5")</f>
        <v>N/A</v>
      </c>
      <c r="O298" t="str">
        <f>RTD("tos.rtd", , "BID_SIZE", ".SPY150619P200.5")</f>
        <v>N/A</v>
      </c>
      <c r="P298" t="str">
        <f>RTD("tos.rtd", , "VOLUME", ".SPY150619P200.5")</f>
        <v>N/A</v>
      </c>
      <c r="Q298" t="str">
        <f>RTD("tos.rtd", , "OPEN_INT", ".SPY150619P200.5")</f>
        <v>N/A</v>
      </c>
      <c r="R298" t="str">
        <f>RTD("tos.rtd", , "DELTA", ".SPY150619P200.5")</f>
        <v>N/A</v>
      </c>
      <c r="S298" t="str">
        <f>RTD("tos.rtd", , "THETA", ".SPY150619P200.5")</f>
        <v>N/A</v>
      </c>
      <c r="T298" t="str">
        <f>RTD("tos.rtd", , "GAMMA", ".SPY150619P200.5")</f>
        <v>N/A</v>
      </c>
      <c r="U298" t="str">
        <f>RTD("tos.rtd", , "VEGA", ".SPY150619P200.5")</f>
        <v>N/A</v>
      </c>
      <c r="V298" t="str">
        <f>RTD("tos.rtd", , "RHO", ".SPY150619P200.5")</f>
        <v>N/A</v>
      </c>
    </row>
    <row r="299" spans="1:22" x14ac:dyDescent="0.25">
      <c r="A299">
        <f>RTD("tos.rtd", , "ASK", ".SPY150619C201")</f>
        <v>11.71</v>
      </c>
      <c r="B299">
        <f>RTD("tos.rtd", , "ASK_SIZE", ".SPY150619C201")</f>
        <v>99</v>
      </c>
      <c r="C299">
        <f>RTD("tos.rtd", , "BID", ".SPY150619C201")</f>
        <v>11.48</v>
      </c>
      <c r="D299">
        <f>RTD("tos.rtd", , "BID_SIZE", ".SPY150619C201")</f>
        <v>99</v>
      </c>
      <c r="E299">
        <f>RTD("tos.rtd", , "VOLUME", ".SPY150619C201")</f>
        <v>9</v>
      </c>
      <c r="F299">
        <f>RTD("tos.rtd", , "OPEN_INT", ".SPY150619C201")</f>
        <v>1898</v>
      </c>
      <c r="G299">
        <f>RTD("tos.rtd", , "DELTA", ".SPY150619C201")</f>
        <v>0.80547999999999997</v>
      </c>
      <c r="H299">
        <f>RTD("tos.rtd", , "THETA", ".SPY150619C201")</f>
        <v>-3.1829999999999997E-2</v>
      </c>
      <c r="I299">
        <f>RTD("tos.rtd", , "GAMMA", ".SPY150619C201")</f>
        <v>2.2859999999999998E-2</v>
      </c>
      <c r="J299">
        <f>RTD("tos.rtd", , "VEGA", ".SPY150619C201")</f>
        <v>0.20729</v>
      </c>
      <c r="K299">
        <f>RTD("tos.rtd", , "RHO", ".SPY150619C201")</f>
        <v>0.15619</v>
      </c>
      <c r="L299">
        <f>RTD("tos.rtd", , "ASK", ".SPY150619P201")</f>
        <v>1.34</v>
      </c>
      <c r="M299">
        <f>RTD("tos.rtd", , "ASK_SIZE", ".SPY150619P201")</f>
        <v>537</v>
      </c>
      <c r="N299">
        <f>RTD("tos.rtd", , "BID", ".SPY150619P201")</f>
        <v>1.31</v>
      </c>
      <c r="O299">
        <f>RTD("tos.rtd", , "BID_SIZE", ".SPY150619P201")</f>
        <v>240</v>
      </c>
      <c r="P299">
        <f>RTD("tos.rtd", , "VOLUME", ".SPY150619P201")</f>
        <v>8233</v>
      </c>
      <c r="Q299">
        <f>RTD("tos.rtd", , "OPEN_INT", ".SPY150619P201")</f>
        <v>53746</v>
      </c>
      <c r="R299">
        <f>RTD("tos.rtd", , "DELTA", ".SPY150619P201")</f>
        <v>-0.19098000000000001</v>
      </c>
      <c r="S299">
        <f>RTD("tos.rtd", , "THETA", ".SPY150619P201")</f>
        <v>-3.703E-2</v>
      </c>
      <c r="T299">
        <f>RTD("tos.rtd", , "GAMMA", ".SPY150619P201")</f>
        <v>2.2239999999999999E-2</v>
      </c>
      <c r="U299">
        <f>RTD("tos.rtd", , "VEGA", ".SPY150619P201")</f>
        <v>0.20684</v>
      </c>
      <c r="V299">
        <f>RTD("tos.rtd", , "RHO", ".SPY150619P201")</f>
        <v>-5.3620000000000001E-2</v>
      </c>
    </row>
    <row r="300" spans="1:22" x14ac:dyDescent="0.25">
      <c r="A300" t="str">
        <f>RTD("tos.rtd", , "ASK", ".SPY150619C201.5")</f>
        <v>N/A</v>
      </c>
      <c r="B300" t="str">
        <f>RTD("tos.rtd", , "ASK_SIZE", ".SPY150619C201.5")</f>
        <v>N/A</v>
      </c>
      <c r="C300" t="str">
        <f>RTD("tos.rtd", , "BID", ".SPY150619C201.5")</f>
        <v>N/A</v>
      </c>
      <c r="D300" t="str">
        <f>RTD("tos.rtd", , "BID_SIZE", ".SPY150619C201.5")</f>
        <v>N/A</v>
      </c>
      <c r="E300" t="str">
        <f>RTD("tos.rtd", , "VOLUME", ".SPY150619C201.5")</f>
        <v>N/A</v>
      </c>
      <c r="F300" t="str">
        <f>RTD("tos.rtd", , "OPEN_INT", ".SPY150619C201.5")</f>
        <v>N/A</v>
      </c>
      <c r="G300" t="str">
        <f>RTD("tos.rtd", , "DELTA", ".SPY150619C201.5")</f>
        <v>N/A</v>
      </c>
      <c r="H300" t="str">
        <f>RTD("tos.rtd", , "THETA", ".SPY150619C201.5")</f>
        <v>N/A</v>
      </c>
      <c r="I300" t="str">
        <f>RTD("tos.rtd", , "GAMMA", ".SPY150619C201.5")</f>
        <v>N/A</v>
      </c>
      <c r="J300" t="str">
        <f>RTD("tos.rtd", , "VEGA", ".SPY150619C201.5")</f>
        <v>N/A</v>
      </c>
      <c r="K300" t="str">
        <f>RTD("tos.rtd", , "RHO", ".SPY150619C201.5")</f>
        <v>N/A</v>
      </c>
      <c r="L300" t="str">
        <f>RTD("tos.rtd", , "ASK", ".SPY150619P201.5")</f>
        <v>N/A</v>
      </c>
      <c r="M300" t="str">
        <f>RTD("tos.rtd", , "ASK_SIZE", ".SPY150619P201.5")</f>
        <v>N/A</v>
      </c>
      <c r="N300" t="str">
        <f>RTD("tos.rtd", , "BID", ".SPY150619P201.5")</f>
        <v>N/A</v>
      </c>
      <c r="O300" t="str">
        <f>RTD("tos.rtd", , "BID_SIZE", ".SPY150619P201.5")</f>
        <v>N/A</v>
      </c>
      <c r="P300" t="str">
        <f>RTD("tos.rtd", , "VOLUME", ".SPY150619P201.5")</f>
        <v>N/A</v>
      </c>
      <c r="Q300" t="str">
        <f>RTD("tos.rtd", , "OPEN_INT", ".SPY150619P201.5")</f>
        <v>N/A</v>
      </c>
      <c r="R300" t="str">
        <f>RTD("tos.rtd", , "DELTA", ".SPY150619P201.5")</f>
        <v>N/A</v>
      </c>
      <c r="S300" t="str">
        <f>RTD("tos.rtd", , "THETA", ".SPY150619P201.5")</f>
        <v>N/A</v>
      </c>
      <c r="T300" t="str">
        <f>RTD("tos.rtd", , "GAMMA", ".SPY150619P201.5")</f>
        <v>N/A</v>
      </c>
      <c r="U300" t="str">
        <f>RTD("tos.rtd", , "VEGA", ".SPY150619P201.5")</f>
        <v>N/A</v>
      </c>
      <c r="V300" t="str">
        <f>RTD("tos.rtd", , "RHO", ".SPY150619P201.5")</f>
        <v>N/A</v>
      </c>
    </row>
    <row r="301" spans="1:22" x14ac:dyDescent="0.25">
      <c r="A301">
        <f>RTD("tos.rtd", , "ASK", ".SPY150619C202")</f>
        <v>10.84</v>
      </c>
      <c r="B301">
        <f>RTD("tos.rtd", , "ASK_SIZE", ".SPY150619C202")</f>
        <v>131</v>
      </c>
      <c r="C301">
        <f>RTD("tos.rtd", , "BID", ".SPY150619C202")</f>
        <v>10.61</v>
      </c>
      <c r="D301">
        <f>RTD("tos.rtd", , "BID_SIZE", ".SPY150619C202")</f>
        <v>111</v>
      </c>
      <c r="E301">
        <f>RTD("tos.rtd", , "VOLUME", ".SPY150619C202")</f>
        <v>12</v>
      </c>
      <c r="F301">
        <f>RTD("tos.rtd", , "OPEN_INT", ".SPY150619C202")</f>
        <v>6969</v>
      </c>
      <c r="G301">
        <f>RTD("tos.rtd", , "DELTA", ".SPY150619C202")</f>
        <v>0.78654999999999997</v>
      </c>
      <c r="H301">
        <f>RTD("tos.rtd", , "THETA", ".SPY150619C202")</f>
        <v>-3.2960000000000003E-2</v>
      </c>
      <c r="I301">
        <f>RTD("tos.rtd", , "GAMMA", ".SPY150619C202")</f>
        <v>2.4649999999999998E-2</v>
      </c>
      <c r="J301">
        <f>RTD("tos.rtd", , "VEGA", ".SPY150619C202")</f>
        <v>0.21928</v>
      </c>
      <c r="K301">
        <f>RTD("tos.rtd", , "RHO", ".SPY150619C202")</f>
        <v>0.15745999999999999</v>
      </c>
      <c r="L301">
        <f>RTD("tos.rtd", , "ASK", ".SPY150619P202")</f>
        <v>1.49</v>
      </c>
      <c r="M301">
        <f>RTD("tos.rtd", , "ASK_SIZE", ".SPY150619P202")</f>
        <v>506</v>
      </c>
      <c r="N301">
        <f>RTD("tos.rtd", , "BID", ".SPY150619P202")</f>
        <v>1.46</v>
      </c>
      <c r="O301">
        <f>RTD("tos.rtd", , "BID_SIZE", ".SPY150619P202")</f>
        <v>307</v>
      </c>
      <c r="P301">
        <f>RTD("tos.rtd", , "VOLUME", ".SPY150619P202")</f>
        <v>22343</v>
      </c>
      <c r="Q301">
        <f>RTD("tos.rtd", , "OPEN_INT", ".SPY150619P202")</f>
        <v>35726</v>
      </c>
      <c r="R301">
        <f>RTD("tos.rtd", , "DELTA", ".SPY150619P202")</f>
        <v>-0.2109</v>
      </c>
      <c r="S301">
        <f>RTD("tos.rtd", , "THETA", ".SPY150619P202")</f>
        <v>-3.8609999999999998E-2</v>
      </c>
      <c r="T301">
        <f>RTD("tos.rtd", , "GAMMA", ".SPY150619P202")</f>
        <v>2.4080000000000001E-2</v>
      </c>
      <c r="U301">
        <f>RTD("tos.rtd", , "VEGA", ".SPY150619P202")</f>
        <v>0.21944</v>
      </c>
      <c r="V301">
        <f>RTD("tos.rtd", , "RHO", ".SPY150619P202")</f>
        <v>-5.9229999999999998E-2</v>
      </c>
    </row>
    <row r="302" spans="1:22" x14ac:dyDescent="0.25">
      <c r="A302" t="str">
        <f>RTD("tos.rtd", , "ASK", ".SPY150619C202.5")</f>
        <v>N/A</v>
      </c>
      <c r="B302" t="str">
        <f>RTD("tos.rtd", , "ASK_SIZE", ".SPY150619C202.5")</f>
        <v>N/A</v>
      </c>
      <c r="C302" t="str">
        <f>RTD("tos.rtd", , "BID", ".SPY150619C202.5")</f>
        <v>N/A</v>
      </c>
      <c r="D302" t="str">
        <f>RTD("tos.rtd", , "BID_SIZE", ".SPY150619C202.5")</f>
        <v>N/A</v>
      </c>
      <c r="E302" t="str">
        <f>RTD("tos.rtd", , "VOLUME", ".SPY150619C202.5")</f>
        <v>N/A</v>
      </c>
      <c r="F302" t="str">
        <f>RTD("tos.rtd", , "OPEN_INT", ".SPY150619C202.5")</f>
        <v>N/A</v>
      </c>
      <c r="G302" t="str">
        <f>RTD("tos.rtd", , "DELTA", ".SPY150619C202.5")</f>
        <v>N/A</v>
      </c>
      <c r="H302" t="str">
        <f>RTD("tos.rtd", , "THETA", ".SPY150619C202.5")</f>
        <v>N/A</v>
      </c>
      <c r="I302" t="str">
        <f>RTD("tos.rtd", , "GAMMA", ".SPY150619C202.5")</f>
        <v>N/A</v>
      </c>
      <c r="J302" t="str">
        <f>RTD("tos.rtd", , "VEGA", ".SPY150619C202.5")</f>
        <v>N/A</v>
      </c>
      <c r="K302" t="str">
        <f>RTD("tos.rtd", , "RHO", ".SPY150619C202.5")</f>
        <v>N/A</v>
      </c>
      <c r="L302" t="str">
        <f>RTD("tos.rtd", , "ASK", ".SPY150619P202.5")</f>
        <v>N/A</v>
      </c>
      <c r="M302" t="str">
        <f>RTD("tos.rtd", , "ASK_SIZE", ".SPY150619P202.5")</f>
        <v>N/A</v>
      </c>
      <c r="N302" t="str">
        <f>RTD("tos.rtd", , "BID", ".SPY150619P202.5")</f>
        <v>N/A</v>
      </c>
      <c r="O302" t="str">
        <f>RTD("tos.rtd", , "BID_SIZE", ".SPY150619P202.5")</f>
        <v>N/A</v>
      </c>
      <c r="P302" t="str">
        <f>RTD("tos.rtd", , "VOLUME", ".SPY150619P202.5")</f>
        <v>N/A</v>
      </c>
      <c r="Q302" t="str">
        <f>RTD("tos.rtd", , "OPEN_INT", ".SPY150619P202.5")</f>
        <v>N/A</v>
      </c>
      <c r="R302" t="str">
        <f>RTD("tos.rtd", , "DELTA", ".SPY150619P202.5")</f>
        <v>N/A</v>
      </c>
      <c r="S302" t="str">
        <f>RTD("tos.rtd", , "THETA", ".SPY150619P202.5")</f>
        <v>N/A</v>
      </c>
      <c r="T302" t="str">
        <f>RTD("tos.rtd", , "GAMMA", ".SPY150619P202.5")</f>
        <v>N/A</v>
      </c>
      <c r="U302" t="str">
        <f>RTD("tos.rtd", , "VEGA", ".SPY150619P202.5")</f>
        <v>N/A</v>
      </c>
      <c r="V302" t="str">
        <f>RTD("tos.rtd", , "RHO", ".SPY150619P202.5")</f>
        <v>N/A</v>
      </c>
    </row>
    <row r="303" spans="1:22" x14ac:dyDescent="0.25">
      <c r="A303">
        <f>RTD("tos.rtd", , "ASK", ".SPY150619C203")</f>
        <v>9.9499999999999993</v>
      </c>
      <c r="B303">
        <f>RTD("tos.rtd", , "ASK_SIZE", ".SPY150619C203")</f>
        <v>249</v>
      </c>
      <c r="C303">
        <f>RTD("tos.rtd", , "BID", ".SPY150619C203")</f>
        <v>9.75</v>
      </c>
      <c r="D303">
        <f>RTD("tos.rtd", , "BID_SIZE", ".SPY150619C203")</f>
        <v>249</v>
      </c>
      <c r="E303">
        <f>RTD("tos.rtd", , "VOLUME", ".SPY150619C203")</f>
        <v>112</v>
      </c>
      <c r="F303">
        <f>RTD("tos.rtd", , "OPEN_INT", ".SPY150619C203")</f>
        <v>4648</v>
      </c>
      <c r="G303">
        <f>RTD("tos.rtd", , "DELTA", ".SPY150619C203")</f>
        <v>0.76692000000000005</v>
      </c>
      <c r="H303">
        <f>RTD("tos.rtd", , "THETA", ".SPY150619C203")</f>
        <v>-3.3700000000000001E-2</v>
      </c>
      <c r="I303">
        <f>RTD("tos.rtd", , "GAMMA", ".SPY150619C203")</f>
        <v>2.6620000000000001E-2</v>
      </c>
      <c r="J303">
        <f>RTD("tos.rtd", , "VEGA", ".SPY150619C203")</f>
        <v>0.23069000000000001</v>
      </c>
      <c r="K303">
        <f>RTD("tos.rtd", , "RHO", ".SPY150619C203")</f>
        <v>0.15790000000000001</v>
      </c>
      <c r="L303">
        <f>RTD("tos.rtd", , "ASK", ".SPY150619P203")</f>
        <v>1.66</v>
      </c>
      <c r="M303">
        <f>RTD("tos.rtd", , "ASK_SIZE", ".SPY150619P203")</f>
        <v>479</v>
      </c>
      <c r="N303">
        <f>RTD("tos.rtd", , "BID", ".SPY150619P203")</f>
        <v>1.63</v>
      </c>
      <c r="O303">
        <f>RTD("tos.rtd", , "BID_SIZE", ".SPY150619P203")</f>
        <v>164</v>
      </c>
      <c r="P303">
        <f>RTD("tos.rtd", , "VOLUME", ".SPY150619P203")</f>
        <v>2291</v>
      </c>
      <c r="Q303">
        <f>RTD("tos.rtd", , "OPEN_INT", ".SPY150619P203")</f>
        <v>49982</v>
      </c>
      <c r="R303">
        <f>RTD("tos.rtd", , "DELTA", ".SPY150619P203")</f>
        <v>-0.23289000000000001</v>
      </c>
      <c r="S303">
        <f>RTD("tos.rtd", , "THETA", ".SPY150619P203")</f>
        <v>-4.0160000000000001E-2</v>
      </c>
      <c r="T303">
        <f>RTD("tos.rtd", , "GAMMA", ".SPY150619P203")</f>
        <v>2.5989999999999999E-2</v>
      </c>
      <c r="U303">
        <f>RTD("tos.rtd", , "VEGA", ".SPY150619P203")</f>
        <v>0.23214000000000001</v>
      </c>
      <c r="V303">
        <f>RTD("tos.rtd", , "RHO", ".SPY150619P203")</f>
        <v>-6.5420000000000006E-2</v>
      </c>
    </row>
    <row r="304" spans="1:22" x14ac:dyDescent="0.25">
      <c r="A304" t="str">
        <f>RTD("tos.rtd", , "ASK", ".SPY150619C203.5")</f>
        <v>N/A</v>
      </c>
      <c r="B304" t="str">
        <f>RTD("tos.rtd", , "ASK_SIZE", ".SPY150619C203.5")</f>
        <v>N/A</v>
      </c>
      <c r="C304" t="str">
        <f>RTD("tos.rtd", , "BID", ".SPY150619C203.5")</f>
        <v>N/A</v>
      </c>
      <c r="D304" t="str">
        <f>RTD("tos.rtd", , "BID_SIZE", ".SPY150619C203.5")</f>
        <v>N/A</v>
      </c>
      <c r="E304" t="str">
        <f>RTD("tos.rtd", , "VOLUME", ".SPY150619C203.5")</f>
        <v>N/A</v>
      </c>
      <c r="F304" t="str">
        <f>RTD("tos.rtd", , "OPEN_INT", ".SPY150619C203.5")</f>
        <v>N/A</v>
      </c>
      <c r="G304" t="str">
        <f>RTD("tos.rtd", , "DELTA", ".SPY150619C203.5")</f>
        <v>N/A</v>
      </c>
      <c r="H304" t="str">
        <f>RTD("tos.rtd", , "THETA", ".SPY150619C203.5")</f>
        <v>N/A</v>
      </c>
      <c r="I304" t="str">
        <f>RTD("tos.rtd", , "GAMMA", ".SPY150619C203.5")</f>
        <v>N/A</v>
      </c>
      <c r="J304" t="str">
        <f>RTD("tos.rtd", , "VEGA", ".SPY150619C203.5")</f>
        <v>N/A</v>
      </c>
      <c r="K304" t="str">
        <f>RTD("tos.rtd", , "RHO", ".SPY150619C203.5")</f>
        <v>N/A</v>
      </c>
      <c r="L304" t="str">
        <f>RTD("tos.rtd", , "ASK", ".SPY150619P203.5")</f>
        <v>N/A</v>
      </c>
      <c r="M304" t="str">
        <f>RTD("tos.rtd", , "ASK_SIZE", ".SPY150619P203.5")</f>
        <v>N/A</v>
      </c>
      <c r="N304" t="str">
        <f>RTD("tos.rtd", , "BID", ".SPY150619P203.5")</f>
        <v>N/A</v>
      </c>
      <c r="O304" t="str">
        <f>RTD("tos.rtd", , "BID_SIZE", ".SPY150619P203.5")</f>
        <v>N/A</v>
      </c>
      <c r="P304" t="str">
        <f>RTD("tos.rtd", , "VOLUME", ".SPY150619P203.5")</f>
        <v>N/A</v>
      </c>
      <c r="Q304" t="str">
        <f>RTD("tos.rtd", , "OPEN_INT", ".SPY150619P203.5")</f>
        <v>N/A</v>
      </c>
      <c r="R304" t="str">
        <f>RTD("tos.rtd", , "DELTA", ".SPY150619P203.5")</f>
        <v>N/A</v>
      </c>
      <c r="S304" t="str">
        <f>RTD("tos.rtd", , "THETA", ".SPY150619P203.5")</f>
        <v>N/A</v>
      </c>
      <c r="T304" t="str">
        <f>RTD("tos.rtd", , "GAMMA", ".SPY150619P203.5")</f>
        <v>N/A</v>
      </c>
      <c r="U304" t="str">
        <f>RTD("tos.rtd", , "VEGA", ".SPY150619P203.5")</f>
        <v>N/A</v>
      </c>
      <c r="V304" t="str">
        <f>RTD("tos.rtd", , "RHO", ".SPY150619P203.5")</f>
        <v>N/A</v>
      </c>
    </row>
    <row r="305" spans="1:22" x14ac:dyDescent="0.25">
      <c r="A305">
        <f>RTD("tos.rtd", , "ASK", ".SPY150619C204")</f>
        <v>9.1</v>
      </c>
      <c r="B305">
        <f>RTD("tos.rtd", , "ASK_SIZE", ".SPY150619C204")</f>
        <v>111</v>
      </c>
      <c r="C305">
        <f>RTD("tos.rtd", , "BID", ".SPY150619C204")</f>
        <v>8.92</v>
      </c>
      <c r="D305">
        <f>RTD("tos.rtd", , "BID_SIZE", ".SPY150619C204")</f>
        <v>151</v>
      </c>
      <c r="E305">
        <f>RTD("tos.rtd", , "VOLUME", ".SPY150619C204")</f>
        <v>21</v>
      </c>
      <c r="F305">
        <f>RTD("tos.rtd", , "OPEN_INT", ".SPY150619C204")</f>
        <v>6149</v>
      </c>
      <c r="G305">
        <f>RTD("tos.rtd", , "DELTA", ".SPY150619C204")</f>
        <v>0.74404999999999999</v>
      </c>
      <c r="H305">
        <f>RTD("tos.rtd", , "THETA", ".SPY150619C204")</f>
        <v>-3.4660000000000003E-2</v>
      </c>
      <c r="I305">
        <f>RTD("tos.rtd", , "GAMMA", ".SPY150619C204")</f>
        <v>2.861E-2</v>
      </c>
      <c r="J305">
        <f>RTD("tos.rtd", , "VEGA", ".SPY150619C204")</f>
        <v>0.24276</v>
      </c>
      <c r="K305">
        <f>RTD("tos.rtd", , "RHO", ".SPY150619C204")</f>
        <v>0.15754000000000001</v>
      </c>
      <c r="L305">
        <f>RTD("tos.rtd", , "ASK", ".SPY150619P204")</f>
        <v>1.85</v>
      </c>
      <c r="M305">
        <f>RTD("tos.rtd", , "ASK_SIZE", ".SPY150619P204")</f>
        <v>455</v>
      </c>
      <c r="N305">
        <f>RTD("tos.rtd", , "BID", ".SPY150619P204")</f>
        <v>1.81</v>
      </c>
      <c r="O305">
        <f>RTD("tos.rtd", , "BID_SIZE", ".SPY150619P204")</f>
        <v>240</v>
      </c>
      <c r="P305">
        <f>RTD("tos.rtd", , "VOLUME", ".SPY150619P204")</f>
        <v>3599</v>
      </c>
      <c r="Q305">
        <f>RTD("tos.rtd", , "OPEN_INT", ".SPY150619P204")</f>
        <v>39748</v>
      </c>
      <c r="R305">
        <f>RTD("tos.rtd", , "DELTA", ".SPY150619P204")</f>
        <v>-0.25667000000000001</v>
      </c>
      <c r="S305">
        <f>RTD("tos.rtd", , "THETA", ".SPY150619P204")</f>
        <v>-4.1540000000000001E-2</v>
      </c>
      <c r="T305">
        <f>RTD("tos.rtd", , "GAMMA", ".SPY150619P204")</f>
        <v>2.7980000000000001E-2</v>
      </c>
      <c r="U305">
        <f>RTD("tos.rtd", , "VEGA", ".SPY150619P204")</f>
        <v>0.24453</v>
      </c>
      <c r="V305">
        <f>RTD("tos.rtd", , "RHO", ".SPY150619P204")</f>
        <v>-7.213E-2</v>
      </c>
    </row>
    <row r="306" spans="1:22" x14ac:dyDescent="0.25">
      <c r="A306" t="str">
        <f>RTD("tos.rtd", , "ASK", ".SPY150619C204.5")</f>
        <v>N/A</v>
      </c>
      <c r="B306" t="str">
        <f>RTD("tos.rtd", , "ASK_SIZE", ".SPY150619C204.5")</f>
        <v>N/A</v>
      </c>
      <c r="C306" t="str">
        <f>RTD("tos.rtd", , "BID", ".SPY150619C204.5")</f>
        <v>N/A</v>
      </c>
      <c r="D306" t="str">
        <f>RTD("tos.rtd", , "BID_SIZE", ".SPY150619C204.5")</f>
        <v>N/A</v>
      </c>
      <c r="E306" t="str">
        <f>RTD("tos.rtd", , "VOLUME", ".SPY150619C204.5")</f>
        <v>N/A</v>
      </c>
      <c r="F306" t="str">
        <f>RTD("tos.rtd", , "OPEN_INT", ".SPY150619C204.5")</f>
        <v>N/A</v>
      </c>
      <c r="G306" t="str">
        <f>RTD("tos.rtd", , "DELTA", ".SPY150619C204.5")</f>
        <v>N/A</v>
      </c>
      <c r="H306" t="str">
        <f>RTD("tos.rtd", , "THETA", ".SPY150619C204.5")</f>
        <v>N/A</v>
      </c>
      <c r="I306" t="str">
        <f>RTD("tos.rtd", , "GAMMA", ".SPY150619C204.5")</f>
        <v>N/A</v>
      </c>
      <c r="J306" t="str">
        <f>RTD("tos.rtd", , "VEGA", ".SPY150619C204.5")</f>
        <v>N/A</v>
      </c>
      <c r="K306" t="str">
        <f>RTD("tos.rtd", , "RHO", ".SPY150619C204.5")</f>
        <v>N/A</v>
      </c>
      <c r="L306" t="str">
        <f>RTD("tos.rtd", , "ASK", ".SPY150619P204.5")</f>
        <v>N/A</v>
      </c>
      <c r="M306" t="str">
        <f>RTD("tos.rtd", , "ASK_SIZE", ".SPY150619P204.5")</f>
        <v>N/A</v>
      </c>
      <c r="N306" t="str">
        <f>RTD("tos.rtd", , "BID", ".SPY150619P204.5")</f>
        <v>N/A</v>
      </c>
      <c r="O306" t="str">
        <f>RTD("tos.rtd", , "BID_SIZE", ".SPY150619P204.5")</f>
        <v>N/A</v>
      </c>
      <c r="P306" t="str">
        <f>RTD("tos.rtd", , "VOLUME", ".SPY150619P204.5")</f>
        <v>N/A</v>
      </c>
      <c r="Q306" t="str">
        <f>RTD("tos.rtd", , "OPEN_INT", ".SPY150619P204.5")</f>
        <v>N/A</v>
      </c>
      <c r="R306" t="str">
        <f>RTD("tos.rtd", , "DELTA", ".SPY150619P204.5")</f>
        <v>N/A</v>
      </c>
      <c r="S306" t="str">
        <f>RTD("tos.rtd", , "THETA", ".SPY150619P204.5")</f>
        <v>N/A</v>
      </c>
      <c r="T306" t="str">
        <f>RTD("tos.rtd", , "GAMMA", ".SPY150619P204.5")</f>
        <v>N/A</v>
      </c>
      <c r="U306" t="str">
        <f>RTD("tos.rtd", , "VEGA", ".SPY150619P204.5")</f>
        <v>N/A</v>
      </c>
      <c r="V306" t="str">
        <f>RTD("tos.rtd", , "RHO", ".SPY150619P204.5")</f>
        <v>N/A</v>
      </c>
    </row>
    <row r="307" spans="1:22" x14ac:dyDescent="0.25">
      <c r="A307">
        <f>RTD("tos.rtd", , "ASK", ".SPY150619C205")</f>
        <v>8.26</v>
      </c>
      <c r="B307">
        <f>RTD("tos.rtd", , "ASK_SIZE", ".SPY150619C205")</f>
        <v>111</v>
      </c>
      <c r="C307">
        <f>RTD("tos.rtd", , "BID", ".SPY150619C205")</f>
        <v>8.1</v>
      </c>
      <c r="D307">
        <f>RTD("tos.rtd", , "BID_SIZE", ".SPY150619C205")</f>
        <v>249</v>
      </c>
      <c r="E307">
        <f>RTD("tos.rtd", , "VOLUME", ".SPY150619C205")</f>
        <v>29</v>
      </c>
      <c r="F307">
        <f>RTD("tos.rtd", , "OPEN_INT", ".SPY150619C205")</f>
        <v>35923</v>
      </c>
      <c r="G307">
        <f>RTD("tos.rtd", , "DELTA", ".SPY150619C205")</f>
        <v>0.71938999999999997</v>
      </c>
      <c r="H307">
        <f>RTD("tos.rtd", , "THETA", ".SPY150619C205")</f>
        <v>-3.5369999999999999E-2</v>
      </c>
      <c r="I307">
        <f>RTD("tos.rtd", , "GAMMA", ".SPY150619C205")</f>
        <v>3.073E-2</v>
      </c>
      <c r="J307">
        <f>RTD("tos.rtd", , "VEGA", ".SPY150619C205")</f>
        <v>0.25436999999999999</v>
      </c>
      <c r="K307">
        <f>RTD("tos.rtd", , "RHO", ".SPY150619C205")</f>
        <v>0.15625</v>
      </c>
      <c r="L307">
        <f>RTD("tos.rtd", , "ASK", ".SPY150619P205")</f>
        <v>2.0499999999999998</v>
      </c>
      <c r="M307">
        <f>RTD("tos.rtd", , "ASK_SIZE", ".SPY150619P205")</f>
        <v>434</v>
      </c>
      <c r="N307">
        <f>RTD("tos.rtd", , "BID", ".SPY150619P205")</f>
        <v>2.02</v>
      </c>
      <c r="O307">
        <f>RTD("tos.rtd", , "BID_SIZE", ".SPY150619P205")</f>
        <v>240</v>
      </c>
      <c r="P307">
        <f>RTD("tos.rtd", , "VOLUME", ".SPY150619P205")</f>
        <v>20614</v>
      </c>
      <c r="Q307">
        <f>RTD("tos.rtd", , "OPEN_INT", ".SPY150619P205")</f>
        <v>209600</v>
      </c>
      <c r="R307">
        <f>RTD("tos.rtd", , "DELTA", ".SPY150619P205")</f>
        <v>-0.28255999999999998</v>
      </c>
      <c r="S307">
        <f>RTD("tos.rtd", , "THETA", ".SPY150619P205")</f>
        <v>-4.2779999999999999E-2</v>
      </c>
      <c r="T307">
        <f>RTD("tos.rtd", , "GAMMA", ".SPY150619P205")</f>
        <v>3.0009999999999998E-2</v>
      </c>
      <c r="U307">
        <f>RTD("tos.rtd", , "VEGA", ".SPY150619P205")</f>
        <v>0.25649</v>
      </c>
      <c r="V307">
        <f>RTD("tos.rtd", , "RHO", ".SPY150619P205")</f>
        <v>-7.9430000000000001E-2</v>
      </c>
    </row>
    <row r="308" spans="1:22" x14ac:dyDescent="0.25">
      <c r="A308" t="str">
        <f>RTD("tos.rtd", , "ASK", ".SPY150619C205.5")</f>
        <v>N/A</v>
      </c>
      <c r="B308" t="str">
        <f>RTD("tos.rtd", , "ASK_SIZE", ".SPY150619C205.5")</f>
        <v>N/A</v>
      </c>
      <c r="C308" t="str">
        <f>RTD("tos.rtd", , "BID", ".SPY150619C205.5")</f>
        <v>N/A</v>
      </c>
      <c r="D308" t="str">
        <f>RTD("tos.rtd", , "BID_SIZE", ".SPY150619C205.5")</f>
        <v>N/A</v>
      </c>
      <c r="E308" t="str">
        <f>RTD("tos.rtd", , "VOLUME", ".SPY150619C205.5")</f>
        <v>N/A</v>
      </c>
      <c r="F308" t="str">
        <f>RTD("tos.rtd", , "OPEN_INT", ".SPY150619C205.5")</f>
        <v>N/A</v>
      </c>
      <c r="G308" t="str">
        <f>RTD("tos.rtd", , "DELTA", ".SPY150619C205.5")</f>
        <v>N/A</v>
      </c>
      <c r="H308" t="str">
        <f>RTD("tos.rtd", , "THETA", ".SPY150619C205.5")</f>
        <v>N/A</v>
      </c>
      <c r="I308" t="str">
        <f>RTD("tos.rtd", , "GAMMA", ".SPY150619C205.5")</f>
        <v>N/A</v>
      </c>
      <c r="J308" t="str">
        <f>RTD("tos.rtd", , "VEGA", ".SPY150619C205.5")</f>
        <v>N/A</v>
      </c>
      <c r="K308" t="str">
        <f>RTD("tos.rtd", , "RHO", ".SPY150619C205.5")</f>
        <v>N/A</v>
      </c>
      <c r="L308" t="str">
        <f>RTD("tos.rtd", , "ASK", ".SPY150619P205.5")</f>
        <v>N/A</v>
      </c>
      <c r="M308" t="str">
        <f>RTD("tos.rtd", , "ASK_SIZE", ".SPY150619P205.5")</f>
        <v>N/A</v>
      </c>
      <c r="N308" t="str">
        <f>RTD("tos.rtd", , "BID", ".SPY150619P205.5")</f>
        <v>N/A</v>
      </c>
      <c r="O308" t="str">
        <f>RTD("tos.rtd", , "BID_SIZE", ".SPY150619P205.5")</f>
        <v>N/A</v>
      </c>
      <c r="P308" t="str">
        <f>RTD("tos.rtd", , "VOLUME", ".SPY150619P205.5")</f>
        <v>N/A</v>
      </c>
      <c r="Q308" t="str">
        <f>RTD("tos.rtd", , "OPEN_INT", ".SPY150619P205.5")</f>
        <v>N/A</v>
      </c>
      <c r="R308" t="str">
        <f>RTD("tos.rtd", , "DELTA", ".SPY150619P205.5")</f>
        <v>N/A</v>
      </c>
      <c r="S308" t="str">
        <f>RTD("tos.rtd", , "THETA", ".SPY150619P205.5")</f>
        <v>N/A</v>
      </c>
      <c r="T308" t="str">
        <f>RTD("tos.rtd", , "GAMMA", ".SPY150619P205.5")</f>
        <v>N/A</v>
      </c>
      <c r="U308" t="str">
        <f>RTD("tos.rtd", , "VEGA", ".SPY150619P205.5")</f>
        <v>N/A</v>
      </c>
      <c r="V308" t="str">
        <f>RTD("tos.rtd", , "RHO", ".SPY150619P205.5")</f>
        <v>N/A</v>
      </c>
    </row>
    <row r="309" spans="1:22" x14ac:dyDescent="0.25">
      <c r="A309">
        <f>RTD("tos.rtd", , "ASK", ".SPY150619C206")</f>
        <v>7.49</v>
      </c>
      <c r="B309">
        <f>RTD("tos.rtd", , "ASK_SIZE", ".SPY150619C206")</f>
        <v>249</v>
      </c>
      <c r="C309">
        <f>RTD("tos.rtd", , "BID", ".SPY150619C206")</f>
        <v>7.33</v>
      </c>
      <c r="D309">
        <f>RTD("tos.rtd", , "BID_SIZE", ".SPY150619C206")</f>
        <v>336</v>
      </c>
      <c r="E309">
        <f>RTD("tos.rtd", , "VOLUME", ".SPY150619C206")</f>
        <v>44</v>
      </c>
      <c r="F309">
        <f>RTD("tos.rtd", , "OPEN_INT", ".SPY150619C206")</f>
        <v>16701</v>
      </c>
      <c r="G309">
        <f>RTD("tos.rtd", , "DELTA", ".SPY150619C206")</f>
        <v>0.69055999999999995</v>
      </c>
      <c r="H309">
        <f>RTD("tos.rtd", , "THETA", ".SPY150619C206")</f>
        <v>-3.6450000000000003E-2</v>
      </c>
      <c r="I309">
        <f>RTD("tos.rtd", , "GAMMA", ".SPY150619C206")</f>
        <v>3.2640000000000002E-2</v>
      </c>
      <c r="J309">
        <f>RTD("tos.rtd", , "VEGA", ".SPY150619C206")</f>
        <v>0.26622000000000001</v>
      </c>
      <c r="K309">
        <f>RTD("tos.rtd", , "RHO", ".SPY150619C206")</f>
        <v>0.15387000000000001</v>
      </c>
      <c r="L309">
        <f>RTD("tos.rtd", , "ASK", ".SPY150619P206")</f>
        <v>2.2799999999999998</v>
      </c>
      <c r="M309">
        <f>RTD("tos.rtd", , "ASK_SIZE", ".SPY150619P206")</f>
        <v>416</v>
      </c>
      <c r="N309">
        <f>RTD("tos.rtd", , "BID", ".SPY150619P206")</f>
        <v>2.2400000000000002</v>
      </c>
      <c r="O309">
        <f>RTD("tos.rtd", , "BID_SIZE", ".SPY150619P206")</f>
        <v>260</v>
      </c>
      <c r="P309">
        <f>RTD("tos.rtd", , "VOLUME", ".SPY150619P206")</f>
        <v>1660</v>
      </c>
      <c r="Q309">
        <f>RTD("tos.rtd", , "OPEN_INT", ".SPY150619P206")</f>
        <v>65904</v>
      </c>
      <c r="R309">
        <f>RTD("tos.rtd", , "DELTA", ".SPY150619P206")</f>
        <v>-0.31061</v>
      </c>
      <c r="S309">
        <f>RTD("tos.rtd", , "THETA", ".SPY150619P206")</f>
        <v>-4.3810000000000002E-2</v>
      </c>
      <c r="T309">
        <f>RTD("tos.rtd", , "GAMMA", ".SPY150619P206")</f>
        <v>3.2079999999999997E-2</v>
      </c>
      <c r="U309">
        <f>RTD("tos.rtd", , "VEGA", ".SPY150619P206")</f>
        <v>0.26776</v>
      </c>
      <c r="V309">
        <f>RTD("tos.rtd", , "RHO", ".SPY150619P206")</f>
        <v>-8.7349999999999997E-2</v>
      </c>
    </row>
    <row r="310" spans="1:22" x14ac:dyDescent="0.25">
      <c r="A310" t="str">
        <f>RTD("tos.rtd", , "ASK", ".SPY150619C206.5")</f>
        <v>N/A</v>
      </c>
      <c r="B310" t="str">
        <f>RTD("tos.rtd", , "ASK_SIZE", ".SPY150619C206.5")</f>
        <v>N/A</v>
      </c>
      <c r="C310" t="str">
        <f>RTD("tos.rtd", , "BID", ".SPY150619C206.5")</f>
        <v>N/A</v>
      </c>
      <c r="D310" t="str">
        <f>RTD("tos.rtd", , "BID_SIZE", ".SPY150619C206.5")</f>
        <v>N/A</v>
      </c>
      <c r="E310" t="str">
        <f>RTD("tos.rtd", , "VOLUME", ".SPY150619C206.5")</f>
        <v>N/A</v>
      </c>
      <c r="F310" t="str">
        <f>RTD("tos.rtd", , "OPEN_INT", ".SPY150619C206.5")</f>
        <v>N/A</v>
      </c>
      <c r="G310" t="str">
        <f>RTD("tos.rtd", , "DELTA", ".SPY150619C206.5")</f>
        <v>N/A</v>
      </c>
      <c r="H310" t="str">
        <f>RTD("tos.rtd", , "THETA", ".SPY150619C206.5")</f>
        <v>N/A</v>
      </c>
      <c r="I310" t="str">
        <f>RTD("tos.rtd", , "GAMMA", ".SPY150619C206.5")</f>
        <v>N/A</v>
      </c>
      <c r="J310" t="str">
        <f>RTD("tos.rtd", , "VEGA", ".SPY150619C206.5")</f>
        <v>N/A</v>
      </c>
      <c r="K310" t="str">
        <f>RTD("tos.rtd", , "RHO", ".SPY150619C206.5")</f>
        <v>N/A</v>
      </c>
      <c r="L310" t="str">
        <f>RTD("tos.rtd", , "ASK", ".SPY150619P206.5")</f>
        <v>N/A</v>
      </c>
      <c r="M310" t="str">
        <f>RTD("tos.rtd", , "ASK_SIZE", ".SPY150619P206.5")</f>
        <v>N/A</v>
      </c>
      <c r="N310" t="str">
        <f>RTD("tos.rtd", , "BID", ".SPY150619P206.5")</f>
        <v>N/A</v>
      </c>
      <c r="O310" t="str">
        <f>RTD("tos.rtd", , "BID_SIZE", ".SPY150619P206.5")</f>
        <v>N/A</v>
      </c>
      <c r="P310" t="str">
        <f>RTD("tos.rtd", , "VOLUME", ".SPY150619P206.5")</f>
        <v>N/A</v>
      </c>
      <c r="Q310" t="str">
        <f>RTD("tos.rtd", , "OPEN_INT", ".SPY150619P206.5")</f>
        <v>N/A</v>
      </c>
      <c r="R310" t="str">
        <f>RTD("tos.rtd", , "DELTA", ".SPY150619P206.5")</f>
        <v>N/A</v>
      </c>
      <c r="S310" t="str">
        <f>RTD("tos.rtd", , "THETA", ".SPY150619P206.5")</f>
        <v>N/A</v>
      </c>
      <c r="T310" t="str">
        <f>RTD("tos.rtd", , "GAMMA", ".SPY150619P206.5")</f>
        <v>N/A</v>
      </c>
      <c r="U310" t="str">
        <f>RTD("tos.rtd", , "VEGA", ".SPY150619P206.5")</f>
        <v>N/A</v>
      </c>
      <c r="V310" t="str">
        <f>RTD("tos.rtd", , "RHO", ".SPY150619P206.5")</f>
        <v>N/A</v>
      </c>
    </row>
    <row r="311" spans="1:22" x14ac:dyDescent="0.25">
      <c r="A311">
        <f>RTD("tos.rtd", , "ASK", ".SPY150619C207")</f>
        <v>6.67</v>
      </c>
      <c r="B311">
        <f>RTD("tos.rtd", , "ASK_SIZE", ".SPY150619C207")</f>
        <v>111</v>
      </c>
      <c r="C311">
        <f>RTD("tos.rtd", , "BID", ".SPY150619C207")</f>
        <v>6.52</v>
      </c>
      <c r="D311">
        <f>RTD("tos.rtd", , "BID_SIZE", ".SPY150619C207")</f>
        <v>273</v>
      </c>
      <c r="E311">
        <f>RTD("tos.rtd", , "VOLUME", ".SPY150619C207")</f>
        <v>53</v>
      </c>
      <c r="F311">
        <f>RTD("tos.rtd", , "OPEN_INT", ".SPY150619C207")</f>
        <v>18115</v>
      </c>
      <c r="G311">
        <f>RTD("tos.rtd", , "DELTA", ".SPY150619C207")</f>
        <v>0.66203000000000001</v>
      </c>
      <c r="H311">
        <f>RTD("tos.rtd", , "THETA", ".SPY150619C207")</f>
        <v>-3.644E-2</v>
      </c>
      <c r="I311">
        <f>RTD("tos.rtd", , "GAMMA", ".SPY150619C207")</f>
        <v>3.5069999999999997E-2</v>
      </c>
      <c r="J311">
        <f>RTD("tos.rtd", , "VEGA", ".SPY150619C207")</f>
        <v>0.27615000000000001</v>
      </c>
      <c r="K311">
        <f>RTD("tos.rtd", , "RHO", ".SPY150619C207")</f>
        <v>0.15064</v>
      </c>
      <c r="L311">
        <f>RTD("tos.rtd", , "ASK", ".SPY150619P207")</f>
        <v>2.54</v>
      </c>
      <c r="M311">
        <f>RTD("tos.rtd", , "ASK_SIZE", ".SPY150619P207")</f>
        <v>401</v>
      </c>
      <c r="N311">
        <f>RTD("tos.rtd", , "BID", ".SPY150619P207")</f>
        <v>2.5</v>
      </c>
      <c r="O311">
        <f>RTD("tos.rtd", , "BID_SIZE", ".SPY150619P207")</f>
        <v>155</v>
      </c>
      <c r="P311">
        <f>RTD("tos.rtd", , "VOLUME", ".SPY150619P207")</f>
        <v>12251</v>
      </c>
      <c r="Q311">
        <f>RTD("tos.rtd", , "OPEN_INT", ".SPY150619P207")</f>
        <v>57745</v>
      </c>
      <c r="R311">
        <f>RTD("tos.rtd", , "DELTA", ".SPY150619P207")</f>
        <v>-0.34134999999999999</v>
      </c>
      <c r="S311">
        <f>RTD("tos.rtd", , "THETA", ".SPY150619P207")</f>
        <v>-4.4740000000000002E-2</v>
      </c>
      <c r="T311">
        <f>RTD("tos.rtd", , "GAMMA", ".SPY150619P207")</f>
        <v>3.4070000000000003E-2</v>
      </c>
      <c r="U311">
        <f>RTD("tos.rtd", , "VEGA", ".SPY150619P207")</f>
        <v>0.27816000000000002</v>
      </c>
      <c r="V311">
        <f>RTD("tos.rtd", , "RHO", ".SPY150619P207")</f>
        <v>-9.604E-2</v>
      </c>
    </row>
    <row r="312" spans="1:22" x14ac:dyDescent="0.25">
      <c r="A312" t="str">
        <f>RTD("tos.rtd", , "ASK", ".SPY150619C207.5")</f>
        <v>N/A</v>
      </c>
      <c r="B312" t="str">
        <f>RTD("tos.rtd", , "ASK_SIZE", ".SPY150619C207.5")</f>
        <v>N/A</v>
      </c>
      <c r="C312" t="str">
        <f>RTD("tos.rtd", , "BID", ".SPY150619C207.5")</f>
        <v>N/A</v>
      </c>
      <c r="D312" t="str">
        <f>RTD("tos.rtd", , "BID_SIZE", ".SPY150619C207.5")</f>
        <v>N/A</v>
      </c>
      <c r="E312" t="str">
        <f>RTD("tos.rtd", , "VOLUME", ".SPY150619C207.5")</f>
        <v>N/A</v>
      </c>
      <c r="F312" t="str">
        <f>RTD("tos.rtd", , "OPEN_INT", ".SPY150619C207.5")</f>
        <v>N/A</v>
      </c>
      <c r="G312" t="str">
        <f>RTD("tos.rtd", , "DELTA", ".SPY150619C207.5")</f>
        <v>N/A</v>
      </c>
      <c r="H312" t="str">
        <f>RTD("tos.rtd", , "THETA", ".SPY150619C207.5")</f>
        <v>N/A</v>
      </c>
      <c r="I312" t="str">
        <f>RTD("tos.rtd", , "GAMMA", ".SPY150619C207.5")</f>
        <v>N/A</v>
      </c>
      <c r="J312" t="str">
        <f>RTD("tos.rtd", , "VEGA", ".SPY150619C207.5")</f>
        <v>N/A</v>
      </c>
      <c r="K312" t="str">
        <f>RTD("tos.rtd", , "RHO", ".SPY150619C207.5")</f>
        <v>N/A</v>
      </c>
      <c r="L312" t="str">
        <f>RTD("tos.rtd", , "ASK", ".SPY150619P207.5")</f>
        <v>N/A</v>
      </c>
      <c r="M312" t="str">
        <f>RTD("tos.rtd", , "ASK_SIZE", ".SPY150619P207.5")</f>
        <v>N/A</v>
      </c>
      <c r="N312" t="str">
        <f>RTD("tos.rtd", , "BID", ".SPY150619P207.5")</f>
        <v>N/A</v>
      </c>
      <c r="O312" t="str">
        <f>RTD("tos.rtd", , "BID_SIZE", ".SPY150619P207.5")</f>
        <v>N/A</v>
      </c>
      <c r="P312" t="str">
        <f>RTD("tos.rtd", , "VOLUME", ".SPY150619P207.5")</f>
        <v>N/A</v>
      </c>
      <c r="Q312" t="str">
        <f>RTD("tos.rtd", , "OPEN_INT", ".SPY150619P207.5")</f>
        <v>N/A</v>
      </c>
      <c r="R312" t="str">
        <f>RTD("tos.rtd", , "DELTA", ".SPY150619P207.5")</f>
        <v>N/A</v>
      </c>
      <c r="S312" t="str">
        <f>RTD("tos.rtd", , "THETA", ".SPY150619P207.5")</f>
        <v>N/A</v>
      </c>
      <c r="T312" t="str">
        <f>RTD("tos.rtd", , "GAMMA", ".SPY150619P207.5")</f>
        <v>N/A</v>
      </c>
      <c r="U312" t="str">
        <f>RTD("tos.rtd", , "VEGA", ".SPY150619P207.5")</f>
        <v>N/A</v>
      </c>
      <c r="V312" t="str">
        <f>RTD("tos.rtd", , "RHO", ".SPY150619P207.5")</f>
        <v>N/A</v>
      </c>
    </row>
    <row r="313" spans="1:22" x14ac:dyDescent="0.25">
      <c r="A313">
        <f>RTD("tos.rtd", , "ASK", ".SPY150619C208")</f>
        <v>5.92</v>
      </c>
      <c r="B313">
        <f>RTD("tos.rtd", , "ASK_SIZE", ".SPY150619C208")</f>
        <v>249</v>
      </c>
      <c r="C313">
        <f>RTD("tos.rtd", , "BID", ".SPY150619C208")</f>
        <v>5.82</v>
      </c>
      <c r="D313">
        <f>RTD("tos.rtd", , "BID_SIZE", ".SPY150619C208")</f>
        <v>261</v>
      </c>
      <c r="E313">
        <f>RTD("tos.rtd", , "VOLUME", ".SPY150619C208")</f>
        <v>222</v>
      </c>
      <c r="F313">
        <f>RTD("tos.rtd", , "OPEN_INT", ".SPY150619C208")</f>
        <v>24324</v>
      </c>
      <c r="G313">
        <f>RTD("tos.rtd", , "DELTA", ".SPY150619C208")</f>
        <v>0.62844999999999995</v>
      </c>
      <c r="H313">
        <f>RTD("tos.rtd", , "THETA", ".SPY150619C208")</f>
        <v>-3.6970000000000003E-2</v>
      </c>
      <c r="I313">
        <f>RTD("tos.rtd", , "GAMMA", ".SPY150619C208")</f>
        <v>3.6990000000000002E-2</v>
      </c>
      <c r="J313">
        <f>RTD("tos.rtd", , "VEGA", ".SPY150619C208")</f>
        <v>0.28570000000000001</v>
      </c>
      <c r="K313">
        <f>RTD("tos.rtd", , "RHO", ".SPY150619C208")</f>
        <v>0.14609</v>
      </c>
      <c r="L313">
        <f>RTD("tos.rtd", , "ASK", ".SPY150619P208")</f>
        <v>2.82</v>
      </c>
      <c r="M313">
        <f>RTD("tos.rtd", , "ASK_SIZE", ".SPY150619P208")</f>
        <v>150</v>
      </c>
      <c r="N313">
        <f>RTD("tos.rtd", , "BID", ".SPY150619P208")</f>
        <v>2.78</v>
      </c>
      <c r="O313">
        <f>RTD("tos.rtd", , "BID_SIZE", ".SPY150619P208")</f>
        <v>261</v>
      </c>
      <c r="P313">
        <f>RTD("tos.rtd", , "VOLUME", ".SPY150619P208")</f>
        <v>7122</v>
      </c>
      <c r="Q313">
        <f>RTD("tos.rtd", , "OPEN_INT", ".SPY150619P208")</f>
        <v>61317</v>
      </c>
      <c r="R313">
        <f>RTD("tos.rtd", , "DELTA", ".SPY150619P208")</f>
        <v>-0.37422</v>
      </c>
      <c r="S313">
        <f>RTD("tos.rtd", , "THETA", ".SPY150619P208")</f>
        <v>-4.5319999999999999E-2</v>
      </c>
      <c r="T313">
        <f>RTD("tos.rtd", , "GAMMA", ".SPY150619P208")</f>
        <v>3.6049999999999999E-2</v>
      </c>
      <c r="U313">
        <f>RTD("tos.rtd", , "VEGA", ".SPY150619P208")</f>
        <v>0.28714000000000001</v>
      </c>
      <c r="V313">
        <f>RTD("tos.rtd", , "RHO", ".SPY150619P208")</f>
        <v>-0.10534</v>
      </c>
    </row>
    <row r="314" spans="1:22" x14ac:dyDescent="0.25">
      <c r="A314" t="str">
        <f>RTD("tos.rtd", , "ASK", ".SPY150619C208.5")</f>
        <v>N/A</v>
      </c>
      <c r="B314" t="str">
        <f>RTD("tos.rtd", , "ASK_SIZE", ".SPY150619C208.5")</f>
        <v>N/A</v>
      </c>
      <c r="C314" t="str">
        <f>RTD("tos.rtd", , "BID", ".SPY150619C208.5")</f>
        <v>N/A</v>
      </c>
      <c r="D314" t="str">
        <f>RTD("tos.rtd", , "BID_SIZE", ".SPY150619C208.5")</f>
        <v>N/A</v>
      </c>
      <c r="E314" t="str">
        <f>RTD("tos.rtd", , "VOLUME", ".SPY150619C208.5")</f>
        <v>N/A</v>
      </c>
      <c r="F314" t="str">
        <f>RTD("tos.rtd", , "OPEN_INT", ".SPY150619C208.5")</f>
        <v>N/A</v>
      </c>
      <c r="G314" t="str">
        <f>RTD("tos.rtd", , "DELTA", ".SPY150619C208.5")</f>
        <v>N/A</v>
      </c>
      <c r="H314" t="str">
        <f>RTD("tos.rtd", , "THETA", ".SPY150619C208.5")</f>
        <v>N/A</v>
      </c>
      <c r="I314" t="str">
        <f>RTD("tos.rtd", , "GAMMA", ".SPY150619C208.5")</f>
        <v>N/A</v>
      </c>
      <c r="J314" t="str">
        <f>RTD("tos.rtd", , "VEGA", ".SPY150619C208.5")</f>
        <v>N/A</v>
      </c>
      <c r="K314" t="str">
        <f>RTD("tos.rtd", , "RHO", ".SPY150619C208.5")</f>
        <v>N/A</v>
      </c>
      <c r="L314" t="str">
        <f>RTD("tos.rtd", , "ASK", ".SPY150619P208.5")</f>
        <v>N/A</v>
      </c>
      <c r="M314" t="str">
        <f>RTD("tos.rtd", , "ASK_SIZE", ".SPY150619P208.5")</f>
        <v>N/A</v>
      </c>
      <c r="N314" t="str">
        <f>RTD("tos.rtd", , "BID", ".SPY150619P208.5")</f>
        <v>N/A</v>
      </c>
      <c r="O314" t="str">
        <f>RTD("tos.rtd", , "BID_SIZE", ".SPY150619P208.5")</f>
        <v>N/A</v>
      </c>
      <c r="P314" t="str">
        <f>RTD("tos.rtd", , "VOLUME", ".SPY150619P208.5")</f>
        <v>N/A</v>
      </c>
      <c r="Q314" t="str">
        <f>RTD("tos.rtd", , "OPEN_INT", ".SPY150619P208.5")</f>
        <v>N/A</v>
      </c>
      <c r="R314" t="str">
        <f>RTD("tos.rtd", , "DELTA", ".SPY150619P208.5")</f>
        <v>N/A</v>
      </c>
      <c r="S314" t="str">
        <f>RTD("tos.rtd", , "THETA", ".SPY150619P208.5")</f>
        <v>N/A</v>
      </c>
      <c r="T314" t="str">
        <f>RTD("tos.rtd", , "GAMMA", ".SPY150619P208.5")</f>
        <v>N/A</v>
      </c>
      <c r="U314" t="str">
        <f>RTD("tos.rtd", , "VEGA", ".SPY150619P208.5")</f>
        <v>N/A</v>
      </c>
      <c r="V314" t="str">
        <f>RTD("tos.rtd", , "RHO", ".SPY150619P208.5")</f>
        <v>N/A</v>
      </c>
    </row>
    <row r="315" spans="1:22" x14ac:dyDescent="0.25">
      <c r="A315">
        <f>RTD("tos.rtd", , "ASK", ".SPY150619C209")</f>
        <v>5.17</v>
      </c>
      <c r="B315">
        <f>RTD("tos.rtd", , "ASK_SIZE", ".SPY150619C209")</f>
        <v>1</v>
      </c>
      <c r="C315">
        <f>RTD("tos.rtd", , "BID", ".SPY150619C209")</f>
        <v>5.0999999999999996</v>
      </c>
      <c r="D315">
        <f>RTD("tos.rtd", , "BID_SIZE", ".SPY150619C209")</f>
        <v>240</v>
      </c>
      <c r="E315">
        <f>RTD("tos.rtd", , "VOLUME", ".SPY150619C209")</f>
        <v>1591</v>
      </c>
      <c r="F315">
        <f>RTD("tos.rtd", , "OPEN_INT", ".SPY150619C209")</f>
        <v>13591</v>
      </c>
      <c r="G315">
        <f>RTD("tos.rtd", , "DELTA", ".SPY150619C209")</f>
        <v>0.59321999999999997</v>
      </c>
      <c r="H315">
        <f>RTD("tos.rtd", , "THETA", ".SPY150619C209")</f>
        <v>-3.6760000000000001E-2</v>
      </c>
      <c r="I315">
        <f>RTD("tos.rtd", , "GAMMA", ".SPY150619C209")</f>
        <v>3.918E-2</v>
      </c>
      <c r="J315">
        <f>RTD("tos.rtd", , "VEGA", ".SPY150619C209")</f>
        <v>0.29326999999999998</v>
      </c>
      <c r="K315">
        <f>RTD("tos.rtd", , "RHO", ".SPY150619C209")</f>
        <v>0.14052000000000001</v>
      </c>
      <c r="L315">
        <f>RTD("tos.rtd", , "ASK", ".SPY150619P209")</f>
        <v>3.14</v>
      </c>
      <c r="M315">
        <f>RTD("tos.rtd", , "ASK_SIZE", ".SPY150619P209")</f>
        <v>1842</v>
      </c>
      <c r="N315">
        <f>RTD("tos.rtd", , "BID", ".SPY150619P209")</f>
        <v>3.09</v>
      </c>
      <c r="O315">
        <f>RTD("tos.rtd", , "BID_SIZE", ".SPY150619P209")</f>
        <v>111</v>
      </c>
      <c r="P315">
        <f>RTD("tos.rtd", , "VOLUME", ".SPY150619P209")</f>
        <v>9141</v>
      </c>
      <c r="Q315">
        <f>RTD("tos.rtd", , "OPEN_INT", ".SPY150619P209")</f>
        <v>41700</v>
      </c>
      <c r="R315">
        <f>RTD("tos.rtd", , "DELTA", ".SPY150619P209")</f>
        <v>-0.40964</v>
      </c>
      <c r="S315">
        <f>RTD("tos.rtd", , "THETA", ".SPY150619P209")</f>
        <v>-4.5650000000000003E-2</v>
      </c>
      <c r="T315">
        <f>RTD("tos.rtd", , "GAMMA", ".SPY150619P209")</f>
        <v>3.7859999999999998E-2</v>
      </c>
      <c r="U315">
        <f>RTD("tos.rtd", , "VEGA", ".SPY150619P209")</f>
        <v>0.29438999999999999</v>
      </c>
      <c r="V315">
        <f>RTD("tos.rtd", , "RHO", ".SPY150619P209")</f>
        <v>-0.11538</v>
      </c>
    </row>
    <row r="316" spans="1:22" x14ac:dyDescent="0.25">
      <c r="A316" t="str">
        <f>RTD("tos.rtd", , "ASK", ".SPY150619C209.5")</f>
        <v>N/A</v>
      </c>
      <c r="B316" t="str">
        <f>RTD("tos.rtd", , "ASK_SIZE", ".SPY150619C209.5")</f>
        <v>N/A</v>
      </c>
      <c r="C316" t="str">
        <f>RTD("tos.rtd", , "BID", ".SPY150619C209.5")</f>
        <v>N/A</v>
      </c>
      <c r="D316" t="str">
        <f>RTD("tos.rtd", , "BID_SIZE", ".SPY150619C209.5")</f>
        <v>N/A</v>
      </c>
      <c r="E316" t="str">
        <f>RTD("tos.rtd", , "VOLUME", ".SPY150619C209.5")</f>
        <v>N/A</v>
      </c>
      <c r="F316" t="str">
        <f>RTD("tos.rtd", , "OPEN_INT", ".SPY150619C209.5")</f>
        <v>N/A</v>
      </c>
      <c r="G316" t="str">
        <f>RTD("tos.rtd", , "DELTA", ".SPY150619C209.5")</f>
        <v>N/A</v>
      </c>
      <c r="H316" t="str">
        <f>RTD("tos.rtd", , "THETA", ".SPY150619C209.5")</f>
        <v>N/A</v>
      </c>
      <c r="I316" t="str">
        <f>RTD("tos.rtd", , "GAMMA", ".SPY150619C209.5")</f>
        <v>N/A</v>
      </c>
      <c r="J316" t="str">
        <f>RTD("tos.rtd", , "VEGA", ".SPY150619C209.5")</f>
        <v>N/A</v>
      </c>
      <c r="K316" t="str">
        <f>RTD("tos.rtd", , "RHO", ".SPY150619C209.5")</f>
        <v>N/A</v>
      </c>
      <c r="L316" t="str">
        <f>RTD("tos.rtd", , "ASK", ".SPY150619P209.5")</f>
        <v>N/A</v>
      </c>
      <c r="M316" t="str">
        <f>RTD("tos.rtd", , "ASK_SIZE", ".SPY150619P209.5")</f>
        <v>N/A</v>
      </c>
      <c r="N316" t="str">
        <f>RTD("tos.rtd", , "BID", ".SPY150619P209.5")</f>
        <v>N/A</v>
      </c>
      <c r="O316" t="str">
        <f>RTD("tos.rtd", , "BID_SIZE", ".SPY150619P209.5")</f>
        <v>N/A</v>
      </c>
      <c r="P316" t="str">
        <f>RTD("tos.rtd", , "VOLUME", ".SPY150619P209.5")</f>
        <v>N/A</v>
      </c>
      <c r="Q316" t="str">
        <f>RTD("tos.rtd", , "OPEN_INT", ".SPY150619P209.5")</f>
        <v>N/A</v>
      </c>
      <c r="R316" t="str">
        <f>RTD("tos.rtd", , "DELTA", ".SPY150619P209.5")</f>
        <v>N/A</v>
      </c>
      <c r="S316" t="str">
        <f>RTD("tos.rtd", , "THETA", ".SPY150619P209.5")</f>
        <v>N/A</v>
      </c>
      <c r="T316" t="str">
        <f>RTD("tos.rtd", , "GAMMA", ".SPY150619P209.5")</f>
        <v>N/A</v>
      </c>
      <c r="U316" t="str">
        <f>RTD("tos.rtd", , "VEGA", ".SPY150619P209.5")</f>
        <v>N/A</v>
      </c>
      <c r="V316" t="str">
        <f>RTD("tos.rtd", , "RHO", ".SPY150619P209.5")</f>
        <v>N/A</v>
      </c>
    </row>
    <row r="317" spans="1:22" x14ac:dyDescent="0.25">
      <c r="A317">
        <f>RTD("tos.rtd", , "ASK", ".SPY150619C210")</f>
        <v>4.49</v>
      </c>
      <c r="B317">
        <f>RTD("tos.rtd", , "ASK_SIZE", ".SPY150619C210")</f>
        <v>111</v>
      </c>
      <c r="C317">
        <f>RTD("tos.rtd", , "BID", ".SPY150619C210")</f>
        <v>4.41</v>
      </c>
      <c r="D317">
        <f>RTD("tos.rtd", , "BID_SIZE", ".SPY150619C210")</f>
        <v>264</v>
      </c>
      <c r="E317">
        <f>RTD("tos.rtd", , "VOLUME", ".SPY150619C210")</f>
        <v>2248</v>
      </c>
      <c r="F317">
        <f>RTD("tos.rtd", , "OPEN_INT", ".SPY150619C210")</f>
        <v>87303</v>
      </c>
      <c r="G317">
        <f>RTD("tos.rtd", , "DELTA", ".SPY150619C210")</f>
        <v>0.55464000000000002</v>
      </c>
      <c r="H317">
        <f>RTD("tos.rtd", , "THETA", ".SPY150619C210")</f>
        <v>-3.6380000000000003E-2</v>
      </c>
      <c r="I317">
        <f>RTD("tos.rtd", , "GAMMA", ".SPY150619C210")</f>
        <v>4.1090000000000002E-2</v>
      </c>
      <c r="J317">
        <f>RTD("tos.rtd", , "VEGA", ".SPY150619C210")</f>
        <v>0.29879</v>
      </c>
      <c r="K317">
        <f>RTD("tos.rtd", , "RHO", ".SPY150619C210")</f>
        <v>0.13371</v>
      </c>
      <c r="L317">
        <f>RTD("tos.rtd", , "ASK", ".SPY150619P210")</f>
        <v>3.48</v>
      </c>
      <c r="M317">
        <f>RTD("tos.rtd", , "ASK_SIZE", ".SPY150619P210")</f>
        <v>150</v>
      </c>
      <c r="N317">
        <f>RTD("tos.rtd", , "BID", ".SPY150619P210")</f>
        <v>3.46</v>
      </c>
      <c r="O317">
        <f>RTD("tos.rtd", , "BID_SIZE", ".SPY150619P210")</f>
        <v>10</v>
      </c>
      <c r="P317">
        <f>RTD("tos.rtd", , "VOLUME", ".SPY150619P210")</f>
        <v>9811</v>
      </c>
      <c r="Q317">
        <f>RTD("tos.rtd", , "OPEN_INT", ".SPY150619P210")</f>
        <v>100629</v>
      </c>
      <c r="R317">
        <f>RTD("tos.rtd", , "DELTA", ".SPY150619P210")</f>
        <v>-0.44745000000000001</v>
      </c>
      <c r="S317">
        <f>RTD("tos.rtd", , "THETA", ".SPY150619P210")</f>
        <v>-4.5679999999999998E-2</v>
      </c>
      <c r="T317">
        <f>RTD("tos.rtd", , "GAMMA", ".SPY150619P210")</f>
        <v>3.9440000000000003E-2</v>
      </c>
      <c r="U317">
        <f>RTD("tos.rtd", , "VEGA", ".SPY150619P210")</f>
        <v>0.29943999999999998</v>
      </c>
      <c r="V317">
        <f>RTD("tos.rtd", , "RHO", ".SPY150619P210")</f>
        <v>-0.12612000000000001</v>
      </c>
    </row>
    <row r="318" spans="1:22" x14ac:dyDescent="0.25">
      <c r="A318" t="str">
        <f>RTD("tos.rtd", , "ASK", ".SPY150619C210.5")</f>
        <v>N/A</v>
      </c>
      <c r="B318" t="str">
        <f>RTD("tos.rtd", , "ASK_SIZE", ".SPY150619C210.5")</f>
        <v>N/A</v>
      </c>
      <c r="C318" t="str">
        <f>RTD("tos.rtd", , "BID", ".SPY150619C210.5")</f>
        <v>N/A</v>
      </c>
      <c r="D318" t="str">
        <f>RTD("tos.rtd", , "BID_SIZE", ".SPY150619C210.5")</f>
        <v>N/A</v>
      </c>
      <c r="E318" t="str">
        <f>RTD("tos.rtd", , "VOLUME", ".SPY150619C210.5")</f>
        <v>N/A</v>
      </c>
      <c r="F318" t="str">
        <f>RTD("tos.rtd", , "OPEN_INT", ".SPY150619C210.5")</f>
        <v>N/A</v>
      </c>
      <c r="G318" t="str">
        <f>RTD("tos.rtd", , "DELTA", ".SPY150619C210.5")</f>
        <v>N/A</v>
      </c>
      <c r="H318" t="str">
        <f>RTD("tos.rtd", , "THETA", ".SPY150619C210.5")</f>
        <v>N/A</v>
      </c>
      <c r="I318" t="str">
        <f>RTD("tos.rtd", , "GAMMA", ".SPY150619C210.5")</f>
        <v>N/A</v>
      </c>
      <c r="J318" t="str">
        <f>RTD("tos.rtd", , "VEGA", ".SPY150619C210.5")</f>
        <v>N/A</v>
      </c>
      <c r="K318" t="str">
        <f>RTD("tos.rtd", , "RHO", ".SPY150619C210.5")</f>
        <v>N/A</v>
      </c>
      <c r="L318" t="str">
        <f>RTD("tos.rtd", , "ASK", ".SPY150619P210.5")</f>
        <v>N/A</v>
      </c>
      <c r="M318" t="str">
        <f>RTD("tos.rtd", , "ASK_SIZE", ".SPY150619P210.5")</f>
        <v>N/A</v>
      </c>
      <c r="N318" t="str">
        <f>RTD("tos.rtd", , "BID", ".SPY150619P210.5")</f>
        <v>N/A</v>
      </c>
      <c r="O318" t="str">
        <f>RTD("tos.rtd", , "BID_SIZE", ".SPY150619P210.5")</f>
        <v>N/A</v>
      </c>
      <c r="P318" t="str">
        <f>RTD("tos.rtd", , "VOLUME", ".SPY150619P210.5")</f>
        <v>N/A</v>
      </c>
      <c r="Q318" t="str">
        <f>RTD("tos.rtd", , "OPEN_INT", ".SPY150619P210.5")</f>
        <v>N/A</v>
      </c>
      <c r="R318" t="str">
        <f>RTD("tos.rtd", , "DELTA", ".SPY150619P210.5")</f>
        <v>N/A</v>
      </c>
      <c r="S318" t="str">
        <f>RTD("tos.rtd", , "THETA", ".SPY150619P210.5")</f>
        <v>N/A</v>
      </c>
      <c r="T318" t="str">
        <f>RTD("tos.rtd", , "GAMMA", ".SPY150619P210.5")</f>
        <v>N/A</v>
      </c>
      <c r="U318" t="str">
        <f>RTD("tos.rtd", , "VEGA", ".SPY150619P210.5")</f>
        <v>N/A</v>
      </c>
      <c r="V318" t="str">
        <f>RTD("tos.rtd", , "RHO", ".SPY150619P210.5")</f>
        <v>N/A</v>
      </c>
    </row>
    <row r="319" spans="1:22" x14ac:dyDescent="0.25">
      <c r="A319">
        <f>RTD("tos.rtd", , "ASK", ".SPY150619C211")</f>
        <v>3.83</v>
      </c>
      <c r="B319">
        <f>RTD("tos.rtd", , "ASK_SIZE", ".SPY150619C211")</f>
        <v>2902</v>
      </c>
      <c r="C319">
        <f>RTD("tos.rtd", , "BID", ".SPY150619C211")</f>
        <v>3.76</v>
      </c>
      <c r="D319">
        <f>RTD("tos.rtd", , "BID_SIZE", ".SPY150619C211")</f>
        <v>268</v>
      </c>
      <c r="E319">
        <f>RTD("tos.rtd", , "VOLUME", ".SPY150619C211")</f>
        <v>3830</v>
      </c>
      <c r="F319">
        <f>RTD("tos.rtd", , "OPEN_INT", ".SPY150619C211")</f>
        <v>16853</v>
      </c>
      <c r="G319">
        <f>RTD("tos.rtd", , "DELTA", ".SPY150619C211")</f>
        <v>0.51309000000000005</v>
      </c>
      <c r="H319">
        <f>RTD("tos.rtd", , "THETA", ".SPY150619C211")</f>
        <v>-3.5580000000000001E-2</v>
      </c>
      <c r="I319">
        <f>RTD("tos.rtd", , "GAMMA", ".SPY150619C211")</f>
        <v>4.308E-2</v>
      </c>
      <c r="J319">
        <f>RTD("tos.rtd", , "VEGA", ".SPY150619C211")</f>
        <v>0.30154999999999998</v>
      </c>
      <c r="K319">
        <f>RTD("tos.rtd", , "RHO", ".SPY150619C211")</f>
        <v>0.12567999999999999</v>
      </c>
      <c r="L319">
        <f>RTD("tos.rtd", , "ASK", ".SPY150619P211")</f>
        <v>3.88</v>
      </c>
      <c r="M319">
        <f>RTD("tos.rtd", , "ASK_SIZE", ".SPY150619P211")</f>
        <v>1709</v>
      </c>
      <c r="N319">
        <f>RTD("tos.rtd", , "BID", ".SPY150619P211")</f>
        <v>3.8</v>
      </c>
      <c r="O319">
        <f>RTD("tos.rtd", , "BID_SIZE", ".SPY150619P211")</f>
        <v>241</v>
      </c>
      <c r="P319">
        <f>RTD("tos.rtd", , "VOLUME", ".SPY150619P211")</f>
        <v>6146</v>
      </c>
      <c r="Q319">
        <f>RTD("tos.rtd", , "OPEN_INT", ".SPY150619P211")</f>
        <v>13666</v>
      </c>
      <c r="R319">
        <f>RTD("tos.rtd", , "DELTA", ".SPY150619P211")</f>
        <v>-0.48749999999999999</v>
      </c>
      <c r="S319">
        <f>RTD("tos.rtd", , "THETA", ".SPY150619P211")</f>
        <v>-4.5130000000000003E-2</v>
      </c>
      <c r="T319">
        <f>RTD("tos.rtd", , "GAMMA", ".SPY150619P211")</f>
        <v>4.1189999999999997E-2</v>
      </c>
      <c r="U319">
        <f>RTD("tos.rtd", , "VEGA", ".SPY150619P211")</f>
        <v>0.30181000000000002</v>
      </c>
      <c r="V319">
        <f>RTD("tos.rtd", , "RHO", ".SPY150619P211")</f>
        <v>-0.13749</v>
      </c>
    </row>
    <row r="320" spans="1:22" x14ac:dyDescent="0.25">
      <c r="A320" t="str">
        <f>RTD("tos.rtd", , "ASK", ".SPY150619C211.5")</f>
        <v>N/A</v>
      </c>
      <c r="B320" t="str">
        <f>RTD("tos.rtd", , "ASK_SIZE", ".SPY150619C211.5")</f>
        <v>N/A</v>
      </c>
      <c r="C320" t="str">
        <f>RTD("tos.rtd", , "BID", ".SPY150619C211.5")</f>
        <v>N/A</v>
      </c>
      <c r="D320" t="str">
        <f>RTD("tos.rtd", , "BID_SIZE", ".SPY150619C211.5")</f>
        <v>N/A</v>
      </c>
      <c r="E320" t="str">
        <f>RTD("tos.rtd", , "VOLUME", ".SPY150619C211.5")</f>
        <v>N/A</v>
      </c>
      <c r="F320" t="str">
        <f>RTD("tos.rtd", , "OPEN_INT", ".SPY150619C211.5")</f>
        <v>N/A</v>
      </c>
      <c r="G320" t="str">
        <f>RTD("tos.rtd", , "DELTA", ".SPY150619C211.5")</f>
        <v>N/A</v>
      </c>
      <c r="H320" t="str">
        <f>RTD("tos.rtd", , "THETA", ".SPY150619C211.5")</f>
        <v>N/A</v>
      </c>
      <c r="I320" t="str">
        <f>RTD("tos.rtd", , "GAMMA", ".SPY150619C211.5")</f>
        <v>N/A</v>
      </c>
      <c r="J320" t="str">
        <f>RTD("tos.rtd", , "VEGA", ".SPY150619C211.5")</f>
        <v>N/A</v>
      </c>
      <c r="K320" t="str">
        <f>RTD("tos.rtd", , "RHO", ".SPY150619C211.5")</f>
        <v>N/A</v>
      </c>
      <c r="L320" t="str">
        <f>RTD("tos.rtd", , "ASK", ".SPY150619P211.5")</f>
        <v>N/A</v>
      </c>
      <c r="M320" t="str">
        <f>RTD("tos.rtd", , "ASK_SIZE", ".SPY150619P211.5")</f>
        <v>N/A</v>
      </c>
      <c r="N320" t="str">
        <f>RTD("tos.rtd", , "BID", ".SPY150619P211.5")</f>
        <v>N/A</v>
      </c>
      <c r="O320" t="str">
        <f>RTD("tos.rtd", , "BID_SIZE", ".SPY150619P211.5")</f>
        <v>N/A</v>
      </c>
      <c r="P320" t="str">
        <f>RTD("tos.rtd", , "VOLUME", ".SPY150619P211.5")</f>
        <v>N/A</v>
      </c>
      <c r="Q320" t="str">
        <f>RTD("tos.rtd", , "OPEN_INT", ".SPY150619P211.5")</f>
        <v>N/A</v>
      </c>
      <c r="R320" t="str">
        <f>RTD("tos.rtd", , "DELTA", ".SPY150619P211.5")</f>
        <v>N/A</v>
      </c>
      <c r="S320" t="str">
        <f>RTD("tos.rtd", , "THETA", ".SPY150619P211.5")</f>
        <v>N/A</v>
      </c>
      <c r="T320" t="str">
        <f>RTD("tos.rtd", , "GAMMA", ".SPY150619P211.5")</f>
        <v>N/A</v>
      </c>
      <c r="U320" t="str">
        <f>RTD("tos.rtd", , "VEGA", ".SPY150619P211.5")</f>
        <v>N/A</v>
      </c>
      <c r="V320" t="str">
        <f>RTD("tos.rtd", , "RHO", ".SPY150619P211.5")</f>
        <v>N/A</v>
      </c>
    </row>
    <row r="321" spans="1:22" x14ac:dyDescent="0.25">
      <c r="A321">
        <f>RTD("tos.rtd", , "ASK", ".SPY150619C212")</f>
        <v>3.21</v>
      </c>
      <c r="B321">
        <f>RTD("tos.rtd", , "ASK_SIZE", ".SPY150619C212")</f>
        <v>111</v>
      </c>
      <c r="C321">
        <f>RTD("tos.rtd", , "BID", ".SPY150619C212")</f>
        <v>3.16</v>
      </c>
      <c r="D321">
        <f>RTD("tos.rtd", , "BID_SIZE", ".SPY150619C212")</f>
        <v>195</v>
      </c>
      <c r="E321">
        <f>RTD("tos.rtd", , "VOLUME", ".SPY150619C212")</f>
        <v>8136</v>
      </c>
      <c r="F321">
        <f>RTD("tos.rtd", , "OPEN_INT", ".SPY150619C212")</f>
        <v>28854</v>
      </c>
      <c r="G321">
        <f>RTD("tos.rtd", , "DELTA", ".SPY150619C212")</f>
        <v>0.46855999999999998</v>
      </c>
      <c r="H321">
        <f>RTD("tos.rtd", , "THETA", ".SPY150619C212")</f>
        <v>-3.4349999999999999E-2</v>
      </c>
      <c r="I321">
        <f>RTD("tos.rtd", , "GAMMA", ".SPY150619C212")</f>
        <v>4.4200000000000003E-2</v>
      </c>
      <c r="J321">
        <f>RTD("tos.rtd", , "VEGA", ".SPY150619C212")</f>
        <v>0.30087999999999998</v>
      </c>
      <c r="K321">
        <f>RTD("tos.rtd", , "RHO", ".SPY150619C212")</f>
        <v>0.11645999999999999</v>
      </c>
      <c r="L321">
        <f>RTD("tos.rtd", , "ASK", ".SPY150619P212")</f>
        <v>4.3499999999999996</v>
      </c>
      <c r="M321">
        <f>RTD("tos.rtd", , "ASK_SIZE", ".SPY150619P212")</f>
        <v>359</v>
      </c>
      <c r="N321">
        <f>RTD("tos.rtd", , "BID", ".SPY150619P212")</f>
        <v>4.25</v>
      </c>
      <c r="O321">
        <f>RTD("tos.rtd", , "BID_SIZE", ".SPY150619P212")</f>
        <v>100</v>
      </c>
      <c r="P321">
        <f>RTD("tos.rtd", , "VOLUME", ".SPY150619P212")</f>
        <v>2529</v>
      </c>
      <c r="Q321">
        <f>RTD("tos.rtd", , "OPEN_INT", ".SPY150619P212")</f>
        <v>5430</v>
      </c>
      <c r="R321">
        <f>RTD("tos.rtd", , "DELTA", ".SPY150619P212")</f>
        <v>-0.52936000000000005</v>
      </c>
      <c r="S321">
        <f>RTD("tos.rtd", , "THETA", ".SPY150619P212")</f>
        <v>-4.4659999999999998E-2</v>
      </c>
      <c r="T321">
        <f>RTD("tos.rtd", , "GAMMA", ".SPY150619P212")</f>
        <v>4.1579999999999999E-2</v>
      </c>
      <c r="U321">
        <f>RTD("tos.rtd", , "VEGA", ".SPY150619P212")</f>
        <v>0.30104999999999998</v>
      </c>
      <c r="V321">
        <f>RTD("tos.rtd", , "RHO", ".SPY150619P212")</f>
        <v>-0.14946999999999999</v>
      </c>
    </row>
    <row r="322" spans="1:22" x14ac:dyDescent="0.25">
      <c r="A322" t="str">
        <f>RTD("tos.rtd", , "ASK", ".SPY150619C212.5")</f>
        <v>N/A</v>
      </c>
      <c r="B322" t="str">
        <f>RTD("tos.rtd", , "ASK_SIZE", ".SPY150619C212.5")</f>
        <v>N/A</v>
      </c>
      <c r="C322" t="str">
        <f>RTD("tos.rtd", , "BID", ".SPY150619C212.5")</f>
        <v>N/A</v>
      </c>
      <c r="D322" t="str">
        <f>RTD("tos.rtd", , "BID_SIZE", ".SPY150619C212.5")</f>
        <v>N/A</v>
      </c>
      <c r="E322" t="str">
        <f>RTD("tos.rtd", , "VOLUME", ".SPY150619C212.5")</f>
        <v>N/A</v>
      </c>
      <c r="F322" t="str">
        <f>RTD("tos.rtd", , "OPEN_INT", ".SPY150619C212.5")</f>
        <v>N/A</v>
      </c>
      <c r="G322" t="str">
        <f>RTD("tos.rtd", , "DELTA", ".SPY150619C212.5")</f>
        <v>N/A</v>
      </c>
      <c r="H322" t="str">
        <f>RTD("tos.rtd", , "THETA", ".SPY150619C212.5")</f>
        <v>N/A</v>
      </c>
      <c r="I322" t="str">
        <f>RTD("tos.rtd", , "GAMMA", ".SPY150619C212.5")</f>
        <v>N/A</v>
      </c>
      <c r="J322" t="str">
        <f>RTD("tos.rtd", , "VEGA", ".SPY150619C212.5")</f>
        <v>N/A</v>
      </c>
      <c r="K322" t="str">
        <f>RTD("tos.rtd", , "RHO", ".SPY150619C212.5")</f>
        <v>N/A</v>
      </c>
      <c r="L322" t="str">
        <f>RTD("tos.rtd", , "ASK", ".SPY150619P212.5")</f>
        <v>N/A</v>
      </c>
      <c r="M322" t="str">
        <f>RTD("tos.rtd", , "ASK_SIZE", ".SPY150619P212.5")</f>
        <v>N/A</v>
      </c>
      <c r="N322" t="str">
        <f>RTD("tos.rtd", , "BID", ".SPY150619P212.5")</f>
        <v>N/A</v>
      </c>
      <c r="O322" t="str">
        <f>RTD("tos.rtd", , "BID_SIZE", ".SPY150619P212.5")</f>
        <v>N/A</v>
      </c>
      <c r="P322" t="str">
        <f>RTD("tos.rtd", , "VOLUME", ".SPY150619P212.5")</f>
        <v>N/A</v>
      </c>
      <c r="Q322" t="str">
        <f>RTD("tos.rtd", , "OPEN_INT", ".SPY150619P212.5")</f>
        <v>N/A</v>
      </c>
      <c r="R322" t="str">
        <f>RTD("tos.rtd", , "DELTA", ".SPY150619P212.5")</f>
        <v>N/A</v>
      </c>
      <c r="S322" t="str">
        <f>RTD("tos.rtd", , "THETA", ".SPY150619P212.5")</f>
        <v>N/A</v>
      </c>
      <c r="T322" t="str">
        <f>RTD("tos.rtd", , "GAMMA", ".SPY150619P212.5")</f>
        <v>N/A</v>
      </c>
      <c r="U322" t="str">
        <f>RTD("tos.rtd", , "VEGA", ".SPY150619P212.5")</f>
        <v>N/A</v>
      </c>
      <c r="V322" t="str">
        <f>RTD("tos.rtd", , "RHO", ".SPY150619P212.5")</f>
        <v>N/A</v>
      </c>
    </row>
    <row r="323" spans="1:22" x14ac:dyDescent="0.25">
      <c r="A323">
        <f>RTD("tos.rtd", , "ASK", ".SPY150619C213")</f>
        <v>2.62</v>
      </c>
      <c r="B323">
        <f>RTD("tos.rtd", , "ASK_SIZE", ".SPY150619C213")</f>
        <v>1</v>
      </c>
      <c r="C323">
        <f>RTD("tos.rtd", , "BID", ".SPY150619C213")</f>
        <v>2.59</v>
      </c>
      <c r="D323">
        <f>RTD("tos.rtd", , "BID_SIZE", ".SPY150619C213")</f>
        <v>240</v>
      </c>
      <c r="E323">
        <f>RTD("tos.rtd", , "VOLUME", ".SPY150619C213")</f>
        <v>2415</v>
      </c>
      <c r="F323">
        <f>RTD("tos.rtd", , "OPEN_INT", ".SPY150619C213")</f>
        <v>30769</v>
      </c>
      <c r="G323">
        <f>RTD("tos.rtd", , "DELTA", ".SPY150619C213")</f>
        <v>0.42097000000000001</v>
      </c>
      <c r="H323">
        <f>RTD("tos.rtd", , "THETA", ".SPY150619C213")</f>
        <v>-3.2500000000000001E-2</v>
      </c>
      <c r="I323">
        <f>RTD("tos.rtd", , "GAMMA", ".SPY150619C213")</f>
        <v>4.5269999999999998E-2</v>
      </c>
      <c r="J323">
        <f>RTD("tos.rtd", , "VEGA", ".SPY150619C213")</f>
        <v>0.29601</v>
      </c>
      <c r="K323">
        <f>RTD("tos.rtd", , "RHO", ".SPY150619C213")</f>
        <v>0.10603</v>
      </c>
      <c r="L323">
        <f>RTD("tos.rtd", , "ASK", ".SPY150619P213")</f>
        <v>4.83</v>
      </c>
      <c r="M323">
        <f>RTD("tos.rtd", , "ASK_SIZE", ".SPY150619P213")</f>
        <v>240</v>
      </c>
      <c r="N323">
        <f>RTD("tos.rtd", , "BID", ".SPY150619P213")</f>
        <v>4.75</v>
      </c>
      <c r="O323">
        <f>RTD("tos.rtd", , "BID_SIZE", ".SPY150619P213")</f>
        <v>30</v>
      </c>
      <c r="P323">
        <f>RTD("tos.rtd", , "VOLUME", ".SPY150619P213")</f>
        <v>557</v>
      </c>
      <c r="Q323">
        <f>RTD("tos.rtd", , "OPEN_INT", ".SPY150619P213")</f>
        <v>2852</v>
      </c>
      <c r="R323">
        <f>RTD("tos.rtd", , "DELTA", ".SPY150619P213")</f>
        <v>-0.57238</v>
      </c>
      <c r="S323">
        <f>RTD("tos.rtd", , "THETA", ".SPY150619P213")</f>
        <v>-4.3639999999999998E-2</v>
      </c>
      <c r="T323">
        <f>RTD("tos.rtd", , "GAMMA", ".SPY150619P213")</f>
        <v>4.1869999999999997E-2</v>
      </c>
      <c r="U323">
        <f>RTD("tos.rtd", , "VEGA", ".SPY150619P213")</f>
        <v>0.29679</v>
      </c>
      <c r="V323">
        <f>RTD("tos.rtd", , "RHO", ".SPY150619P213")</f>
        <v>-0.16181000000000001</v>
      </c>
    </row>
    <row r="324" spans="1:22" x14ac:dyDescent="0.25">
      <c r="A324" t="str">
        <f>RTD("tos.rtd", , "ASK", ".SPY150619C213.5")</f>
        <v>N/A</v>
      </c>
      <c r="B324" t="str">
        <f>RTD("tos.rtd", , "ASK_SIZE", ".SPY150619C213.5")</f>
        <v>N/A</v>
      </c>
      <c r="C324" t="str">
        <f>RTD("tos.rtd", , "BID", ".SPY150619C213.5")</f>
        <v>N/A</v>
      </c>
      <c r="D324" t="str">
        <f>RTD("tos.rtd", , "BID_SIZE", ".SPY150619C213.5")</f>
        <v>N/A</v>
      </c>
      <c r="E324" t="str">
        <f>RTD("tos.rtd", , "VOLUME", ".SPY150619C213.5")</f>
        <v>N/A</v>
      </c>
      <c r="F324" t="str">
        <f>RTD("tos.rtd", , "OPEN_INT", ".SPY150619C213.5")</f>
        <v>N/A</v>
      </c>
      <c r="G324" t="str">
        <f>RTD("tos.rtd", , "DELTA", ".SPY150619C213.5")</f>
        <v>N/A</v>
      </c>
      <c r="H324" t="str">
        <f>RTD("tos.rtd", , "THETA", ".SPY150619C213.5")</f>
        <v>N/A</v>
      </c>
      <c r="I324" t="str">
        <f>RTD("tos.rtd", , "GAMMA", ".SPY150619C213.5")</f>
        <v>N/A</v>
      </c>
      <c r="J324" t="str">
        <f>RTD("tos.rtd", , "VEGA", ".SPY150619C213.5")</f>
        <v>N/A</v>
      </c>
      <c r="K324" t="str">
        <f>RTD("tos.rtd", , "RHO", ".SPY150619C213.5")</f>
        <v>N/A</v>
      </c>
      <c r="L324" t="str">
        <f>RTD("tos.rtd", , "ASK", ".SPY150619P213.5")</f>
        <v>N/A</v>
      </c>
      <c r="M324" t="str">
        <f>RTD("tos.rtd", , "ASK_SIZE", ".SPY150619P213.5")</f>
        <v>N/A</v>
      </c>
      <c r="N324" t="str">
        <f>RTD("tos.rtd", , "BID", ".SPY150619P213.5")</f>
        <v>N/A</v>
      </c>
      <c r="O324" t="str">
        <f>RTD("tos.rtd", , "BID_SIZE", ".SPY150619P213.5")</f>
        <v>N/A</v>
      </c>
      <c r="P324" t="str">
        <f>RTD("tos.rtd", , "VOLUME", ".SPY150619P213.5")</f>
        <v>N/A</v>
      </c>
      <c r="Q324" t="str">
        <f>RTD("tos.rtd", , "OPEN_INT", ".SPY150619P213.5")</f>
        <v>N/A</v>
      </c>
      <c r="R324" t="str">
        <f>RTD("tos.rtd", , "DELTA", ".SPY150619P213.5")</f>
        <v>N/A</v>
      </c>
      <c r="S324" t="str">
        <f>RTD("tos.rtd", , "THETA", ".SPY150619P213.5")</f>
        <v>N/A</v>
      </c>
      <c r="T324" t="str">
        <f>RTD("tos.rtd", , "GAMMA", ".SPY150619P213.5")</f>
        <v>N/A</v>
      </c>
      <c r="U324" t="str">
        <f>RTD("tos.rtd", , "VEGA", ".SPY150619P213.5")</f>
        <v>N/A</v>
      </c>
      <c r="V324" t="str">
        <f>RTD("tos.rtd", , "RHO", ".SPY150619P213.5")</f>
        <v>N/A</v>
      </c>
    </row>
    <row r="325" spans="1:22" x14ac:dyDescent="0.25">
      <c r="A325">
        <f>RTD("tos.rtd", , "ASK", ".SPY150619C214")</f>
        <v>2.11</v>
      </c>
      <c r="B325">
        <f>RTD("tos.rtd", , "ASK_SIZE", ".SPY150619C214")</f>
        <v>1</v>
      </c>
      <c r="C325">
        <f>RTD("tos.rtd", , "BID", ".SPY150619C214")</f>
        <v>2.08</v>
      </c>
      <c r="D325">
        <f>RTD("tos.rtd", , "BID_SIZE", ".SPY150619C214")</f>
        <v>240</v>
      </c>
      <c r="E325">
        <f>RTD("tos.rtd", , "VOLUME", ".SPY150619C214")</f>
        <v>4742</v>
      </c>
      <c r="F325">
        <f>RTD("tos.rtd", , "OPEN_INT", ".SPY150619C214")</f>
        <v>28969</v>
      </c>
      <c r="G325">
        <f>RTD("tos.rtd", , "DELTA", ".SPY150619C214")</f>
        <v>0.3715</v>
      </c>
      <c r="H325">
        <f>RTD("tos.rtd", , "THETA", ".SPY150619C214")</f>
        <v>-3.0380000000000001E-2</v>
      </c>
      <c r="I325">
        <f>RTD("tos.rtd", , "GAMMA", ".SPY150619C214")</f>
        <v>4.5400000000000003E-2</v>
      </c>
      <c r="J325">
        <f>RTD("tos.rtd", , "VEGA", ".SPY150619C214")</f>
        <v>0.28631000000000001</v>
      </c>
      <c r="K325">
        <f>RTD("tos.rtd", , "RHO", ".SPY150619C214")</f>
        <v>9.4689999999999996E-2</v>
      </c>
      <c r="L325">
        <f>RTD("tos.rtd", , "ASK", ".SPY150619P214")</f>
        <v>5.36</v>
      </c>
      <c r="M325">
        <f>RTD("tos.rtd", , "ASK_SIZE", ".SPY150619P214")</f>
        <v>240</v>
      </c>
      <c r="N325">
        <f>RTD("tos.rtd", , "BID", ".SPY150619P214")</f>
        <v>5.23</v>
      </c>
      <c r="O325">
        <f>RTD("tos.rtd", , "BID_SIZE", ".SPY150619P214")</f>
        <v>190</v>
      </c>
      <c r="P325">
        <f>RTD("tos.rtd", , "VOLUME", ".SPY150619P214")</f>
        <v>429</v>
      </c>
      <c r="Q325">
        <f>RTD("tos.rtd", , "OPEN_INT", ".SPY150619P214")</f>
        <v>3511</v>
      </c>
      <c r="R325">
        <f>RTD("tos.rtd", , "DELTA", ".SPY150619P214")</f>
        <v>-0.61736999999999997</v>
      </c>
      <c r="S325">
        <f>RTD("tos.rtd", , "THETA", ".SPY150619P214")</f>
        <v>-4.181E-2</v>
      </c>
      <c r="T325">
        <f>RTD("tos.rtd", , "GAMMA", ".SPY150619P214")</f>
        <v>4.1980000000000003E-2</v>
      </c>
      <c r="U325">
        <f>RTD("tos.rtd", , "VEGA", ".SPY150619P214")</f>
        <v>0.28853000000000001</v>
      </c>
      <c r="V325">
        <f>RTD("tos.rtd", , "RHO", ".SPY150619P214")</f>
        <v>-0.17469000000000001</v>
      </c>
    </row>
    <row r="326" spans="1:22" x14ac:dyDescent="0.25">
      <c r="A326" t="str">
        <f>RTD("tos.rtd", , "ASK", ".SPY150619C214.5")</f>
        <v>N/A</v>
      </c>
      <c r="B326" t="str">
        <f>RTD("tos.rtd", , "ASK_SIZE", ".SPY150619C214.5")</f>
        <v>N/A</v>
      </c>
      <c r="C326" t="str">
        <f>RTD("tos.rtd", , "BID", ".SPY150619C214.5")</f>
        <v>N/A</v>
      </c>
      <c r="D326" t="str">
        <f>RTD("tos.rtd", , "BID_SIZE", ".SPY150619C214.5")</f>
        <v>N/A</v>
      </c>
      <c r="E326" t="str">
        <f>RTD("tos.rtd", , "VOLUME", ".SPY150619C214.5")</f>
        <v>N/A</v>
      </c>
      <c r="F326" t="str">
        <f>RTD("tos.rtd", , "OPEN_INT", ".SPY150619C214.5")</f>
        <v>N/A</v>
      </c>
      <c r="G326" t="str">
        <f>RTD("tos.rtd", , "DELTA", ".SPY150619C214.5")</f>
        <v>N/A</v>
      </c>
      <c r="H326" t="str">
        <f>RTD("tos.rtd", , "THETA", ".SPY150619C214.5")</f>
        <v>N/A</v>
      </c>
      <c r="I326" t="str">
        <f>RTD("tos.rtd", , "GAMMA", ".SPY150619C214.5")</f>
        <v>N/A</v>
      </c>
      <c r="J326" t="str">
        <f>RTD("tos.rtd", , "VEGA", ".SPY150619C214.5")</f>
        <v>N/A</v>
      </c>
      <c r="K326" t="str">
        <f>RTD("tos.rtd", , "RHO", ".SPY150619C214.5")</f>
        <v>N/A</v>
      </c>
      <c r="L326" t="str">
        <f>RTD("tos.rtd", , "ASK", ".SPY150619P214.5")</f>
        <v>N/A</v>
      </c>
      <c r="M326" t="str">
        <f>RTD("tos.rtd", , "ASK_SIZE", ".SPY150619P214.5")</f>
        <v>N/A</v>
      </c>
      <c r="N326" t="str">
        <f>RTD("tos.rtd", , "BID", ".SPY150619P214.5")</f>
        <v>N/A</v>
      </c>
      <c r="O326" t="str">
        <f>RTD("tos.rtd", , "BID_SIZE", ".SPY150619P214.5")</f>
        <v>N/A</v>
      </c>
      <c r="P326" t="str">
        <f>RTD("tos.rtd", , "VOLUME", ".SPY150619P214.5")</f>
        <v>N/A</v>
      </c>
      <c r="Q326" t="str">
        <f>RTD("tos.rtd", , "OPEN_INT", ".SPY150619P214.5")</f>
        <v>N/A</v>
      </c>
      <c r="R326" t="str">
        <f>RTD("tos.rtd", , "DELTA", ".SPY150619P214.5")</f>
        <v>N/A</v>
      </c>
      <c r="S326" t="str">
        <f>RTD("tos.rtd", , "THETA", ".SPY150619P214.5")</f>
        <v>N/A</v>
      </c>
      <c r="T326" t="str">
        <f>RTD("tos.rtd", , "GAMMA", ".SPY150619P214.5")</f>
        <v>N/A</v>
      </c>
      <c r="U326" t="str">
        <f>RTD("tos.rtd", , "VEGA", ".SPY150619P214.5")</f>
        <v>N/A</v>
      </c>
      <c r="V326" t="str">
        <f>RTD("tos.rtd", , "RHO", ".SPY150619P214.5")</f>
        <v>N/A</v>
      </c>
    </row>
    <row r="327" spans="1:22" x14ac:dyDescent="0.25">
      <c r="A327">
        <f>RTD("tos.rtd", , "ASK", ".SPY150619C215")</f>
        <v>1.67</v>
      </c>
      <c r="B327">
        <f>RTD("tos.rtd", , "ASK_SIZE", ".SPY150619C215")</f>
        <v>413</v>
      </c>
      <c r="C327">
        <f>RTD("tos.rtd", , "BID", ".SPY150619C215")</f>
        <v>1.63</v>
      </c>
      <c r="D327">
        <f>RTD("tos.rtd", , "BID_SIZE", ".SPY150619C215")</f>
        <v>240</v>
      </c>
      <c r="E327">
        <f>RTD("tos.rtd", , "VOLUME", ".SPY150619C215")</f>
        <v>12627</v>
      </c>
      <c r="F327">
        <f>RTD("tos.rtd", , "OPEN_INT", ".SPY150619C215")</f>
        <v>133838</v>
      </c>
      <c r="G327">
        <f>RTD("tos.rtd", , "DELTA", ".SPY150619C215")</f>
        <v>0.32113999999999998</v>
      </c>
      <c r="H327">
        <f>RTD("tos.rtd", , "THETA", ".SPY150619C215")</f>
        <v>-2.7879999999999999E-2</v>
      </c>
      <c r="I327">
        <f>RTD("tos.rtd", , "GAMMA", ".SPY150619C215")</f>
        <v>4.4549999999999999E-2</v>
      </c>
      <c r="J327">
        <f>RTD("tos.rtd", , "VEGA", ".SPY150619C215")</f>
        <v>0.27143</v>
      </c>
      <c r="K327">
        <f>RTD("tos.rtd", , "RHO", ".SPY150619C215")</f>
        <v>8.2710000000000006E-2</v>
      </c>
      <c r="L327">
        <f>RTD("tos.rtd", , "ASK", ".SPY150619P215")</f>
        <v>5.99</v>
      </c>
      <c r="M327">
        <f>RTD("tos.rtd", , "ASK_SIZE", ".SPY150619P215")</f>
        <v>249</v>
      </c>
      <c r="N327">
        <f>RTD("tos.rtd", , "BID", ".SPY150619P215")</f>
        <v>5.83</v>
      </c>
      <c r="O327">
        <f>RTD("tos.rtd", , "BID_SIZE", ".SPY150619P215")</f>
        <v>111</v>
      </c>
      <c r="P327">
        <f>RTD("tos.rtd", , "VOLUME", ".SPY150619P215")</f>
        <v>286</v>
      </c>
      <c r="Q327">
        <f>RTD("tos.rtd", , "OPEN_INT", ".SPY150619P215")</f>
        <v>2685</v>
      </c>
      <c r="R327">
        <f>RTD("tos.rtd", , "DELTA", ".SPY150619P215")</f>
        <v>-0.65995999999999999</v>
      </c>
      <c r="S327">
        <f>RTD("tos.rtd", , "THETA", ".SPY150619P215")</f>
        <v>-4.0320000000000002E-2</v>
      </c>
      <c r="T327">
        <f>RTD("tos.rtd", , "GAMMA", ".SPY150619P215")</f>
        <v>4.0770000000000001E-2</v>
      </c>
      <c r="U327">
        <f>RTD("tos.rtd", , "VEGA", ".SPY150619P215")</f>
        <v>0.27700999999999998</v>
      </c>
      <c r="V327">
        <f>RTD("tos.rtd", , "RHO", ".SPY150619P215")</f>
        <v>-0.18708</v>
      </c>
    </row>
    <row r="328" spans="1:22" x14ac:dyDescent="0.25">
      <c r="A328" t="str">
        <f>RTD("tos.rtd", , "ASK", ".SPY150619C215.5")</f>
        <v>N/A</v>
      </c>
      <c r="B328" t="str">
        <f>RTD("tos.rtd", , "ASK_SIZE", ".SPY150619C215.5")</f>
        <v>N/A</v>
      </c>
      <c r="C328" t="str">
        <f>RTD("tos.rtd", , "BID", ".SPY150619C215.5")</f>
        <v>N/A</v>
      </c>
      <c r="D328" t="str">
        <f>RTD("tos.rtd", , "BID_SIZE", ".SPY150619C215.5")</f>
        <v>N/A</v>
      </c>
      <c r="E328" t="str">
        <f>RTD("tos.rtd", , "VOLUME", ".SPY150619C215.5")</f>
        <v>N/A</v>
      </c>
      <c r="F328" t="str">
        <f>RTD("tos.rtd", , "OPEN_INT", ".SPY150619C215.5")</f>
        <v>N/A</v>
      </c>
      <c r="G328" t="str">
        <f>RTD("tos.rtd", , "DELTA", ".SPY150619C215.5")</f>
        <v>N/A</v>
      </c>
      <c r="H328" t="str">
        <f>RTD("tos.rtd", , "THETA", ".SPY150619C215.5")</f>
        <v>N/A</v>
      </c>
      <c r="I328" t="str">
        <f>RTD("tos.rtd", , "GAMMA", ".SPY150619C215.5")</f>
        <v>N/A</v>
      </c>
      <c r="J328" t="str">
        <f>RTD("tos.rtd", , "VEGA", ".SPY150619C215.5")</f>
        <v>N/A</v>
      </c>
      <c r="K328" t="str">
        <f>RTD("tos.rtd", , "RHO", ".SPY150619C215.5")</f>
        <v>N/A</v>
      </c>
      <c r="L328" t="str">
        <f>RTD("tos.rtd", , "ASK", ".SPY150619P215.5")</f>
        <v>N/A</v>
      </c>
      <c r="M328" t="str">
        <f>RTD("tos.rtd", , "ASK_SIZE", ".SPY150619P215.5")</f>
        <v>N/A</v>
      </c>
      <c r="N328" t="str">
        <f>RTD("tos.rtd", , "BID", ".SPY150619P215.5")</f>
        <v>N/A</v>
      </c>
      <c r="O328" t="str">
        <f>RTD("tos.rtd", , "BID_SIZE", ".SPY150619P215.5")</f>
        <v>N/A</v>
      </c>
      <c r="P328" t="str">
        <f>RTD("tos.rtd", , "VOLUME", ".SPY150619P215.5")</f>
        <v>N/A</v>
      </c>
      <c r="Q328" t="str">
        <f>RTD("tos.rtd", , "OPEN_INT", ".SPY150619P215.5")</f>
        <v>N/A</v>
      </c>
      <c r="R328" t="str">
        <f>RTD("tos.rtd", , "DELTA", ".SPY150619P215.5")</f>
        <v>N/A</v>
      </c>
      <c r="S328" t="str">
        <f>RTD("tos.rtd", , "THETA", ".SPY150619P215.5")</f>
        <v>N/A</v>
      </c>
      <c r="T328" t="str">
        <f>RTD("tos.rtd", , "GAMMA", ".SPY150619P215.5")</f>
        <v>N/A</v>
      </c>
      <c r="U328" t="str">
        <f>RTD("tos.rtd", , "VEGA", ".SPY150619P215.5")</f>
        <v>N/A</v>
      </c>
      <c r="V328" t="str">
        <f>RTD("tos.rtd", , "RHO", ".SPY150619P215.5")</f>
        <v>N/A</v>
      </c>
    </row>
    <row r="329" spans="1:22" x14ac:dyDescent="0.25">
      <c r="A329">
        <f>RTD("tos.rtd", , "ASK", ".SPY150619C216")</f>
        <v>1.28</v>
      </c>
      <c r="B329">
        <f>RTD("tos.rtd", , "ASK_SIZE", ".SPY150619C216")</f>
        <v>447</v>
      </c>
      <c r="C329">
        <f>RTD("tos.rtd", , "BID", ".SPY150619C216")</f>
        <v>1.25</v>
      </c>
      <c r="D329">
        <f>RTD("tos.rtd", , "BID_SIZE", ".SPY150619C216")</f>
        <v>779</v>
      </c>
      <c r="E329">
        <f>RTD("tos.rtd", , "VOLUME", ".SPY150619C216")</f>
        <v>3384</v>
      </c>
      <c r="F329">
        <f>RTD("tos.rtd", , "OPEN_INT", ".SPY150619C216")</f>
        <v>25316</v>
      </c>
      <c r="G329">
        <f>RTD("tos.rtd", , "DELTA", ".SPY150619C216")</f>
        <v>0.27089000000000002</v>
      </c>
      <c r="H329">
        <f>RTD("tos.rtd", , "THETA", ".SPY150619C216")</f>
        <v>-2.4969999999999999E-2</v>
      </c>
      <c r="I329">
        <f>RTD("tos.rtd", , "GAMMA", ".SPY150619C216")</f>
        <v>4.2689999999999999E-2</v>
      </c>
      <c r="J329">
        <f>RTD("tos.rtd", , "VEGA", ".SPY150619C216")</f>
        <v>0.25124000000000002</v>
      </c>
      <c r="K329">
        <f>RTD("tos.rtd", , "RHO", ".SPY150619C216")</f>
        <v>7.041E-2</v>
      </c>
      <c r="L329">
        <f>RTD("tos.rtd", , "ASK", ".SPY150619P216")</f>
        <v>6.65</v>
      </c>
      <c r="M329">
        <f>RTD("tos.rtd", , "ASK_SIZE", ".SPY150619P216")</f>
        <v>249</v>
      </c>
      <c r="N329">
        <f>RTD("tos.rtd", , "BID", ".SPY150619P216")</f>
        <v>6.46</v>
      </c>
      <c r="O329">
        <f>RTD("tos.rtd", , "BID_SIZE", ".SPY150619P216")</f>
        <v>240</v>
      </c>
      <c r="P329">
        <f>RTD("tos.rtd", , "VOLUME", ".SPY150619P216")</f>
        <v>162</v>
      </c>
      <c r="Q329">
        <f>RTD("tos.rtd", , "OPEN_INT", ".SPY150619P216")</f>
        <v>1837</v>
      </c>
      <c r="R329">
        <f>RTD("tos.rtd", , "DELTA", ".SPY150619P216")</f>
        <v>-0.70233000000000001</v>
      </c>
      <c r="S329">
        <f>RTD("tos.rtd", , "THETA", ".SPY150619P216")</f>
        <v>-3.8249999999999999E-2</v>
      </c>
      <c r="T329">
        <f>RTD("tos.rtd", , "GAMMA", ".SPY150619P216")</f>
        <v>3.9170000000000003E-2</v>
      </c>
      <c r="U329">
        <f>RTD("tos.rtd", , "VEGA", ".SPY150619P216")</f>
        <v>0.26184000000000002</v>
      </c>
      <c r="V329">
        <f>RTD("tos.rtd", , "RHO", ".SPY150619P216")</f>
        <v>-0.19944000000000001</v>
      </c>
    </row>
    <row r="330" spans="1:22" x14ac:dyDescent="0.25">
      <c r="A330" t="str">
        <f>RTD("tos.rtd", , "ASK", ".SPY150619C216.5")</f>
        <v>N/A</v>
      </c>
      <c r="B330" t="str">
        <f>RTD("tos.rtd", , "ASK_SIZE", ".SPY150619C216.5")</f>
        <v>N/A</v>
      </c>
      <c r="C330" t="str">
        <f>RTD("tos.rtd", , "BID", ".SPY150619C216.5")</f>
        <v>N/A</v>
      </c>
      <c r="D330" t="str">
        <f>RTD("tos.rtd", , "BID_SIZE", ".SPY150619C216.5")</f>
        <v>N/A</v>
      </c>
      <c r="E330" t="str">
        <f>RTD("tos.rtd", , "VOLUME", ".SPY150619C216.5")</f>
        <v>N/A</v>
      </c>
      <c r="F330" t="str">
        <f>RTD("tos.rtd", , "OPEN_INT", ".SPY150619C216.5")</f>
        <v>N/A</v>
      </c>
      <c r="G330" t="str">
        <f>RTD("tos.rtd", , "DELTA", ".SPY150619C216.5")</f>
        <v>N/A</v>
      </c>
      <c r="H330" t="str">
        <f>RTD("tos.rtd", , "THETA", ".SPY150619C216.5")</f>
        <v>N/A</v>
      </c>
      <c r="I330" t="str">
        <f>RTD("tos.rtd", , "GAMMA", ".SPY150619C216.5")</f>
        <v>N/A</v>
      </c>
      <c r="J330" t="str">
        <f>RTD("tos.rtd", , "VEGA", ".SPY150619C216.5")</f>
        <v>N/A</v>
      </c>
      <c r="K330" t="str">
        <f>RTD("tos.rtd", , "RHO", ".SPY150619C216.5")</f>
        <v>N/A</v>
      </c>
      <c r="L330" t="str">
        <f>RTD("tos.rtd", , "ASK", ".SPY150619P216.5")</f>
        <v>N/A</v>
      </c>
      <c r="M330" t="str">
        <f>RTD("tos.rtd", , "ASK_SIZE", ".SPY150619P216.5")</f>
        <v>N/A</v>
      </c>
      <c r="N330" t="str">
        <f>RTD("tos.rtd", , "BID", ".SPY150619P216.5")</f>
        <v>N/A</v>
      </c>
      <c r="O330" t="str">
        <f>RTD("tos.rtd", , "BID_SIZE", ".SPY150619P216.5")</f>
        <v>N/A</v>
      </c>
      <c r="P330" t="str">
        <f>RTD("tos.rtd", , "VOLUME", ".SPY150619P216.5")</f>
        <v>N/A</v>
      </c>
      <c r="Q330" t="str">
        <f>RTD("tos.rtd", , "OPEN_INT", ".SPY150619P216.5")</f>
        <v>N/A</v>
      </c>
      <c r="R330" t="str">
        <f>RTD("tos.rtd", , "DELTA", ".SPY150619P216.5")</f>
        <v>N/A</v>
      </c>
      <c r="S330" t="str">
        <f>RTD("tos.rtd", , "THETA", ".SPY150619P216.5")</f>
        <v>N/A</v>
      </c>
      <c r="T330" t="str">
        <f>RTD("tos.rtd", , "GAMMA", ".SPY150619P216.5")</f>
        <v>N/A</v>
      </c>
      <c r="U330" t="str">
        <f>RTD("tos.rtd", , "VEGA", ".SPY150619P216.5")</f>
        <v>N/A</v>
      </c>
      <c r="V330" t="str">
        <f>RTD("tos.rtd", , "RHO", ".SPY150619P216.5")</f>
        <v>N/A</v>
      </c>
    </row>
    <row r="331" spans="1:22" x14ac:dyDescent="0.25">
      <c r="A331">
        <f>RTD("tos.rtd", , "ASK", ".SPY150619C217")</f>
        <v>0.96</v>
      </c>
      <c r="B331">
        <f>RTD("tos.rtd", , "ASK_SIZE", ".SPY150619C217")</f>
        <v>502</v>
      </c>
      <c r="C331">
        <f>RTD("tos.rtd", , "BID", ".SPY150619C217")</f>
        <v>0.93</v>
      </c>
      <c r="D331">
        <f>RTD("tos.rtd", , "BID_SIZE", ".SPY150619C217")</f>
        <v>3056</v>
      </c>
      <c r="E331">
        <f>RTD("tos.rtd", , "VOLUME", ".SPY150619C217")</f>
        <v>2317</v>
      </c>
      <c r="F331">
        <f>RTD("tos.rtd", , "OPEN_INT", ".SPY150619C217")</f>
        <v>42109</v>
      </c>
      <c r="G331">
        <f>RTD("tos.rtd", , "DELTA", ".SPY150619C217")</f>
        <v>0.22258</v>
      </c>
      <c r="H331">
        <f>RTD("tos.rtd", , "THETA", ".SPY150619C217")</f>
        <v>-2.1819999999999999E-2</v>
      </c>
      <c r="I331">
        <f>RTD("tos.rtd", , "GAMMA", ".SPY150619C217")</f>
        <v>3.9730000000000001E-2</v>
      </c>
      <c r="J331">
        <f>RTD("tos.rtd", , "VEGA", ".SPY150619C217")</f>
        <v>0.22639999999999999</v>
      </c>
      <c r="K331">
        <f>RTD("tos.rtd", , "RHO", ".SPY150619C217")</f>
        <v>5.8299999999999998E-2</v>
      </c>
      <c r="L331">
        <f>RTD("tos.rtd", , "ASK", ".SPY150619P217")</f>
        <v>7.38</v>
      </c>
      <c r="M331">
        <f>RTD("tos.rtd", , "ASK_SIZE", ".SPY150619P217")</f>
        <v>240</v>
      </c>
      <c r="N331">
        <f>RTD("tos.rtd", , "BID", ".SPY150619P217")</f>
        <v>7.17</v>
      </c>
      <c r="O331">
        <f>RTD("tos.rtd", , "BID_SIZE", ".SPY150619P217")</f>
        <v>190</v>
      </c>
      <c r="P331">
        <f>RTD("tos.rtd", , "VOLUME", ".SPY150619P217")</f>
        <v>75</v>
      </c>
      <c r="Q331">
        <f>RTD("tos.rtd", , "OPEN_INT", ".SPY150619P217")</f>
        <v>1717</v>
      </c>
      <c r="R331">
        <f>RTD("tos.rtd", , "DELTA", ".SPY150619P217")</f>
        <v>-0.74070000000000003</v>
      </c>
      <c r="S331">
        <f>RTD("tos.rtd", , "THETA", ".SPY150619P217")</f>
        <v>-3.6299999999999999E-2</v>
      </c>
      <c r="T331">
        <f>RTD("tos.rtd", , "GAMMA", ".SPY150619P217")</f>
        <v>3.6799999999999999E-2</v>
      </c>
      <c r="U331">
        <f>RTD("tos.rtd", , "VEGA", ".SPY150619P217")</f>
        <v>0.24471000000000001</v>
      </c>
      <c r="V331">
        <f>RTD("tos.rtd", , "RHO", ".SPY150619P217")</f>
        <v>-0.21081</v>
      </c>
    </row>
    <row r="332" spans="1:22" x14ac:dyDescent="0.25">
      <c r="A332" t="str">
        <f>RTD("tos.rtd", , "ASK", ".SPY150619C217.5")</f>
        <v>N/A</v>
      </c>
      <c r="B332" t="str">
        <f>RTD("tos.rtd", , "ASK_SIZE", ".SPY150619C217.5")</f>
        <v>N/A</v>
      </c>
      <c r="C332" t="str">
        <f>RTD("tos.rtd", , "BID", ".SPY150619C217.5")</f>
        <v>N/A</v>
      </c>
      <c r="D332" t="str">
        <f>RTD("tos.rtd", , "BID_SIZE", ".SPY150619C217.5")</f>
        <v>N/A</v>
      </c>
      <c r="E332" t="str">
        <f>RTD("tos.rtd", , "VOLUME", ".SPY150619C217.5")</f>
        <v>N/A</v>
      </c>
      <c r="F332" t="str">
        <f>RTD("tos.rtd", , "OPEN_INT", ".SPY150619C217.5")</f>
        <v>N/A</v>
      </c>
      <c r="G332" t="str">
        <f>RTD("tos.rtd", , "DELTA", ".SPY150619C217.5")</f>
        <v>N/A</v>
      </c>
      <c r="H332" t="str">
        <f>RTD("tos.rtd", , "THETA", ".SPY150619C217.5")</f>
        <v>N/A</v>
      </c>
      <c r="I332" t="str">
        <f>RTD("tos.rtd", , "GAMMA", ".SPY150619C217.5")</f>
        <v>N/A</v>
      </c>
      <c r="J332" t="str">
        <f>RTD("tos.rtd", , "VEGA", ".SPY150619C217.5")</f>
        <v>N/A</v>
      </c>
      <c r="K332" t="str">
        <f>RTD("tos.rtd", , "RHO", ".SPY150619C217.5")</f>
        <v>N/A</v>
      </c>
      <c r="L332" t="str">
        <f>RTD("tos.rtd", , "ASK", ".SPY150619P217.5")</f>
        <v>N/A</v>
      </c>
      <c r="M332" t="str">
        <f>RTD("tos.rtd", , "ASK_SIZE", ".SPY150619P217.5")</f>
        <v>N/A</v>
      </c>
      <c r="N332" t="str">
        <f>RTD("tos.rtd", , "BID", ".SPY150619P217.5")</f>
        <v>N/A</v>
      </c>
      <c r="O332" t="str">
        <f>RTD("tos.rtd", , "BID_SIZE", ".SPY150619P217.5")</f>
        <v>N/A</v>
      </c>
      <c r="P332" t="str">
        <f>RTD("tos.rtd", , "VOLUME", ".SPY150619P217.5")</f>
        <v>N/A</v>
      </c>
      <c r="Q332" t="str">
        <f>RTD("tos.rtd", , "OPEN_INT", ".SPY150619P217.5")</f>
        <v>N/A</v>
      </c>
      <c r="R332" t="str">
        <f>RTD("tos.rtd", , "DELTA", ".SPY150619P217.5")</f>
        <v>N/A</v>
      </c>
      <c r="S332" t="str">
        <f>RTD("tos.rtd", , "THETA", ".SPY150619P217.5")</f>
        <v>N/A</v>
      </c>
      <c r="T332" t="str">
        <f>RTD("tos.rtd", , "GAMMA", ".SPY150619P217.5")</f>
        <v>N/A</v>
      </c>
      <c r="U332" t="str">
        <f>RTD("tos.rtd", , "VEGA", ".SPY150619P217.5")</f>
        <v>N/A</v>
      </c>
      <c r="V332" t="str">
        <f>RTD("tos.rtd", , "RHO", ".SPY150619P217.5")</f>
        <v>N/A</v>
      </c>
    </row>
    <row r="333" spans="1:22" x14ac:dyDescent="0.25">
      <c r="A333">
        <f>RTD("tos.rtd", , "ASK", ".SPY150619C218")</f>
        <v>0.7</v>
      </c>
      <c r="B333">
        <f>RTD("tos.rtd", , "ASK_SIZE", ".SPY150619C218")</f>
        <v>584</v>
      </c>
      <c r="C333">
        <f>RTD("tos.rtd", , "BID", ".SPY150619C218")</f>
        <v>0.68</v>
      </c>
      <c r="D333">
        <f>RTD("tos.rtd", , "BID_SIZE", ".SPY150619C218")</f>
        <v>2103</v>
      </c>
      <c r="E333">
        <f>RTD("tos.rtd", , "VOLUME", ".SPY150619C218")</f>
        <v>3650</v>
      </c>
      <c r="F333">
        <f>RTD("tos.rtd", , "OPEN_INT", ".SPY150619C218")</f>
        <v>34082</v>
      </c>
      <c r="G333">
        <f>RTD("tos.rtd", , "DELTA", ".SPY150619C218")</f>
        <v>0.1782</v>
      </c>
      <c r="H333">
        <f>RTD("tos.rtd", , "THETA", ".SPY150619C218")</f>
        <v>-1.8620000000000001E-2</v>
      </c>
      <c r="I333">
        <f>RTD("tos.rtd", , "GAMMA", ".SPY150619C218")</f>
        <v>3.5810000000000002E-2</v>
      </c>
      <c r="J333">
        <f>RTD("tos.rtd", , "VEGA", ".SPY150619C218")</f>
        <v>0.19836000000000001</v>
      </c>
      <c r="K333">
        <f>RTD("tos.rtd", , "RHO", ".SPY150619C218")</f>
        <v>4.6980000000000001E-2</v>
      </c>
      <c r="L333">
        <f>RTD("tos.rtd", , "ASK", ".SPY150619P218")</f>
        <v>8.17</v>
      </c>
      <c r="M333">
        <f>RTD("tos.rtd", , "ASK_SIZE", ".SPY150619P218")</f>
        <v>249</v>
      </c>
      <c r="N333">
        <f>RTD("tos.rtd", , "BID", ".SPY150619P218")</f>
        <v>7.94</v>
      </c>
      <c r="O333">
        <f>RTD("tos.rtd", , "BID_SIZE", ".SPY150619P218")</f>
        <v>150</v>
      </c>
      <c r="P333">
        <f>RTD("tos.rtd", , "VOLUME", ".SPY150619P218")</f>
        <v>113</v>
      </c>
      <c r="Q333">
        <f>RTD("tos.rtd", , "OPEN_INT", ".SPY150619P218")</f>
        <v>1429</v>
      </c>
      <c r="R333">
        <f>RTD("tos.rtd", , "DELTA", ".SPY150619P218")</f>
        <v>-0.77446999999999999</v>
      </c>
      <c r="S333">
        <f>RTD("tos.rtd", , "THETA", ".SPY150619P218")</f>
        <v>-3.4479999999999997E-2</v>
      </c>
      <c r="T333">
        <f>RTD("tos.rtd", , "GAMMA", ".SPY150619P218")</f>
        <v>3.3980000000000003E-2</v>
      </c>
      <c r="U333">
        <f>RTD("tos.rtd", , "VEGA", ".SPY150619P218")</f>
        <v>0.22677</v>
      </c>
      <c r="V333">
        <f>RTD("tos.rtd", , "RHO", ".SPY150619P218")</f>
        <v>-0.22101000000000001</v>
      </c>
    </row>
    <row r="334" spans="1:22" x14ac:dyDescent="0.25">
      <c r="A334" t="str">
        <f>RTD("tos.rtd", , "ASK", ".SPY150619C218.5")</f>
        <v>N/A</v>
      </c>
      <c r="B334" t="str">
        <f>RTD("tos.rtd", , "ASK_SIZE", ".SPY150619C218.5")</f>
        <v>N/A</v>
      </c>
      <c r="C334" t="str">
        <f>RTD("tos.rtd", , "BID", ".SPY150619C218.5")</f>
        <v>N/A</v>
      </c>
      <c r="D334" t="str">
        <f>RTD("tos.rtd", , "BID_SIZE", ".SPY150619C218.5")</f>
        <v>N/A</v>
      </c>
      <c r="E334" t="str">
        <f>RTD("tos.rtd", , "VOLUME", ".SPY150619C218.5")</f>
        <v>N/A</v>
      </c>
      <c r="F334" t="str">
        <f>RTD("tos.rtd", , "OPEN_INT", ".SPY150619C218.5")</f>
        <v>N/A</v>
      </c>
      <c r="G334" t="str">
        <f>RTD("tos.rtd", , "DELTA", ".SPY150619C218.5")</f>
        <v>N/A</v>
      </c>
      <c r="H334" t="str">
        <f>RTD("tos.rtd", , "THETA", ".SPY150619C218.5")</f>
        <v>N/A</v>
      </c>
      <c r="I334" t="str">
        <f>RTD("tos.rtd", , "GAMMA", ".SPY150619C218.5")</f>
        <v>N/A</v>
      </c>
      <c r="J334" t="str">
        <f>RTD("tos.rtd", , "VEGA", ".SPY150619C218.5")</f>
        <v>N/A</v>
      </c>
      <c r="K334" t="str">
        <f>RTD("tos.rtd", , "RHO", ".SPY150619C218.5")</f>
        <v>N/A</v>
      </c>
      <c r="L334" t="str">
        <f>RTD("tos.rtd", , "ASK", ".SPY150619P218.5")</f>
        <v>N/A</v>
      </c>
      <c r="M334" t="str">
        <f>RTD("tos.rtd", , "ASK_SIZE", ".SPY150619P218.5")</f>
        <v>N/A</v>
      </c>
      <c r="N334" t="str">
        <f>RTD("tos.rtd", , "BID", ".SPY150619P218.5")</f>
        <v>N/A</v>
      </c>
      <c r="O334" t="str">
        <f>RTD("tos.rtd", , "BID_SIZE", ".SPY150619P218.5")</f>
        <v>N/A</v>
      </c>
      <c r="P334" t="str">
        <f>RTD("tos.rtd", , "VOLUME", ".SPY150619P218.5")</f>
        <v>N/A</v>
      </c>
      <c r="Q334" t="str">
        <f>RTD("tos.rtd", , "OPEN_INT", ".SPY150619P218.5")</f>
        <v>N/A</v>
      </c>
      <c r="R334" t="str">
        <f>RTD("tos.rtd", , "DELTA", ".SPY150619P218.5")</f>
        <v>N/A</v>
      </c>
      <c r="S334" t="str">
        <f>RTD("tos.rtd", , "THETA", ".SPY150619P218.5")</f>
        <v>N/A</v>
      </c>
      <c r="T334" t="str">
        <f>RTD("tos.rtd", , "GAMMA", ".SPY150619P218.5")</f>
        <v>N/A</v>
      </c>
      <c r="U334" t="str">
        <f>RTD("tos.rtd", , "VEGA", ".SPY150619P218.5")</f>
        <v>N/A</v>
      </c>
      <c r="V334" t="str">
        <f>RTD("tos.rtd", , "RHO", ".SPY150619P218.5")</f>
        <v>N/A</v>
      </c>
    </row>
    <row r="335" spans="1:22" x14ac:dyDescent="0.25">
      <c r="A335">
        <f>RTD("tos.rtd", , "ASK", ".SPY150619C219")</f>
        <v>0.51</v>
      </c>
      <c r="B335">
        <f>RTD("tos.rtd", , "ASK_SIZE", ".SPY150619C219")</f>
        <v>656</v>
      </c>
      <c r="C335">
        <f>RTD("tos.rtd", , "BID", ".SPY150619C219")</f>
        <v>0.49</v>
      </c>
      <c r="D335">
        <f>RTD("tos.rtd", , "BID_SIZE", ".SPY150619C219")</f>
        <v>240</v>
      </c>
      <c r="E335">
        <f>RTD("tos.rtd", , "VOLUME", ".SPY150619C219")</f>
        <v>3656</v>
      </c>
      <c r="F335">
        <f>RTD("tos.rtd", , "OPEN_INT", ".SPY150619C219")</f>
        <v>72595</v>
      </c>
      <c r="G335">
        <f>RTD("tos.rtd", , "DELTA", ".SPY150619C219")</f>
        <v>0.13986000000000001</v>
      </c>
      <c r="H335">
        <f>RTD("tos.rtd", , "THETA", ".SPY150619C219")</f>
        <v>-1.5610000000000001E-2</v>
      </c>
      <c r="I335">
        <f>RTD("tos.rtd", , "GAMMA", ".SPY150619C219")</f>
        <v>3.124E-2</v>
      </c>
      <c r="J335">
        <f>RTD("tos.rtd", , "VEGA", ".SPY150619C219")</f>
        <v>0.16952</v>
      </c>
      <c r="K335">
        <f>RTD("tos.rtd", , "RHO", ".SPY150619C219")</f>
        <v>3.7069999999999999E-2</v>
      </c>
      <c r="L335">
        <f>RTD("tos.rtd", , "ASK", ".SPY150619P219")</f>
        <v>9.01</v>
      </c>
      <c r="M335">
        <f>RTD("tos.rtd", , "ASK_SIZE", ".SPY150619P219")</f>
        <v>190</v>
      </c>
      <c r="N335">
        <f>RTD("tos.rtd", , "BID", ".SPY150619P219")</f>
        <v>8.77</v>
      </c>
      <c r="O335">
        <f>RTD("tos.rtd", , "BID_SIZE", ".SPY150619P219")</f>
        <v>249</v>
      </c>
      <c r="P335">
        <f>RTD("tos.rtd", , "VOLUME", ".SPY150619P219")</f>
        <v>44</v>
      </c>
      <c r="Q335">
        <f>RTD("tos.rtd", , "OPEN_INT", ".SPY150619P219")</f>
        <v>857</v>
      </c>
      <c r="R335">
        <f>RTD("tos.rtd", , "DELTA", ".SPY150619P219")</f>
        <v>-0.80276000000000003</v>
      </c>
      <c r="S335">
        <f>RTD("tos.rtd", , "THETA", ".SPY150619P219")</f>
        <v>-3.295E-2</v>
      </c>
      <c r="T335">
        <f>RTD("tos.rtd", , "GAMMA", ".SPY150619P219")</f>
        <v>3.0970000000000001E-2</v>
      </c>
      <c r="U335">
        <f>RTD("tos.rtd", , "VEGA", ".SPY150619P219")</f>
        <v>0.20952000000000001</v>
      </c>
      <c r="V335">
        <f>RTD("tos.rtd", , "RHO", ".SPY150619P219")</f>
        <v>-0.22978999999999999</v>
      </c>
    </row>
    <row r="336" spans="1:22" x14ac:dyDescent="0.25">
      <c r="A336" t="str">
        <f>RTD("tos.rtd", , "ASK", ".SPY150619C219.5")</f>
        <v>N/A</v>
      </c>
      <c r="B336" t="str">
        <f>RTD("tos.rtd", , "ASK_SIZE", ".SPY150619C219.5")</f>
        <v>N/A</v>
      </c>
      <c r="C336" t="str">
        <f>RTD("tos.rtd", , "BID", ".SPY150619C219.5")</f>
        <v>N/A</v>
      </c>
      <c r="D336" t="str">
        <f>RTD("tos.rtd", , "BID_SIZE", ".SPY150619C219.5")</f>
        <v>N/A</v>
      </c>
      <c r="E336" t="str">
        <f>RTD("tos.rtd", , "VOLUME", ".SPY150619C219.5")</f>
        <v>N/A</v>
      </c>
      <c r="F336" t="str">
        <f>RTD("tos.rtd", , "OPEN_INT", ".SPY150619C219.5")</f>
        <v>N/A</v>
      </c>
      <c r="G336" t="str">
        <f>RTD("tos.rtd", , "DELTA", ".SPY150619C219.5")</f>
        <v>N/A</v>
      </c>
      <c r="H336" t="str">
        <f>RTD("tos.rtd", , "THETA", ".SPY150619C219.5")</f>
        <v>N/A</v>
      </c>
      <c r="I336" t="str">
        <f>RTD("tos.rtd", , "GAMMA", ".SPY150619C219.5")</f>
        <v>N/A</v>
      </c>
      <c r="J336" t="str">
        <f>RTD("tos.rtd", , "VEGA", ".SPY150619C219.5")</f>
        <v>N/A</v>
      </c>
      <c r="K336" t="str">
        <f>RTD("tos.rtd", , "RHO", ".SPY150619C219.5")</f>
        <v>N/A</v>
      </c>
      <c r="L336" t="str">
        <f>RTD("tos.rtd", , "ASK", ".SPY150619P219.5")</f>
        <v>N/A</v>
      </c>
      <c r="M336" t="str">
        <f>RTD("tos.rtd", , "ASK_SIZE", ".SPY150619P219.5")</f>
        <v>N/A</v>
      </c>
      <c r="N336" t="str">
        <f>RTD("tos.rtd", , "BID", ".SPY150619P219.5")</f>
        <v>N/A</v>
      </c>
      <c r="O336" t="str">
        <f>RTD("tos.rtd", , "BID_SIZE", ".SPY150619P219.5")</f>
        <v>N/A</v>
      </c>
      <c r="P336" t="str">
        <f>RTD("tos.rtd", , "VOLUME", ".SPY150619P219.5")</f>
        <v>N/A</v>
      </c>
      <c r="Q336" t="str">
        <f>RTD("tos.rtd", , "OPEN_INT", ".SPY150619P219.5")</f>
        <v>N/A</v>
      </c>
      <c r="R336" t="str">
        <f>RTD("tos.rtd", , "DELTA", ".SPY150619P219.5")</f>
        <v>N/A</v>
      </c>
      <c r="S336" t="str">
        <f>RTD("tos.rtd", , "THETA", ".SPY150619P219.5")</f>
        <v>N/A</v>
      </c>
      <c r="T336" t="str">
        <f>RTD("tos.rtd", , "GAMMA", ".SPY150619P219.5")</f>
        <v>N/A</v>
      </c>
      <c r="U336" t="str">
        <f>RTD("tos.rtd", , "VEGA", ".SPY150619P219.5")</f>
        <v>N/A</v>
      </c>
      <c r="V336" t="str">
        <f>RTD("tos.rtd", , "RHO", ".SPY150619P219.5")</f>
        <v>N/A</v>
      </c>
    </row>
    <row r="337" spans="1:22" x14ac:dyDescent="0.25">
      <c r="A337" t="s">
        <v>8</v>
      </c>
      <c r="B337">
        <v>40</v>
      </c>
    </row>
    <row r="338" spans="1:22" x14ac:dyDescent="0.25">
      <c r="A338">
        <f>RTD("tos.rtd", ,"LAST", "SPY")</f>
        <v>211.32</v>
      </c>
    </row>
    <row r="339" spans="1:22" x14ac:dyDescent="0.25">
      <c r="A339">
        <f>RTD("tos.rtd", , "ASK", ".SPY150630C200")</f>
        <v>12.8</v>
      </c>
      <c r="B339">
        <f>RTD("tos.rtd", , "ASK_SIZE", ".SPY150630C200")</f>
        <v>111</v>
      </c>
      <c r="C339">
        <f>RTD("tos.rtd", , "BID", ".SPY150630C200")</f>
        <v>12.57</v>
      </c>
      <c r="D339">
        <f>RTD("tos.rtd", , "BID_SIZE", ".SPY150630C200")</f>
        <v>111</v>
      </c>
      <c r="E339">
        <f>RTD("tos.rtd", , "VOLUME", ".SPY150630C200")</f>
        <v>1</v>
      </c>
      <c r="F339">
        <f>RTD("tos.rtd", , "OPEN_INT", ".SPY150630C200")</f>
        <v>2958</v>
      </c>
      <c r="G339">
        <f>RTD("tos.rtd", , "DELTA", ".SPY150630C200")</f>
        <v>0.80549999999999999</v>
      </c>
      <c r="H339">
        <f>RTD("tos.rtd", , "THETA", ".SPY150630C200")</f>
        <v>-2.792E-2</v>
      </c>
      <c r="I339">
        <f>RTD("tos.rtd", , "GAMMA", ".SPY150630C200")</f>
        <v>2.094E-2</v>
      </c>
      <c r="J339">
        <f>RTD("tos.rtd", , "VEGA", ".SPY150630C200")</f>
        <v>0.22982</v>
      </c>
      <c r="K339">
        <f>RTD("tos.rtd", , "RHO", ".SPY150630C200")</f>
        <v>0.18828</v>
      </c>
      <c r="L339">
        <f>RTD("tos.rtd", , "ASK", ".SPY150630P200")</f>
        <v>1.57</v>
      </c>
      <c r="M339">
        <f>RTD("tos.rtd", , "ASK_SIZE", ".SPY150630P200")</f>
        <v>443</v>
      </c>
      <c r="N339">
        <f>RTD("tos.rtd", , "BID", ".SPY150630P200")</f>
        <v>1.53</v>
      </c>
      <c r="O339">
        <f>RTD("tos.rtd", , "BID_SIZE", ".SPY150630P200")</f>
        <v>250</v>
      </c>
      <c r="P339">
        <f>RTD("tos.rtd", , "VOLUME", ".SPY150630P200")</f>
        <v>112</v>
      </c>
      <c r="Q339">
        <f>RTD("tos.rtd", , "OPEN_INT", ".SPY150630P200")</f>
        <v>77418</v>
      </c>
      <c r="R339">
        <f>RTD("tos.rtd", , "DELTA", ".SPY150630P200")</f>
        <v>-0.19639999999999999</v>
      </c>
      <c r="S339">
        <f>RTD("tos.rtd", , "THETA", ".SPY150630P200")</f>
        <v>-3.449E-2</v>
      </c>
      <c r="T339">
        <f>RTD("tos.rtd", , "GAMMA", ".SPY150630P200")</f>
        <v>2.0119999999999999E-2</v>
      </c>
      <c r="U339">
        <f>RTD("tos.rtd", , "VEGA", ".SPY150630P200")</f>
        <v>0.23363</v>
      </c>
      <c r="V339">
        <f>RTD("tos.rtd", , "RHO", ".SPY150630P200")</f>
        <v>-6.8330000000000002E-2</v>
      </c>
    </row>
    <row r="340" spans="1:22" x14ac:dyDescent="0.25">
      <c r="A340" t="str">
        <f>RTD("tos.rtd", , "ASK", ".SPY150630C200.5")</f>
        <v>N/A</v>
      </c>
      <c r="B340" t="str">
        <f>RTD("tos.rtd", , "ASK_SIZE", ".SPY150630C200.5")</f>
        <v>N/A</v>
      </c>
      <c r="C340" t="str">
        <f>RTD("tos.rtd", , "BID", ".SPY150630C200.5")</f>
        <v>N/A</v>
      </c>
      <c r="D340" t="str">
        <f>RTD("tos.rtd", , "BID_SIZE", ".SPY150630C200.5")</f>
        <v>N/A</v>
      </c>
      <c r="E340" t="str">
        <f>RTD("tos.rtd", , "VOLUME", ".SPY150630C200.5")</f>
        <v>N/A</v>
      </c>
      <c r="F340" t="str">
        <f>RTD("tos.rtd", , "OPEN_INT", ".SPY150630C200.5")</f>
        <v>N/A</v>
      </c>
      <c r="G340" t="str">
        <f>RTD("tos.rtd", , "DELTA", ".SPY150630C200.5")</f>
        <v>N/A</v>
      </c>
      <c r="H340" t="str">
        <f>RTD("tos.rtd", , "THETA", ".SPY150630C200.5")</f>
        <v>N/A</v>
      </c>
      <c r="I340" t="str">
        <f>RTD("tos.rtd", , "GAMMA", ".SPY150630C200.5")</f>
        <v>N/A</v>
      </c>
      <c r="J340" t="str">
        <f>RTD("tos.rtd", , "VEGA", ".SPY150630C200.5")</f>
        <v>N/A</v>
      </c>
      <c r="K340" t="str">
        <f>RTD("tos.rtd", , "RHO", ".SPY150630C200.5")</f>
        <v>N/A</v>
      </c>
      <c r="L340" t="str">
        <f>RTD("tos.rtd", , "ASK", ".SPY150630P200.5")</f>
        <v>N/A</v>
      </c>
      <c r="M340" t="str">
        <f>RTD("tos.rtd", , "ASK_SIZE", ".SPY150630P200.5")</f>
        <v>N/A</v>
      </c>
      <c r="N340" t="str">
        <f>RTD("tos.rtd", , "BID", ".SPY150630P200.5")</f>
        <v>N/A</v>
      </c>
      <c r="O340" t="str">
        <f>RTD("tos.rtd", , "BID_SIZE", ".SPY150630P200.5")</f>
        <v>N/A</v>
      </c>
      <c r="P340" t="str">
        <f>RTD("tos.rtd", , "VOLUME", ".SPY150630P200.5")</f>
        <v>N/A</v>
      </c>
      <c r="Q340" t="str">
        <f>RTD("tos.rtd", , "OPEN_INT", ".SPY150630P200.5")</f>
        <v>N/A</v>
      </c>
      <c r="R340" t="str">
        <f>RTD("tos.rtd", , "DELTA", ".SPY150630P200.5")</f>
        <v>N/A</v>
      </c>
      <c r="S340" t="str">
        <f>RTD("tos.rtd", , "THETA", ".SPY150630P200.5")</f>
        <v>N/A</v>
      </c>
      <c r="T340" t="str">
        <f>RTD("tos.rtd", , "GAMMA", ".SPY150630P200.5")</f>
        <v>N/A</v>
      </c>
      <c r="U340" t="str">
        <f>RTD("tos.rtd", , "VEGA", ".SPY150630P200.5")</f>
        <v>N/A</v>
      </c>
      <c r="V340" t="str">
        <f>RTD("tos.rtd", , "RHO", ".SPY150630P200.5")</f>
        <v>N/A</v>
      </c>
    </row>
    <row r="341" spans="1:22" x14ac:dyDescent="0.25">
      <c r="A341">
        <f>RTD("tos.rtd", , "ASK", ".SPY150630C201")</f>
        <v>11.93</v>
      </c>
      <c r="B341">
        <f>RTD("tos.rtd", , "ASK_SIZE", ".SPY150630C201")</f>
        <v>131</v>
      </c>
      <c r="C341">
        <f>RTD("tos.rtd", , "BID", ".SPY150630C201")</f>
        <v>11.7</v>
      </c>
      <c r="D341">
        <f>RTD("tos.rtd", , "BID_SIZE", ".SPY150630C201")</f>
        <v>111</v>
      </c>
      <c r="E341">
        <f>RTD("tos.rtd", , "VOLUME", ".SPY150630C201")</f>
        <v>2</v>
      </c>
      <c r="F341">
        <f>RTD("tos.rtd", , "OPEN_INT", ".SPY150630C201")</f>
        <v>493</v>
      </c>
      <c r="G341">
        <f>RTD("tos.rtd", , "DELTA", ".SPY150630C201")</f>
        <v>0.78815999999999997</v>
      </c>
      <c r="H341">
        <f>RTD("tos.rtd", , "THETA", ".SPY150630C201")</f>
        <v>-2.8850000000000001E-2</v>
      </c>
      <c r="I341">
        <f>RTD("tos.rtd", , "GAMMA", ".SPY150630C201")</f>
        <v>2.2429999999999999E-2</v>
      </c>
      <c r="J341">
        <f>RTD("tos.rtd", , "VEGA", ".SPY150630C201")</f>
        <v>0.24207000000000001</v>
      </c>
      <c r="K341">
        <f>RTD("tos.rtd", , "RHO", ".SPY150630C201")</f>
        <v>0.18997</v>
      </c>
      <c r="L341">
        <f>RTD("tos.rtd", , "ASK", ".SPY150630P201")</f>
        <v>1.73</v>
      </c>
      <c r="M341">
        <f>RTD("tos.rtd", , "ASK_SIZE", ".SPY150630P201")</f>
        <v>1610</v>
      </c>
      <c r="N341">
        <f>RTD("tos.rtd", , "BID", ".SPY150630P201")</f>
        <v>1.68</v>
      </c>
      <c r="O341">
        <f>RTD("tos.rtd", , "BID_SIZE", ".SPY150630P201")</f>
        <v>240</v>
      </c>
      <c r="P341">
        <f>RTD("tos.rtd", , "VOLUME", ".SPY150630P201")</f>
        <v>91</v>
      </c>
      <c r="Q341">
        <f>RTD("tos.rtd", , "OPEN_INT", ".SPY150630P201")</f>
        <v>1886</v>
      </c>
      <c r="R341">
        <f>RTD("tos.rtd", , "DELTA", ".SPY150630P201")</f>
        <v>-0.21451000000000001</v>
      </c>
      <c r="S341">
        <f>RTD("tos.rtd", , "THETA", ".SPY150630P201")</f>
        <v>-3.5770000000000003E-2</v>
      </c>
      <c r="T341">
        <f>RTD("tos.rtd", , "GAMMA", ".SPY150630P201")</f>
        <v>2.1579999999999998E-2</v>
      </c>
      <c r="U341">
        <f>RTD("tos.rtd", , "VEGA", ".SPY150630P201")</f>
        <v>0.24611</v>
      </c>
      <c r="V341">
        <f>RTD("tos.rtd", , "RHO", ".SPY150630P201")</f>
        <v>-7.4649999999999994E-2</v>
      </c>
    </row>
    <row r="342" spans="1:22" x14ac:dyDescent="0.25">
      <c r="A342" t="str">
        <f>RTD("tos.rtd", , "ASK", ".SPY150630C201.5")</f>
        <v>N/A</v>
      </c>
      <c r="B342" t="str">
        <f>RTD("tos.rtd", , "ASK_SIZE", ".SPY150630C201.5")</f>
        <v>N/A</v>
      </c>
      <c r="C342" t="str">
        <f>RTD("tos.rtd", , "BID", ".SPY150630C201.5")</f>
        <v>N/A</v>
      </c>
      <c r="D342" t="str">
        <f>RTD("tos.rtd", , "BID_SIZE", ".SPY150630C201.5")</f>
        <v>N/A</v>
      </c>
      <c r="E342" t="str">
        <f>RTD("tos.rtd", , "VOLUME", ".SPY150630C201.5")</f>
        <v>N/A</v>
      </c>
      <c r="F342" t="str">
        <f>RTD("tos.rtd", , "OPEN_INT", ".SPY150630C201.5")</f>
        <v>N/A</v>
      </c>
      <c r="G342" t="str">
        <f>RTD("tos.rtd", , "DELTA", ".SPY150630C201.5")</f>
        <v>N/A</v>
      </c>
      <c r="H342" t="str">
        <f>RTD("tos.rtd", , "THETA", ".SPY150630C201.5")</f>
        <v>N/A</v>
      </c>
      <c r="I342" t="str">
        <f>RTD("tos.rtd", , "GAMMA", ".SPY150630C201.5")</f>
        <v>N/A</v>
      </c>
      <c r="J342" t="str">
        <f>RTD("tos.rtd", , "VEGA", ".SPY150630C201.5")</f>
        <v>N/A</v>
      </c>
      <c r="K342" t="str">
        <f>RTD("tos.rtd", , "RHO", ".SPY150630C201.5")</f>
        <v>N/A</v>
      </c>
      <c r="L342" t="str">
        <f>RTD("tos.rtd", , "ASK", ".SPY150630P201.5")</f>
        <v>N/A</v>
      </c>
      <c r="M342" t="str">
        <f>RTD("tos.rtd", , "ASK_SIZE", ".SPY150630P201.5")</f>
        <v>N/A</v>
      </c>
      <c r="N342" t="str">
        <f>RTD("tos.rtd", , "BID", ".SPY150630P201.5")</f>
        <v>N/A</v>
      </c>
      <c r="O342" t="str">
        <f>RTD("tos.rtd", , "BID_SIZE", ".SPY150630P201.5")</f>
        <v>N/A</v>
      </c>
      <c r="P342" t="str">
        <f>RTD("tos.rtd", , "VOLUME", ".SPY150630P201.5")</f>
        <v>N/A</v>
      </c>
      <c r="Q342" t="str">
        <f>RTD("tos.rtd", , "OPEN_INT", ".SPY150630P201.5")</f>
        <v>N/A</v>
      </c>
      <c r="R342" t="str">
        <f>RTD("tos.rtd", , "DELTA", ".SPY150630P201.5")</f>
        <v>N/A</v>
      </c>
      <c r="S342" t="str">
        <f>RTD("tos.rtd", , "THETA", ".SPY150630P201.5")</f>
        <v>N/A</v>
      </c>
      <c r="T342" t="str">
        <f>RTD("tos.rtd", , "GAMMA", ".SPY150630P201.5")</f>
        <v>N/A</v>
      </c>
      <c r="U342" t="str">
        <f>RTD("tos.rtd", , "VEGA", ".SPY150630P201.5")</f>
        <v>N/A</v>
      </c>
      <c r="V342" t="str">
        <f>RTD("tos.rtd", , "RHO", ".SPY150630P201.5")</f>
        <v>N/A</v>
      </c>
    </row>
    <row r="343" spans="1:22" x14ac:dyDescent="0.25">
      <c r="A343">
        <f>RTD("tos.rtd", , "ASK", ".SPY150630C202")</f>
        <v>11.07</v>
      </c>
      <c r="B343">
        <f>RTD("tos.rtd", , "ASK_SIZE", ".SPY150630C202")</f>
        <v>31</v>
      </c>
      <c r="C343">
        <f>RTD("tos.rtd", , "BID", ".SPY150630C202")</f>
        <v>10.84</v>
      </c>
      <c r="D343">
        <f>RTD("tos.rtd", , "BID_SIZE", ".SPY150630C202")</f>
        <v>111</v>
      </c>
      <c r="E343">
        <f>RTD("tos.rtd", , "VOLUME", ".SPY150630C202")</f>
        <v>0</v>
      </c>
      <c r="F343">
        <f>RTD("tos.rtd", , "OPEN_INT", ".SPY150630C202")</f>
        <v>889</v>
      </c>
      <c r="G343">
        <f>RTD("tos.rtd", , "DELTA", ".SPY150630C202")</f>
        <v>0.76944999999999997</v>
      </c>
      <c r="H343">
        <f>RTD("tos.rtd", , "THETA", ".SPY150630C202")</f>
        <v>-2.9690000000000001E-2</v>
      </c>
      <c r="I343">
        <f>RTD("tos.rtd", , "GAMMA", ".SPY150630C202")</f>
        <v>2.3990000000000001E-2</v>
      </c>
      <c r="J343">
        <f>RTD("tos.rtd", , "VEGA", ".SPY150630C202")</f>
        <v>0.25427</v>
      </c>
      <c r="K343">
        <f>RTD("tos.rtd", , "RHO", ".SPY150630C202")</f>
        <v>0.19081999999999999</v>
      </c>
      <c r="L343">
        <f>RTD("tos.rtd", , "ASK", ".SPY150630P202")</f>
        <v>1.89</v>
      </c>
      <c r="M343">
        <f>RTD("tos.rtd", , "ASK_SIZE", ".SPY150630P202")</f>
        <v>400</v>
      </c>
      <c r="N343">
        <f>RTD("tos.rtd", , "BID", ".SPY150630P202")</f>
        <v>1.84</v>
      </c>
      <c r="O343">
        <f>RTD("tos.rtd", , "BID_SIZE", ".SPY150630P202")</f>
        <v>254</v>
      </c>
      <c r="P343">
        <f>RTD("tos.rtd", , "VOLUME", ".SPY150630P202")</f>
        <v>56</v>
      </c>
      <c r="Q343">
        <f>RTD("tos.rtd", , "OPEN_INT", ".SPY150630P202")</f>
        <v>5133</v>
      </c>
      <c r="R343">
        <f>RTD("tos.rtd", , "DELTA", ".SPY150630P202")</f>
        <v>-0.2336</v>
      </c>
      <c r="S343">
        <f>RTD("tos.rtd", , "THETA", ".SPY150630P202")</f>
        <v>-3.6859999999999997E-2</v>
      </c>
      <c r="T343">
        <f>RTD("tos.rtd", , "GAMMA", ".SPY150630P202")</f>
        <v>2.3130000000000001E-2</v>
      </c>
      <c r="U343">
        <f>RTD("tos.rtd", , "VEGA", ".SPY150630P202")</f>
        <v>0.25824000000000003</v>
      </c>
      <c r="V343">
        <f>RTD("tos.rtd", , "RHO", ".SPY150630P202")</f>
        <v>-8.1309999999999993E-2</v>
      </c>
    </row>
    <row r="344" spans="1:22" x14ac:dyDescent="0.25">
      <c r="A344" t="str">
        <f>RTD("tos.rtd", , "ASK", ".SPY150630C202.5")</f>
        <v>N/A</v>
      </c>
      <c r="B344" t="str">
        <f>RTD("tos.rtd", , "ASK_SIZE", ".SPY150630C202.5")</f>
        <v>N/A</v>
      </c>
      <c r="C344" t="str">
        <f>RTD("tos.rtd", , "BID", ".SPY150630C202.5")</f>
        <v>N/A</v>
      </c>
      <c r="D344" t="str">
        <f>RTD("tos.rtd", , "BID_SIZE", ".SPY150630C202.5")</f>
        <v>N/A</v>
      </c>
      <c r="E344" t="str">
        <f>RTD("tos.rtd", , "VOLUME", ".SPY150630C202.5")</f>
        <v>N/A</v>
      </c>
      <c r="F344" t="str">
        <f>RTD("tos.rtd", , "OPEN_INT", ".SPY150630C202.5")</f>
        <v>N/A</v>
      </c>
      <c r="G344" t="str">
        <f>RTD("tos.rtd", , "DELTA", ".SPY150630C202.5")</f>
        <v>N/A</v>
      </c>
      <c r="H344" t="str">
        <f>RTD("tos.rtd", , "THETA", ".SPY150630C202.5")</f>
        <v>N/A</v>
      </c>
      <c r="I344" t="str">
        <f>RTD("tos.rtd", , "GAMMA", ".SPY150630C202.5")</f>
        <v>N/A</v>
      </c>
      <c r="J344" t="str">
        <f>RTD("tos.rtd", , "VEGA", ".SPY150630C202.5")</f>
        <v>N/A</v>
      </c>
      <c r="K344" t="str">
        <f>RTD("tos.rtd", , "RHO", ".SPY150630C202.5")</f>
        <v>N/A</v>
      </c>
      <c r="L344" t="str">
        <f>RTD("tos.rtd", , "ASK", ".SPY150630P202.5")</f>
        <v>N/A</v>
      </c>
      <c r="M344" t="str">
        <f>RTD("tos.rtd", , "ASK_SIZE", ".SPY150630P202.5")</f>
        <v>N/A</v>
      </c>
      <c r="N344" t="str">
        <f>RTD("tos.rtd", , "BID", ".SPY150630P202.5")</f>
        <v>N/A</v>
      </c>
      <c r="O344" t="str">
        <f>RTD("tos.rtd", , "BID_SIZE", ".SPY150630P202.5")</f>
        <v>N/A</v>
      </c>
      <c r="P344" t="str">
        <f>RTD("tos.rtd", , "VOLUME", ".SPY150630P202.5")</f>
        <v>N/A</v>
      </c>
      <c r="Q344" t="str">
        <f>RTD("tos.rtd", , "OPEN_INT", ".SPY150630P202.5")</f>
        <v>N/A</v>
      </c>
      <c r="R344" t="str">
        <f>RTD("tos.rtd", , "DELTA", ".SPY150630P202.5")</f>
        <v>N/A</v>
      </c>
      <c r="S344" t="str">
        <f>RTD("tos.rtd", , "THETA", ".SPY150630P202.5")</f>
        <v>N/A</v>
      </c>
      <c r="T344" t="str">
        <f>RTD("tos.rtd", , "GAMMA", ".SPY150630P202.5")</f>
        <v>N/A</v>
      </c>
      <c r="U344" t="str">
        <f>RTD("tos.rtd", , "VEGA", ".SPY150630P202.5")</f>
        <v>N/A</v>
      </c>
      <c r="V344" t="str">
        <f>RTD("tos.rtd", , "RHO", ".SPY150630P202.5")</f>
        <v>N/A</v>
      </c>
    </row>
    <row r="345" spans="1:22" x14ac:dyDescent="0.25">
      <c r="A345">
        <f>RTD("tos.rtd", , "ASK", ".SPY150630C203")</f>
        <v>10.220000000000001</v>
      </c>
      <c r="B345">
        <f>RTD("tos.rtd", , "ASK_SIZE", ".SPY150630C203")</f>
        <v>131</v>
      </c>
      <c r="C345">
        <f>RTD("tos.rtd", , "BID", ".SPY150630C203")</f>
        <v>9.99</v>
      </c>
      <c r="D345">
        <f>RTD("tos.rtd", , "BID_SIZE", ".SPY150630C203")</f>
        <v>111</v>
      </c>
      <c r="E345">
        <f>RTD("tos.rtd", , "VOLUME", ".SPY150630C203")</f>
        <v>3</v>
      </c>
      <c r="F345">
        <f>RTD("tos.rtd", , "OPEN_INT", ".SPY150630C203")</f>
        <v>1033</v>
      </c>
      <c r="G345">
        <f>RTD("tos.rtd", , "DELTA", ".SPY150630C203")</f>
        <v>0.74931000000000003</v>
      </c>
      <c r="H345">
        <f>RTD("tos.rtd", , "THETA", ".SPY150630C203")</f>
        <v>-3.039E-2</v>
      </c>
      <c r="I345">
        <f>RTD("tos.rtd", , "GAMMA", ".SPY150630C203")</f>
        <v>2.564E-2</v>
      </c>
      <c r="J345">
        <f>RTD("tos.rtd", , "VEGA", ".SPY150630C203")</f>
        <v>0.26630999999999999</v>
      </c>
      <c r="K345">
        <f>RTD("tos.rtd", , "RHO", ".SPY150630C203")</f>
        <v>0.19081999999999999</v>
      </c>
      <c r="L345">
        <f>RTD("tos.rtd", , "ASK", ".SPY150630P203")</f>
        <v>2.0699999999999998</v>
      </c>
      <c r="M345">
        <f>RTD("tos.rtd", , "ASK_SIZE", ".SPY150630P203")</f>
        <v>383</v>
      </c>
      <c r="N345">
        <f>RTD("tos.rtd", , "BID", ".SPY150630P203")</f>
        <v>2.02</v>
      </c>
      <c r="O345">
        <f>RTD("tos.rtd", , "BID_SIZE", ".SPY150630P203")</f>
        <v>250</v>
      </c>
      <c r="P345">
        <f>RTD("tos.rtd", , "VOLUME", ".SPY150630P203")</f>
        <v>153</v>
      </c>
      <c r="Q345">
        <f>RTD("tos.rtd", , "OPEN_INT", ".SPY150630P203")</f>
        <v>2764</v>
      </c>
      <c r="R345">
        <f>RTD("tos.rtd", , "DELTA", ".SPY150630P203")</f>
        <v>-0.25452000000000002</v>
      </c>
      <c r="S345">
        <f>RTD("tos.rtd", , "THETA", ".SPY150630P203")</f>
        <v>-3.7929999999999998E-2</v>
      </c>
      <c r="T345">
        <f>RTD("tos.rtd", , "GAMMA", ".SPY150630P203")</f>
        <v>2.4729999999999999E-2</v>
      </c>
      <c r="U345">
        <f>RTD("tos.rtd", , "VEGA", ".SPY150630P203")</f>
        <v>0.27037</v>
      </c>
      <c r="V345">
        <f>RTD("tos.rtd", , "RHO", ".SPY150630P203")</f>
        <v>-8.8609999999999994E-2</v>
      </c>
    </row>
    <row r="346" spans="1:22" x14ac:dyDescent="0.25">
      <c r="A346" t="str">
        <f>RTD("tos.rtd", , "ASK", ".SPY150630C203.5")</f>
        <v>N/A</v>
      </c>
      <c r="B346" t="str">
        <f>RTD("tos.rtd", , "ASK_SIZE", ".SPY150630C203.5")</f>
        <v>N/A</v>
      </c>
      <c r="C346" t="str">
        <f>RTD("tos.rtd", , "BID", ".SPY150630C203.5")</f>
        <v>N/A</v>
      </c>
      <c r="D346" t="str">
        <f>RTD("tos.rtd", , "BID_SIZE", ".SPY150630C203.5")</f>
        <v>N/A</v>
      </c>
      <c r="E346" t="str">
        <f>RTD("tos.rtd", , "VOLUME", ".SPY150630C203.5")</f>
        <v>N/A</v>
      </c>
      <c r="F346" t="str">
        <f>RTD("tos.rtd", , "OPEN_INT", ".SPY150630C203.5")</f>
        <v>N/A</v>
      </c>
      <c r="G346" t="str">
        <f>RTD("tos.rtd", , "DELTA", ".SPY150630C203.5")</f>
        <v>N/A</v>
      </c>
      <c r="H346" t="str">
        <f>RTD("tos.rtd", , "THETA", ".SPY150630C203.5")</f>
        <v>N/A</v>
      </c>
      <c r="I346" t="str">
        <f>RTD("tos.rtd", , "GAMMA", ".SPY150630C203.5")</f>
        <v>N/A</v>
      </c>
      <c r="J346" t="str">
        <f>RTD("tos.rtd", , "VEGA", ".SPY150630C203.5")</f>
        <v>N/A</v>
      </c>
      <c r="K346" t="str">
        <f>RTD("tos.rtd", , "RHO", ".SPY150630C203.5")</f>
        <v>N/A</v>
      </c>
      <c r="L346" t="str">
        <f>RTD("tos.rtd", , "ASK", ".SPY150630P203.5")</f>
        <v>N/A</v>
      </c>
      <c r="M346" t="str">
        <f>RTD("tos.rtd", , "ASK_SIZE", ".SPY150630P203.5")</f>
        <v>N/A</v>
      </c>
      <c r="N346" t="str">
        <f>RTD("tos.rtd", , "BID", ".SPY150630P203.5")</f>
        <v>N/A</v>
      </c>
      <c r="O346" t="str">
        <f>RTD("tos.rtd", , "BID_SIZE", ".SPY150630P203.5")</f>
        <v>N/A</v>
      </c>
      <c r="P346" t="str">
        <f>RTD("tos.rtd", , "VOLUME", ".SPY150630P203.5")</f>
        <v>N/A</v>
      </c>
      <c r="Q346" t="str">
        <f>RTD("tos.rtd", , "OPEN_INT", ".SPY150630P203.5")</f>
        <v>N/A</v>
      </c>
      <c r="R346" t="str">
        <f>RTD("tos.rtd", , "DELTA", ".SPY150630P203.5")</f>
        <v>N/A</v>
      </c>
      <c r="S346" t="str">
        <f>RTD("tos.rtd", , "THETA", ".SPY150630P203.5")</f>
        <v>N/A</v>
      </c>
      <c r="T346" t="str">
        <f>RTD("tos.rtd", , "GAMMA", ".SPY150630P203.5")</f>
        <v>N/A</v>
      </c>
      <c r="U346" t="str">
        <f>RTD("tos.rtd", , "VEGA", ".SPY150630P203.5")</f>
        <v>N/A</v>
      </c>
      <c r="V346" t="str">
        <f>RTD("tos.rtd", , "RHO", ".SPY150630P203.5")</f>
        <v>N/A</v>
      </c>
    </row>
    <row r="347" spans="1:22" x14ac:dyDescent="0.25">
      <c r="A347">
        <f>RTD("tos.rtd", , "ASK", ".SPY150630C204")</f>
        <v>9.35</v>
      </c>
      <c r="B347">
        <f>RTD("tos.rtd", , "ASK_SIZE", ".SPY150630C204")</f>
        <v>151</v>
      </c>
      <c r="C347">
        <f>RTD("tos.rtd", , "BID", ".SPY150630C204")</f>
        <v>9.17</v>
      </c>
      <c r="D347">
        <f>RTD("tos.rtd", , "BID_SIZE", ".SPY150630C204")</f>
        <v>250</v>
      </c>
      <c r="E347">
        <f>RTD("tos.rtd", , "VOLUME", ".SPY150630C204")</f>
        <v>3</v>
      </c>
      <c r="F347">
        <f>RTD("tos.rtd", , "OPEN_INT", ".SPY150630C204")</f>
        <v>557</v>
      </c>
      <c r="G347">
        <f>RTD("tos.rtd", , "DELTA", ".SPY150630C204")</f>
        <v>0.72784000000000004</v>
      </c>
      <c r="H347">
        <f>RTD("tos.rtd", , "THETA", ".SPY150630C204")</f>
        <v>-3.0890000000000001E-2</v>
      </c>
      <c r="I347">
        <f>RTD("tos.rtd", , "GAMMA", ".SPY150630C204")</f>
        <v>2.742E-2</v>
      </c>
      <c r="J347">
        <f>RTD("tos.rtd", , "VEGA", ".SPY150630C204")</f>
        <v>0.27793000000000001</v>
      </c>
      <c r="K347">
        <f>RTD("tos.rtd", , "RHO", ".SPY150630C204")</f>
        <v>0.18992000000000001</v>
      </c>
      <c r="L347">
        <f>RTD("tos.rtd", , "ASK", ".SPY150630P204")</f>
        <v>2.2799999999999998</v>
      </c>
      <c r="M347">
        <f>RTD("tos.rtd", , "ASK_SIZE", ".SPY150630P204")</f>
        <v>1759</v>
      </c>
      <c r="N347">
        <f>RTD("tos.rtd", , "BID", ".SPY150630P204")</f>
        <v>2.2200000000000002</v>
      </c>
      <c r="O347">
        <f>RTD("tos.rtd", , "BID_SIZE", ".SPY150630P204")</f>
        <v>259</v>
      </c>
      <c r="P347">
        <f>RTD("tos.rtd", , "VOLUME", ".SPY150630P204")</f>
        <v>682</v>
      </c>
      <c r="Q347">
        <f>RTD("tos.rtd", , "OPEN_INT", ".SPY150630P204")</f>
        <v>13514</v>
      </c>
      <c r="R347">
        <f>RTD("tos.rtd", , "DELTA", ".SPY150630P204")</f>
        <v>-0.27745999999999998</v>
      </c>
      <c r="S347">
        <f>RTD("tos.rtd", , "THETA", ".SPY150630P204")</f>
        <v>-3.8989999999999997E-2</v>
      </c>
      <c r="T347">
        <f>RTD("tos.rtd", , "GAMMA", ".SPY150630P204")</f>
        <v>2.6339999999999999E-2</v>
      </c>
      <c r="U347">
        <f>RTD("tos.rtd", , "VEGA", ".SPY150630P204")</f>
        <v>0.28234999999999999</v>
      </c>
      <c r="V347">
        <f>RTD("tos.rtd", , "RHO", ".SPY150630P204")</f>
        <v>-9.6629999999999994E-2</v>
      </c>
    </row>
    <row r="348" spans="1:22" x14ac:dyDescent="0.25">
      <c r="A348" t="str">
        <f>RTD("tos.rtd", , "ASK", ".SPY150630C204.5")</f>
        <v>N/A</v>
      </c>
      <c r="B348" t="str">
        <f>RTD("tos.rtd", , "ASK_SIZE", ".SPY150630C204.5")</f>
        <v>N/A</v>
      </c>
      <c r="C348" t="str">
        <f>RTD("tos.rtd", , "BID", ".SPY150630C204.5")</f>
        <v>N/A</v>
      </c>
      <c r="D348" t="str">
        <f>RTD("tos.rtd", , "BID_SIZE", ".SPY150630C204.5")</f>
        <v>N/A</v>
      </c>
      <c r="E348" t="str">
        <f>RTD("tos.rtd", , "VOLUME", ".SPY150630C204.5")</f>
        <v>N/A</v>
      </c>
      <c r="F348" t="str">
        <f>RTD("tos.rtd", , "OPEN_INT", ".SPY150630C204.5")</f>
        <v>N/A</v>
      </c>
      <c r="G348" t="str">
        <f>RTD("tos.rtd", , "DELTA", ".SPY150630C204.5")</f>
        <v>N/A</v>
      </c>
      <c r="H348" t="str">
        <f>RTD("tos.rtd", , "THETA", ".SPY150630C204.5")</f>
        <v>N/A</v>
      </c>
      <c r="I348" t="str">
        <f>RTD("tos.rtd", , "GAMMA", ".SPY150630C204.5")</f>
        <v>N/A</v>
      </c>
      <c r="J348" t="str">
        <f>RTD("tos.rtd", , "VEGA", ".SPY150630C204.5")</f>
        <v>N/A</v>
      </c>
      <c r="K348" t="str">
        <f>RTD("tos.rtd", , "RHO", ".SPY150630C204.5")</f>
        <v>N/A</v>
      </c>
      <c r="L348" t="str">
        <f>RTD("tos.rtd", , "ASK", ".SPY150630P204.5")</f>
        <v>N/A</v>
      </c>
      <c r="M348" t="str">
        <f>RTD("tos.rtd", , "ASK_SIZE", ".SPY150630P204.5")</f>
        <v>N/A</v>
      </c>
      <c r="N348" t="str">
        <f>RTD("tos.rtd", , "BID", ".SPY150630P204.5")</f>
        <v>N/A</v>
      </c>
      <c r="O348" t="str">
        <f>RTD("tos.rtd", , "BID_SIZE", ".SPY150630P204.5")</f>
        <v>N/A</v>
      </c>
      <c r="P348" t="str">
        <f>RTD("tos.rtd", , "VOLUME", ".SPY150630P204.5")</f>
        <v>N/A</v>
      </c>
      <c r="Q348" t="str">
        <f>RTD("tos.rtd", , "OPEN_INT", ".SPY150630P204.5")</f>
        <v>N/A</v>
      </c>
      <c r="R348" t="str">
        <f>RTD("tos.rtd", , "DELTA", ".SPY150630P204.5")</f>
        <v>N/A</v>
      </c>
      <c r="S348" t="str">
        <f>RTD("tos.rtd", , "THETA", ".SPY150630P204.5")</f>
        <v>N/A</v>
      </c>
      <c r="T348" t="str">
        <f>RTD("tos.rtd", , "GAMMA", ".SPY150630P204.5")</f>
        <v>N/A</v>
      </c>
      <c r="U348" t="str">
        <f>RTD("tos.rtd", , "VEGA", ".SPY150630P204.5")</f>
        <v>N/A</v>
      </c>
      <c r="V348" t="str">
        <f>RTD("tos.rtd", , "RHO", ".SPY150630P204.5")</f>
        <v>N/A</v>
      </c>
    </row>
    <row r="349" spans="1:22" x14ac:dyDescent="0.25">
      <c r="A349">
        <f>RTD("tos.rtd", , "ASK", ".SPY150630C205")</f>
        <v>8.5500000000000007</v>
      </c>
      <c r="B349">
        <f>RTD("tos.rtd", , "ASK_SIZE", ".SPY150630C205")</f>
        <v>240</v>
      </c>
      <c r="C349">
        <f>RTD("tos.rtd", , "BID", ".SPY150630C205")</f>
        <v>8.36</v>
      </c>
      <c r="D349">
        <f>RTD("tos.rtd", , "BID_SIZE", ".SPY150630C205")</f>
        <v>261</v>
      </c>
      <c r="E349">
        <f>RTD("tos.rtd", , "VOLUME", ".SPY150630C205")</f>
        <v>30</v>
      </c>
      <c r="F349">
        <f>RTD("tos.rtd", , "OPEN_INT", ".SPY150630C205")</f>
        <v>3753</v>
      </c>
      <c r="G349">
        <f>RTD("tos.rtd", , "DELTA", ".SPY150630C205")</f>
        <v>0.70335999999999999</v>
      </c>
      <c r="H349">
        <f>RTD("tos.rtd", , "THETA", ".SPY150630C205")</f>
        <v>-3.1530000000000002E-2</v>
      </c>
      <c r="I349">
        <f>RTD("tos.rtd", , "GAMMA", ".SPY150630C205")</f>
        <v>2.9149999999999999E-2</v>
      </c>
      <c r="J349">
        <f>RTD("tos.rtd", , "VEGA", ".SPY150630C205")</f>
        <v>0.28976000000000002</v>
      </c>
      <c r="K349">
        <f>RTD("tos.rtd", , "RHO", ".SPY150630C205")</f>
        <v>0.18803</v>
      </c>
      <c r="L349">
        <f>RTD("tos.rtd", , "ASK", ".SPY150630P205")</f>
        <v>2.4900000000000002</v>
      </c>
      <c r="M349">
        <f>RTD("tos.rtd", , "ASK_SIZE", ".SPY150630P205")</f>
        <v>150</v>
      </c>
      <c r="N349">
        <f>RTD("tos.rtd", , "BID", ".SPY150630P205")</f>
        <v>2.44</v>
      </c>
      <c r="O349">
        <f>RTD("tos.rtd", , "BID_SIZE", ".SPY150630P205")</f>
        <v>249</v>
      </c>
      <c r="P349">
        <f>RTD("tos.rtd", , "VOLUME", ".SPY150630P205")</f>
        <v>108</v>
      </c>
      <c r="Q349">
        <f>RTD("tos.rtd", , "OPEN_INT", ".SPY150630P205")</f>
        <v>21329</v>
      </c>
      <c r="R349">
        <f>RTD("tos.rtd", , "DELTA", ".SPY150630P205")</f>
        <v>-0.30179</v>
      </c>
      <c r="S349">
        <f>RTD("tos.rtd", , "THETA", ".SPY150630P205")</f>
        <v>-3.9820000000000001E-2</v>
      </c>
      <c r="T349">
        <f>RTD("tos.rtd", , "GAMMA", ".SPY150630P205")</f>
        <v>2.802E-2</v>
      </c>
      <c r="U349">
        <f>RTD("tos.rtd", , "VEGA", ".SPY150630P205")</f>
        <v>0.29360999999999998</v>
      </c>
      <c r="V349">
        <f>RTD("tos.rtd", , "RHO", ".SPY150630P205")</f>
        <v>-0.10513</v>
      </c>
    </row>
    <row r="350" spans="1:22" x14ac:dyDescent="0.25">
      <c r="A350" t="str">
        <f>RTD("tos.rtd", , "ASK", ".SPY150630C205.5")</f>
        <v>N/A</v>
      </c>
      <c r="B350" t="str">
        <f>RTD("tos.rtd", , "ASK_SIZE", ".SPY150630C205.5")</f>
        <v>N/A</v>
      </c>
      <c r="C350" t="str">
        <f>RTD("tos.rtd", , "BID", ".SPY150630C205.5")</f>
        <v>N/A</v>
      </c>
      <c r="D350" t="str">
        <f>RTD("tos.rtd", , "BID_SIZE", ".SPY150630C205.5")</f>
        <v>N/A</v>
      </c>
      <c r="E350" t="str">
        <f>RTD("tos.rtd", , "VOLUME", ".SPY150630C205.5")</f>
        <v>N/A</v>
      </c>
      <c r="F350" t="str">
        <f>RTD("tos.rtd", , "OPEN_INT", ".SPY150630C205.5")</f>
        <v>N/A</v>
      </c>
      <c r="G350" t="str">
        <f>RTD("tos.rtd", , "DELTA", ".SPY150630C205.5")</f>
        <v>N/A</v>
      </c>
      <c r="H350" t="str">
        <f>RTD("tos.rtd", , "THETA", ".SPY150630C205.5")</f>
        <v>N/A</v>
      </c>
      <c r="I350" t="str">
        <f>RTD("tos.rtd", , "GAMMA", ".SPY150630C205.5")</f>
        <v>N/A</v>
      </c>
      <c r="J350" t="str">
        <f>RTD("tos.rtd", , "VEGA", ".SPY150630C205.5")</f>
        <v>N/A</v>
      </c>
      <c r="K350" t="str">
        <f>RTD("tos.rtd", , "RHO", ".SPY150630C205.5")</f>
        <v>N/A</v>
      </c>
      <c r="L350" t="str">
        <f>RTD("tos.rtd", , "ASK", ".SPY150630P205.5")</f>
        <v>N/A</v>
      </c>
      <c r="M350" t="str">
        <f>RTD("tos.rtd", , "ASK_SIZE", ".SPY150630P205.5")</f>
        <v>N/A</v>
      </c>
      <c r="N350" t="str">
        <f>RTD("tos.rtd", , "BID", ".SPY150630P205.5")</f>
        <v>N/A</v>
      </c>
      <c r="O350" t="str">
        <f>RTD("tos.rtd", , "BID_SIZE", ".SPY150630P205.5")</f>
        <v>N/A</v>
      </c>
      <c r="P350" t="str">
        <f>RTD("tos.rtd", , "VOLUME", ".SPY150630P205.5")</f>
        <v>N/A</v>
      </c>
      <c r="Q350" t="str">
        <f>RTD("tos.rtd", , "OPEN_INT", ".SPY150630P205.5")</f>
        <v>N/A</v>
      </c>
      <c r="R350" t="str">
        <f>RTD("tos.rtd", , "DELTA", ".SPY150630P205.5")</f>
        <v>N/A</v>
      </c>
      <c r="S350" t="str">
        <f>RTD("tos.rtd", , "THETA", ".SPY150630P205.5")</f>
        <v>N/A</v>
      </c>
      <c r="T350" t="str">
        <f>RTD("tos.rtd", , "GAMMA", ".SPY150630P205.5")</f>
        <v>N/A</v>
      </c>
      <c r="U350" t="str">
        <f>RTD("tos.rtd", , "VEGA", ".SPY150630P205.5")</f>
        <v>N/A</v>
      </c>
      <c r="V350" t="str">
        <f>RTD("tos.rtd", , "RHO", ".SPY150630P205.5")</f>
        <v>N/A</v>
      </c>
    </row>
    <row r="351" spans="1:22" x14ac:dyDescent="0.25">
      <c r="A351">
        <f>RTD("tos.rtd", , "ASK", ".SPY150630C206")</f>
        <v>7.76</v>
      </c>
      <c r="B351">
        <f>RTD("tos.rtd", , "ASK_SIZE", ".SPY150630C206")</f>
        <v>240</v>
      </c>
      <c r="C351">
        <f>RTD("tos.rtd", , "BID", ".SPY150630C206")</f>
        <v>7.57</v>
      </c>
      <c r="D351">
        <f>RTD("tos.rtd", , "BID_SIZE", ".SPY150630C206")</f>
        <v>280</v>
      </c>
      <c r="E351">
        <f>RTD("tos.rtd", , "VOLUME", ".SPY150630C206")</f>
        <v>0</v>
      </c>
      <c r="F351">
        <f>RTD("tos.rtd", , "OPEN_INT", ".SPY150630C206")</f>
        <v>1839</v>
      </c>
      <c r="G351">
        <f>RTD("tos.rtd", , "DELTA", ".SPY150630C206")</f>
        <v>0.67703000000000002</v>
      </c>
      <c r="H351">
        <f>RTD("tos.rtd", , "THETA", ".SPY150630C206")</f>
        <v>-3.1980000000000001E-2</v>
      </c>
      <c r="I351">
        <f>RTD("tos.rtd", , "GAMMA", ".SPY150630C206")</f>
        <v>3.0929999999999999E-2</v>
      </c>
      <c r="J351">
        <f>RTD("tos.rtd", , "VEGA", ".SPY150630C206")</f>
        <v>0.30084</v>
      </c>
      <c r="K351">
        <f>RTD("tos.rtd", , "RHO", ".SPY150630C206")</f>
        <v>0.18507999999999999</v>
      </c>
      <c r="L351">
        <f>RTD("tos.rtd", , "ASK", ".SPY150630P206")</f>
        <v>2.73</v>
      </c>
      <c r="M351">
        <f>RTD("tos.rtd", , "ASK_SIZE", ".SPY150630P206")</f>
        <v>340</v>
      </c>
      <c r="N351">
        <f>RTD("tos.rtd", , "BID", ".SPY150630P206")</f>
        <v>2.67</v>
      </c>
      <c r="O351">
        <f>RTD("tos.rtd", , "BID_SIZE", ".SPY150630P206")</f>
        <v>414</v>
      </c>
      <c r="P351">
        <f>RTD("tos.rtd", , "VOLUME", ".SPY150630P206")</f>
        <v>830</v>
      </c>
      <c r="Q351">
        <f>RTD("tos.rtd", , "OPEN_INT", ".SPY150630P206")</f>
        <v>21897</v>
      </c>
      <c r="R351">
        <f>RTD("tos.rtd", , "DELTA", ".SPY150630P206")</f>
        <v>-0.32801000000000002</v>
      </c>
      <c r="S351">
        <f>RTD("tos.rtd", , "THETA", ".SPY150630P206")</f>
        <v>-4.0489999999999998E-2</v>
      </c>
      <c r="T351">
        <f>RTD("tos.rtd", , "GAMMA", ".SPY150630P206")</f>
        <v>2.971E-2</v>
      </c>
      <c r="U351">
        <f>RTD("tos.rtd", , "VEGA", ".SPY150630P206")</f>
        <v>0.30414999999999998</v>
      </c>
      <c r="V351">
        <f>RTD("tos.rtd", , "RHO", ".SPY150630P206")</f>
        <v>-0.1143</v>
      </c>
    </row>
    <row r="352" spans="1:22" x14ac:dyDescent="0.25">
      <c r="A352" t="str">
        <f>RTD("tos.rtd", , "ASK", ".SPY150630C206.5")</f>
        <v>N/A</v>
      </c>
      <c r="B352" t="str">
        <f>RTD("tos.rtd", , "ASK_SIZE", ".SPY150630C206.5")</f>
        <v>N/A</v>
      </c>
      <c r="C352" t="str">
        <f>RTD("tos.rtd", , "BID", ".SPY150630C206.5")</f>
        <v>N/A</v>
      </c>
      <c r="D352" t="str">
        <f>RTD("tos.rtd", , "BID_SIZE", ".SPY150630C206.5")</f>
        <v>N/A</v>
      </c>
      <c r="E352" t="str">
        <f>RTD("tos.rtd", , "VOLUME", ".SPY150630C206.5")</f>
        <v>N/A</v>
      </c>
      <c r="F352" t="str">
        <f>RTD("tos.rtd", , "OPEN_INT", ".SPY150630C206.5")</f>
        <v>N/A</v>
      </c>
      <c r="G352" t="str">
        <f>RTD("tos.rtd", , "DELTA", ".SPY150630C206.5")</f>
        <v>N/A</v>
      </c>
      <c r="H352" t="str">
        <f>RTD("tos.rtd", , "THETA", ".SPY150630C206.5")</f>
        <v>N/A</v>
      </c>
      <c r="I352" t="str">
        <f>RTD("tos.rtd", , "GAMMA", ".SPY150630C206.5")</f>
        <v>N/A</v>
      </c>
      <c r="J352" t="str">
        <f>RTD("tos.rtd", , "VEGA", ".SPY150630C206.5")</f>
        <v>N/A</v>
      </c>
      <c r="K352" t="str">
        <f>RTD("tos.rtd", , "RHO", ".SPY150630C206.5")</f>
        <v>N/A</v>
      </c>
      <c r="L352" t="str">
        <f>RTD("tos.rtd", , "ASK", ".SPY150630P206.5")</f>
        <v>N/A</v>
      </c>
      <c r="M352" t="str">
        <f>RTD("tos.rtd", , "ASK_SIZE", ".SPY150630P206.5")</f>
        <v>N/A</v>
      </c>
      <c r="N352" t="str">
        <f>RTD("tos.rtd", , "BID", ".SPY150630P206.5")</f>
        <v>N/A</v>
      </c>
      <c r="O352" t="str">
        <f>RTD("tos.rtd", , "BID_SIZE", ".SPY150630P206.5")</f>
        <v>N/A</v>
      </c>
      <c r="P352" t="str">
        <f>RTD("tos.rtd", , "VOLUME", ".SPY150630P206.5")</f>
        <v>N/A</v>
      </c>
      <c r="Q352" t="str">
        <f>RTD("tos.rtd", , "OPEN_INT", ".SPY150630P206.5")</f>
        <v>N/A</v>
      </c>
      <c r="R352" t="str">
        <f>RTD("tos.rtd", , "DELTA", ".SPY150630P206.5")</f>
        <v>N/A</v>
      </c>
      <c r="S352" t="str">
        <f>RTD("tos.rtd", , "THETA", ".SPY150630P206.5")</f>
        <v>N/A</v>
      </c>
      <c r="T352" t="str">
        <f>RTD("tos.rtd", , "GAMMA", ".SPY150630P206.5")</f>
        <v>N/A</v>
      </c>
      <c r="U352" t="str">
        <f>RTD("tos.rtd", , "VEGA", ".SPY150630P206.5")</f>
        <v>N/A</v>
      </c>
      <c r="V352" t="str">
        <f>RTD("tos.rtd", , "RHO", ".SPY150630P206.5")</f>
        <v>N/A</v>
      </c>
    </row>
    <row r="353" spans="1:22" x14ac:dyDescent="0.25">
      <c r="A353">
        <f>RTD("tos.rtd", , "ASK", ".SPY150630C207")</f>
        <v>6.98</v>
      </c>
      <c r="B353">
        <f>RTD("tos.rtd", , "ASK_SIZE", ".SPY150630C207")</f>
        <v>240</v>
      </c>
      <c r="C353">
        <f>RTD("tos.rtd", , "BID", ".SPY150630C207")</f>
        <v>6.8</v>
      </c>
      <c r="D353">
        <f>RTD("tos.rtd", , "BID_SIZE", ".SPY150630C207")</f>
        <v>271</v>
      </c>
      <c r="E353">
        <f>RTD("tos.rtd", , "VOLUME", ".SPY150630C207")</f>
        <v>3</v>
      </c>
      <c r="F353">
        <f>RTD("tos.rtd", , "OPEN_INT", ".SPY150630C207")</f>
        <v>1433</v>
      </c>
      <c r="G353">
        <f>RTD("tos.rtd", , "DELTA", ".SPY150630C207")</f>
        <v>0.64873999999999998</v>
      </c>
      <c r="H353">
        <f>RTD("tos.rtd", , "THETA", ".SPY150630C207")</f>
        <v>-3.2190000000000003E-2</v>
      </c>
      <c r="I353">
        <f>RTD("tos.rtd", , "GAMMA", ".SPY150630C207")</f>
        <v>3.2779999999999997E-2</v>
      </c>
      <c r="J353">
        <f>RTD("tos.rtd", , "VEGA", ".SPY150630C207")</f>
        <v>0.31091999999999997</v>
      </c>
      <c r="K353">
        <f>RTD("tos.rtd", , "RHO", ".SPY150630C207")</f>
        <v>0.18106</v>
      </c>
      <c r="L353">
        <f>RTD("tos.rtd", , "ASK", ".SPY150630P207")</f>
        <v>3</v>
      </c>
      <c r="M353">
        <f>RTD("tos.rtd", , "ASK_SIZE", ".SPY150630P207")</f>
        <v>1715</v>
      </c>
      <c r="N353">
        <f>RTD("tos.rtd", , "BID", ".SPY150630P207")</f>
        <v>2.93</v>
      </c>
      <c r="O353">
        <f>RTD("tos.rtd", , "BID_SIZE", ".SPY150630P207")</f>
        <v>240</v>
      </c>
      <c r="P353">
        <f>RTD("tos.rtd", , "VOLUME", ".SPY150630P207")</f>
        <v>657</v>
      </c>
      <c r="Q353">
        <f>RTD("tos.rtd", , "OPEN_INT", ".SPY150630P207")</f>
        <v>5875</v>
      </c>
      <c r="R353">
        <f>RTD("tos.rtd", , "DELTA", ".SPY150630P207")</f>
        <v>-0.35639999999999999</v>
      </c>
      <c r="S353">
        <f>RTD("tos.rtd", , "THETA", ".SPY150630P207")</f>
        <v>-4.1050000000000003E-2</v>
      </c>
      <c r="T353">
        <f>RTD("tos.rtd", , "GAMMA", ".SPY150630P207")</f>
        <v>3.1350000000000003E-2</v>
      </c>
      <c r="U353">
        <f>RTD("tos.rtd", , "VEGA", ".SPY150630P207")</f>
        <v>0.31374999999999997</v>
      </c>
      <c r="V353">
        <f>RTD("tos.rtd", , "RHO", ".SPY150630P207")</f>
        <v>-0.12425</v>
      </c>
    </row>
    <row r="354" spans="1:22" x14ac:dyDescent="0.25">
      <c r="A354" t="str">
        <f>RTD("tos.rtd", , "ASK", ".SPY150630C207.5")</f>
        <v>N/A</v>
      </c>
      <c r="B354" t="str">
        <f>RTD("tos.rtd", , "ASK_SIZE", ".SPY150630C207.5")</f>
        <v>N/A</v>
      </c>
      <c r="C354" t="str">
        <f>RTD("tos.rtd", , "BID", ".SPY150630C207.5")</f>
        <v>N/A</v>
      </c>
      <c r="D354" t="str">
        <f>RTD("tos.rtd", , "BID_SIZE", ".SPY150630C207.5")</f>
        <v>N/A</v>
      </c>
      <c r="E354" t="str">
        <f>RTD("tos.rtd", , "VOLUME", ".SPY150630C207.5")</f>
        <v>N/A</v>
      </c>
      <c r="F354" t="str">
        <f>RTD("tos.rtd", , "OPEN_INT", ".SPY150630C207.5")</f>
        <v>N/A</v>
      </c>
      <c r="G354" t="str">
        <f>RTD("tos.rtd", , "DELTA", ".SPY150630C207.5")</f>
        <v>N/A</v>
      </c>
      <c r="H354" t="str">
        <f>RTD("tos.rtd", , "THETA", ".SPY150630C207.5")</f>
        <v>N/A</v>
      </c>
      <c r="I354" t="str">
        <f>RTD("tos.rtd", , "GAMMA", ".SPY150630C207.5")</f>
        <v>N/A</v>
      </c>
      <c r="J354" t="str">
        <f>RTD("tos.rtd", , "VEGA", ".SPY150630C207.5")</f>
        <v>N/A</v>
      </c>
      <c r="K354" t="str">
        <f>RTD("tos.rtd", , "RHO", ".SPY150630C207.5")</f>
        <v>N/A</v>
      </c>
      <c r="L354" t="str">
        <f>RTD("tos.rtd", , "ASK", ".SPY150630P207.5")</f>
        <v>N/A</v>
      </c>
      <c r="M354" t="str">
        <f>RTD("tos.rtd", , "ASK_SIZE", ".SPY150630P207.5")</f>
        <v>N/A</v>
      </c>
      <c r="N354" t="str">
        <f>RTD("tos.rtd", , "BID", ".SPY150630P207.5")</f>
        <v>N/A</v>
      </c>
      <c r="O354" t="str">
        <f>RTD("tos.rtd", , "BID_SIZE", ".SPY150630P207.5")</f>
        <v>N/A</v>
      </c>
      <c r="P354" t="str">
        <f>RTD("tos.rtd", , "VOLUME", ".SPY150630P207.5")</f>
        <v>N/A</v>
      </c>
      <c r="Q354" t="str">
        <f>RTD("tos.rtd", , "OPEN_INT", ".SPY150630P207.5")</f>
        <v>N/A</v>
      </c>
      <c r="R354" t="str">
        <f>RTD("tos.rtd", , "DELTA", ".SPY150630P207.5")</f>
        <v>N/A</v>
      </c>
      <c r="S354" t="str">
        <f>RTD("tos.rtd", , "THETA", ".SPY150630P207.5")</f>
        <v>N/A</v>
      </c>
      <c r="T354" t="str">
        <f>RTD("tos.rtd", , "GAMMA", ".SPY150630P207.5")</f>
        <v>N/A</v>
      </c>
      <c r="U354" t="str">
        <f>RTD("tos.rtd", , "VEGA", ".SPY150630P207.5")</f>
        <v>N/A</v>
      </c>
      <c r="V354" t="str">
        <f>RTD("tos.rtd", , "RHO", ".SPY150630P207.5")</f>
        <v>N/A</v>
      </c>
    </row>
    <row r="355" spans="1:22" x14ac:dyDescent="0.25">
      <c r="A355">
        <f>RTD("tos.rtd", , "ASK", ".SPY150630C208")</f>
        <v>6.2</v>
      </c>
      <c r="B355">
        <f>RTD("tos.rtd", , "ASK_SIZE", ".SPY150630C208")</f>
        <v>190</v>
      </c>
      <c r="C355">
        <f>RTD("tos.rtd", , "BID", ".SPY150630C208")</f>
        <v>6.05</v>
      </c>
      <c r="D355">
        <f>RTD("tos.rtd", , "BID_SIZE", ".SPY150630C208")</f>
        <v>249</v>
      </c>
      <c r="E355">
        <f>RTD("tos.rtd", , "VOLUME", ".SPY150630C208")</f>
        <v>3</v>
      </c>
      <c r="F355">
        <f>RTD("tos.rtd", , "OPEN_INT", ".SPY150630C208")</f>
        <v>1005</v>
      </c>
      <c r="G355">
        <f>RTD("tos.rtd", , "DELTA", ".SPY150630C208")</f>
        <v>0.61838000000000004</v>
      </c>
      <c r="H355">
        <f>RTD("tos.rtd", , "THETA", ".SPY150630C208")</f>
        <v>-3.2079999999999997E-2</v>
      </c>
      <c r="I355">
        <f>RTD("tos.rtd", , "GAMMA", ".SPY150630C208")</f>
        <v>3.4729999999999997E-2</v>
      </c>
      <c r="J355">
        <f>RTD("tos.rtd", , "VEGA", ".SPY150630C208")</f>
        <v>0.31972</v>
      </c>
      <c r="K355">
        <f>RTD("tos.rtd", , "RHO", ".SPY150630C208")</f>
        <v>0.17591000000000001</v>
      </c>
      <c r="L355">
        <f>RTD("tos.rtd", , "ASK", ".SPY150630P208")</f>
        <v>3.28</v>
      </c>
      <c r="M355">
        <f>RTD("tos.rtd", , "ASK_SIZE", ".SPY150630P208")</f>
        <v>150</v>
      </c>
      <c r="N355">
        <f>RTD("tos.rtd", , "BID", ".SPY150630P208")</f>
        <v>3.22</v>
      </c>
      <c r="O355">
        <f>RTD("tos.rtd", , "BID_SIZE", ".SPY150630P208")</f>
        <v>302</v>
      </c>
      <c r="P355">
        <f>RTD("tos.rtd", , "VOLUME", ".SPY150630P208")</f>
        <v>450</v>
      </c>
      <c r="Q355">
        <f>RTD("tos.rtd", , "OPEN_INT", ".SPY150630P208")</f>
        <v>9219</v>
      </c>
      <c r="R355">
        <f>RTD("tos.rtd", , "DELTA", ".SPY150630P208")</f>
        <v>-0.38668000000000002</v>
      </c>
      <c r="S355">
        <f>RTD("tos.rtd", , "THETA", ".SPY150630P208")</f>
        <v>-4.1369999999999997E-2</v>
      </c>
      <c r="T355">
        <f>RTD("tos.rtd", , "GAMMA", ".SPY150630P208")</f>
        <v>3.2969999999999999E-2</v>
      </c>
      <c r="U355">
        <f>RTD("tos.rtd", , "VEGA", ".SPY150630P208")</f>
        <v>0.32199</v>
      </c>
      <c r="V355">
        <f>RTD("tos.rtd", , "RHO", ".SPY150630P208")</f>
        <v>-0.13486999999999999</v>
      </c>
    </row>
    <row r="356" spans="1:22" x14ac:dyDescent="0.25">
      <c r="A356" t="str">
        <f>RTD("tos.rtd", , "ASK", ".SPY150630C208.5")</f>
        <v>N/A</v>
      </c>
      <c r="B356" t="str">
        <f>RTD("tos.rtd", , "ASK_SIZE", ".SPY150630C208.5")</f>
        <v>N/A</v>
      </c>
      <c r="C356" t="str">
        <f>RTD("tos.rtd", , "BID", ".SPY150630C208.5")</f>
        <v>N/A</v>
      </c>
      <c r="D356" t="str">
        <f>RTD("tos.rtd", , "BID_SIZE", ".SPY150630C208.5")</f>
        <v>N/A</v>
      </c>
      <c r="E356" t="str">
        <f>RTD("tos.rtd", , "VOLUME", ".SPY150630C208.5")</f>
        <v>N/A</v>
      </c>
      <c r="F356" t="str">
        <f>RTD("tos.rtd", , "OPEN_INT", ".SPY150630C208.5")</f>
        <v>N/A</v>
      </c>
      <c r="G356" t="str">
        <f>RTD("tos.rtd", , "DELTA", ".SPY150630C208.5")</f>
        <v>N/A</v>
      </c>
      <c r="H356" t="str">
        <f>RTD("tos.rtd", , "THETA", ".SPY150630C208.5")</f>
        <v>N/A</v>
      </c>
      <c r="I356" t="str">
        <f>RTD("tos.rtd", , "GAMMA", ".SPY150630C208.5")</f>
        <v>N/A</v>
      </c>
      <c r="J356" t="str">
        <f>RTD("tos.rtd", , "VEGA", ".SPY150630C208.5")</f>
        <v>N/A</v>
      </c>
      <c r="K356" t="str">
        <f>RTD("tos.rtd", , "RHO", ".SPY150630C208.5")</f>
        <v>N/A</v>
      </c>
      <c r="L356" t="str">
        <f>RTD("tos.rtd", , "ASK", ".SPY150630P208.5")</f>
        <v>N/A</v>
      </c>
      <c r="M356" t="str">
        <f>RTD("tos.rtd", , "ASK_SIZE", ".SPY150630P208.5")</f>
        <v>N/A</v>
      </c>
      <c r="N356" t="str">
        <f>RTD("tos.rtd", , "BID", ".SPY150630P208.5")</f>
        <v>N/A</v>
      </c>
      <c r="O356" t="str">
        <f>RTD("tos.rtd", , "BID_SIZE", ".SPY150630P208.5")</f>
        <v>N/A</v>
      </c>
      <c r="P356" t="str">
        <f>RTD("tos.rtd", , "VOLUME", ".SPY150630P208.5")</f>
        <v>N/A</v>
      </c>
      <c r="Q356" t="str">
        <f>RTD("tos.rtd", , "OPEN_INT", ".SPY150630P208.5")</f>
        <v>N/A</v>
      </c>
      <c r="R356" t="str">
        <f>RTD("tos.rtd", , "DELTA", ".SPY150630P208.5")</f>
        <v>N/A</v>
      </c>
      <c r="S356" t="str">
        <f>RTD("tos.rtd", , "THETA", ".SPY150630P208.5")</f>
        <v>N/A</v>
      </c>
      <c r="T356" t="str">
        <f>RTD("tos.rtd", , "GAMMA", ".SPY150630P208.5")</f>
        <v>N/A</v>
      </c>
      <c r="U356" t="str">
        <f>RTD("tos.rtd", , "VEGA", ".SPY150630P208.5")</f>
        <v>N/A</v>
      </c>
      <c r="V356" t="str">
        <f>RTD("tos.rtd", , "RHO", ".SPY150630P208.5")</f>
        <v>N/A</v>
      </c>
    </row>
    <row r="357" spans="1:22" x14ac:dyDescent="0.25">
      <c r="A357">
        <f>RTD("tos.rtd", , "ASK", ".SPY150630C209")</f>
        <v>5.5</v>
      </c>
      <c r="B357">
        <f>RTD("tos.rtd", , "ASK_SIZE", ".SPY150630C209")</f>
        <v>240</v>
      </c>
      <c r="C357">
        <f>RTD("tos.rtd", , "BID", ".SPY150630C209")</f>
        <v>5.34</v>
      </c>
      <c r="D357">
        <f>RTD("tos.rtd", , "BID_SIZE", ".SPY150630C209")</f>
        <v>250</v>
      </c>
      <c r="E357">
        <f>RTD("tos.rtd", , "VOLUME", ".SPY150630C209")</f>
        <v>14</v>
      </c>
      <c r="F357">
        <f>RTD("tos.rtd", , "OPEN_INT", ".SPY150630C209")</f>
        <v>2111</v>
      </c>
      <c r="G357">
        <f>RTD("tos.rtd", , "DELTA", ".SPY150630C209")</f>
        <v>0.58472999999999997</v>
      </c>
      <c r="H357">
        <f>RTD("tos.rtd", , "THETA", ".SPY150630C209")</f>
        <v>-3.2050000000000002E-2</v>
      </c>
      <c r="I357">
        <f>RTD("tos.rtd", , "GAMMA", ".SPY150630C209")</f>
        <v>3.6380000000000003E-2</v>
      </c>
      <c r="J357">
        <f>RTD("tos.rtd", , "VEGA", ".SPY150630C209")</f>
        <v>0.3271</v>
      </c>
      <c r="K357">
        <f>RTD("tos.rtd", , "RHO", ".SPY150630C209")</f>
        <v>0.16944000000000001</v>
      </c>
      <c r="L357">
        <f>RTD("tos.rtd", , "ASK", ".SPY150630P209")</f>
        <v>3.6</v>
      </c>
      <c r="M357">
        <f>RTD("tos.rtd", , "ASK_SIZE", ".SPY150630P209")</f>
        <v>1621</v>
      </c>
      <c r="N357">
        <f>RTD("tos.rtd", , "BID", ".SPY150630P209")</f>
        <v>3.53</v>
      </c>
      <c r="O357">
        <f>RTD("tos.rtd", , "BID_SIZE", ".SPY150630P209")</f>
        <v>364</v>
      </c>
      <c r="P357">
        <f>RTD("tos.rtd", , "VOLUME", ".SPY150630P209")</f>
        <v>363</v>
      </c>
      <c r="Q357">
        <f>RTD("tos.rtd", , "OPEN_INT", ".SPY150630P209")</f>
        <v>8387</v>
      </c>
      <c r="R357">
        <f>RTD("tos.rtd", , "DELTA", ".SPY150630P209")</f>
        <v>-0.41905999999999999</v>
      </c>
      <c r="S357">
        <f>RTD("tos.rtd", , "THETA", ".SPY150630P209")</f>
        <v>-4.1450000000000001E-2</v>
      </c>
      <c r="T357">
        <f>RTD("tos.rtd", , "GAMMA", ".SPY150630P209")</f>
        <v>3.4509999999999999E-2</v>
      </c>
      <c r="U357">
        <f>RTD("tos.rtd", , "VEGA", ".SPY150630P209")</f>
        <v>0.32857999999999998</v>
      </c>
      <c r="V357">
        <f>RTD("tos.rtd", , "RHO", ".SPY150630P209")</f>
        <v>-0.14623</v>
      </c>
    </row>
    <row r="358" spans="1:22" x14ac:dyDescent="0.25">
      <c r="A358" t="str">
        <f>RTD("tos.rtd", , "ASK", ".SPY150630C209.5")</f>
        <v>N/A</v>
      </c>
      <c r="B358" t="str">
        <f>RTD("tos.rtd", , "ASK_SIZE", ".SPY150630C209.5")</f>
        <v>N/A</v>
      </c>
      <c r="C358" t="str">
        <f>RTD("tos.rtd", , "BID", ".SPY150630C209.5")</f>
        <v>N/A</v>
      </c>
      <c r="D358" t="str">
        <f>RTD("tos.rtd", , "BID_SIZE", ".SPY150630C209.5")</f>
        <v>N/A</v>
      </c>
      <c r="E358" t="str">
        <f>RTD("tos.rtd", , "VOLUME", ".SPY150630C209.5")</f>
        <v>N/A</v>
      </c>
      <c r="F358" t="str">
        <f>RTD("tos.rtd", , "OPEN_INT", ".SPY150630C209.5")</f>
        <v>N/A</v>
      </c>
      <c r="G358" t="str">
        <f>RTD("tos.rtd", , "DELTA", ".SPY150630C209.5")</f>
        <v>N/A</v>
      </c>
      <c r="H358" t="str">
        <f>RTD("tos.rtd", , "THETA", ".SPY150630C209.5")</f>
        <v>N/A</v>
      </c>
      <c r="I358" t="str">
        <f>RTD("tos.rtd", , "GAMMA", ".SPY150630C209.5")</f>
        <v>N/A</v>
      </c>
      <c r="J358" t="str">
        <f>RTD("tos.rtd", , "VEGA", ".SPY150630C209.5")</f>
        <v>N/A</v>
      </c>
      <c r="K358" t="str">
        <f>RTD("tos.rtd", , "RHO", ".SPY150630C209.5")</f>
        <v>N/A</v>
      </c>
      <c r="L358" t="str">
        <f>RTD("tos.rtd", , "ASK", ".SPY150630P209.5")</f>
        <v>N/A</v>
      </c>
      <c r="M358" t="str">
        <f>RTD("tos.rtd", , "ASK_SIZE", ".SPY150630P209.5")</f>
        <v>N/A</v>
      </c>
      <c r="N358" t="str">
        <f>RTD("tos.rtd", , "BID", ".SPY150630P209.5")</f>
        <v>N/A</v>
      </c>
      <c r="O358" t="str">
        <f>RTD("tos.rtd", , "BID_SIZE", ".SPY150630P209.5")</f>
        <v>N/A</v>
      </c>
      <c r="P358" t="str">
        <f>RTD("tos.rtd", , "VOLUME", ".SPY150630P209.5")</f>
        <v>N/A</v>
      </c>
      <c r="Q358" t="str">
        <f>RTD("tos.rtd", , "OPEN_INT", ".SPY150630P209.5")</f>
        <v>N/A</v>
      </c>
      <c r="R358" t="str">
        <f>RTD("tos.rtd", , "DELTA", ".SPY150630P209.5")</f>
        <v>N/A</v>
      </c>
      <c r="S358" t="str">
        <f>RTD("tos.rtd", , "THETA", ".SPY150630P209.5")</f>
        <v>N/A</v>
      </c>
      <c r="T358" t="str">
        <f>RTD("tos.rtd", , "GAMMA", ".SPY150630P209.5")</f>
        <v>N/A</v>
      </c>
      <c r="U358" t="str">
        <f>RTD("tos.rtd", , "VEGA", ".SPY150630P209.5")</f>
        <v>N/A</v>
      </c>
      <c r="V358" t="str">
        <f>RTD("tos.rtd", , "RHO", ".SPY150630P209.5")</f>
        <v>N/A</v>
      </c>
    </row>
    <row r="359" spans="1:22" x14ac:dyDescent="0.25">
      <c r="A359">
        <f>RTD("tos.rtd", , "ASK", ".SPY150630C210")</f>
        <v>4.78</v>
      </c>
      <c r="B359">
        <f>RTD("tos.rtd", , "ASK_SIZE", ".SPY150630C210")</f>
        <v>249</v>
      </c>
      <c r="C359">
        <f>RTD("tos.rtd", , "BID", ".SPY150630C210")</f>
        <v>4.6500000000000004</v>
      </c>
      <c r="D359">
        <f>RTD("tos.rtd", , "BID_SIZE", ".SPY150630C210")</f>
        <v>2730</v>
      </c>
      <c r="E359">
        <f>RTD("tos.rtd", , "VOLUME", ".SPY150630C210")</f>
        <v>612</v>
      </c>
      <c r="F359">
        <f>RTD("tos.rtd", , "OPEN_INT", ".SPY150630C210")</f>
        <v>26029</v>
      </c>
      <c r="G359">
        <f>RTD("tos.rtd", , "DELTA", ".SPY150630C210")</f>
        <v>0.54898000000000002</v>
      </c>
      <c r="H359">
        <f>RTD("tos.rtd", , "THETA", ".SPY150630C210")</f>
        <v>-3.1469999999999998E-2</v>
      </c>
      <c r="I359">
        <f>RTD("tos.rtd", , "GAMMA", ".SPY150630C210")</f>
        <v>3.8190000000000002E-2</v>
      </c>
      <c r="J359">
        <f>RTD("tos.rtd", , "VEGA", ".SPY150630C210")</f>
        <v>0.33226</v>
      </c>
      <c r="K359">
        <f>RTD("tos.rtd", , "RHO", ".SPY150630C210")</f>
        <v>0.16177</v>
      </c>
      <c r="L359">
        <f>RTD("tos.rtd", , "ASK", ".SPY150630P210")</f>
        <v>3.95</v>
      </c>
      <c r="M359">
        <f>RTD("tos.rtd", , "ASK_SIZE", ".SPY150630P210")</f>
        <v>1830</v>
      </c>
      <c r="N359">
        <f>RTD("tos.rtd", , "BID", ".SPY150630P210")</f>
        <v>3.87</v>
      </c>
      <c r="O359">
        <f>RTD("tos.rtd", , "BID_SIZE", ".SPY150630P210")</f>
        <v>283</v>
      </c>
      <c r="P359">
        <f>RTD("tos.rtd", , "VOLUME", ".SPY150630P210")</f>
        <v>952</v>
      </c>
      <c r="Q359">
        <f>RTD("tos.rtd", , "OPEN_INT", ".SPY150630P210")</f>
        <v>12927</v>
      </c>
      <c r="R359">
        <f>RTD("tos.rtd", , "DELTA", ".SPY150630P210")</f>
        <v>-0.45352999999999999</v>
      </c>
      <c r="S359">
        <f>RTD("tos.rtd", , "THETA", ".SPY150630P210")</f>
        <v>-4.129E-2</v>
      </c>
      <c r="T359">
        <f>RTD("tos.rtd", , "GAMMA", ".SPY150630P210")</f>
        <v>3.5889999999999998E-2</v>
      </c>
      <c r="U359">
        <f>RTD("tos.rtd", , "VEGA", ".SPY150630P210")</f>
        <v>0.33311000000000002</v>
      </c>
      <c r="V359">
        <f>RTD("tos.rtd", , "RHO", ".SPY150630P210")</f>
        <v>-0.15834999999999999</v>
      </c>
    </row>
    <row r="360" spans="1:22" x14ac:dyDescent="0.25">
      <c r="A360" t="str">
        <f>RTD("tos.rtd", , "ASK", ".SPY150630C210.5")</f>
        <v>N/A</v>
      </c>
      <c r="B360" t="str">
        <f>RTD("tos.rtd", , "ASK_SIZE", ".SPY150630C210.5")</f>
        <v>N/A</v>
      </c>
      <c r="C360" t="str">
        <f>RTD("tos.rtd", , "BID", ".SPY150630C210.5")</f>
        <v>N/A</v>
      </c>
      <c r="D360" t="str">
        <f>RTD("tos.rtd", , "BID_SIZE", ".SPY150630C210.5")</f>
        <v>N/A</v>
      </c>
      <c r="E360" t="str">
        <f>RTD("tos.rtd", , "VOLUME", ".SPY150630C210.5")</f>
        <v>N/A</v>
      </c>
      <c r="F360" t="str">
        <f>RTD("tos.rtd", , "OPEN_INT", ".SPY150630C210.5")</f>
        <v>N/A</v>
      </c>
      <c r="G360" t="str">
        <f>RTD("tos.rtd", , "DELTA", ".SPY150630C210.5")</f>
        <v>N/A</v>
      </c>
      <c r="H360" t="str">
        <f>RTD("tos.rtd", , "THETA", ".SPY150630C210.5")</f>
        <v>N/A</v>
      </c>
      <c r="I360" t="str">
        <f>RTD("tos.rtd", , "GAMMA", ".SPY150630C210.5")</f>
        <v>N/A</v>
      </c>
      <c r="J360" t="str">
        <f>RTD("tos.rtd", , "VEGA", ".SPY150630C210.5")</f>
        <v>N/A</v>
      </c>
      <c r="K360" t="str">
        <f>RTD("tos.rtd", , "RHO", ".SPY150630C210.5")</f>
        <v>N/A</v>
      </c>
      <c r="L360" t="str">
        <f>RTD("tos.rtd", , "ASK", ".SPY150630P210.5")</f>
        <v>N/A</v>
      </c>
      <c r="M360" t="str">
        <f>RTD("tos.rtd", , "ASK_SIZE", ".SPY150630P210.5")</f>
        <v>N/A</v>
      </c>
      <c r="N360" t="str">
        <f>RTD("tos.rtd", , "BID", ".SPY150630P210.5")</f>
        <v>N/A</v>
      </c>
      <c r="O360" t="str">
        <f>RTD("tos.rtd", , "BID_SIZE", ".SPY150630P210.5")</f>
        <v>N/A</v>
      </c>
      <c r="P360" t="str">
        <f>RTD("tos.rtd", , "VOLUME", ".SPY150630P210.5")</f>
        <v>N/A</v>
      </c>
      <c r="Q360" t="str">
        <f>RTD("tos.rtd", , "OPEN_INT", ".SPY150630P210.5")</f>
        <v>N/A</v>
      </c>
      <c r="R360" t="str">
        <f>RTD("tos.rtd", , "DELTA", ".SPY150630P210.5")</f>
        <v>N/A</v>
      </c>
      <c r="S360" t="str">
        <f>RTD("tos.rtd", , "THETA", ".SPY150630P210.5")</f>
        <v>N/A</v>
      </c>
      <c r="T360" t="str">
        <f>RTD("tos.rtd", , "GAMMA", ".SPY150630P210.5")</f>
        <v>N/A</v>
      </c>
      <c r="U360" t="str">
        <f>RTD("tos.rtd", , "VEGA", ".SPY150630P210.5")</f>
        <v>N/A</v>
      </c>
      <c r="V360" t="str">
        <f>RTD("tos.rtd", , "RHO", ".SPY150630P210.5")</f>
        <v>N/A</v>
      </c>
    </row>
    <row r="361" spans="1:22" x14ac:dyDescent="0.25">
      <c r="A361">
        <f>RTD("tos.rtd", , "ASK", ".SPY150630C211")</f>
        <v>4.13</v>
      </c>
      <c r="B361">
        <f>RTD("tos.rtd", , "ASK_SIZE", ".SPY150630C211")</f>
        <v>2671</v>
      </c>
      <c r="C361">
        <f>RTD("tos.rtd", , "BID", ".SPY150630C211")</f>
        <v>4.08</v>
      </c>
      <c r="D361">
        <f>RTD("tos.rtd", , "BID_SIZE", ".SPY150630C211")</f>
        <v>236</v>
      </c>
      <c r="E361">
        <f>RTD("tos.rtd", , "VOLUME", ".SPY150630C211")</f>
        <v>78</v>
      </c>
      <c r="F361">
        <f>RTD("tos.rtd", , "OPEN_INT", ".SPY150630C211")</f>
        <v>3512</v>
      </c>
      <c r="G361">
        <f>RTD("tos.rtd", , "DELTA", ".SPY150630C211")</f>
        <v>0.51032</v>
      </c>
      <c r="H361">
        <f>RTD("tos.rtd", , "THETA", ".SPY150630C211")</f>
        <v>-3.116E-2</v>
      </c>
      <c r="I361">
        <f>RTD("tos.rtd", , "GAMMA", ".SPY150630C211")</f>
        <v>3.9440000000000003E-2</v>
      </c>
      <c r="J361">
        <f>RTD("tos.rtd", , "VEGA", ".SPY150630C211")</f>
        <v>0.33481</v>
      </c>
      <c r="K361">
        <f>RTD("tos.rtd", , "RHO", ".SPY150630C211")</f>
        <v>0.15279999999999999</v>
      </c>
      <c r="L361">
        <f>RTD("tos.rtd", , "ASK", ".SPY150630P211")</f>
        <v>4.33</v>
      </c>
      <c r="M361">
        <f>RTD("tos.rtd", , "ASK_SIZE", ".SPY150630P211")</f>
        <v>1712</v>
      </c>
      <c r="N361">
        <f>RTD("tos.rtd", , "BID", ".SPY150630P211")</f>
        <v>4.25</v>
      </c>
      <c r="O361">
        <f>RTD("tos.rtd", , "BID_SIZE", ".SPY150630P211")</f>
        <v>249</v>
      </c>
      <c r="P361">
        <f>RTD("tos.rtd", , "VOLUME", ".SPY150630P211")</f>
        <v>123</v>
      </c>
      <c r="Q361">
        <f>RTD("tos.rtd", , "OPEN_INT", ".SPY150630P211")</f>
        <v>1043</v>
      </c>
      <c r="R361">
        <f>RTD("tos.rtd", , "DELTA", ".SPY150630P211")</f>
        <v>-0.49009000000000003</v>
      </c>
      <c r="S361">
        <f>RTD("tos.rtd", , "THETA", ".SPY150630P211")</f>
        <v>-4.0869999999999997E-2</v>
      </c>
      <c r="T361">
        <f>RTD("tos.rtd", , "GAMMA", ".SPY150630P211")</f>
        <v>3.7260000000000001E-2</v>
      </c>
      <c r="U361">
        <f>RTD("tos.rtd", , "VEGA", ".SPY150630P211")</f>
        <v>0.33516000000000001</v>
      </c>
      <c r="V361">
        <f>RTD("tos.rtd", , "RHO", ".SPY150630P211")</f>
        <v>-0.17122000000000001</v>
      </c>
    </row>
    <row r="362" spans="1:22" x14ac:dyDescent="0.25">
      <c r="A362" t="str">
        <f>RTD("tos.rtd", , "ASK", ".SPY150630C211.5")</f>
        <v>N/A</v>
      </c>
      <c r="B362" t="str">
        <f>RTD("tos.rtd", , "ASK_SIZE", ".SPY150630C211.5")</f>
        <v>N/A</v>
      </c>
      <c r="C362" t="str">
        <f>RTD("tos.rtd", , "BID", ".SPY150630C211.5")</f>
        <v>N/A</v>
      </c>
      <c r="D362" t="str">
        <f>RTD("tos.rtd", , "BID_SIZE", ".SPY150630C211.5")</f>
        <v>N/A</v>
      </c>
      <c r="E362" t="str">
        <f>RTD("tos.rtd", , "VOLUME", ".SPY150630C211.5")</f>
        <v>N/A</v>
      </c>
      <c r="F362" t="str">
        <f>RTD("tos.rtd", , "OPEN_INT", ".SPY150630C211.5")</f>
        <v>N/A</v>
      </c>
      <c r="G362" t="str">
        <f>RTD("tos.rtd", , "DELTA", ".SPY150630C211.5")</f>
        <v>N/A</v>
      </c>
      <c r="H362" t="str">
        <f>RTD("tos.rtd", , "THETA", ".SPY150630C211.5")</f>
        <v>N/A</v>
      </c>
      <c r="I362" t="str">
        <f>RTD("tos.rtd", , "GAMMA", ".SPY150630C211.5")</f>
        <v>N/A</v>
      </c>
      <c r="J362" t="str">
        <f>RTD("tos.rtd", , "VEGA", ".SPY150630C211.5")</f>
        <v>N/A</v>
      </c>
      <c r="K362" t="str">
        <f>RTD("tos.rtd", , "RHO", ".SPY150630C211.5")</f>
        <v>N/A</v>
      </c>
      <c r="L362" t="str">
        <f>RTD("tos.rtd", , "ASK", ".SPY150630P211.5")</f>
        <v>N/A</v>
      </c>
      <c r="M362" t="str">
        <f>RTD("tos.rtd", , "ASK_SIZE", ".SPY150630P211.5")</f>
        <v>N/A</v>
      </c>
      <c r="N362" t="str">
        <f>RTD("tos.rtd", , "BID", ".SPY150630P211.5")</f>
        <v>N/A</v>
      </c>
      <c r="O362" t="str">
        <f>RTD("tos.rtd", , "BID_SIZE", ".SPY150630P211.5")</f>
        <v>N/A</v>
      </c>
      <c r="P362" t="str">
        <f>RTD("tos.rtd", , "VOLUME", ".SPY150630P211.5")</f>
        <v>N/A</v>
      </c>
      <c r="Q362" t="str">
        <f>RTD("tos.rtd", , "OPEN_INT", ".SPY150630P211.5")</f>
        <v>N/A</v>
      </c>
      <c r="R362" t="str">
        <f>RTD("tos.rtd", , "DELTA", ".SPY150630P211.5")</f>
        <v>N/A</v>
      </c>
      <c r="S362" t="str">
        <f>RTD("tos.rtd", , "THETA", ".SPY150630P211.5")</f>
        <v>N/A</v>
      </c>
      <c r="T362" t="str">
        <f>RTD("tos.rtd", , "GAMMA", ".SPY150630P211.5")</f>
        <v>N/A</v>
      </c>
      <c r="U362" t="str">
        <f>RTD("tos.rtd", , "VEGA", ".SPY150630P211.5")</f>
        <v>N/A</v>
      </c>
      <c r="V362" t="str">
        <f>RTD("tos.rtd", , "RHO", ".SPY150630P211.5")</f>
        <v>N/A</v>
      </c>
    </row>
    <row r="363" spans="1:22" x14ac:dyDescent="0.25">
      <c r="A363">
        <f>RTD("tos.rtd", , "ASK", ".SPY150630C212")</f>
        <v>3.51</v>
      </c>
      <c r="B363">
        <f>RTD("tos.rtd", , "ASK_SIZE", ".SPY150630C212")</f>
        <v>2567</v>
      </c>
      <c r="C363">
        <f>RTD("tos.rtd", , "BID", ".SPY150630C212")</f>
        <v>3.46</v>
      </c>
      <c r="D363">
        <f>RTD("tos.rtd", , "BID_SIZE", ".SPY150630C212")</f>
        <v>256</v>
      </c>
      <c r="E363">
        <f>RTD("tos.rtd", , "VOLUME", ".SPY150630C212")</f>
        <v>396</v>
      </c>
      <c r="F363">
        <f>RTD("tos.rtd", , "OPEN_INT", ".SPY150630C212")</f>
        <v>2049</v>
      </c>
      <c r="G363">
        <f>RTD("tos.rtd", , "DELTA", ".SPY150630C212")</f>
        <v>0.46939999999999998</v>
      </c>
      <c r="H363">
        <f>RTD("tos.rtd", , "THETA", ".SPY150630C212")</f>
        <v>-3.0079999999999999E-2</v>
      </c>
      <c r="I363">
        <f>RTD("tos.rtd", , "GAMMA", ".SPY150630C212")</f>
        <v>4.0480000000000002E-2</v>
      </c>
      <c r="J363">
        <f>RTD("tos.rtd", , "VEGA", ".SPY150630C212")</f>
        <v>0.33406999999999998</v>
      </c>
      <c r="K363">
        <f>RTD("tos.rtd", , "RHO", ".SPY150630C212")</f>
        <v>0.14258000000000001</v>
      </c>
      <c r="L363">
        <f>RTD("tos.rtd", , "ASK", ".SPY150630P212")</f>
        <v>4.79</v>
      </c>
      <c r="M363">
        <f>RTD("tos.rtd", , "ASK_SIZE", ".SPY150630P212")</f>
        <v>329</v>
      </c>
      <c r="N363">
        <f>RTD("tos.rtd", , "BID", ".SPY150630P212")</f>
        <v>4.66</v>
      </c>
      <c r="O363">
        <f>RTD("tos.rtd", , "BID_SIZE", ".SPY150630P212")</f>
        <v>457</v>
      </c>
      <c r="P363">
        <f>RTD("tos.rtd", , "VOLUME", ".SPY150630P212")</f>
        <v>56</v>
      </c>
      <c r="Q363">
        <f>RTD("tos.rtd", , "OPEN_INT", ".SPY150630P212")</f>
        <v>482</v>
      </c>
      <c r="R363">
        <f>RTD("tos.rtd", , "DELTA", ".SPY150630P212")</f>
        <v>-0.52829000000000004</v>
      </c>
      <c r="S363">
        <f>RTD("tos.rtd", , "THETA", ".SPY150630P212")</f>
        <v>-4.0280000000000003E-2</v>
      </c>
      <c r="T363">
        <f>RTD("tos.rtd", , "GAMMA", ".SPY150630P212")</f>
        <v>3.7830000000000003E-2</v>
      </c>
      <c r="U363">
        <f>RTD("tos.rtd", , "VEGA", ".SPY150630P212")</f>
        <v>0.33429999999999999</v>
      </c>
      <c r="V363">
        <f>RTD("tos.rtd", , "RHO", ".SPY150630P212")</f>
        <v>-0.18473999999999999</v>
      </c>
    </row>
    <row r="364" spans="1:22" x14ac:dyDescent="0.25">
      <c r="A364" t="str">
        <f>RTD("tos.rtd", , "ASK", ".SPY150630C212.5")</f>
        <v>N/A</v>
      </c>
      <c r="B364" t="str">
        <f>RTD("tos.rtd", , "ASK_SIZE", ".SPY150630C212.5")</f>
        <v>N/A</v>
      </c>
      <c r="C364" t="str">
        <f>RTD("tos.rtd", , "BID", ".SPY150630C212.5")</f>
        <v>N/A</v>
      </c>
      <c r="D364" t="str">
        <f>RTD("tos.rtd", , "BID_SIZE", ".SPY150630C212.5")</f>
        <v>N/A</v>
      </c>
      <c r="E364" t="str">
        <f>RTD("tos.rtd", , "VOLUME", ".SPY150630C212.5")</f>
        <v>N/A</v>
      </c>
      <c r="F364" t="str">
        <f>RTD("tos.rtd", , "OPEN_INT", ".SPY150630C212.5")</f>
        <v>N/A</v>
      </c>
      <c r="G364" t="str">
        <f>RTD("tos.rtd", , "DELTA", ".SPY150630C212.5")</f>
        <v>N/A</v>
      </c>
      <c r="H364" t="str">
        <f>RTD("tos.rtd", , "THETA", ".SPY150630C212.5")</f>
        <v>N/A</v>
      </c>
      <c r="I364" t="str">
        <f>RTD("tos.rtd", , "GAMMA", ".SPY150630C212.5")</f>
        <v>N/A</v>
      </c>
      <c r="J364" t="str">
        <f>RTD("tos.rtd", , "VEGA", ".SPY150630C212.5")</f>
        <v>N/A</v>
      </c>
      <c r="K364" t="str">
        <f>RTD("tos.rtd", , "RHO", ".SPY150630C212.5")</f>
        <v>N/A</v>
      </c>
      <c r="L364" t="str">
        <f>RTD("tos.rtd", , "ASK", ".SPY150630P212.5")</f>
        <v>N/A</v>
      </c>
      <c r="M364" t="str">
        <f>RTD("tos.rtd", , "ASK_SIZE", ".SPY150630P212.5")</f>
        <v>N/A</v>
      </c>
      <c r="N364" t="str">
        <f>RTD("tos.rtd", , "BID", ".SPY150630P212.5")</f>
        <v>N/A</v>
      </c>
      <c r="O364" t="str">
        <f>RTD("tos.rtd", , "BID_SIZE", ".SPY150630P212.5")</f>
        <v>N/A</v>
      </c>
      <c r="P364" t="str">
        <f>RTD("tos.rtd", , "VOLUME", ".SPY150630P212.5")</f>
        <v>N/A</v>
      </c>
      <c r="Q364" t="str">
        <f>RTD("tos.rtd", , "OPEN_INT", ".SPY150630P212.5")</f>
        <v>N/A</v>
      </c>
      <c r="R364" t="str">
        <f>RTD("tos.rtd", , "DELTA", ".SPY150630P212.5")</f>
        <v>N/A</v>
      </c>
      <c r="S364" t="str">
        <f>RTD("tos.rtd", , "THETA", ".SPY150630P212.5")</f>
        <v>N/A</v>
      </c>
      <c r="T364" t="str">
        <f>RTD("tos.rtd", , "GAMMA", ".SPY150630P212.5")</f>
        <v>N/A</v>
      </c>
      <c r="U364" t="str">
        <f>RTD("tos.rtd", , "VEGA", ".SPY150630P212.5")</f>
        <v>N/A</v>
      </c>
      <c r="V364" t="str">
        <f>RTD("tos.rtd", , "RHO", ".SPY150630P212.5")</f>
        <v>N/A</v>
      </c>
    </row>
    <row r="365" spans="1:22" x14ac:dyDescent="0.25">
      <c r="A365">
        <f>RTD("tos.rtd", , "ASK", ".SPY150630C213")</f>
        <v>2.94</v>
      </c>
      <c r="B365">
        <f>RTD("tos.rtd", , "ASK_SIZE", ".SPY150630C213")</f>
        <v>2466</v>
      </c>
      <c r="C365">
        <f>RTD("tos.rtd", , "BID", ".SPY150630C213")</f>
        <v>2.89</v>
      </c>
      <c r="D365">
        <f>RTD("tos.rtd", , "BID_SIZE", ".SPY150630C213")</f>
        <v>283</v>
      </c>
      <c r="E365">
        <f>RTD("tos.rtd", , "VOLUME", ".SPY150630C213")</f>
        <v>408</v>
      </c>
      <c r="F365">
        <f>RTD("tos.rtd", , "OPEN_INT", ".SPY150630C213")</f>
        <v>2687</v>
      </c>
      <c r="G365">
        <f>RTD("tos.rtd", , "DELTA", ".SPY150630C213")</f>
        <v>0.42620000000000002</v>
      </c>
      <c r="H365">
        <f>RTD("tos.rtd", , "THETA", ".SPY150630C213")</f>
        <v>-2.8729999999999999E-2</v>
      </c>
      <c r="I365">
        <f>RTD("tos.rtd", , "GAMMA", ".SPY150630C213")</f>
        <v>4.1259999999999998E-2</v>
      </c>
      <c r="J365">
        <f>RTD("tos.rtd", , "VEGA", ".SPY150630C213")</f>
        <v>0.32946999999999999</v>
      </c>
      <c r="K365">
        <f>RTD("tos.rtd", , "RHO", ".SPY150630C213")</f>
        <v>0.13117999999999999</v>
      </c>
      <c r="L365">
        <f>RTD("tos.rtd", , "ASK", ".SPY150630P213")</f>
        <v>5.26</v>
      </c>
      <c r="M365">
        <f>RTD("tos.rtd", , "ASK_SIZE", ".SPY150630P213")</f>
        <v>249</v>
      </c>
      <c r="N365">
        <f>RTD("tos.rtd", , "BID", ".SPY150630P213")</f>
        <v>5.0999999999999996</v>
      </c>
      <c r="O365">
        <f>RTD("tos.rtd", , "BID_SIZE", ".SPY150630P213")</f>
        <v>240</v>
      </c>
      <c r="P365">
        <f>RTD("tos.rtd", , "VOLUME", ".SPY150630P213")</f>
        <v>2</v>
      </c>
      <c r="Q365">
        <f>RTD("tos.rtd", , "OPEN_INT", ".SPY150630P213")</f>
        <v>165</v>
      </c>
      <c r="R365">
        <f>RTD("tos.rtd", , "DELTA", ".SPY150630P213")</f>
        <v>-0.56813999999999998</v>
      </c>
      <c r="S365">
        <f>RTD("tos.rtd", , "THETA", ".SPY150630P213")</f>
        <v>-3.9219999999999998E-2</v>
      </c>
      <c r="T365">
        <f>RTD("tos.rtd", , "GAMMA", ".SPY150630P213")</f>
        <v>3.8399999999999997E-2</v>
      </c>
      <c r="U365">
        <f>RTD("tos.rtd", , "VEGA", ".SPY150630P213")</f>
        <v>0.33012000000000002</v>
      </c>
      <c r="V365">
        <f>RTD("tos.rtd", , "RHO", ".SPY150630P213")</f>
        <v>-0.19883999999999999</v>
      </c>
    </row>
    <row r="366" spans="1:22" x14ac:dyDescent="0.25">
      <c r="A366" t="str">
        <f>RTD("tos.rtd", , "ASK", ".SPY150630C213.5")</f>
        <v>N/A</v>
      </c>
      <c r="B366" t="str">
        <f>RTD("tos.rtd", , "ASK_SIZE", ".SPY150630C213.5")</f>
        <v>N/A</v>
      </c>
      <c r="C366" t="str">
        <f>RTD("tos.rtd", , "BID", ".SPY150630C213.5")</f>
        <v>N/A</v>
      </c>
      <c r="D366" t="str">
        <f>RTD("tos.rtd", , "BID_SIZE", ".SPY150630C213.5")</f>
        <v>N/A</v>
      </c>
      <c r="E366" t="str">
        <f>RTD("tos.rtd", , "VOLUME", ".SPY150630C213.5")</f>
        <v>N/A</v>
      </c>
      <c r="F366" t="str">
        <f>RTD("tos.rtd", , "OPEN_INT", ".SPY150630C213.5")</f>
        <v>N/A</v>
      </c>
      <c r="G366" t="str">
        <f>RTD("tos.rtd", , "DELTA", ".SPY150630C213.5")</f>
        <v>N/A</v>
      </c>
      <c r="H366" t="str">
        <f>RTD("tos.rtd", , "THETA", ".SPY150630C213.5")</f>
        <v>N/A</v>
      </c>
      <c r="I366" t="str">
        <f>RTD("tos.rtd", , "GAMMA", ".SPY150630C213.5")</f>
        <v>N/A</v>
      </c>
      <c r="J366" t="str">
        <f>RTD("tos.rtd", , "VEGA", ".SPY150630C213.5")</f>
        <v>N/A</v>
      </c>
      <c r="K366" t="str">
        <f>RTD("tos.rtd", , "RHO", ".SPY150630C213.5")</f>
        <v>N/A</v>
      </c>
      <c r="L366" t="str">
        <f>RTD("tos.rtd", , "ASK", ".SPY150630P213.5")</f>
        <v>N/A</v>
      </c>
      <c r="M366" t="str">
        <f>RTD("tos.rtd", , "ASK_SIZE", ".SPY150630P213.5")</f>
        <v>N/A</v>
      </c>
      <c r="N366" t="str">
        <f>RTD("tos.rtd", , "BID", ".SPY150630P213.5")</f>
        <v>N/A</v>
      </c>
      <c r="O366" t="str">
        <f>RTD("tos.rtd", , "BID_SIZE", ".SPY150630P213.5")</f>
        <v>N/A</v>
      </c>
      <c r="P366" t="str">
        <f>RTD("tos.rtd", , "VOLUME", ".SPY150630P213.5")</f>
        <v>N/A</v>
      </c>
      <c r="Q366" t="str">
        <f>RTD("tos.rtd", , "OPEN_INT", ".SPY150630P213.5")</f>
        <v>N/A</v>
      </c>
      <c r="R366" t="str">
        <f>RTD("tos.rtd", , "DELTA", ".SPY150630P213.5")</f>
        <v>N/A</v>
      </c>
      <c r="S366" t="str">
        <f>RTD("tos.rtd", , "THETA", ".SPY150630P213.5")</f>
        <v>N/A</v>
      </c>
      <c r="T366" t="str">
        <f>RTD("tos.rtd", , "GAMMA", ".SPY150630P213.5")</f>
        <v>N/A</v>
      </c>
      <c r="U366" t="str">
        <f>RTD("tos.rtd", , "VEGA", ".SPY150630P213.5")</f>
        <v>N/A</v>
      </c>
      <c r="V366" t="str">
        <f>RTD("tos.rtd", , "RHO", ".SPY150630P213.5")</f>
        <v>N/A</v>
      </c>
    </row>
    <row r="367" spans="1:22" x14ac:dyDescent="0.25">
      <c r="A367">
        <f>RTD("tos.rtd", , "ASK", ".SPY150630C214")</f>
        <v>2.41</v>
      </c>
      <c r="B367">
        <f>RTD("tos.rtd", , "ASK_SIZE", ".SPY150630C214")</f>
        <v>111</v>
      </c>
      <c r="C367">
        <f>RTD("tos.rtd", , "BID", ".SPY150630C214")</f>
        <v>2.36</v>
      </c>
      <c r="D367">
        <f>RTD("tos.rtd", , "BID_SIZE", ".SPY150630C214")</f>
        <v>492</v>
      </c>
      <c r="E367">
        <f>RTD("tos.rtd", , "VOLUME", ".SPY150630C214")</f>
        <v>369</v>
      </c>
      <c r="F367">
        <f>RTD("tos.rtd", , "OPEN_INT", ".SPY150630C214")</f>
        <v>1511</v>
      </c>
      <c r="G367">
        <f>RTD("tos.rtd", , "DELTA", ".SPY150630C214")</f>
        <v>0.38081999999999999</v>
      </c>
      <c r="H367">
        <f>RTD("tos.rtd", , "THETA", ".SPY150630C214")</f>
        <v>-2.699E-2</v>
      </c>
      <c r="I367">
        <f>RTD("tos.rtd", , "GAMMA", ".SPY150630C214")</f>
        <v>4.1590000000000002E-2</v>
      </c>
      <c r="J367">
        <f>RTD("tos.rtd", , "VEGA", ".SPY150630C214")</f>
        <v>0.32033</v>
      </c>
      <c r="K367">
        <f>RTD("tos.rtd", , "RHO", ".SPY150630C214")</f>
        <v>0.11864</v>
      </c>
      <c r="L367">
        <f>RTD("tos.rtd", , "ASK", ".SPY150630P214")</f>
        <v>5.78</v>
      </c>
      <c r="M367">
        <f>RTD("tos.rtd", , "ASK_SIZE", ".SPY150630P214")</f>
        <v>249</v>
      </c>
      <c r="N367">
        <f>RTD("tos.rtd", , "BID", ".SPY150630P214")</f>
        <v>5.61</v>
      </c>
      <c r="O367">
        <f>RTD("tos.rtd", , "BID_SIZE", ".SPY150630P214")</f>
        <v>240</v>
      </c>
      <c r="P367">
        <f>RTD("tos.rtd", , "VOLUME", ".SPY150630P214")</f>
        <v>9</v>
      </c>
      <c r="Q367">
        <f>RTD("tos.rtd", , "OPEN_INT", ".SPY150630P214")</f>
        <v>72</v>
      </c>
      <c r="R367">
        <f>RTD("tos.rtd", , "DELTA", ".SPY150630P214")</f>
        <v>-0.60882999999999998</v>
      </c>
      <c r="S367">
        <f>RTD("tos.rtd", , "THETA", ".SPY150630P214")</f>
        <v>-3.7960000000000001E-2</v>
      </c>
      <c r="T367">
        <f>RTD("tos.rtd", , "GAMMA", ".SPY150630P214")</f>
        <v>3.8429999999999999E-2</v>
      </c>
      <c r="U367">
        <f>RTD("tos.rtd", , "VEGA", ".SPY150630P214")</f>
        <v>0.32235999999999998</v>
      </c>
      <c r="V367">
        <f>RTD("tos.rtd", , "RHO", ".SPY150630P214")</f>
        <v>-0.21331</v>
      </c>
    </row>
    <row r="368" spans="1:22" x14ac:dyDescent="0.25">
      <c r="A368" t="str">
        <f>RTD("tos.rtd", , "ASK", ".SPY150630C214.5")</f>
        <v>N/A</v>
      </c>
      <c r="B368" t="str">
        <f>RTD("tos.rtd", , "ASK_SIZE", ".SPY150630C214.5")</f>
        <v>N/A</v>
      </c>
      <c r="C368" t="str">
        <f>RTD("tos.rtd", , "BID", ".SPY150630C214.5")</f>
        <v>N/A</v>
      </c>
      <c r="D368" t="str">
        <f>RTD("tos.rtd", , "BID_SIZE", ".SPY150630C214.5")</f>
        <v>N/A</v>
      </c>
      <c r="E368" t="str">
        <f>RTD("tos.rtd", , "VOLUME", ".SPY150630C214.5")</f>
        <v>N/A</v>
      </c>
      <c r="F368" t="str">
        <f>RTD("tos.rtd", , "OPEN_INT", ".SPY150630C214.5")</f>
        <v>N/A</v>
      </c>
      <c r="G368" t="str">
        <f>RTD("tos.rtd", , "DELTA", ".SPY150630C214.5")</f>
        <v>N/A</v>
      </c>
      <c r="H368" t="str">
        <f>RTD("tos.rtd", , "THETA", ".SPY150630C214.5")</f>
        <v>N/A</v>
      </c>
      <c r="I368" t="str">
        <f>RTD("tos.rtd", , "GAMMA", ".SPY150630C214.5")</f>
        <v>N/A</v>
      </c>
      <c r="J368" t="str">
        <f>RTD("tos.rtd", , "VEGA", ".SPY150630C214.5")</f>
        <v>N/A</v>
      </c>
      <c r="K368" t="str">
        <f>RTD("tos.rtd", , "RHO", ".SPY150630C214.5")</f>
        <v>N/A</v>
      </c>
      <c r="L368" t="str">
        <f>RTD("tos.rtd", , "ASK", ".SPY150630P214.5")</f>
        <v>N/A</v>
      </c>
      <c r="M368" t="str">
        <f>RTD("tos.rtd", , "ASK_SIZE", ".SPY150630P214.5")</f>
        <v>N/A</v>
      </c>
      <c r="N368" t="str">
        <f>RTD("tos.rtd", , "BID", ".SPY150630P214.5")</f>
        <v>N/A</v>
      </c>
      <c r="O368" t="str">
        <f>RTD("tos.rtd", , "BID_SIZE", ".SPY150630P214.5")</f>
        <v>N/A</v>
      </c>
      <c r="P368" t="str">
        <f>RTD("tos.rtd", , "VOLUME", ".SPY150630P214.5")</f>
        <v>N/A</v>
      </c>
      <c r="Q368" t="str">
        <f>RTD("tos.rtd", , "OPEN_INT", ".SPY150630P214.5")</f>
        <v>N/A</v>
      </c>
      <c r="R368" t="str">
        <f>RTD("tos.rtd", , "DELTA", ".SPY150630P214.5")</f>
        <v>N/A</v>
      </c>
      <c r="S368" t="str">
        <f>RTD("tos.rtd", , "THETA", ".SPY150630P214.5")</f>
        <v>N/A</v>
      </c>
      <c r="T368" t="str">
        <f>RTD("tos.rtd", , "GAMMA", ".SPY150630P214.5")</f>
        <v>N/A</v>
      </c>
      <c r="U368" t="str">
        <f>RTD("tos.rtd", , "VEGA", ".SPY150630P214.5")</f>
        <v>N/A</v>
      </c>
      <c r="V368" t="str">
        <f>RTD("tos.rtd", , "RHO", ".SPY150630P214.5")</f>
        <v>N/A</v>
      </c>
    </row>
    <row r="369" spans="1:22" x14ac:dyDescent="0.25">
      <c r="A369">
        <f>RTD("tos.rtd", , "ASK", ".SPY150630C215")</f>
        <v>1.94</v>
      </c>
      <c r="B369">
        <f>RTD("tos.rtd", , "ASK_SIZE", ".SPY150630C215")</f>
        <v>100</v>
      </c>
      <c r="C369">
        <f>RTD("tos.rtd", , "BID", ".SPY150630C215")</f>
        <v>1.9</v>
      </c>
      <c r="D369">
        <f>RTD("tos.rtd", , "BID_SIZE", ".SPY150630C215")</f>
        <v>150</v>
      </c>
      <c r="E369">
        <f>RTD("tos.rtd", , "VOLUME", ".SPY150630C215")</f>
        <v>831</v>
      </c>
      <c r="F369">
        <f>RTD("tos.rtd", , "OPEN_INT", ".SPY150630C215")</f>
        <v>60276</v>
      </c>
      <c r="G369">
        <f>RTD("tos.rtd", , "DELTA", ".SPY150630C215")</f>
        <v>0.33450000000000002</v>
      </c>
      <c r="H369">
        <f>RTD("tos.rtd", , "THETA", ".SPY150630C215")</f>
        <v>-2.5000000000000001E-2</v>
      </c>
      <c r="I369">
        <f>RTD("tos.rtd", , "GAMMA", ".SPY150630C215")</f>
        <v>4.1119999999999997E-2</v>
      </c>
      <c r="J369">
        <f>RTD("tos.rtd", , "VEGA", ".SPY150630C215")</f>
        <v>0.30634</v>
      </c>
      <c r="K369">
        <f>RTD("tos.rtd", , "RHO", ".SPY150630C215")</f>
        <v>0.10535</v>
      </c>
      <c r="L369">
        <f>RTD("tos.rtd", , "ASK", ".SPY150630P215")</f>
        <v>6.35</v>
      </c>
      <c r="M369">
        <f>RTD("tos.rtd", , "ASK_SIZE", ".SPY150630P215")</f>
        <v>249</v>
      </c>
      <c r="N369">
        <f>RTD("tos.rtd", , "BID", ".SPY150630P215")</f>
        <v>6.16</v>
      </c>
      <c r="O369">
        <f>RTD("tos.rtd", , "BID_SIZE", ".SPY150630P215")</f>
        <v>240</v>
      </c>
      <c r="P369">
        <f>RTD("tos.rtd", , "VOLUME", ".SPY150630P215")</f>
        <v>18</v>
      </c>
      <c r="Q369">
        <f>RTD("tos.rtd", , "OPEN_INT", ".SPY150630P215")</f>
        <v>613</v>
      </c>
      <c r="R369">
        <f>RTD("tos.rtd", , "DELTA", ".SPY150630P215")</f>
        <v>-0.64986999999999995</v>
      </c>
      <c r="S369">
        <f>RTD("tos.rtd", , "THETA", ".SPY150630P215")</f>
        <v>-3.6420000000000001E-2</v>
      </c>
      <c r="T369">
        <f>RTD("tos.rtd", , "GAMMA", ".SPY150630P215")</f>
        <v>3.7929999999999998E-2</v>
      </c>
      <c r="U369">
        <f>RTD("tos.rtd", , "VEGA", ".SPY150630P215")</f>
        <v>0.31086000000000003</v>
      </c>
      <c r="V369">
        <f>RTD("tos.rtd", , "RHO", ".SPY150630P215")</f>
        <v>-0.22799</v>
      </c>
    </row>
    <row r="370" spans="1:22" x14ac:dyDescent="0.25">
      <c r="A370" t="str">
        <f>RTD("tos.rtd", , "ASK", ".SPY150630C215.5")</f>
        <v>N/A</v>
      </c>
      <c r="B370" t="str">
        <f>RTD("tos.rtd", , "ASK_SIZE", ".SPY150630C215.5")</f>
        <v>N/A</v>
      </c>
      <c r="C370" t="str">
        <f>RTD("tos.rtd", , "BID", ".SPY150630C215.5")</f>
        <v>N/A</v>
      </c>
      <c r="D370" t="str">
        <f>RTD("tos.rtd", , "BID_SIZE", ".SPY150630C215.5")</f>
        <v>N/A</v>
      </c>
      <c r="E370" t="str">
        <f>RTD("tos.rtd", , "VOLUME", ".SPY150630C215.5")</f>
        <v>N/A</v>
      </c>
      <c r="F370" t="str">
        <f>RTD("tos.rtd", , "OPEN_INT", ".SPY150630C215.5")</f>
        <v>N/A</v>
      </c>
      <c r="G370" t="str">
        <f>RTD("tos.rtd", , "DELTA", ".SPY150630C215.5")</f>
        <v>N/A</v>
      </c>
      <c r="H370" t="str">
        <f>RTD("tos.rtd", , "THETA", ".SPY150630C215.5")</f>
        <v>N/A</v>
      </c>
      <c r="I370" t="str">
        <f>RTD("tos.rtd", , "GAMMA", ".SPY150630C215.5")</f>
        <v>N/A</v>
      </c>
      <c r="J370" t="str">
        <f>RTD("tos.rtd", , "VEGA", ".SPY150630C215.5")</f>
        <v>N/A</v>
      </c>
      <c r="K370" t="str">
        <f>RTD("tos.rtd", , "RHO", ".SPY150630C215.5")</f>
        <v>N/A</v>
      </c>
      <c r="L370" t="str">
        <f>RTD("tos.rtd", , "ASK", ".SPY150630P215.5")</f>
        <v>N/A</v>
      </c>
      <c r="M370" t="str">
        <f>RTD("tos.rtd", , "ASK_SIZE", ".SPY150630P215.5")</f>
        <v>N/A</v>
      </c>
      <c r="N370" t="str">
        <f>RTD("tos.rtd", , "BID", ".SPY150630P215.5")</f>
        <v>N/A</v>
      </c>
      <c r="O370" t="str">
        <f>RTD("tos.rtd", , "BID_SIZE", ".SPY150630P215.5")</f>
        <v>N/A</v>
      </c>
      <c r="P370" t="str">
        <f>RTD("tos.rtd", , "VOLUME", ".SPY150630P215.5")</f>
        <v>N/A</v>
      </c>
      <c r="Q370" t="str">
        <f>RTD("tos.rtd", , "OPEN_INT", ".SPY150630P215.5")</f>
        <v>N/A</v>
      </c>
      <c r="R370" t="str">
        <f>RTD("tos.rtd", , "DELTA", ".SPY150630P215.5")</f>
        <v>N/A</v>
      </c>
      <c r="S370" t="str">
        <f>RTD("tos.rtd", , "THETA", ".SPY150630P215.5")</f>
        <v>N/A</v>
      </c>
      <c r="T370" t="str">
        <f>RTD("tos.rtd", , "GAMMA", ".SPY150630P215.5")</f>
        <v>N/A</v>
      </c>
      <c r="U370" t="str">
        <f>RTD("tos.rtd", , "VEGA", ".SPY150630P215.5")</f>
        <v>N/A</v>
      </c>
      <c r="V370" t="str">
        <f>RTD("tos.rtd", , "RHO", ".SPY150630P215.5")</f>
        <v>N/A</v>
      </c>
    </row>
    <row r="371" spans="1:22" x14ac:dyDescent="0.25">
      <c r="A371">
        <f>RTD("tos.rtd", , "ASK", ".SPY150630C216")</f>
        <v>1.54</v>
      </c>
      <c r="B371">
        <f>RTD("tos.rtd", , "ASK_SIZE", ".SPY150630C216")</f>
        <v>2139</v>
      </c>
      <c r="C371">
        <f>RTD("tos.rtd", , "BID", ".SPY150630C216")</f>
        <v>1.49</v>
      </c>
      <c r="D371">
        <f>RTD("tos.rtd", , "BID_SIZE", ".SPY150630C216")</f>
        <v>150</v>
      </c>
      <c r="E371">
        <f>RTD("tos.rtd", , "VOLUME", ".SPY150630C216")</f>
        <v>75</v>
      </c>
      <c r="F371">
        <f>RTD("tos.rtd", , "OPEN_INT", ".SPY150630C216")</f>
        <v>3941</v>
      </c>
      <c r="G371">
        <f>RTD("tos.rtd", , "DELTA", ".SPY150630C216")</f>
        <v>0.28810999999999998</v>
      </c>
      <c r="H371">
        <f>RTD("tos.rtd", , "THETA", ".SPY150630C216")</f>
        <v>-2.2749999999999999E-2</v>
      </c>
      <c r="I371">
        <f>RTD("tos.rtd", , "GAMMA", ".SPY150630C216")</f>
        <v>3.984E-2</v>
      </c>
      <c r="J371">
        <f>RTD("tos.rtd", , "VEGA", ".SPY150630C216")</f>
        <v>0.28738000000000002</v>
      </c>
      <c r="K371">
        <f>RTD("tos.rtd", , "RHO", ".SPY150630C216")</f>
        <v>9.1619999999999993E-2</v>
      </c>
      <c r="L371">
        <f>RTD("tos.rtd", , "ASK", ".SPY150630P216")</f>
        <v>6.98</v>
      </c>
      <c r="M371">
        <f>RTD("tos.rtd", , "ASK_SIZE", ".SPY150630P216")</f>
        <v>240</v>
      </c>
      <c r="N371">
        <f>RTD("tos.rtd", , "BID", ".SPY150630P216")</f>
        <v>6.77</v>
      </c>
      <c r="O371">
        <f>RTD("tos.rtd", , "BID_SIZE", ".SPY150630P216")</f>
        <v>240</v>
      </c>
      <c r="P371">
        <f>RTD("tos.rtd", , "VOLUME", ".SPY150630P216")</f>
        <v>23</v>
      </c>
      <c r="Q371">
        <f>RTD("tos.rtd", , "OPEN_INT", ".SPY150630P216")</f>
        <v>428</v>
      </c>
      <c r="R371">
        <f>RTD("tos.rtd", , "DELTA", ".SPY150630P216")</f>
        <v>-0.69006999999999996</v>
      </c>
      <c r="S371">
        <f>RTD("tos.rtd", , "THETA", ".SPY150630P216")</f>
        <v>-3.4709999999999998E-2</v>
      </c>
      <c r="T371">
        <f>RTD("tos.rtd", , "GAMMA", ".SPY150630P216")</f>
        <v>3.6810000000000002E-2</v>
      </c>
      <c r="U371">
        <f>RTD("tos.rtd", , "VEGA", ".SPY150630P216")</f>
        <v>0.29588999999999999</v>
      </c>
      <c r="V371">
        <f>RTD("tos.rtd", , "RHO", ".SPY150630P216")</f>
        <v>-0.24246999999999999</v>
      </c>
    </row>
    <row r="372" spans="1:22" x14ac:dyDescent="0.25">
      <c r="A372" t="str">
        <f>RTD("tos.rtd", , "ASK", ".SPY150630C216.5")</f>
        <v>N/A</v>
      </c>
      <c r="B372" t="str">
        <f>RTD("tos.rtd", , "ASK_SIZE", ".SPY150630C216.5")</f>
        <v>N/A</v>
      </c>
      <c r="C372" t="str">
        <f>RTD("tos.rtd", , "BID", ".SPY150630C216.5")</f>
        <v>N/A</v>
      </c>
      <c r="D372" t="str">
        <f>RTD("tos.rtd", , "BID_SIZE", ".SPY150630C216.5")</f>
        <v>N/A</v>
      </c>
      <c r="E372" t="str">
        <f>RTD("tos.rtd", , "VOLUME", ".SPY150630C216.5")</f>
        <v>N/A</v>
      </c>
      <c r="F372" t="str">
        <f>RTD("tos.rtd", , "OPEN_INT", ".SPY150630C216.5")</f>
        <v>N/A</v>
      </c>
      <c r="G372" t="str">
        <f>RTD("tos.rtd", , "DELTA", ".SPY150630C216.5")</f>
        <v>N/A</v>
      </c>
      <c r="H372" t="str">
        <f>RTD("tos.rtd", , "THETA", ".SPY150630C216.5")</f>
        <v>N/A</v>
      </c>
      <c r="I372" t="str">
        <f>RTD("tos.rtd", , "GAMMA", ".SPY150630C216.5")</f>
        <v>N/A</v>
      </c>
      <c r="J372" t="str">
        <f>RTD("tos.rtd", , "VEGA", ".SPY150630C216.5")</f>
        <v>N/A</v>
      </c>
      <c r="K372" t="str">
        <f>RTD("tos.rtd", , "RHO", ".SPY150630C216.5")</f>
        <v>N/A</v>
      </c>
      <c r="L372" t="str">
        <f>RTD("tos.rtd", , "ASK", ".SPY150630P216.5")</f>
        <v>N/A</v>
      </c>
      <c r="M372" t="str">
        <f>RTD("tos.rtd", , "ASK_SIZE", ".SPY150630P216.5")</f>
        <v>N/A</v>
      </c>
      <c r="N372" t="str">
        <f>RTD("tos.rtd", , "BID", ".SPY150630P216.5")</f>
        <v>N/A</v>
      </c>
      <c r="O372" t="str">
        <f>RTD("tos.rtd", , "BID_SIZE", ".SPY150630P216.5")</f>
        <v>N/A</v>
      </c>
      <c r="P372" t="str">
        <f>RTD("tos.rtd", , "VOLUME", ".SPY150630P216.5")</f>
        <v>N/A</v>
      </c>
      <c r="Q372" t="str">
        <f>RTD("tos.rtd", , "OPEN_INT", ".SPY150630P216.5")</f>
        <v>N/A</v>
      </c>
      <c r="R372" t="str">
        <f>RTD("tos.rtd", , "DELTA", ".SPY150630P216.5")</f>
        <v>N/A</v>
      </c>
      <c r="S372" t="str">
        <f>RTD("tos.rtd", , "THETA", ".SPY150630P216.5")</f>
        <v>N/A</v>
      </c>
      <c r="T372" t="str">
        <f>RTD("tos.rtd", , "GAMMA", ".SPY150630P216.5")</f>
        <v>N/A</v>
      </c>
      <c r="U372" t="str">
        <f>RTD("tos.rtd", , "VEGA", ".SPY150630P216.5")</f>
        <v>N/A</v>
      </c>
      <c r="V372" t="str">
        <f>RTD("tos.rtd", , "RHO", ".SPY150630P216.5")</f>
        <v>N/A</v>
      </c>
    </row>
    <row r="373" spans="1:22" x14ac:dyDescent="0.25">
      <c r="A373">
        <f>RTD("tos.rtd", , "ASK", ".SPY150630C217")</f>
        <v>1.19</v>
      </c>
      <c r="B373">
        <f>RTD("tos.rtd", , "ASK_SIZE", ".SPY150630C217")</f>
        <v>1832</v>
      </c>
      <c r="C373">
        <f>RTD("tos.rtd", , "BID", ".SPY150630C217")</f>
        <v>1.1399999999999999</v>
      </c>
      <c r="D373">
        <f>RTD("tos.rtd", , "BID_SIZE", ".SPY150630C217")</f>
        <v>460</v>
      </c>
      <c r="E373">
        <f>RTD("tos.rtd", , "VOLUME", ".SPY150630C217")</f>
        <v>86</v>
      </c>
      <c r="F373">
        <f>RTD("tos.rtd", , "OPEN_INT", ".SPY150630C217")</f>
        <v>4158</v>
      </c>
      <c r="G373">
        <f>RTD("tos.rtd", , "DELTA", ".SPY150630C217")</f>
        <v>0.24245</v>
      </c>
      <c r="H373">
        <f>RTD("tos.rtd", , "THETA", ".SPY150630C217")</f>
        <v>-2.0219999999999998E-2</v>
      </c>
      <c r="I373">
        <f>RTD("tos.rtd", , "GAMMA", ".SPY150630C217")</f>
        <v>3.7749999999999999E-2</v>
      </c>
      <c r="J373">
        <f>RTD("tos.rtd", , "VEGA", ".SPY150630C217")</f>
        <v>0.26354</v>
      </c>
      <c r="K373">
        <f>RTD("tos.rtd", , "RHO", ".SPY150630C217")</f>
        <v>7.7759999999999996E-2</v>
      </c>
      <c r="L373">
        <f>RTD("tos.rtd", , "ASK", ".SPY150630P217")</f>
        <v>7.66</v>
      </c>
      <c r="M373">
        <f>RTD("tos.rtd", , "ASK_SIZE", ".SPY150630P217")</f>
        <v>190</v>
      </c>
      <c r="N373">
        <f>RTD("tos.rtd", , "BID", ".SPY150630P217")</f>
        <v>7.47</v>
      </c>
      <c r="O373">
        <f>RTD("tos.rtd", , "BID_SIZE", ".SPY150630P217")</f>
        <v>261</v>
      </c>
      <c r="P373">
        <f>RTD("tos.rtd", , "VOLUME", ".SPY150630P217")</f>
        <v>7</v>
      </c>
      <c r="Q373">
        <f>RTD("tos.rtd", , "OPEN_INT", ".SPY150630P217")</f>
        <v>221</v>
      </c>
      <c r="R373">
        <f>RTD("tos.rtd", , "DELTA", ".SPY150630P217")</f>
        <v>-0.72746</v>
      </c>
      <c r="S373">
        <f>RTD("tos.rtd", , "THETA", ".SPY150630P217")</f>
        <v>-3.304E-2</v>
      </c>
      <c r="T373">
        <f>RTD("tos.rtd", , "GAMMA", ".SPY150630P217")</f>
        <v>3.5009999999999999E-2</v>
      </c>
      <c r="U373">
        <f>RTD("tos.rtd", , "VEGA", ".SPY150630P217")</f>
        <v>0.27850999999999998</v>
      </c>
      <c r="V373">
        <f>RTD("tos.rtd", , "RHO", ".SPY150630P217")</f>
        <v>-0.25613000000000002</v>
      </c>
    </row>
    <row r="374" spans="1:22" x14ac:dyDescent="0.25">
      <c r="A374" t="str">
        <f>RTD("tos.rtd", , "ASK", ".SPY150630C217.5")</f>
        <v>N/A</v>
      </c>
      <c r="B374" t="str">
        <f>RTD("tos.rtd", , "ASK_SIZE", ".SPY150630C217.5")</f>
        <v>N/A</v>
      </c>
      <c r="C374" t="str">
        <f>RTD("tos.rtd", , "BID", ".SPY150630C217.5")</f>
        <v>N/A</v>
      </c>
      <c r="D374" t="str">
        <f>RTD("tos.rtd", , "BID_SIZE", ".SPY150630C217.5")</f>
        <v>N/A</v>
      </c>
      <c r="E374" t="str">
        <f>RTD("tos.rtd", , "VOLUME", ".SPY150630C217.5")</f>
        <v>N/A</v>
      </c>
      <c r="F374" t="str">
        <f>RTD("tos.rtd", , "OPEN_INT", ".SPY150630C217.5")</f>
        <v>N/A</v>
      </c>
      <c r="G374" t="str">
        <f>RTD("tos.rtd", , "DELTA", ".SPY150630C217.5")</f>
        <v>N/A</v>
      </c>
      <c r="H374" t="str">
        <f>RTD("tos.rtd", , "THETA", ".SPY150630C217.5")</f>
        <v>N/A</v>
      </c>
      <c r="I374" t="str">
        <f>RTD("tos.rtd", , "GAMMA", ".SPY150630C217.5")</f>
        <v>N/A</v>
      </c>
      <c r="J374" t="str">
        <f>RTD("tos.rtd", , "VEGA", ".SPY150630C217.5")</f>
        <v>N/A</v>
      </c>
      <c r="K374" t="str">
        <f>RTD("tos.rtd", , "RHO", ".SPY150630C217.5")</f>
        <v>N/A</v>
      </c>
      <c r="L374" t="str">
        <f>RTD("tos.rtd", , "ASK", ".SPY150630P217.5")</f>
        <v>N/A</v>
      </c>
      <c r="M374" t="str">
        <f>RTD("tos.rtd", , "ASK_SIZE", ".SPY150630P217.5")</f>
        <v>N/A</v>
      </c>
      <c r="N374" t="str">
        <f>RTD("tos.rtd", , "BID", ".SPY150630P217.5")</f>
        <v>N/A</v>
      </c>
      <c r="O374" t="str">
        <f>RTD("tos.rtd", , "BID_SIZE", ".SPY150630P217.5")</f>
        <v>N/A</v>
      </c>
      <c r="P374" t="str">
        <f>RTD("tos.rtd", , "VOLUME", ".SPY150630P217.5")</f>
        <v>N/A</v>
      </c>
      <c r="Q374" t="str">
        <f>RTD("tos.rtd", , "OPEN_INT", ".SPY150630P217.5")</f>
        <v>N/A</v>
      </c>
      <c r="R374" t="str">
        <f>RTD("tos.rtd", , "DELTA", ".SPY150630P217.5")</f>
        <v>N/A</v>
      </c>
      <c r="S374" t="str">
        <f>RTD("tos.rtd", , "THETA", ".SPY150630P217.5")</f>
        <v>N/A</v>
      </c>
      <c r="T374" t="str">
        <f>RTD("tos.rtd", , "GAMMA", ".SPY150630P217.5")</f>
        <v>N/A</v>
      </c>
      <c r="U374" t="str">
        <f>RTD("tos.rtd", , "VEGA", ".SPY150630P217.5")</f>
        <v>N/A</v>
      </c>
      <c r="V374" t="str">
        <f>RTD("tos.rtd", , "RHO", ".SPY150630P217.5")</f>
        <v>N/A</v>
      </c>
    </row>
    <row r="375" spans="1:22" x14ac:dyDescent="0.25">
      <c r="A375">
        <f>RTD("tos.rtd", , "ASK", ".SPY150630C218")</f>
        <v>0.9</v>
      </c>
      <c r="B375">
        <f>RTD("tos.rtd", , "ASK_SIZE", ".SPY150630C218")</f>
        <v>2119</v>
      </c>
      <c r="C375">
        <f>RTD("tos.rtd", , "BID", ".SPY150630C218")</f>
        <v>0.85</v>
      </c>
      <c r="D375">
        <f>RTD("tos.rtd", , "BID_SIZE", ".SPY150630C218")</f>
        <v>2576</v>
      </c>
      <c r="E375">
        <f>RTD("tos.rtd", , "VOLUME", ".SPY150630C218")</f>
        <v>76</v>
      </c>
      <c r="F375">
        <f>RTD("tos.rtd", , "OPEN_INT", ".SPY150630C218")</f>
        <v>3360</v>
      </c>
      <c r="G375">
        <f>RTD("tos.rtd", , "DELTA", ".SPY150630C218")</f>
        <v>0.19914999999999999</v>
      </c>
      <c r="H375">
        <f>RTD("tos.rtd", , "THETA", ".SPY150630C218")</f>
        <v>-1.7569999999999999E-2</v>
      </c>
      <c r="I375">
        <f>RTD("tos.rtd", , "GAMMA", ".SPY150630C218")</f>
        <v>3.4810000000000001E-2</v>
      </c>
      <c r="J375">
        <f>RTD("tos.rtd", , "VEGA", ".SPY150630C218")</f>
        <v>0.23576</v>
      </c>
      <c r="K375">
        <f>RTD("tos.rtd", , "RHO", ".SPY150630C218")</f>
        <v>6.4339999999999994E-2</v>
      </c>
      <c r="L375">
        <f>RTD("tos.rtd", , "ASK", ".SPY150630P218")</f>
        <v>8.4</v>
      </c>
      <c r="M375">
        <f>RTD("tos.rtd", , "ASK_SIZE", ".SPY150630P218")</f>
        <v>249</v>
      </c>
      <c r="N375">
        <f>RTD("tos.rtd", , "BID", ".SPY150630P218")</f>
        <v>8.16</v>
      </c>
      <c r="O375">
        <f>RTD("tos.rtd", , "BID_SIZE", ".SPY150630P218")</f>
        <v>240</v>
      </c>
      <c r="P375">
        <f>RTD("tos.rtd", , "VOLUME", ".SPY150630P218")</f>
        <v>4</v>
      </c>
      <c r="Q375">
        <f>RTD("tos.rtd", , "OPEN_INT", ".SPY150630P218")</f>
        <v>179</v>
      </c>
      <c r="R375">
        <f>RTD("tos.rtd", , "DELTA", ".SPY150630P218")</f>
        <v>-0.76409000000000005</v>
      </c>
      <c r="S375">
        <f>RTD("tos.rtd", , "THETA", ".SPY150630P218")</f>
        <v>-3.1E-2</v>
      </c>
      <c r="T375">
        <f>RTD("tos.rtd", , "GAMMA", ".SPY150630P218")</f>
        <v>3.2919999999999998E-2</v>
      </c>
      <c r="U375">
        <f>RTD("tos.rtd", , "VEGA", ".SPY150630P218")</f>
        <v>0.25802999999999998</v>
      </c>
      <c r="V375">
        <f>RTD("tos.rtd", , "RHO", ".SPY150630P218")</f>
        <v>-0.26956999999999998</v>
      </c>
    </row>
    <row r="376" spans="1:22" x14ac:dyDescent="0.25">
      <c r="A376" t="str">
        <f>RTD("tos.rtd", , "ASK", ".SPY150630C218.5")</f>
        <v>N/A</v>
      </c>
      <c r="B376" t="str">
        <f>RTD("tos.rtd", , "ASK_SIZE", ".SPY150630C218.5")</f>
        <v>N/A</v>
      </c>
      <c r="C376" t="str">
        <f>RTD("tos.rtd", , "BID", ".SPY150630C218.5")</f>
        <v>N/A</v>
      </c>
      <c r="D376" t="str">
        <f>RTD("tos.rtd", , "BID_SIZE", ".SPY150630C218.5")</f>
        <v>N/A</v>
      </c>
      <c r="E376" t="str">
        <f>RTD("tos.rtd", , "VOLUME", ".SPY150630C218.5")</f>
        <v>N/A</v>
      </c>
      <c r="F376" t="str">
        <f>RTD("tos.rtd", , "OPEN_INT", ".SPY150630C218.5")</f>
        <v>N/A</v>
      </c>
      <c r="G376" t="str">
        <f>RTD("tos.rtd", , "DELTA", ".SPY150630C218.5")</f>
        <v>N/A</v>
      </c>
      <c r="H376" t="str">
        <f>RTD("tos.rtd", , "THETA", ".SPY150630C218.5")</f>
        <v>N/A</v>
      </c>
      <c r="I376" t="str">
        <f>RTD("tos.rtd", , "GAMMA", ".SPY150630C218.5")</f>
        <v>N/A</v>
      </c>
      <c r="J376" t="str">
        <f>RTD("tos.rtd", , "VEGA", ".SPY150630C218.5")</f>
        <v>N/A</v>
      </c>
      <c r="K376" t="str">
        <f>RTD("tos.rtd", , "RHO", ".SPY150630C218.5")</f>
        <v>N/A</v>
      </c>
      <c r="L376" t="str">
        <f>RTD("tos.rtd", , "ASK", ".SPY150630P218.5")</f>
        <v>N/A</v>
      </c>
      <c r="M376" t="str">
        <f>RTD("tos.rtd", , "ASK_SIZE", ".SPY150630P218.5")</f>
        <v>N/A</v>
      </c>
      <c r="N376" t="str">
        <f>RTD("tos.rtd", , "BID", ".SPY150630P218.5")</f>
        <v>N/A</v>
      </c>
      <c r="O376" t="str">
        <f>RTD("tos.rtd", , "BID_SIZE", ".SPY150630P218.5")</f>
        <v>N/A</v>
      </c>
      <c r="P376" t="str">
        <f>RTD("tos.rtd", , "VOLUME", ".SPY150630P218.5")</f>
        <v>N/A</v>
      </c>
      <c r="Q376" t="str">
        <f>RTD("tos.rtd", , "OPEN_INT", ".SPY150630P218.5")</f>
        <v>N/A</v>
      </c>
      <c r="R376" t="str">
        <f>RTD("tos.rtd", , "DELTA", ".SPY150630P218.5")</f>
        <v>N/A</v>
      </c>
      <c r="S376" t="str">
        <f>RTD("tos.rtd", , "THETA", ".SPY150630P218.5")</f>
        <v>N/A</v>
      </c>
      <c r="T376" t="str">
        <f>RTD("tos.rtd", , "GAMMA", ".SPY150630P218.5")</f>
        <v>N/A</v>
      </c>
      <c r="U376" t="str">
        <f>RTD("tos.rtd", , "VEGA", ".SPY150630P218.5")</f>
        <v>N/A</v>
      </c>
      <c r="V376" t="str">
        <f>RTD("tos.rtd", , "RHO", ".SPY150630P218.5")</f>
        <v>N/A</v>
      </c>
    </row>
    <row r="377" spans="1:22" x14ac:dyDescent="0.25">
      <c r="A377">
        <f>RTD("tos.rtd", , "ASK", ".SPY150630C219")</f>
        <v>0.67</v>
      </c>
      <c r="B377">
        <f>RTD("tos.rtd", , "ASK_SIZE", ".SPY150630C219")</f>
        <v>2514</v>
      </c>
      <c r="C377">
        <f>RTD("tos.rtd", , "BID", ".SPY150630C219")</f>
        <v>0.62</v>
      </c>
      <c r="D377">
        <f>RTD("tos.rtd", , "BID_SIZE", ".SPY150630C219")</f>
        <v>2722</v>
      </c>
      <c r="E377">
        <f>RTD("tos.rtd", , "VOLUME", ".SPY150630C219")</f>
        <v>25</v>
      </c>
      <c r="F377">
        <f>RTD("tos.rtd", , "OPEN_INT", ".SPY150630C219")</f>
        <v>7535</v>
      </c>
      <c r="G377">
        <f>RTD("tos.rtd", , "DELTA", ".SPY150630C219")</f>
        <v>0.15995999999999999</v>
      </c>
      <c r="H377">
        <f>RTD("tos.rtd", , "THETA", ".SPY150630C219")</f>
        <v>-1.4959999999999999E-2</v>
      </c>
      <c r="I377">
        <f>RTD("tos.rtd", , "GAMMA", ".SPY150630C219")</f>
        <v>3.1179999999999999E-2</v>
      </c>
      <c r="J377">
        <f>RTD("tos.rtd", , "VEGA", ".SPY150630C219")</f>
        <v>0.20574000000000001</v>
      </c>
      <c r="K377">
        <f>RTD("tos.rtd", , "RHO", ".SPY150630C219")</f>
        <v>5.1999999999999998E-2</v>
      </c>
      <c r="L377">
        <f>RTD("tos.rtd", , "ASK", ".SPY150630P219")</f>
        <v>9.1999999999999993</v>
      </c>
      <c r="M377">
        <f>RTD("tos.rtd", , "ASK_SIZE", ".SPY150630P219")</f>
        <v>190</v>
      </c>
      <c r="N377">
        <f>RTD("tos.rtd", , "BID", ".SPY150630P219")</f>
        <v>8.9600000000000009</v>
      </c>
      <c r="O377">
        <f>RTD("tos.rtd", , "BID_SIZE", ".SPY150630P219")</f>
        <v>240</v>
      </c>
      <c r="P377">
        <f>RTD("tos.rtd", , "VOLUME", ".SPY150630P219")</f>
        <v>4</v>
      </c>
      <c r="Q377">
        <f>RTD("tos.rtd", , "OPEN_INT", ".SPY150630P219")</f>
        <v>314</v>
      </c>
      <c r="R377">
        <f>RTD("tos.rtd", , "DELTA", ".SPY150630P219")</f>
        <v>-0.79420000000000002</v>
      </c>
      <c r="S377">
        <f>RTD("tos.rtd", , "THETA", ".SPY150630P219")</f>
        <v>-2.945E-2</v>
      </c>
      <c r="T377">
        <f>RTD("tos.rtd", , "GAMMA", ".SPY150630P219")</f>
        <v>3.0329999999999999E-2</v>
      </c>
      <c r="U377">
        <f>RTD("tos.rtd", , "VEGA", ".SPY150630P219")</f>
        <v>0.23843</v>
      </c>
      <c r="V377">
        <f>RTD("tos.rtd", , "RHO", ".SPY150630P219")</f>
        <v>-0.28095999999999999</v>
      </c>
    </row>
    <row r="378" spans="1:22" x14ac:dyDescent="0.25">
      <c r="A378" t="str">
        <f>RTD("tos.rtd", , "ASK", ".SPY150630C219.5")</f>
        <v>N/A</v>
      </c>
      <c r="B378" t="str">
        <f>RTD("tos.rtd", , "ASK_SIZE", ".SPY150630C219.5")</f>
        <v>N/A</v>
      </c>
      <c r="C378" t="str">
        <f>RTD("tos.rtd", , "BID", ".SPY150630C219.5")</f>
        <v>N/A</v>
      </c>
      <c r="D378" t="str">
        <f>RTD("tos.rtd", , "BID_SIZE", ".SPY150630C219.5")</f>
        <v>N/A</v>
      </c>
      <c r="E378" t="str">
        <f>RTD("tos.rtd", , "VOLUME", ".SPY150630C219.5")</f>
        <v>N/A</v>
      </c>
      <c r="F378" t="str">
        <f>RTD("tos.rtd", , "OPEN_INT", ".SPY150630C219.5")</f>
        <v>N/A</v>
      </c>
      <c r="G378" t="str">
        <f>RTD("tos.rtd", , "DELTA", ".SPY150630C219.5")</f>
        <v>N/A</v>
      </c>
      <c r="H378" t="str">
        <f>RTD("tos.rtd", , "THETA", ".SPY150630C219.5")</f>
        <v>N/A</v>
      </c>
      <c r="I378" t="str">
        <f>RTD("tos.rtd", , "GAMMA", ".SPY150630C219.5")</f>
        <v>N/A</v>
      </c>
      <c r="J378" t="str">
        <f>RTD("tos.rtd", , "VEGA", ".SPY150630C219.5")</f>
        <v>N/A</v>
      </c>
      <c r="K378" t="str">
        <f>RTD("tos.rtd", , "RHO", ".SPY150630C219.5")</f>
        <v>N/A</v>
      </c>
      <c r="L378" t="str">
        <f>RTD("tos.rtd", , "ASK", ".SPY150630P219.5")</f>
        <v>N/A</v>
      </c>
      <c r="M378" t="str">
        <f>RTD("tos.rtd", , "ASK_SIZE", ".SPY150630P219.5")</f>
        <v>N/A</v>
      </c>
      <c r="N378" t="str">
        <f>RTD("tos.rtd", , "BID", ".SPY150630P219.5")</f>
        <v>N/A</v>
      </c>
      <c r="O378" t="str">
        <f>RTD("tos.rtd", , "BID_SIZE", ".SPY150630P219.5")</f>
        <v>N/A</v>
      </c>
      <c r="P378" t="str">
        <f>RTD("tos.rtd", , "VOLUME", ".SPY150630P219.5")</f>
        <v>N/A</v>
      </c>
      <c r="Q378" t="str">
        <f>RTD("tos.rtd", , "OPEN_INT", ".SPY150630P219.5")</f>
        <v>N/A</v>
      </c>
      <c r="R378" t="str">
        <f>RTD("tos.rtd", , "DELTA", ".SPY150630P219.5")</f>
        <v>N/A</v>
      </c>
      <c r="S378" t="str">
        <f>RTD("tos.rtd", , "THETA", ".SPY150630P219.5")</f>
        <v>N/A</v>
      </c>
      <c r="T378" t="str">
        <f>RTD("tos.rtd", , "GAMMA", ".SPY150630P219.5")</f>
        <v>N/A</v>
      </c>
      <c r="U378" t="str">
        <f>RTD("tos.rtd", , "VEGA", ".SPY150630P219.5")</f>
        <v>N/A</v>
      </c>
      <c r="V378" t="str">
        <f>RTD("tos.rtd", , "RHO", ".SPY150630P219.5")</f>
        <v>N/A</v>
      </c>
    </row>
    <row r="379" spans="1:22" x14ac:dyDescent="0.25">
      <c r="A379" t="s">
        <v>9</v>
      </c>
      <c r="B379">
        <v>40</v>
      </c>
    </row>
    <row r="380" spans="1:22" x14ac:dyDescent="0.25">
      <c r="A380">
        <f>RTD("tos.rtd", ,"LAST", "SPY")</f>
        <v>211.32</v>
      </c>
    </row>
    <row r="381" spans="1:22" x14ac:dyDescent="0.25">
      <c r="A381">
        <f>RTD("tos.rtd", , "ASK", ".SPY150717C200")</f>
        <v>13.18</v>
      </c>
      <c r="B381">
        <f>RTD("tos.rtd", , "ASK_SIZE", ".SPY150717C200")</f>
        <v>160</v>
      </c>
      <c r="C381">
        <f>RTD("tos.rtd", , "BID", ".SPY150717C200")</f>
        <v>12.99</v>
      </c>
      <c r="D381">
        <f>RTD("tos.rtd", , "BID_SIZE", ".SPY150717C200")</f>
        <v>139</v>
      </c>
      <c r="E381">
        <f>RTD("tos.rtd", , "VOLUME", ".SPY150717C200")</f>
        <v>87</v>
      </c>
      <c r="F381">
        <f>RTD("tos.rtd", , "OPEN_INT", ".SPY150717C200")</f>
        <v>807</v>
      </c>
      <c r="G381">
        <f>RTD("tos.rtd", , "DELTA", ".SPY150717C200")</f>
        <v>0.77891999999999995</v>
      </c>
      <c r="H381">
        <f>RTD("tos.rtd", , "THETA", ".SPY150717C200")</f>
        <v>-2.5839999999999998E-2</v>
      </c>
      <c r="I381">
        <f>RTD("tos.rtd", , "GAMMA", ".SPY150717C200")</f>
        <v>2.0140000000000002E-2</v>
      </c>
      <c r="J381">
        <f>RTD("tos.rtd", , "VEGA", ".SPY150717C200")</f>
        <v>0.28158</v>
      </c>
      <c r="K381">
        <f>RTD("tos.rtd", , "RHO", ".SPY150717C200")</f>
        <v>0.23932999999999999</v>
      </c>
      <c r="L381">
        <f>RTD("tos.rtd", , "ASK", ".SPY150717P200")</f>
        <v>2.1800000000000002</v>
      </c>
      <c r="M381">
        <f>RTD("tos.rtd", , "ASK_SIZE", ".SPY150717P200")</f>
        <v>1700</v>
      </c>
      <c r="N381">
        <f>RTD("tos.rtd", , "BID", ".SPY150717P200")</f>
        <v>2.13</v>
      </c>
      <c r="O381">
        <f>RTD("tos.rtd", , "BID_SIZE", ".SPY150717P200")</f>
        <v>338</v>
      </c>
      <c r="P381">
        <f>RTD("tos.rtd", , "VOLUME", ".SPY150717P200")</f>
        <v>2033</v>
      </c>
      <c r="Q381">
        <f>RTD("tos.rtd", , "OPEN_INT", ".SPY150717P200")</f>
        <v>81718</v>
      </c>
      <c r="R381">
        <f>RTD("tos.rtd", , "DELTA", ".SPY150717P200")</f>
        <v>-0.22744</v>
      </c>
      <c r="S381">
        <f>RTD("tos.rtd", , "THETA", ".SPY150717P200")</f>
        <v>-3.3550000000000003E-2</v>
      </c>
      <c r="T381">
        <f>RTD("tos.rtd", , "GAMMA", ".SPY150717P200")</f>
        <v>1.915E-2</v>
      </c>
      <c r="U381">
        <f>RTD("tos.rtd", , "VEGA", ".SPY150717P200")</f>
        <v>0.28919</v>
      </c>
      <c r="V381">
        <f>RTD("tos.rtd", , "RHO", ".SPY150717P200")</f>
        <v>-0.10304000000000001</v>
      </c>
    </row>
    <row r="382" spans="1:22" x14ac:dyDescent="0.25">
      <c r="A382" t="str">
        <f>RTD("tos.rtd", , "ASK", ".SPY150717C200.5")</f>
        <v>N/A</v>
      </c>
      <c r="B382" t="str">
        <f>RTD("tos.rtd", , "ASK_SIZE", ".SPY150717C200.5")</f>
        <v>N/A</v>
      </c>
      <c r="C382" t="str">
        <f>RTD("tos.rtd", , "BID", ".SPY150717C200.5")</f>
        <v>N/A</v>
      </c>
      <c r="D382" t="str">
        <f>RTD("tos.rtd", , "BID_SIZE", ".SPY150717C200.5")</f>
        <v>N/A</v>
      </c>
      <c r="E382" t="str">
        <f>RTD("tos.rtd", , "VOLUME", ".SPY150717C200.5")</f>
        <v>N/A</v>
      </c>
      <c r="F382" t="str">
        <f>RTD("tos.rtd", , "OPEN_INT", ".SPY150717C200.5")</f>
        <v>N/A</v>
      </c>
      <c r="G382" t="str">
        <f>RTD("tos.rtd", , "DELTA", ".SPY150717C200.5")</f>
        <v>N/A</v>
      </c>
      <c r="H382" t="str">
        <f>RTD("tos.rtd", , "THETA", ".SPY150717C200.5")</f>
        <v>N/A</v>
      </c>
      <c r="I382" t="str">
        <f>RTD("tos.rtd", , "GAMMA", ".SPY150717C200.5")</f>
        <v>N/A</v>
      </c>
      <c r="J382" t="str">
        <f>RTD("tos.rtd", , "VEGA", ".SPY150717C200.5")</f>
        <v>N/A</v>
      </c>
      <c r="K382" t="str">
        <f>RTD("tos.rtd", , "RHO", ".SPY150717C200.5")</f>
        <v>N/A</v>
      </c>
      <c r="L382" t="str">
        <f>RTD("tos.rtd", , "ASK", ".SPY150717P200.5")</f>
        <v>N/A</v>
      </c>
      <c r="M382" t="str">
        <f>RTD("tos.rtd", , "ASK_SIZE", ".SPY150717P200.5")</f>
        <v>N/A</v>
      </c>
      <c r="N382" t="str">
        <f>RTD("tos.rtd", , "BID", ".SPY150717P200.5")</f>
        <v>N/A</v>
      </c>
      <c r="O382" t="str">
        <f>RTD("tos.rtd", , "BID_SIZE", ".SPY150717P200.5")</f>
        <v>N/A</v>
      </c>
      <c r="P382" t="str">
        <f>RTD("tos.rtd", , "VOLUME", ".SPY150717P200.5")</f>
        <v>N/A</v>
      </c>
      <c r="Q382" t="str">
        <f>RTD("tos.rtd", , "OPEN_INT", ".SPY150717P200.5")</f>
        <v>N/A</v>
      </c>
      <c r="R382" t="str">
        <f>RTD("tos.rtd", , "DELTA", ".SPY150717P200.5")</f>
        <v>N/A</v>
      </c>
      <c r="S382" t="str">
        <f>RTD("tos.rtd", , "THETA", ".SPY150717P200.5")</f>
        <v>N/A</v>
      </c>
      <c r="T382" t="str">
        <f>RTD("tos.rtd", , "GAMMA", ".SPY150717P200.5")</f>
        <v>N/A</v>
      </c>
      <c r="U382" t="str">
        <f>RTD("tos.rtd", , "VEGA", ".SPY150717P200.5")</f>
        <v>N/A</v>
      </c>
      <c r="V382" t="str">
        <f>RTD("tos.rtd", , "RHO", ".SPY150717P200.5")</f>
        <v>N/A</v>
      </c>
    </row>
    <row r="383" spans="1:22" x14ac:dyDescent="0.25">
      <c r="A383">
        <f>RTD("tos.rtd", , "ASK", ".SPY150717C201")</f>
        <v>12.32</v>
      </c>
      <c r="B383">
        <f>RTD("tos.rtd", , "ASK_SIZE", ".SPY150717C201")</f>
        <v>161</v>
      </c>
      <c r="C383">
        <f>RTD("tos.rtd", , "BID", ".SPY150717C201")</f>
        <v>12.14</v>
      </c>
      <c r="D383">
        <f>RTD("tos.rtd", , "BID_SIZE", ".SPY150717C201")</f>
        <v>111</v>
      </c>
      <c r="E383">
        <f>RTD("tos.rtd", , "VOLUME", ".SPY150717C201")</f>
        <v>4</v>
      </c>
      <c r="F383">
        <f>RTD("tos.rtd", , "OPEN_INT", ".SPY150717C201")</f>
        <v>784</v>
      </c>
      <c r="G383">
        <f>RTD("tos.rtd", , "DELTA", ".SPY150717C201")</f>
        <v>0.76205999999999996</v>
      </c>
      <c r="H383">
        <f>RTD("tos.rtd", , "THETA", ".SPY150717C201")</f>
        <v>-2.6450000000000001E-2</v>
      </c>
      <c r="I383">
        <f>RTD("tos.rtd", , "GAMMA", ".SPY150717C201")</f>
        <v>2.1350000000000001E-2</v>
      </c>
      <c r="J383">
        <f>RTD("tos.rtd", , "VEGA", ".SPY150717C201")</f>
        <v>0.29365000000000002</v>
      </c>
      <c r="K383">
        <f>RTD("tos.rtd", , "RHO", ".SPY150717C201")</f>
        <v>0.24021000000000001</v>
      </c>
      <c r="L383">
        <f>RTD("tos.rtd", , "ASK", ".SPY150717P201")</f>
        <v>2.36</v>
      </c>
      <c r="M383">
        <f>RTD("tos.rtd", , "ASK_SIZE", ".SPY150717P201")</f>
        <v>1816</v>
      </c>
      <c r="N383">
        <f>RTD("tos.rtd", , "BID", ".SPY150717P201")</f>
        <v>2.2999999999999998</v>
      </c>
      <c r="O383">
        <f>RTD("tos.rtd", , "BID_SIZE", ".SPY150717P201")</f>
        <v>240</v>
      </c>
      <c r="P383">
        <f>RTD("tos.rtd", , "VOLUME", ".SPY150717P201")</f>
        <v>537</v>
      </c>
      <c r="Q383">
        <f>RTD("tos.rtd", , "OPEN_INT", ".SPY150717P201")</f>
        <v>9813</v>
      </c>
      <c r="R383">
        <f>RTD("tos.rtd", , "DELTA", ".SPY150717P201")</f>
        <v>-0.24471999999999999</v>
      </c>
      <c r="S383">
        <f>RTD("tos.rtd", , "THETA", ".SPY150717P201")</f>
        <v>-3.4410000000000003E-2</v>
      </c>
      <c r="T383">
        <f>RTD("tos.rtd", , "GAMMA", ".SPY150717P201")</f>
        <v>2.0299999999999999E-2</v>
      </c>
      <c r="U383">
        <f>RTD("tos.rtd", , "VEGA", ".SPY150717P201")</f>
        <v>0.30099999999999999</v>
      </c>
      <c r="V383">
        <f>RTD("tos.rtd", , "RHO", ".SPY150717P201")</f>
        <v>-0.11089</v>
      </c>
    </row>
    <row r="384" spans="1:22" x14ac:dyDescent="0.25">
      <c r="A384" t="str">
        <f>RTD("tos.rtd", , "ASK", ".SPY150717C201.5")</f>
        <v>N/A</v>
      </c>
      <c r="B384" t="str">
        <f>RTD("tos.rtd", , "ASK_SIZE", ".SPY150717C201.5")</f>
        <v>N/A</v>
      </c>
      <c r="C384" t="str">
        <f>RTD("tos.rtd", , "BID", ".SPY150717C201.5")</f>
        <v>N/A</v>
      </c>
      <c r="D384" t="str">
        <f>RTD("tos.rtd", , "BID_SIZE", ".SPY150717C201.5")</f>
        <v>N/A</v>
      </c>
      <c r="E384" t="str">
        <f>RTD("tos.rtd", , "VOLUME", ".SPY150717C201.5")</f>
        <v>N/A</v>
      </c>
      <c r="F384" t="str">
        <f>RTD("tos.rtd", , "OPEN_INT", ".SPY150717C201.5")</f>
        <v>N/A</v>
      </c>
      <c r="G384" t="str">
        <f>RTD("tos.rtd", , "DELTA", ".SPY150717C201.5")</f>
        <v>N/A</v>
      </c>
      <c r="H384" t="str">
        <f>RTD("tos.rtd", , "THETA", ".SPY150717C201.5")</f>
        <v>N/A</v>
      </c>
      <c r="I384" t="str">
        <f>RTD("tos.rtd", , "GAMMA", ".SPY150717C201.5")</f>
        <v>N/A</v>
      </c>
      <c r="J384" t="str">
        <f>RTD("tos.rtd", , "VEGA", ".SPY150717C201.5")</f>
        <v>N/A</v>
      </c>
      <c r="K384" t="str">
        <f>RTD("tos.rtd", , "RHO", ".SPY150717C201.5")</f>
        <v>N/A</v>
      </c>
      <c r="L384" t="str">
        <f>RTD("tos.rtd", , "ASK", ".SPY150717P201.5")</f>
        <v>N/A</v>
      </c>
      <c r="M384" t="str">
        <f>RTD("tos.rtd", , "ASK_SIZE", ".SPY150717P201.5")</f>
        <v>N/A</v>
      </c>
      <c r="N384" t="str">
        <f>RTD("tos.rtd", , "BID", ".SPY150717P201.5")</f>
        <v>N/A</v>
      </c>
      <c r="O384" t="str">
        <f>RTD("tos.rtd", , "BID_SIZE", ".SPY150717P201.5")</f>
        <v>N/A</v>
      </c>
      <c r="P384" t="str">
        <f>RTD("tos.rtd", , "VOLUME", ".SPY150717P201.5")</f>
        <v>N/A</v>
      </c>
      <c r="Q384" t="str">
        <f>RTD("tos.rtd", , "OPEN_INT", ".SPY150717P201.5")</f>
        <v>N/A</v>
      </c>
      <c r="R384" t="str">
        <f>RTD("tos.rtd", , "DELTA", ".SPY150717P201.5")</f>
        <v>N/A</v>
      </c>
      <c r="S384" t="str">
        <f>RTD("tos.rtd", , "THETA", ".SPY150717P201.5")</f>
        <v>N/A</v>
      </c>
      <c r="T384" t="str">
        <f>RTD("tos.rtd", , "GAMMA", ".SPY150717P201.5")</f>
        <v>N/A</v>
      </c>
      <c r="U384" t="str">
        <f>RTD("tos.rtd", , "VEGA", ".SPY150717P201.5")</f>
        <v>N/A</v>
      </c>
      <c r="V384" t="str">
        <f>RTD("tos.rtd", , "RHO", ".SPY150717P201.5")</f>
        <v>N/A</v>
      </c>
    </row>
    <row r="385" spans="1:22" x14ac:dyDescent="0.25">
      <c r="A385">
        <f>RTD("tos.rtd", , "ASK", ".SPY150717C202")</f>
        <v>11.56</v>
      </c>
      <c r="B385">
        <f>RTD("tos.rtd", , "ASK_SIZE", ".SPY150717C202")</f>
        <v>120</v>
      </c>
      <c r="C385">
        <f>RTD("tos.rtd", , "BID", ".SPY150717C202")</f>
        <v>11.28</v>
      </c>
      <c r="D385">
        <f>RTD("tos.rtd", , "BID_SIZE", ".SPY150717C202")</f>
        <v>120</v>
      </c>
      <c r="E385">
        <f>RTD("tos.rtd", , "VOLUME", ".SPY150717C202")</f>
        <v>8</v>
      </c>
      <c r="F385">
        <f>RTD("tos.rtd", , "OPEN_INT", ".SPY150717C202")</f>
        <v>1015</v>
      </c>
      <c r="G385">
        <f>RTD("tos.rtd", , "DELTA", ".SPY150717C202")</f>
        <v>0.74258000000000002</v>
      </c>
      <c r="H385">
        <f>RTD("tos.rtd", , "THETA", ".SPY150717C202")</f>
        <v>-2.7289999999999998E-2</v>
      </c>
      <c r="I385">
        <f>RTD("tos.rtd", , "GAMMA", ".SPY150717C202")</f>
        <v>2.249E-2</v>
      </c>
      <c r="J385">
        <f>RTD("tos.rtd", , "VEGA", ".SPY150717C202")</f>
        <v>0.30649999999999999</v>
      </c>
      <c r="K385">
        <f>RTD("tos.rtd", , "RHO", ".SPY150717C202")</f>
        <v>0.24029</v>
      </c>
      <c r="L385">
        <f>RTD("tos.rtd", , "ASK", ".SPY150717P202")</f>
        <v>2.54</v>
      </c>
      <c r="M385">
        <f>RTD("tos.rtd", , "ASK_SIZE", ".SPY150717P202")</f>
        <v>1773</v>
      </c>
      <c r="N385">
        <f>RTD("tos.rtd", , "BID", ".SPY150717P202")</f>
        <v>2.4900000000000002</v>
      </c>
      <c r="O385">
        <f>RTD("tos.rtd", , "BID_SIZE", ".SPY150717P202")</f>
        <v>150</v>
      </c>
      <c r="P385">
        <f>RTD("tos.rtd", , "VOLUME", ".SPY150717P202")</f>
        <v>314</v>
      </c>
      <c r="Q385">
        <f>RTD("tos.rtd", , "OPEN_INT", ".SPY150717P202")</f>
        <v>9821</v>
      </c>
      <c r="R385">
        <f>RTD("tos.rtd", , "DELTA", ".SPY150717P202")</f>
        <v>-0.26305000000000001</v>
      </c>
      <c r="S385">
        <f>RTD("tos.rtd", , "THETA", ".SPY150717P202")</f>
        <v>-3.517E-2</v>
      </c>
      <c r="T385">
        <f>RTD("tos.rtd", , "GAMMA", ".SPY150717P202")</f>
        <v>2.1489999999999999E-2</v>
      </c>
      <c r="U385">
        <f>RTD("tos.rtd", , "VEGA", ".SPY150717P202")</f>
        <v>0.31253999999999998</v>
      </c>
      <c r="V385">
        <f>RTD("tos.rtd", , "RHO", ".SPY150717P202")</f>
        <v>-0.11922000000000001</v>
      </c>
    </row>
    <row r="386" spans="1:22" x14ac:dyDescent="0.25">
      <c r="A386" t="str">
        <f>RTD("tos.rtd", , "ASK", ".SPY150717C202.5")</f>
        <v>N/A</v>
      </c>
      <c r="B386" t="str">
        <f>RTD("tos.rtd", , "ASK_SIZE", ".SPY150717C202.5")</f>
        <v>N/A</v>
      </c>
      <c r="C386" t="str">
        <f>RTD("tos.rtd", , "BID", ".SPY150717C202.5")</f>
        <v>N/A</v>
      </c>
      <c r="D386" t="str">
        <f>RTD("tos.rtd", , "BID_SIZE", ".SPY150717C202.5")</f>
        <v>N/A</v>
      </c>
      <c r="E386" t="str">
        <f>RTD("tos.rtd", , "VOLUME", ".SPY150717C202.5")</f>
        <v>N/A</v>
      </c>
      <c r="F386" t="str">
        <f>RTD("tos.rtd", , "OPEN_INT", ".SPY150717C202.5")</f>
        <v>N/A</v>
      </c>
      <c r="G386" t="str">
        <f>RTD("tos.rtd", , "DELTA", ".SPY150717C202.5")</f>
        <v>N/A</v>
      </c>
      <c r="H386" t="str">
        <f>RTD("tos.rtd", , "THETA", ".SPY150717C202.5")</f>
        <v>N/A</v>
      </c>
      <c r="I386" t="str">
        <f>RTD("tos.rtd", , "GAMMA", ".SPY150717C202.5")</f>
        <v>N/A</v>
      </c>
      <c r="J386" t="str">
        <f>RTD("tos.rtd", , "VEGA", ".SPY150717C202.5")</f>
        <v>N/A</v>
      </c>
      <c r="K386" t="str">
        <f>RTD("tos.rtd", , "RHO", ".SPY150717C202.5")</f>
        <v>N/A</v>
      </c>
      <c r="L386" t="str">
        <f>RTD("tos.rtd", , "ASK", ".SPY150717P202.5")</f>
        <v>N/A</v>
      </c>
      <c r="M386" t="str">
        <f>RTD("tos.rtd", , "ASK_SIZE", ".SPY150717P202.5")</f>
        <v>N/A</v>
      </c>
      <c r="N386" t="str">
        <f>RTD("tos.rtd", , "BID", ".SPY150717P202.5")</f>
        <v>N/A</v>
      </c>
      <c r="O386" t="str">
        <f>RTD("tos.rtd", , "BID_SIZE", ".SPY150717P202.5")</f>
        <v>N/A</v>
      </c>
      <c r="P386" t="str">
        <f>RTD("tos.rtd", , "VOLUME", ".SPY150717P202.5")</f>
        <v>N/A</v>
      </c>
      <c r="Q386" t="str">
        <f>RTD("tos.rtd", , "OPEN_INT", ".SPY150717P202.5")</f>
        <v>N/A</v>
      </c>
      <c r="R386" t="str">
        <f>RTD("tos.rtd", , "DELTA", ".SPY150717P202.5")</f>
        <v>N/A</v>
      </c>
      <c r="S386" t="str">
        <f>RTD("tos.rtd", , "THETA", ".SPY150717P202.5")</f>
        <v>N/A</v>
      </c>
      <c r="T386" t="str">
        <f>RTD("tos.rtd", , "GAMMA", ".SPY150717P202.5")</f>
        <v>N/A</v>
      </c>
      <c r="U386" t="str">
        <f>RTD("tos.rtd", , "VEGA", ".SPY150717P202.5")</f>
        <v>N/A</v>
      </c>
      <c r="V386" t="str">
        <f>RTD("tos.rtd", , "RHO", ".SPY150717P202.5")</f>
        <v>N/A</v>
      </c>
    </row>
    <row r="387" spans="1:22" x14ac:dyDescent="0.25">
      <c r="A387">
        <f>RTD("tos.rtd", , "ASK", ".SPY150717C203")</f>
        <v>10.74</v>
      </c>
      <c r="B387">
        <f>RTD("tos.rtd", , "ASK_SIZE", ".SPY150717C203")</f>
        <v>120</v>
      </c>
      <c r="C387">
        <f>RTD("tos.rtd", , "BID", ".SPY150717C203")</f>
        <v>10.46</v>
      </c>
      <c r="D387">
        <f>RTD("tos.rtd", , "BID_SIZE", ".SPY150717C203")</f>
        <v>120</v>
      </c>
      <c r="E387">
        <f>RTD("tos.rtd", , "VOLUME", ".SPY150717C203")</f>
        <v>102</v>
      </c>
      <c r="F387">
        <f>RTD("tos.rtd", , "OPEN_INT", ".SPY150717C203")</f>
        <v>3959</v>
      </c>
      <c r="G387">
        <f>RTD("tos.rtd", , "DELTA", ".SPY150717C203")</f>
        <v>0.7228</v>
      </c>
      <c r="H387">
        <f>RTD("tos.rtd", , "THETA", ".SPY150717C203")</f>
        <v>-2.785E-2</v>
      </c>
      <c r="I387">
        <f>RTD("tos.rtd", , "GAMMA", ".SPY150717C203")</f>
        <v>2.3730000000000001E-2</v>
      </c>
      <c r="J387">
        <f>RTD("tos.rtd", , "VEGA", ".SPY150717C203")</f>
        <v>0.31836999999999999</v>
      </c>
      <c r="K387">
        <f>RTD("tos.rtd", , "RHO", ".SPY150717C203")</f>
        <v>0.23937</v>
      </c>
      <c r="L387">
        <f>RTD("tos.rtd", , "ASK", ".SPY150717P203")</f>
        <v>2.74</v>
      </c>
      <c r="M387">
        <f>RTD("tos.rtd", , "ASK_SIZE", ".SPY150717P203")</f>
        <v>1621</v>
      </c>
      <c r="N387">
        <f>RTD("tos.rtd", , "BID", ".SPY150717P203")</f>
        <v>2.69</v>
      </c>
      <c r="O387">
        <f>RTD("tos.rtd", , "BID_SIZE", ".SPY150717P203")</f>
        <v>90</v>
      </c>
      <c r="P387">
        <f>RTD("tos.rtd", , "VOLUME", ".SPY150717P203")</f>
        <v>421</v>
      </c>
      <c r="Q387">
        <f>RTD("tos.rtd", , "OPEN_INT", ".SPY150717P203")</f>
        <v>3320</v>
      </c>
      <c r="R387">
        <f>RTD("tos.rtd", , "DELTA", ".SPY150717P203")</f>
        <v>-0.28266000000000002</v>
      </c>
      <c r="S387">
        <f>RTD("tos.rtd", , "THETA", ".SPY150717P203")</f>
        <v>-3.5860000000000003E-2</v>
      </c>
      <c r="T387">
        <f>RTD("tos.rtd", , "GAMMA", ".SPY150717P203")</f>
        <v>2.2700000000000001E-2</v>
      </c>
      <c r="U387">
        <f>RTD("tos.rtd", , "VEGA", ".SPY150717P203")</f>
        <v>0.32379000000000002</v>
      </c>
      <c r="V387">
        <f>RTD("tos.rtd", , "RHO", ".SPY150717P203")</f>
        <v>-0.12812999999999999</v>
      </c>
    </row>
    <row r="388" spans="1:22" x14ac:dyDescent="0.25">
      <c r="A388" t="str">
        <f>RTD("tos.rtd", , "ASK", ".SPY150717C203.5")</f>
        <v>N/A</v>
      </c>
      <c r="B388" t="str">
        <f>RTD("tos.rtd", , "ASK_SIZE", ".SPY150717C203.5")</f>
        <v>N/A</v>
      </c>
      <c r="C388" t="str">
        <f>RTD("tos.rtd", , "BID", ".SPY150717C203.5")</f>
        <v>N/A</v>
      </c>
      <c r="D388" t="str">
        <f>RTD("tos.rtd", , "BID_SIZE", ".SPY150717C203.5")</f>
        <v>N/A</v>
      </c>
      <c r="E388" t="str">
        <f>RTD("tos.rtd", , "VOLUME", ".SPY150717C203.5")</f>
        <v>N/A</v>
      </c>
      <c r="F388" t="str">
        <f>RTD("tos.rtd", , "OPEN_INT", ".SPY150717C203.5")</f>
        <v>N/A</v>
      </c>
      <c r="G388" t="str">
        <f>RTD("tos.rtd", , "DELTA", ".SPY150717C203.5")</f>
        <v>N/A</v>
      </c>
      <c r="H388" t="str">
        <f>RTD("tos.rtd", , "THETA", ".SPY150717C203.5")</f>
        <v>N/A</v>
      </c>
      <c r="I388" t="str">
        <f>RTD("tos.rtd", , "GAMMA", ".SPY150717C203.5")</f>
        <v>N/A</v>
      </c>
      <c r="J388" t="str">
        <f>RTD("tos.rtd", , "VEGA", ".SPY150717C203.5")</f>
        <v>N/A</v>
      </c>
      <c r="K388" t="str">
        <f>RTD("tos.rtd", , "RHO", ".SPY150717C203.5")</f>
        <v>N/A</v>
      </c>
      <c r="L388" t="str">
        <f>RTD("tos.rtd", , "ASK", ".SPY150717P203.5")</f>
        <v>N/A</v>
      </c>
      <c r="M388" t="str">
        <f>RTD("tos.rtd", , "ASK_SIZE", ".SPY150717P203.5")</f>
        <v>N/A</v>
      </c>
      <c r="N388" t="str">
        <f>RTD("tos.rtd", , "BID", ".SPY150717P203.5")</f>
        <v>N/A</v>
      </c>
      <c r="O388" t="str">
        <f>RTD("tos.rtd", , "BID_SIZE", ".SPY150717P203.5")</f>
        <v>N/A</v>
      </c>
      <c r="P388" t="str">
        <f>RTD("tos.rtd", , "VOLUME", ".SPY150717P203.5")</f>
        <v>N/A</v>
      </c>
      <c r="Q388" t="str">
        <f>RTD("tos.rtd", , "OPEN_INT", ".SPY150717P203.5")</f>
        <v>N/A</v>
      </c>
      <c r="R388" t="str">
        <f>RTD("tos.rtd", , "DELTA", ".SPY150717P203.5")</f>
        <v>N/A</v>
      </c>
      <c r="S388" t="str">
        <f>RTD("tos.rtd", , "THETA", ".SPY150717P203.5")</f>
        <v>N/A</v>
      </c>
      <c r="T388" t="str">
        <f>RTD("tos.rtd", , "GAMMA", ".SPY150717P203.5")</f>
        <v>N/A</v>
      </c>
      <c r="U388" t="str">
        <f>RTD("tos.rtd", , "VEGA", ".SPY150717P203.5")</f>
        <v>N/A</v>
      </c>
      <c r="V388" t="str">
        <f>RTD("tos.rtd", , "RHO", ".SPY150717P203.5")</f>
        <v>N/A</v>
      </c>
    </row>
    <row r="389" spans="1:22" x14ac:dyDescent="0.25">
      <c r="A389">
        <f>RTD("tos.rtd", , "ASK", ".SPY150717C204")</f>
        <v>9.84</v>
      </c>
      <c r="B389">
        <f>RTD("tos.rtd", , "ASK_SIZE", ".SPY150717C204")</f>
        <v>249</v>
      </c>
      <c r="C389">
        <f>RTD("tos.rtd", , "BID", ".SPY150717C204")</f>
        <v>9.67</v>
      </c>
      <c r="D389">
        <f>RTD("tos.rtd", , "BID_SIZE", ".SPY150717C204")</f>
        <v>249</v>
      </c>
      <c r="E389">
        <f>RTD("tos.rtd", , "VOLUME", ".SPY150717C204")</f>
        <v>86</v>
      </c>
      <c r="F389">
        <f>RTD("tos.rtd", , "OPEN_INT", ".SPY150717C204")</f>
        <v>1451</v>
      </c>
      <c r="G389">
        <f>RTD("tos.rtd", , "DELTA", ".SPY150717C204")</f>
        <v>0.70308999999999999</v>
      </c>
      <c r="H389">
        <f>RTD("tos.rtd", , "THETA", ".SPY150717C204")</f>
        <v>-2.7959999999999999E-2</v>
      </c>
      <c r="I389">
        <f>RTD("tos.rtd", , "GAMMA", ".SPY150717C204")</f>
        <v>2.5190000000000001E-2</v>
      </c>
      <c r="J389">
        <f>RTD("tos.rtd", , "VEGA", ".SPY150717C204")</f>
        <v>0.32905000000000001</v>
      </c>
      <c r="K389">
        <f>RTD("tos.rtd", , "RHO", ".SPY150717C204")</f>
        <v>0.23757</v>
      </c>
      <c r="L389">
        <f>RTD("tos.rtd", , "ASK", ".SPY150717P204")</f>
        <v>2.96</v>
      </c>
      <c r="M389">
        <f>RTD("tos.rtd", , "ASK_SIZE", ".SPY150717P204")</f>
        <v>1687</v>
      </c>
      <c r="N389">
        <f>RTD("tos.rtd", , "BID", ".SPY150717P204")</f>
        <v>2.9</v>
      </c>
      <c r="O389">
        <f>RTD("tos.rtd", , "BID_SIZE", ".SPY150717P204")</f>
        <v>199</v>
      </c>
      <c r="P389">
        <f>RTD("tos.rtd", , "VOLUME", ".SPY150717P204")</f>
        <v>259</v>
      </c>
      <c r="Q389">
        <f>RTD("tos.rtd", , "OPEN_INT", ".SPY150717P204")</f>
        <v>7862</v>
      </c>
      <c r="R389">
        <f>RTD("tos.rtd", , "DELTA", ".SPY150717P204")</f>
        <v>-0.30359000000000003</v>
      </c>
      <c r="S389">
        <f>RTD("tos.rtd", , "THETA", ".SPY150717P204")</f>
        <v>-3.6450000000000003E-2</v>
      </c>
      <c r="T389">
        <f>RTD("tos.rtd", , "GAMMA", ".SPY150717P204")</f>
        <v>2.3949999999999999E-2</v>
      </c>
      <c r="U389">
        <f>RTD("tos.rtd", , "VEGA", ".SPY150717P204")</f>
        <v>0.33459</v>
      </c>
      <c r="V389">
        <f>RTD("tos.rtd", , "RHO", ".SPY150717P204")</f>
        <v>-0.13764999999999999</v>
      </c>
    </row>
    <row r="390" spans="1:22" x14ac:dyDescent="0.25">
      <c r="A390" t="str">
        <f>RTD("tos.rtd", , "ASK", ".SPY150717C204.5")</f>
        <v>N/A</v>
      </c>
      <c r="B390" t="str">
        <f>RTD("tos.rtd", , "ASK_SIZE", ".SPY150717C204.5")</f>
        <v>N/A</v>
      </c>
      <c r="C390" t="str">
        <f>RTD("tos.rtd", , "BID", ".SPY150717C204.5")</f>
        <v>N/A</v>
      </c>
      <c r="D390" t="str">
        <f>RTD("tos.rtd", , "BID_SIZE", ".SPY150717C204.5")</f>
        <v>N/A</v>
      </c>
      <c r="E390" t="str">
        <f>RTD("tos.rtd", , "VOLUME", ".SPY150717C204.5")</f>
        <v>N/A</v>
      </c>
      <c r="F390" t="str">
        <f>RTD("tos.rtd", , "OPEN_INT", ".SPY150717C204.5")</f>
        <v>N/A</v>
      </c>
      <c r="G390" t="str">
        <f>RTD("tos.rtd", , "DELTA", ".SPY150717C204.5")</f>
        <v>N/A</v>
      </c>
      <c r="H390" t="str">
        <f>RTD("tos.rtd", , "THETA", ".SPY150717C204.5")</f>
        <v>N/A</v>
      </c>
      <c r="I390" t="str">
        <f>RTD("tos.rtd", , "GAMMA", ".SPY150717C204.5")</f>
        <v>N/A</v>
      </c>
      <c r="J390" t="str">
        <f>RTD("tos.rtd", , "VEGA", ".SPY150717C204.5")</f>
        <v>N/A</v>
      </c>
      <c r="K390" t="str">
        <f>RTD("tos.rtd", , "RHO", ".SPY150717C204.5")</f>
        <v>N/A</v>
      </c>
      <c r="L390" t="str">
        <f>RTD("tos.rtd", , "ASK", ".SPY150717P204.5")</f>
        <v>N/A</v>
      </c>
      <c r="M390" t="str">
        <f>RTD("tos.rtd", , "ASK_SIZE", ".SPY150717P204.5")</f>
        <v>N/A</v>
      </c>
      <c r="N390" t="str">
        <f>RTD("tos.rtd", , "BID", ".SPY150717P204.5")</f>
        <v>N/A</v>
      </c>
      <c r="O390" t="str">
        <f>RTD("tos.rtd", , "BID_SIZE", ".SPY150717P204.5")</f>
        <v>N/A</v>
      </c>
      <c r="P390" t="str">
        <f>RTD("tos.rtd", , "VOLUME", ".SPY150717P204.5")</f>
        <v>N/A</v>
      </c>
      <c r="Q390" t="str">
        <f>RTD("tos.rtd", , "OPEN_INT", ".SPY150717P204.5")</f>
        <v>N/A</v>
      </c>
      <c r="R390" t="str">
        <f>RTD("tos.rtd", , "DELTA", ".SPY150717P204.5")</f>
        <v>N/A</v>
      </c>
      <c r="S390" t="str">
        <f>RTD("tos.rtd", , "THETA", ".SPY150717P204.5")</f>
        <v>N/A</v>
      </c>
      <c r="T390" t="str">
        <f>RTD("tos.rtd", , "GAMMA", ".SPY150717P204.5")</f>
        <v>N/A</v>
      </c>
      <c r="U390" t="str">
        <f>RTD("tos.rtd", , "VEGA", ".SPY150717P204.5")</f>
        <v>N/A</v>
      </c>
      <c r="V390" t="str">
        <f>RTD("tos.rtd", , "RHO", ".SPY150717P204.5")</f>
        <v>N/A</v>
      </c>
    </row>
    <row r="391" spans="1:22" x14ac:dyDescent="0.25">
      <c r="A391">
        <f>RTD("tos.rtd", , "ASK", ".SPY150717C205")</f>
        <v>9.0399999999999991</v>
      </c>
      <c r="B391">
        <f>RTD("tos.rtd", , "ASK_SIZE", ".SPY150717C205")</f>
        <v>199</v>
      </c>
      <c r="C391">
        <f>RTD("tos.rtd", , "BID", ".SPY150717C205")</f>
        <v>8.8800000000000008</v>
      </c>
      <c r="D391">
        <f>RTD("tos.rtd", , "BID_SIZE", ".SPY150717C205")</f>
        <v>249</v>
      </c>
      <c r="E391">
        <f>RTD("tos.rtd", , "VOLUME", ".SPY150717C205")</f>
        <v>162</v>
      </c>
      <c r="F391">
        <f>RTD("tos.rtd", , "OPEN_INT", ".SPY150717C205")</f>
        <v>2770</v>
      </c>
      <c r="G391">
        <f>RTD("tos.rtd", , "DELTA", ".SPY150717C205")</f>
        <v>0.68047000000000002</v>
      </c>
      <c r="H391">
        <f>RTD("tos.rtd", , "THETA", ".SPY150717C205")</f>
        <v>-2.8289999999999999E-2</v>
      </c>
      <c r="I391">
        <f>RTD("tos.rtd", , "GAMMA", ".SPY150717C205")</f>
        <v>2.6530000000000001E-2</v>
      </c>
      <c r="J391">
        <f>RTD("tos.rtd", , "VEGA", ".SPY150717C205")</f>
        <v>0.33999000000000001</v>
      </c>
      <c r="K391">
        <f>RTD("tos.rtd", , "RHO", ".SPY150717C205")</f>
        <v>0.23474999999999999</v>
      </c>
      <c r="L391">
        <f>RTD("tos.rtd", , "ASK", ".SPY150717P205")</f>
        <v>3.19</v>
      </c>
      <c r="M391">
        <f>RTD("tos.rtd", , "ASK_SIZE", ".SPY150717P205")</f>
        <v>150</v>
      </c>
      <c r="N391">
        <f>RTD("tos.rtd", , "BID", ".SPY150717P205")</f>
        <v>3.13</v>
      </c>
      <c r="O391">
        <f>RTD("tos.rtd", , "BID_SIZE", ".SPY150717P205")</f>
        <v>172</v>
      </c>
      <c r="P391">
        <f>RTD("tos.rtd", , "VOLUME", ".SPY150717P205")</f>
        <v>1156</v>
      </c>
      <c r="Q391">
        <f>RTD("tos.rtd", , "OPEN_INT", ".SPY150717P205")</f>
        <v>25850</v>
      </c>
      <c r="R391">
        <f>RTD("tos.rtd", , "DELTA", ".SPY150717P205")</f>
        <v>-0.32584999999999997</v>
      </c>
      <c r="S391">
        <f>RTD("tos.rtd", , "THETA", ".SPY150717P205")</f>
        <v>-3.6929999999999998E-2</v>
      </c>
      <c r="T391">
        <f>RTD("tos.rtd", , "GAMMA", ".SPY150717P205")</f>
        <v>2.5219999999999999E-2</v>
      </c>
      <c r="U391">
        <f>RTD("tos.rtd", , "VEGA", ".SPY150717P205")</f>
        <v>0.34476000000000001</v>
      </c>
      <c r="V391">
        <f>RTD("tos.rtd", , "RHO", ".SPY150717P205")</f>
        <v>-0.14777999999999999</v>
      </c>
    </row>
    <row r="392" spans="1:22" x14ac:dyDescent="0.25">
      <c r="A392" t="str">
        <f>RTD("tos.rtd", , "ASK", ".SPY150717C205.5")</f>
        <v>N/A</v>
      </c>
      <c r="B392" t="str">
        <f>RTD("tos.rtd", , "ASK_SIZE", ".SPY150717C205.5")</f>
        <v>N/A</v>
      </c>
      <c r="C392" t="str">
        <f>RTD("tos.rtd", , "BID", ".SPY150717C205.5")</f>
        <v>N/A</v>
      </c>
      <c r="D392" t="str">
        <f>RTD("tos.rtd", , "BID_SIZE", ".SPY150717C205.5")</f>
        <v>N/A</v>
      </c>
      <c r="E392" t="str">
        <f>RTD("tos.rtd", , "VOLUME", ".SPY150717C205.5")</f>
        <v>N/A</v>
      </c>
      <c r="F392" t="str">
        <f>RTD("tos.rtd", , "OPEN_INT", ".SPY150717C205.5")</f>
        <v>N/A</v>
      </c>
      <c r="G392" t="str">
        <f>RTD("tos.rtd", , "DELTA", ".SPY150717C205.5")</f>
        <v>N/A</v>
      </c>
      <c r="H392" t="str">
        <f>RTD("tos.rtd", , "THETA", ".SPY150717C205.5")</f>
        <v>N/A</v>
      </c>
      <c r="I392" t="str">
        <f>RTD("tos.rtd", , "GAMMA", ".SPY150717C205.5")</f>
        <v>N/A</v>
      </c>
      <c r="J392" t="str">
        <f>RTD("tos.rtd", , "VEGA", ".SPY150717C205.5")</f>
        <v>N/A</v>
      </c>
      <c r="K392" t="str">
        <f>RTD("tos.rtd", , "RHO", ".SPY150717C205.5")</f>
        <v>N/A</v>
      </c>
      <c r="L392" t="str">
        <f>RTD("tos.rtd", , "ASK", ".SPY150717P205.5")</f>
        <v>N/A</v>
      </c>
      <c r="M392" t="str">
        <f>RTD("tos.rtd", , "ASK_SIZE", ".SPY150717P205.5")</f>
        <v>N/A</v>
      </c>
      <c r="N392" t="str">
        <f>RTD("tos.rtd", , "BID", ".SPY150717P205.5")</f>
        <v>N/A</v>
      </c>
      <c r="O392" t="str">
        <f>RTD("tos.rtd", , "BID_SIZE", ".SPY150717P205.5")</f>
        <v>N/A</v>
      </c>
      <c r="P392" t="str">
        <f>RTD("tos.rtd", , "VOLUME", ".SPY150717P205.5")</f>
        <v>N/A</v>
      </c>
      <c r="Q392" t="str">
        <f>RTD("tos.rtd", , "OPEN_INT", ".SPY150717P205.5")</f>
        <v>N/A</v>
      </c>
      <c r="R392" t="str">
        <f>RTD("tos.rtd", , "DELTA", ".SPY150717P205.5")</f>
        <v>N/A</v>
      </c>
      <c r="S392" t="str">
        <f>RTD("tos.rtd", , "THETA", ".SPY150717P205.5")</f>
        <v>N/A</v>
      </c>
      <c r="T392" t="str">
        <f>RTD("tos.rtd", , "GAMMA", ".SPY150717P205.5")</f>
        <v>N/A</v>
      </c>
      <c r="U392" t="str">
        <f>RTD("tos.rtd", , "VEGA", ".SPY150717P205.5")</f>
        <v>N/A</v>
      </c>
      <c r="V392" t="str">
        <f>RTD("tos.rtd", , "RHO", ".SPY150717P205.5")</f>
        <v>N/A</v>
      </c>
    </row>
    <row r="393" spans="1:22" x14ac:dyDescent="0.25">
      <c r="A393">
        <f>RTD("tos.rtd", , "ASK", ".SPY150717C206")</f>
        <v>8.27</v>
      </c>
      <c r="B393">
        <f>RTD("tos.rtd", , "ASK_SIZE", ".SPY150717C206")</f>
        <v>151</v>
      </c>
      <c r="C393">
        <f>RTD("tos.rtd", , "BID", ".SPY150717C206")</f>
        <v>8.11</v>
      </c>
      <c r="D393">
        <f>RTD("tos.rtd", , "BID_SIZE", ".SPY150717C206")</f>
        <v>249</v>
      </c>
      <c r="E393">
        <f>RTD("tos.rtd", , "VOLUME", ".SPY150717C206")</f>
        <v>39</v>
      </c>
      <c r="F393">
        <f>RTD("tos.rtd", , "OPEN_INT", ".SPY150717C206")</f>
        <v>2274</v>
      </c>
      <c r="G393">
        <f>RTD("tos.rtd", , "DELTA", ".SPY150717C206")</f>
        <v>0.65607000000000004</v>
      </c>
      <c r="H393">
        <f>RTD("tos.rtd", , "THETA", ".SPY150717C206")</f>
        <v>-2.8549999999999999E-2</v>
      </c>
      <c r="I393">
        <f>RTD("tos.rtd", , "GAMMA", ".SPY150717C206")</f>
        <v>2.7859999999999999E-2</v>
      </c>
      <c r="J393">
        <f>RTD("tos.rtd", , "VEGA", ".SPY150717C206")</f>
        <v>0.35025000000000001</v>
      </c>
      <c r="K393">
        <f>RTD("tos.rtd", , "RHO", ".SPY150717C206")</f>
        <v>0.23083999999999999</v>
      </c>
      <c r="L393">
        <f>RTD("tos.rtd", , "ASK", ".SPY150717P206")</f>
        <v>3.45</v>
      </c>
      <c r="M393">
        <f>RTD("tos.rtd", , "ASK_SIZE", ".SPY150717P206")</f>
        <v>1689</v>
      </c>
      <c r="N393">
        <f>RTD("tos.rtd", , "BID", ".SPY150717P206")</f>
        <v>3.38</v>
      </c>
      <c r="O393">
        <f>RTD("tos.rtd", , "BID_SIZE", ".SPY150717P206")</f>
        <v>240</v>
      </c>
      <c r="P393">
        <f>RTD("tos.rtd", , "VOLUME", ".SPY150717P206")</f>
        <v>157</v>
      </c>
      <c r="Q393">
        <f>RTD("tos.rtd", , "OPEN_INT", ".SPY150717P206")</f>
        <v>14029</v>
      </c>
      <c r="R393">
        <f>RTD("tos.rtd", , "DELTA", ".SPY150717P206")</f>
        <v>-0.34976000000000002</v>
      </c>
      <c r="S393">
        <f>RTD("tos.rtd", , "THETA", ".SPY150717P206")</f>
        <v>-3.7339999999999998E-2</v>
      </c>
      <c r="T393">
        <f>RTD("tos.rtd", , "GAMMA", ".SPY150717P206")</f>
        <v>2.647E-2</v>
      </c>
      <c r="U393">
        <f>RTD("tos.rtd", , "VEGA", ".SPY150717P206")</f>
        <v>0.35421000000000002</v>
      </c>
      <c r="V393">
        <f>RTD("tos.rtd", , "RHO", ".SPY150717P206")</f>
        <v>-0.15867999999999999</v>
      </c>
    </row>
    <row r="394" spans="1:22" x14ac:dyDescent="0.25">
      <c r="A394" t="str">
        <f>RTD("tos.rtd", , "ASK", ".SPY150717C206.5")</f>
        <v>N/A</v>
      </c>
      <c r="B394" t="str">
        <f>RTD("tos.rtd", , "ASK_SIZE", ".SPY150717C206.5")</f>
        <v>N/A</v>
      </c>
      <c r="C394" t="str">
        <f>RTD("tos.rtd", , "BID", ".SPY150717C206.5")</f>
        <v>N/A</v>
      </c>
      <c r="D394" t="str">
        <f>RTD("tos.rtd", , "BID_SIZE", ".SPY150717C206.5")</f>
        <v>N/A</v>
      </c>
      <c r="E394" t="str">
        <f>RTD("tos.rtd", , "VOLUME", ".SPY150717C206.5")</f>
        <v>N/A</v>
      </c>
      <c r="F394" t="str">
        <f>RTD("tos.rtd", , "OPEN_INT", ".SPY150717C206.5")</f>
        <v>N/A</v>
      </c>
      <c r="G394" t="str">
        <f>RTD("tos.rtd", , "DELTA", ".SPY150717C206.5")</f>
        <v>N/A</v>
      </c>
      <c r="H394" t="str">
        <f>RTD("tos.rtd", , "THETA", ".SPY150717C206.5")</f>
        <v>N/A</v>
      </c>
      <c r="I394" t="str">
        <f>RTD("tos.rtd", , "GAMMA", ".SPY150717C206.5")</f>
        <v>N/A</v>
      </c>
      <c r="J394" t="str">
        <f>RTD("tos.rtd", , "VEGA", ".SPY150717C206.5")</f>
        <v>N/A</v>
      </c>
      <c r="K394" t="str">
        <f>RTD("tos.rtd", , "RHO", ".SPY150717C206.5")</f>
        <v>N/A</v>
      </c>
      <c r="L394" t="str">
        <f>RTD("tos.rtd", , "ASK", ".SPY150717P206.5")</f>
        <v>N/A</v>
      </c>
      <c r="M394" t="str">
        <f>RTD("tos.rtd", , "ASK_SIZE", ".SPY150717P206.5")</f>
        <v>N/A</v>
      </c>
      <c r="N394" t="str">
        <f>RTD("tos.rtd", , "BID", ".SPY150717P206.5")</f>
        <v>N/A</v>
      </c>
      <c r="O394" t="str">
        <f>RTD("tos.rtd", , "BID_SIZE", ".SPY150717P206.5")</f>
        <v>N/A</v>
      </c>
      <c r="P394" t="str">
        <f>RTD("tos.rtd", , "VOLUME", ".SPY150717P206.5")</f>
        <v>N/A</v>
      </c>
      <c r="Q394" t="str">
        <f>RTD("tos.rtd", , "OPEN_INT", ".SPY150717P206.5")</f>
        <v>N/A</v>
      </c>
      <c r="R394" t="str">
        <f>RTD("tos.rtd", , "DELTA", ".SPY150717P206.5")</f>
        <v>N/A</v>
      </c>
      <c r="S394" t="str">
        <f>RTD("tos.rtd", , "THETA", ".SPY150717P206.5")</f>
        <v>N/A</v>
      </c>
      <c r="T394" t="str">
        <f>RTD("tos.rtd", , "GAMMA", ".SPY150717P206.5")</f>
        <v>N/A</v>
      </c>
      <c r="U394" t="str">
        <f>RTD("tos.rtd", , "VEGA", ".SPY150717P206.5")</f>
        <v>N/A</v>
      </c>
      <c r="V394" t="str">
        <f>RTD("tos.rtd", , "RHO", ".SPY150717P206.5")</f>
        <v>N/A</v>
      </c>
    </row>
    <row r="395" spans="1:22" x14ac:dyDescent="0.25">
      <c r="A395">
        <f>RTD("tos.rtd", , "ASK", ".SPY150717C207")</f>
        <v>7.51</v>
      </c>
      <c r="B395">
        <f>RTD("tos.rtd", , "ASK_SIZE", ".SPY150717C207")</f>
        <v>199</v>
      </c>
      <c r="C395">
        <f>RTD("tos.rtd", , "BID", ".SPY150717C207")</f>
        <v>7.36</v>
      </c>
      <c r="D395">
        <f>RTD("tos.rtd", , "BID_SIZE", ".SPY150717C207")</f>
        <v>249</v>
      </c>
      <c r="E395">
        <f>RTD("tos.rtd", , "VOLUME", ".SPY150717C207")</f>
        <v>113</v>
      </c>
      <c r="F395">
        <f>RTD("tos.rtd", , "OPEN_INT", ".SPY150717C207")</f>
        <v>2416</v>
      </c>
      <c r="G395">
        <f>RTD("tos.rtd", , "DELTA", ".SPY150717C207")</f>
        <v>0.63009999999999999</v>
      </c>
      <c r="H395">
        <f>RTD("tos.rtd", , "THETA", ".SPY150717C207")</f>
        <v>-2.8639999999999999E-2</v>
      </c>
      <c r="I395">
        <f>RTD("tos.rtd", , "GAMMA", ".SPY150717C207")</f>
        <v>2.9219999999999999E-2</v>
      </c>
      <c r="J395">
        <f>RTD("tos.rtd", , "VEGA", ".SPY150717C207")</f>
        <v>0.35947000000000001</v>
      </c>
      <c r="K395">
        <f>RTD("tos.rtd", , "RHO", ".SPY150717C207")</f>
        <v>0.22585</v>
      </c>
      <c r="L395">
        <f>RTD("tos.rtd", , "ASK", ".SPY150717P207")</f>
        <v>3.72</v>
      </c>
      <c r="M395">
        <f>RTD("tos.rtd", , "ASK_SIZE", ".SPY150717P207")</f>
        <v>1689</v>
      </c>
      <c r="N395">
        <f>RTD("tos.rtd", , "BID", ".SPY150717P207")</f>
        <v>3.65</v>
      </c>
      <c r="O395">
        <f>RTD("tos.rtd", , "BID_SIZE", ".SPY150717P207")</f>
        <v>240</v>
      </c>
      <c r="P395">
        <f>RTD("tos.rtd", , "VOLUME", ".SPY150717P207")</f>
        <v>510</v>
      </c>
      <c r="Q395">
        <f>RTD("tos.rtd", , "OPEN_INT", ".SPY150717P207")</f>
        <v>7415</v>
      </c>
      <c r="R395">
        <f>RTD("tos.rtd", , "DELTA", ".SPY150717P207")</f>
        <v>-0.37507000000000001</v>
      </c>
      <c r="S395">
        <f>RTD("tos.rtd", , "THETA", ".SPY150717P207")</f>
        <v>-3.7569999999999999E-2</v>
      </c>
      <c r="T395">
        <f>RTD("tos.rtd", , "GAMMA", ".SPY150717P207")</f>
        <v>2.7720000000000002E-2</v>
      </c>
      <c r="U395">
        <f>RTD("tos.rtd", , "VEGA", ".SPY150717P207")</f>
        <v>0.36262</v>
      </c>
      <c r="V395">
        <f>RTD("tos.rtd", , "RHO", ".SPY150717P207")</f>
        <v>-0.17021</v>
      </c>
    </row>
    <row r="396" spans="1:22" x14ac:dyDescent="0.25">
      <c r="A396" t="str">
        <f>RTD("tos.rtd", , "ASK", ".SPY150717C207.5")</f>
        <v>N/A</v>
      </c>
      <c r="B396" t="str">
        <f>RTD("tos.rtd", , "ASK_SIZE", ".SPY150717C207.5")</f>
        <v>N/A</v>
      </c>
      <c r="C396" t="str">
        <f>RTD("tos.rtd", , "BID", ".SPY150717C207.5")</f>
        <v>N/A</v>
      </c>
      <c r="D396" t="str">
        <f>RTD("tos.rtd", , "BID_SIZE", ".SPY150717C207.5")</f>
        <v>N/A</v>
      </c>
      <c r="E396" t="str">
        <f>RTD("tos.rtd", , "VOLUME", ".SPY150717C207.5")</f>
        <v>N/A</v>
      </c>
      <c r="F396" t="str">
        <f>RTD("tos.rtd", , "OPEN_INT", ".SPY150717C207.5")</f>
        <v>N/A</v>
      </c>
      <c r="G396" t="str">
        <f>RTD("tos.rtd", , "DELTA", ".SPY150717C207.5")</f>
        <v>N/A</v>
      </c>
      <c r="H396" t="str">
        <f>RTD("tos.rtd", , "THETA", ".SPY150717C207.5")</f>
        <v>N/A</v>
      </c>
      <c r="I396" t="str">
        <f>RTD("tos.rtd", , "GAMMA", ".SPY150717C207.5")</f>
        <v>N/A</v>
      </c>
      <c r="J396" t="str">
        <f>RTD("tos.rtd", , "VEGA", ".SPY150717C207.5")</f>
        <v>N/A</v>
      </c>
      <c r="K396" t="str">
        <f>RTD("tos.rtd", , "RHO", ".SPY150717C207.5")</f>
        <v>N/A</v>
      </c>
      <c r="L396" t="str">
        <f>RTD("tos.rtd", , "ASK", ".SPY150717P207.5")</f>
        <v>N/A</v>
      </c>
      <c r="M396" t="str">
        <f>RTD("tos.rtd", , "ASK_SIZE", ".SPY150717P207.5")</f>
        <v>N/A</v>
      </c>
      <c r="N396" t="str">
        <f>RTD("tos.rtd", , "BID", ".SPY150717P207.5")</f>
        <v>N/A</v>
      </c>
      <c r="O396" t="str">
        <f>RTD("tos.rtd", , "BID_SIZE", ".SPY150717P207.5")</f>
        <v>N/A</v>
      </c>
      <c r="P396" t="str">
        <f>RTD("tos.rtd", , "VOLUME", ".SPY150717P207.5")</f>
        <v>N/A</v>
      </c>
      <c r="Q396" t="str">
        <f>RTD("tos.rtd", , "OPEN_INT", ".SPY150717P207.5")</f>
        <v>N/A</v>
      </c>
      <c r="R396" t="str">
        <f>RTD("tos.rtd", , "DELTA", ".SPY150717P207.5")</f>
        <v>N/A</v>
      </c>
      <c r="S396" t="str">
        <f>RTD("tos.rtd", , "THETA", ".SPY150717P207.5")</f>
        <v>N/A</v>
      </c>
      <c r="T396" t="str">
        <f>RTD("tos.rtd", , "GAMMA", ".SPY150717P207.5")</f>
        <v>N/A</v>
      </c>
      <c r="U396" t="str">
        <f>RTD("tos.rtd", , "VEGA", ".SPY150717P207.5")</f>
        <v>N/A</v>
      </c>
      <c r="V396" t="str">
        <f>RTD("tos.rtd", , "RHO", ".SPY150717P207.5")</f>
        <v>N/A</v>
      </c>
    </row>
    <row r="397" spans="1:22" x14ac:dyDescent="0.25">
      <c r="A397">
        <f>RTD("tos.rtd", , "ASK", ".SPY150717C208")</f>
        <v>6.79</v>
      </c>
      <c r="B397">
        <f>RTD("tos.rtd", , "ASK_SIZE", ".SPY150717C208")</f>
        <v>249</v>
      </c>
      <c r="C397">
        <f>RTD("tos.rtd", , "BID", ".SPY150717C208")</f>
        <v>6.64</v>
      </c>
      <c r="D397">
        <f>RTD("tos.rtd", , "BID_SIZE", ".SPY150717C208")</f>
        <v>240</v>
      </c>
      <c r="E397">
        <f>RTD("tos.rtd", , "VOLUME", ".SPY150717C208")</f>
        <v>369</v>
      </c>
      <c r="F397">
        <f>RTD("tos.rtd", , "OPEN_INT", ".SPY150717C208")</f>
        <v>7526</v>
      </c>
      <c r="G397">
        <f>RTD("tos.rtd", , "DELTA", ".SPY150717C208")</f>
        <v>0.60211000000000003</v>
      </c>
      <c r="H397">
        <f>RTD("tos.rtd", , "THETA", ".SPY150717C208")</f>
        <v>-2.8680000000000001E-2</v>
      </c>
      <c r="I397">
        <f>RTD("tos.rtd", , "GAMMA", ".SPY150717C208")</f>
        <v>3.0470000000000001E-2</v>
      </c>
      <c r="J397">
        <f>RTD("tos.rtd", , "VEGA", ".SPY150717C208")</f>
        <v>0.36749999999999999</v>
      </c>
      <c r="K397">
        <f>RTD("tos.rtd", , "RHO", ".SPY150717C208")</f>
        <v>0.21965999999999999</v>
      </c>
      <c r="L397">
        <f>RTD("tos.rtd", , "ASK", ".SPY150717P208")</f>
        <v>4.0199999999999996</v>
      </c>
      <c r="M397">
        <f>RTD("tos.rtd", , "ASK_SIZE", ".SPY150717P208")</f>
        <v>1694</v>
      </c>
      <c r="N397">
        <f>RTD("tos.rtd", , "BID", ".SPY150717P208")</f>
        <v>3.94</v>
      </c>
      <c r="O397">
        <f>RTD("tos.rtd", , "BID_SIZE", ".SPY150717P208")</f>
        <v>264</v>
      </c>
      <c r="P397">
        <f>RTD("tos.rtd", , "VOLUME", ".SPY150717P208")</f>
        <v>1184</v>
      </c>
      <c r="Q397">
        <f>RTD("tos.rtd", , "OPEN_INT", ".SPY150717P208")</f>
        <v>16456</v>
      </c>
      <c r="R397">
        <f>RTD("tos.rtd", , "DELTA", ".SPY150717P208")</f>
        <v>-0.40203</v>
      </c>
      <c r="S397">
        <f>RTD("tos.rtd", , "THETA", ".SPY150717P208")</f>
        <v>-3.7690000000000001E-2</v>
      </c>
      <c r="T397">
        <f>RTD("tos.rtd", , "GAMMA", ".SPY150717P208")</f>
        <v>2.8930000000000001E-2</v>
      </c>
      <c r="U397">
        <f>RTD("tos.rtd", , "VEGA", ".SPY150717P208")</f>
        <v>0.36979000000000001</v>
      </c>
      <c r="V397">
        <f>RTD("tos.rtd", , "RHO", ".SPY150717P208")</f>
        <v>-0.18251999999999999</v>
      </c>
    </row>
    <row r="398" spans="1:22" x14ac:dyDescent="0.25">
      <c r="A398" t="str">
        <f>RTD("tos.rtd", , "ASK", ".SPY150717C208.5")</f>
        <v>N/A</v>
      </c>
      <c r="B398" t="str">
        <f>RTD("tos.rtd", , "ASK_SIZE", ".SPY150717C208.5")</f>
        <v>N/A</v>
      </c>
      <c r="C398" t="str">
        <f>RTD("tos.rtd", , "BID", ".SPY150717C208.5")</f>
        <v>N/A</v>
      </c>
      <c r="D398" t="str">
        <f>RTD("tos.rtd", , "BID_SIZE", ".SPY150717C208.5")</f>
        <v>N/A</v>
      </c>
      <c r="E398" t="str">
        <f>RTD("tos.rtd", , "VOLUME", ".SPY150717C208.5")</f>
        <v>N/A</v>
      </c>
      <c r="F398" t="str">
        <f>RTD("tos.rtd", , "OPEN_INT", ".SPY150717C208.5")</f>
        <v>N/A</v>
      </c>
      <c r="G398" t="str">
        <f>RTD("tos.rtd", , "DELTA", ".SPY150717C208.5")</f>
        <v>N/A</v>
      </c>
      <c r="H398" t="str">
        <f>RTD("tos.rtd", , "THETA", ".SPY150717C208.5")</f>
        <v>N/A</v>
      </c>
      <c r="I398" t="str">
        <f>RTD("tos.rtd", , "GAMMA", ".SPY150717C208.5")</f>
        <v>N/A</v>
      </c>
      <c r="J398" t="str">
        <f>RTD("tos.rtd", , "VEGA", ".SPY150717C208.5")</f>
        <v>N/A</v>
      </c>
      <c r="K398" t="str">
        <f>RTD("tos.rtd", , "RHO", ".SPY150717C208.5")</f>
        <v>N/A</v>
      </c>
      <c r="L398" t="str">
        <f>RTD("tos.rtd", , "ASK", ".SPY150717P208.5")</f>
        <v>N/A</v>
      </c>
      <c r="M398" t="str">
        <f>RTD("tos.rtd", , "ASK_SIZE", ".SPY150717P208.5")</f>
        <v>N/A</v>
      </c>
      <c r="N398" t="str">
        <f>RTD("tos.rtd", , "BID", ".SPY150717P208.5")</f>
        <v>N/A</v>
      </c>
      <c r="O398" t="str">
        <f>RTD("tos.rtd", , "BID_SIZE", ".SPY150717P208.5")</f>
        <v>N/A</v>
      </c>
      <c r="P398" t="str">
        <f>RTD("tos.rtd", , "VOLUME", ".SPY150717P208.5")</f>
        <v>N/A</v>
      </c>
      <c r="Q398" t="str">
        <f>RTD("tos.rtd", , "OPEN_INT", ".SPY150717P208.5")</f>
        <v>N/A</v>
      </c>
      <c r="R398" t="str">
        <f>RTD("tos.rtd", , "DELTA", ".SPY150717P208.5")</f>
        <v>N/A</v>
      </c>
      <c r="S398" t="str">
        <f>RTD("tos.rtd", , "THETA", ".SPY150717P208.5")</f>
        <v>N/A</v>
      </c>
      <c r="T398" t="str">
        <f>RTD("tos.rtd", , "GAMMA", ".SPY150717P208.5")</f>
        <v>N/A</v>
      </c>
      <c r="U398" t="str">
        <f>RTD("tos.rtd", , "VEGA", ".SPY150717P208.5")</f>
        <v>N/A</v>
      </c>
      <c r="V398" t="str">
        <f>RTD("tos.rtd", , "RHO", ".SPY150717P208.5")</f>
        <v>N/A</v>
      </c>
    </row>
    <row r="399" spans="1:22" x14ac:dyDescent="0.25">
      <c r="A399">
        <f>RTD("tos.rtd", , "ASK", ".SPY150717C209")</f>
        <v>6.07</v>
      </c>
      <c r="B399">
        <f>RTD("tos.rtd", , "ASK_SIZE", ".SPY150717C209")</f>
        <v>249</v>
      </c>
      <c r="C399">
        <f>RTD("tos.rtd", , "BID", ".SPY150717C209")</f>
        <v>5.97</v>
      </c>
      <c r="D399">
        <f>RTD("tos.rtd", , "BID_SIZE", ".SPY150717C209")</f>
        <v>240</v>
      </c>
      <c r="E399">
        <f>RTD("tos.rtd", , "VOLUME", ".SPY150717C209")</f>
        <v>267</v>
      </c>
      <c r="F399">
        <f>RTD("tos.rtd", , "OPEN_INT", ".SPY150717C209")</f>
        <v>5161</v>
      </c>
      <c r="G399">
        <f>RTD("tos.rtd", , "DELTA", ".SPY150717C209")</f>
        <v>0.57235999999999998</v>
      </c>
      <c r="H399">
        <f>RTD("tos.rtd", , "THETA", ".SPY150717C209")</f>
        <v>-2.8549999999999999E-2</v>
      </c>
      <c r="I399">
        <f>RTD("tos.rtd", , "GAMMA", ".SPY150717C209")</f>
        <v>3.1669999999999997E-2</v>
      </c>
      <c r="J399">
        <f>RTD("tos.rtd", , "VEGA", ".SPY150717C209")</f>
        <v>0.37390000000000001</v>
      </c>
      <c r="K399">
        <f>RTD("tos.rtd", , "RHO", ".SPY150717C209")</f>
        <v>0.21229999999999999</v>
      </c>
      <c r="L399">
        <f>RTD("tos.rtd", , "ASK", ".SPY150717P209")</f>
        <v>4.34</v>
      </c>
      <c r="M399">
        <f>RTD("tos.rtd", , "ASK_SIZE", ".SPY150717P209")</f>
        <v>1766</v>
      </c>
      <c r="N399">
        <f>RTD("tos.rtd", , "BID", ".SPY150717P209")</f>
        <v>4.26</v>
      </c>
      <c r="O399">
        <f>RTD("tos.rtd", , "BID_SIZE", ".SPY150717P209")</f>
        <v>240</v>
      </c>
      <c r="P399">
        <f>RTD("tos.rtd", , "VOLUME", ".SPY150717P209")</f>
        <v>1160</v>
      </c>
      <c r="Q399">
        <f>RTD("tos.rtd", , "OPEN_INT", ".SPY150717P209")</f>
        <v>14376</v>
      </c>
      <c r="R399">
        <f>RTD("tos.rtd", , "DELTA", ".SPY150717P209")</f>
        <v>-0.43059999999999998</v>
      </c>
      <c r="S399">
        <f>RTD("tos.rtd", , "THETA", ".SPY150717P209")</f>
        <v>-3.7620000000000001E-2</v>
      </c>
      <c r="T399">
        <f>RTD("tos.rtd", , "GAMMA", ".SPY150717P209")</f>
        <v>3.0089999999999999E-2</v>
      </c>
      <c r="U399">
        <f>RTD("tos.rtd", , "VEGA", ".SPY150717P209")</f>
        <v>0.37542999999999999</v>
      </c>
      <c r="V399">
        <f>RTD("tos.rtd", , "RHO", ".SPY150717P209")</f>
        <v>-0.19556000000000001</v>
      </c>
    </row>
    <row r="400" spans="1:22" x14ac:dyDescent="0.25">
      <c r="A400" t="str">
        <f>RTD("tos.rtd", , "ASK", ".SPY150717C209.5")</f>
        <v>N/A</v>
      </c>
      <c r="B400" t="str">
        <f>RTD("tos.rtd", , "ASK_SIZE", ".SPY150717C209.5")</f>
        <v>N/A</v>
      </c>
      <c r="C400" t="str">
        <f>RTD("tos.rtd", , "BID", ".SPY150717C209.5")</f>
        <v>N/A</v>
      </c>
      <c r="D400" t="str">
        <f>RTD("tos.rtd", , "BID_SIZE", ".SPY150717C209.5")</f>
        <v>N/A</v>
      </c>
      <c r="E400" t="str">
        <f>RTD("tos.rtd", , "VOLUME", ".SPY150717C209.5")</f>
        <v>N/A</v>
      </c>
      <c r="F400" t="str">
        <f>RTD("tos.rtd", , "OPEN_INT", ".SPY150717C209.5")</f>
        <v>N/A</v>
      </c>
      <c r="G400" t="str">
        <f>RTD("tos.rtd", , "DELTA", ".SPY150717C209.5")</f>
        <v>N/A</v>
      </c>
      <c r="H400" t="str">
        <f>RTD("tos.rtd", , "THETA", ".SPY150717C209.5")</f>
        <v>N/A</v>
      </c>
      <c r="I400" t="str">
        <f>RTD("tos.rtd", , "GAMMA", ".SPY150717C209.5")</f>
        <v>N/A</v>
      </c>
      <c r="J400" t="str">
        <f>RTD("tos.rtd", , "VEGA", ".SPY150717C209.5")</f>
        <v>N/A</v>
      </c>
      <c r="K400" t="str">
        <f>RTD("tos.rtd", , "RHO", ".SPY150717C209.5")</f>
        <v>N/A</v>
      </c>
      <c r="L400" t="str">
        <f>RTD("tos.rtd", , "ASK", ".SPY150717P209.5")</f>
        <v>N/A</v>
      </c>
      <c r="M400" t="str">
        <f>RTD("tos.rtd", , "ASK_SIZE", ".SPY150717P209.5")</f>
        <v>N/A</v>
      </c>
      <c r="N400" t="str">
        <f>RTD("tos.rtd", , "BID", ".SPY150717P209.5")</f>
        <v>N/A</v>
      </c>
      <c r="O400" t="str">
        <f>RTD("tos.rtd", , "BID_SIZE", ".SPY150717P209.5")</f>
        <v>N/A</v>
      </c>
      <c r="P400" t="str">
        <f>RTD("tos.rtd", , "VOLUME", ".SPY150717P209.5")</f>
        <v>N/A</v>
      </c>
      <c r="Q400" t="str">
        <f>RTD("tos.rtd", , "OPEN_INT", ".SPY150717P209.5")</f>
        <v>N/A</v>
      </c>
      <c r="R400" t="str">
        <f>RTD("tos.rtd", , "DELTA", ".SPY150717P209.5")</f>
        <v>N/A</v>
      </c>
      <c r="S400" t="str">
        <f>RTD("tos.rtd", , "THETA", ".SPY150717P209.5")</f>
        <v>N/A</v>
      </c>
      <c r="T400" t="str">
        <f>RTD("tos.rtd", , "GAMMA", ".SPY150717P209.5")</f>
        <v>N/A</v>
      </c>
      <c r="U400" t="str">
        <f>RTD("tos.rtd", , "VEGA", ".SPY150717P209.5")</f>
        <v>N/A</v>
      </c>
      <c r="V400" t="str">
        <f>RTD("tos.rtd", , "RHO", ".SPY150717P209.5")</f>
        <v>N/A</v>
      </c>
    </row>
    <row r="401" spans="1:22" x14ac:dyDescent="0.25">
      <c r="A401">
        <f>RTD("tos.rtd", , "ASK", ".SPY150717C210")</f>
        <v>5.39</v>
      </c>
      <c r="B401">
        <f>RTD("tos.rtd", , "ASK_SIZE", ".SPY150717C210")</f>
        <v>111</v>
      </c>
      <c r="C401">
        <f>RTD("tos.rtd", , "BID", ".SPY150717C210")</f>
        <v>5.29</v>
      </c>
      <c r="D401">
        <f>RTD("tos.rtd", , "BID_SIZE", ".SPY150717C210")</f>
        <v>2707</v>
      </c>
      <c r="E401">
        <f>RTD("tos.rtd", , "VOLUME", ".SPY150717C210")</f>
        <v>1040</v>
      </c>
      <c r="F401">
        <f>RTD("tos.rtd", , "OPEN_INT", ".SPY150717C210")</f>
        <v>6224</v>
      </c>
      <c r="G401">
        <f>RTD("tos.rtd", , "DELTA", ".SPY150717C210")</f>
        <v>0.54090000000000005</v>
      </c>
      <c r="H401">
        <f>RTD("tos.rtd", , "THETA", ".SPY150717C210")</f>
        <v>-2.8139999999999998E-2</v>
      </c>
      <c r="I401">
        <f>RTD("tos.rtd", , "GAMMA", ".SPY150717C210")</f>
        <v>3.2870000000000003E-2</v>
      </c>
      <c r="J401">
        <f>RTD("tos.rtd", , "VEGA", ".SPY150717C210")</f>
        <v>0.37831999999999999</v>
      </c>
      <c r="K401">
        <f>RTD("tos.rtd", , "RHO", ".SPY150717C210")</f>
        <v>0.20374999999999999</v>
      </c>
      <c r="L401">
        <f>RTD("tos.rtd", , "ASK", ".SPY150717P210")</f>
        <v>4.68</v>
      </c>
      <c r="M401">
        <f>RTD("tos.rtd", , "ASK_SIZE", ".SPY150717P210")</f>
        <v>1638</v>
      </c>
      <c r="N401">
        <f>RTD("tos.rtd", , "BID", ".SPY150717P210")</f>
        <v>4.5999999999999996</v>
      </c>
      <c r="O401">
        <f>RTD("tos.rtd", , "BID_SIZE", ".SPY150717P210")</f>
        <v>240</v>
      </c>
      <c r="P401">
        <f>RTD("tos.rtd", , "VOLUME", ".SPY150717P210")</f>
        <v>2393</v>
      </c>
      <c r="Q401">
        <f>RTD("tos.rtd", , "OPEN_INT", ".SPY150717P210")</f>
        <v>18289</v>
      </c>
      <c r="R401">
        <f>RTD("tos.rtd", , "DELTA", ".SPY150717P210")</f>
        <v>-0.46079999999999999</v>
      </c>
      <c r="S401">
        <f>RTD("tos.rtd", , "THETA", ".SPY150717P210")</f>
        <v>-3.7359999999999997E-2</v>
      </c>
      <c r="T401">
        <f>RTD("tos.rtd", , "GAMMA", ".SPY150717P210")</f>
        <v>3.117E-2</v>
      </c>
      <c r="U401">
        <f>RTD("tos.rtd", , "VEGA", ".SPY150717P210")</f>
        <v>0.37923000000000001</v>
      </c>
      <c r="V401">
        <f>RTD("tos.rtd", , "RHO", ".SPY150717P210")</f>
        <v>-0.20937</v>
      </c>
    </row>
    <row r="402" spans="1:22" x14ac:dyDescent="0.25">
      <c r="A402" t="str">
        <f>RTD("tos.rtd", , "ASK", ".SPY150717C210.5")</f>
        <v>N/A</v>
      </c>
      <c r="B402" t="str">
        <f>RTD("tos.rtd", , "ASK_SIZE", ".SPY150717C210.5")</f>
        <v>N/A</v>
      </c>
      <c r="C402" t="str">
        <f>RTD("tos.rtd", , "BID", ".SPY150717C210.5")</f>
        <v>N/A</v>
      </c>
      <c r="D402" t="str">
        <f>RTD("tos.rtd", , "BID_SIZE", ".SPY150717C210.5")</f>
        <v>N/A</v>
      </c>
      <c r="E402" t="str">
        <f>RTD("tos.rtd", , "VOLUME", ".SPY150717C210.5")</f>
        <v>N/A</v>
      </c>
      <c r="F402" t="str">
        <f>RTD("tos.rtd", , "OPEN_INT", ".SPY150717C210.5")</f>
        <v>N/A</v>
      </c>
      <c r="G402" t="str">
        <f>RTD("tos.rtd", , "DELTA", ".SPY150717C210.5")</f>
        <v>N/A</v>
      </c>
      <c r="H402" t="str">
        <f>RTD("tos.rtd", , "THETA", ".SPY150717C210.5")</f>
        <v>N/A</v>
      </c>
      <c r="I402" t="str">
        <f>RTD("tos.rtd", , "GAMMA", ".SPY150717C210.5")</f>
        <v>N/A</v>
      </c>
      <c r="J402" t="str">
        <f>RTD("tos.rtd", , "VEGA", ".SPY150717C210.5")</f>
        <v>N/A</v>
      </c>
      <c r="K402" t="str">
        <f>RTD("tos.rtd", , "RHO", ".SPY150717C210.5")</f>
        <v>N/A</v>
      </c>
      <c r="L402" t="str">
        <f>RTD("tos.rtd", , "ASK", ".SPY150717P210.5")</f>
        <v>N/A</v>
      </c>
      <c r="M402" t="str">
        <f>RTD("tos.rtd", , "ASK_SIZE", ".SPY150717P210.5")</f>
        <v>N/A</v>
      </c>
      <c r="N402" t="str">
        <f>RTD("tos.rtd", , "BID", ".SPY150717P210.5")</f>
        <v>N/A</v>
      </c>
      <c r="O402" t="str">
        <f>RTD("tos.rtd", , "BID_SIZE", ".SPY150717P210.5")</f>
        <v>N/A</v>
      </c>
      <c r="P402" t="str">
        <f>RTD("tos.rtd", , "VOLUME", ".SPY150717P210.5")</f>
        <v>N/A</v>
      </c>
      <c r="Q402" t="str">
        <f>RTD("tos.rtd", , "OPEN_INT", ".SPY150717P210.5")</f>
        <v>N/A</v>
      </c>
      <c r="R402" t="str">
        <f>RTD("tos.rtd", , "DELTA", ".SPY150717P210.5")</f>
        <v>N/A</v>
      </c>
      <c r="S402" t="str">
        <f>RTD("tos.rtd", , "THETA", ".SPY150717P210.5")</f>
        <v>N/A</v>
      </c>
      <c r="T402" t="str">
        <f>RTD("tos.rtd", , "GAMMA", ".SPY150717P210.5")</f>
        <v>N/A</v>
      </c>
      <c r="U402" t="str">
        <f>RTD("tos.rtd", , "VEGA", ".SPY150717P210.5")</f>
        <v>N/A</v>
      </c>
      <c r="V402" t="str">
        <f>RTD("tos.rtd", , "RHO", ".SPY150717P210.5")</f>
        <v>N/A</v>
      </c>
    </row>
    <row r="403" spans="1:22" x14ac:dyDescent="0.25">
      <c r="A403">
        <f>RTD("tos.rtd", , "ASK", ".SPY150717C211")</f>
        <v>4.74</v>
      </c>
      <c r="B403">
        <f>RTD("tos.rtd", , "ASK_SIZE", ".SPY150717C211")</f>
        <v>111</v>
      </c>
      <c r="C403">
        <f>RTD("tos.rtd", , "BID", ".SPY150717C211")</f>
        <v>4.68</v>
      </c>
      <c r="D403">
        <f>RTD("tos.rtd", , "BID_SIZE", ".SPY150717C211")</f>
        <v>318</v>
      </c>
      <c r="E403">
        <f>RTD("tos.rtd", , "VOLUME", ".SPY150717C211")</f>
        <v>889</v>
      </c>
      <c r="F403">
        <f>RTD("tos.rtd", , "OPEN_INT", ".SPY150717C211")</f>
        <v>6800</v>
      </c>
      <c r="G403">
        <f>RTD("tos.rtd", , "DELTA", ".SPY150717C211")</f>
        <v>0.50744</v>
      </c>
      <c r="H403">
        <f>RTD("tos.rtd", , "THETA", ".SPY150717C211")</f>
        <v>-2.7699999999999999E-2</v>
      </c>
      <c r="I403">
        <f>RTD("tos.rtd", , "GAMMA", ".SPY150717C211")</f>
        <v>3.3939999999999998E-2</v>
      </c>
      <c r="J403">
        <f>RTD("tos.rtd", , "VEGA", ".SPY150717C211")</f>
        <v>0.38041999999999998</v>
      </c>
      <c r="K403">
        <f>RTD("tos.rtd", , "RHO", ".SPY150717C211")</f>
        <v>0.19395000000000001</v>
      </c>
      <c r="L403">
        <f>RTD("tos.rtd", , "ASK", ".SPY150717P211")</f>
        <v>5.0599999999999996</v>
      </c>
      <c r="M403">
        <f>RTD("tos.rtd", , "ASK_SIZE", ".SPY150717P211")</f>
        <v>1856</v>
      </c>
      <c r="N403">
        <f>RTD("tos.rtd", , "BID", ".SPY150717P211")</f>
        <v>4.97</v>
      </c>
      <c r="O403">
        <f>RTD("tos.rtd", , "BID_SIZE", ".SPY150717P211")</f>
        <v>356</v>
      </c>
      <c r="P403">
        <f>RTD("tos.rtd", , "VOLUME", ".SPY150717P211")</f>
        <v>2363</v>
      </c>
      <c r="Q403">
        <f>RTD("tos.rtd", , "OPEN_INT", ".SPY150717P211")</f>
        <v>5678</v>
      </c>
      <c r="R403">
        <f>RTD("tos.rtd", , "DELTA", ".SPY150717P211")</f>
        <v>-0.49274000000000001</v>
      </c>
      <c r="S403">
        <f>RTD("tos.rtd", , "THETA", ".SPY150717P211")</f>
        <v>-3.6929999999999998E-2</v>
      </c>
      <c r="T403">
        <f>RTD("tos.rtd", , "GAMMA", ".SPY150717P211")</f>
        <v>3.227E-2</v>
      </c>
      <c r="U403">
        <f>RTD("tos.rtd", , "VEGA", ".SPY150717P211")</f>
        <v>0.38085999999999998</v>
      </c>
      <c r="V403">
        <f>RTD("tos.rtd", , "RHO", ".SPY150717P211")</f>
        <v>-0.224</v>
      </c>
    </row>
    <row r="404" spans="1:22" x14ac:dyDescent="0.25">
      <c r="A404" t="str">
        <f>RTD("tos.rtd", , "ASK", ".SPY150717C211.5")</f>
        <v>N/A</v>
      </c>
      <c r="B404" t="str">
        <f>RTD("tos.rtd", , "ASK_SIZE", ".SPY150717C211.5")</f>
        <v>N/A</v>
      </c>
      <c r="C404" t="str">
        <f>RTD("tos.rtd", , "BID", ".SPY150717C211.5")</f>
        <v>N/A</v>
      </c>
      <c r="D404" t="str">
        <f>RTD("tos.rtd", , "BID_SIZE", ".SPY150717C211.5")</f>
        <v>N/A</v>
      </c>
      <c r="E404" t="str">
        <f>RTD("tos.rtd", , "VOLUME", ".SPY150717C211.5")</f>
        <v>N/A</v>
      </c>
      <c r="F404" t="str">
        <f>RTD("tos.rtd", , "OPEN_INT", ".SPY150717C211.5")</f>
        <v>N/A</v>
      </c>
      <c r="G404" t="str">
        <f>RTD("tos.rtd", , "DELTA", ".SPY150717C211.5")</f>
        <v>N/A</v>
      </c>
      <c r="H404" t="str">
        <f>RTD("tos.rtd", , "THETA", ".SPY150717C211.5")</f>
        <v>N/A</v>
      </c>
      <c r="I404" t="str">
        <f>RTD("tos.rtd", , "GAMMA", ".SPY150717C211.5")</f>
        <v>N/A</v>
      </c>
      <c r="J404" t="str">
        <f>RTD("tos.rtd", , "VEGA", ".SPY150717C211.5")</f>
        <v>N/A</v>
      </c>
      <c r="K404" t="str">
        <f>RTD("tos.rtd", , "RHO", ".SPY150717C211.5")</f>
        <v>N/A</v>
      </c>
      <c r="L404" t="str">
        <f>RTD("tos.rtd", , "ASK", ".SPY150717P211.5")</f>
        <v>N/A</v>
      </c>
      <c r="M404" t="str">
        <f>RTD("tos.rtd", , "ASK_SIZE", ".SPY150717P211.5")</f>
        <v>N/A</v>
      </c>
      <c r="N404" t="str">
        <f>RTD("tos.rtd", , "BID", ".SPY150717P211.5")</f>
        <v>N/A</v>
      </c>
      <c r="O404" t="str">
        <f>RTD("tos.rtd", , "BID_SIZE", ".SPY150717P211.5")</f>
        <v>N/A</v>
      </c>
      <c r="P404" t="str">
        <f>RTD("tos.rtd", , "VOLUME", ".SPY150717P211.5")</f>
        <v>N/A</v>
      </c>
      <c r="Q404" t="str">
        <f>RTD("tos.rtd", , "OPEN_INT", ".SPY150717P211.5")</f>
        <v>N/A</v>
      </c>
      <c r="R404" t="str">
        <f>RTD("tos.rtd", , "DELTA", ".SPY150717P211.5")</f>
        <v>N/A</v>
      </c>
      <c r="S404" t="str">
        <f>RTD("tos.rtd", , "THETA", ".SPY150717P211.5")</f>
        <v>N/A</v>
      </c>
      <c r="T404" t="str">
        <f>RTD("tos.rtd", , "GAMMA", ".SPY150717P211.5")</f>
        <v>N/A</v>
      </c>
      <c r="U404" t="str">
        <f>RTD("tos.rtd", , "VEGA", ".SPY150717P211.5")</f>
        <v>N/A</v>
      </c>
      <c r="V404" t="str">
        <f>RTD("tos.rtd", , "RHO", ".SPY150717P211.5")</f>
        <v>N/A</v>
      </c>
    </row>
    <row r="405" spans="1:22" x14ac:dyDescent="0.25">
      <c r="A405">
        <f>RTD("tos.rtd", , "ASK", ".SPY150717C212")</f>
        <v>4.13</v>
      </c>
      <c r="B405">
        <f>RTD("tos.rtd", , "ASK_SIZE", ".SPY150717C212")</f>
        <v>132</v>
      </c>
      <c r="C405">
        <f>RTD("tos.rtd", , "BID", ".SPY150717C212")</f>
        <v>4.0599999999999996</v>
      </c>
      <c r="D405">
        <f>RTD("tos.rtd", , "BID_SIZE", ".SPY150717C212")</f>
        <v>316</v>
      </c>
      <c r="E405">
        <f>RTD("tos.rtd", , "VOLUME", ".SPY150717C212")</f>
        <v>321</v>
      </c>
      <c r="F405">
        <f>RTD("tos.rtd", , "OPEN_INT", ".SPY150717C212")</f>
        <v>4833</v>
      </c>
      <c r="G405">
        <f>RTD("tos.rtd", , "DELTA", ".SPY150717C212")</f>
        <v>0.47223999999999999</v>
      </c>
      <c r="H405">
        <f>RTD("tos.rtd", , "THETA", ".SPY150717C212")</f>
        <v>-2.69E-2</v>
      </c>
      <c r="I405">
        <f>RTD("tos.rtd", , "GAMMA", ".SPY150717C212")</f>
        <v>3.4680000000000002E-2</v>
      </c>
      <c r="J405">
        <f>RTD("tos.rtd", , "VEGA", ".SPY150717C212")</f>
        <v>0.37973000000000001</v>
      </c>
      <c r="K405">
        <f>RTD("tos.rtd", , "RHO", ".SPY150717C212")</f>
        <v>0.18295</v>
      </c>
      <c r="L405">
        <f>RTD("tos.rtd", , "ASK", ".SPY150717P212")</f>
        <v>5.47</v>
      </c>
      <c r="M405">
        <f>RTD("tos.rtd", , "ASK_SIZE", ".SPY150717P212")</f>
        <v>333</v>
      </c>
      <c r="N405">
        <f>RTD("tos.rtd", , "BID", ".SPY150717P212")</f>
        <v>5.4</v>
      </c>
      <c r="O405">
        <f>RTD("tos.rtd", , "BID_SIZE", ".SPY150717P212")</f>
        <v>10</v>
      </c>
      <c r="P405">
        <f>RTD("tos.rtd", , "VOLUME", ".SPY150717P212")</f>
        <v>685</v>
      </c>
      <c r="Q405">
        <f>RTD("tos.rtd", , "OPEN_INT", ".SPY150717P212")</f>
        <v>3140</v>
      </c>
      <c r="R405">
        <f>RTD("tos.rtd", , "DELTA", ".SPY150717P212")</f>
        <v>-0.52605000000000002</v>
      </c>
      <c r="S405">
        <f>RTD("tos.rtd", , "THETA", ".SPY150717P212")</f>
        <v>-3.6380000000000003E-2</v>
      </c>
      <c r="T405">
        <f>RTD("tos.rtd", , "GAMMA", ".SPY150717P212")</f>
        <v>3.2820000000000002E-2</v>
      </c>
      <c r="U405">
        <f>RTD("tos.rtd", , "VEGA", ".SPY150717P212")</f>
        <v>0.37996000000000002</v>
      </c>
      <c r="V405">
        <f>RTD("tos.rtd", , "RHO", ".SPY150717P212")</f>
        <v>-0.23932</v>
      </c>
    </row>
    <row r="406" spans="1:22" x14ac:dyDescent="0.25">
      <c r="A406" t="str">
        <f>RTD("tos.rtd", , "ASK", ".SPY150717C212.5")</f>
        <v>N/A</v>
      </c>
      <c r="B406" t="str">
        <f>RTD("tos.rtd", , "ASK_SIZE", ".SPY150717C212.5")</f>
        <v>N/A</v>
      </c>
      <c r="C406" t="str">
        <f>RTD("tos.rtd", , "BID", ".SPY150717C212.5")</f>
        <v>N/A</v>
      </c>
      <c r="D406" t="str">
        <f>RTD("tos.rtd", , "BID_SIZE", ".SPY150717C212.5")</f>
        <v>N/A</v>
      </c>
      <c r="E406" t="str">
        <f>RTD("tos.rtd", , "VOLUME", ".SPY150717C212.5")</f>
        <v>N/A</v>
      </c>
      <c r="F406" t="str">
        <f>RTD("tos.rtd", , "OPEN_INT", ".SPY150717C212.5")</f>
        <v>N/A</v>
      </c>
      <c r="G406" t="str">
        <f>RTD("tos.rtd", , "DELTA", ".SPY150717C212.5")</f>
        <v>N/A</v>
      </c>
      <c r="H406" t="str">
        <f>RTD("tos.rtd", , "THETA", ".SPY150717C212.5")</f>
        <v>N/A</v>
      </c>
      <c r="I406" t="str">
        <f>RTD("tos.rtd", , "GAMMA", ".SPY150717C212.5")</f>
        <v>N/A</v>
      </c>
      <c r="J406" t="str">
        <f>RTD("tos.rtd", , "VEGA", ".SPY150717C212.5")</f>
        <v>N/A</v>
      </c>
      <c r="K406" t="str">
        <f>RTD("tos.rtd", , "RHO", ".SPY150717C212.5")</f>
        <v>N/A</v>
      </c>
      <c r="L406" t="str">
        <f>RTD("tos.rtd", , "ASK", ".SPY150717P212.5")</f>
        <v>N/A</v>
      </c>
      <c r="M406" t="str">
        <f>RTD("tos.rtd", , "ASK_SIZE", ".SPY150717P212.5")</f>
        <v>N/A</v>
      </c>
      <c r="N406" t="str">
        <f>RTD("tos.rtd", , "BID", ".SPY150717P212.5")</f>
        <v>N/A</v>
      </c>
      <c r="O406" t="str">
        <f>RTD("tos.rtd", , "BID_SIZE", ".SPY150717P212.5")</f>
        <v>N/A</v>
      </c>
      <c r="P406" t="str">
        <f>RTD("tos.rtd", , "VOLUME", ".SPY150717P212.5")</f>
        <v>N/A</v>
      </c>
      <c r="Q406" t="str">
        <f>RTD("tos.rtd", , "OPEN_INT", ".SPY150717P212.5")</f>
        <v>N/A</v>
      </c>
      <c r="R406" t="str">
        <f>RTD("tos.rtd", , "DELTA", ".SPY150717P212.5")</f>
        <v>N/A</v>
      </c>
      <c r="S406" t="str">
        <f>RTD("tos.rtd", , "THETA", ".SPY150717P212.5")</f>
        <v>N/A</v>
      </c>
      <c r="T406" t="str">
        <f>RTD("tos.rtd", , "GAMMA", ".SPY150717P212.5")</f>
        <v>N/A</v>
      </c>
      <c r="U406" t="str">
        <f>RTD("tos.rtd", , "VEGA", ".SPY150717P212.5")</f>
        <v>N/A</v>
      </c>
      <c r="V406" t="str">
        <f>RTD("tos.rtd", , "RHO", ".SPY150717P212.5")</f>
        <v>N/A</v>
      </c>
    </row>
    <row r="407" spans="1:22" x14ac:dyDescent="0.25">
      <c r="A407">
        <f>RTD("tos.rtd", , "ASK", ".SPY150717C213")</f>
        <v>3.55</v>
      </c>
      <c r="B407">
        <f>RTD("tos.rtd", , "ASK_SIZE", ".SPY150717C213")</f>
        <v>99</v>
      </c>
      <c r="C407">
        <f>RTD("tos.rtd", , "BID", ".SPY150717C213")</f>
        <v>3.48</v>
      </c>
      <c r="D407">
        <f>RTD("tos.rtd", , "BID_SIZE", ".SPY150717C213")</f>
        <v>2565</v>
      </c>
      <c r="E407">
        <f>RTD("tos.rtd", , "VOLUME", ".SPY150717C213")</f>
        <v>345</v>
      </c>
      <c r="F407">
        <f>RTD("tos.rtd", , "OPEN_INT", ".SPY150717C213")</f>
        <v>4289</v>
      </c>
      <c r="G407">
        <f>RTD("tos.rtd", , "DELTA", ".SPY150717C213")</f>
        <v>0.43525999999999998</v>
      </c>
      <c r="H407">
        <f>RTD("tos.rtd", , "THETA", ".SPY150717C213")</f>
        <v>-2.588E-2</v>
      </c>
      <c r="I407">
        <f>RTD("tos.rtd", , "GAMMA", ".SPY150717C213")</f>
        <v>3.5340000000000003E-2</v>
      </c>
      <c r="J407">
        <f>RTD("tos.rtd", , "VEGA", ".SPY150717C213")</f>
        <v>0.37580999999999998</v>
      </c>
      <c r="K407">
        <f>RTD("tos.rtd", , "RHO", ".SPY150717C213")</f>
        <v>0.17077000000000001</v>
      </c>
      <c r="L407">
        <f>RTD("tos.rtd", , "ASK", ".SPY150717P213")</f>
        <v>5.97</v>
      </c>
      <c r="M407">
        <f>RTD("tos.rtd", , "ASK_SIZE", ".SPY150717P213")</f>
        <v>240</v>
      </c>
      <c r="N407">
        <f>RTD("tos.rtd", , "BID", ".SPY150717P213")</f>
        <v>5.82</v>
      </c>
      <c r="O407">
        <f>RTD("tos.rtd", , "BID_SIZE", ".SPY150717P213")</f>
        <v>190</v>
      </c>
      <c r="P407">
        <f>RTD("tos.rtd", , "VOLUME", ".SPY150717P213")</f>
        <v>57</v>
      </c>
      <c r="Q407">
        <f>RTD("tos.rtd", , "OPEN_INT", ".SPY150717P213")</f>
        <v>1792</v>
      </c>
      <c r="R407">
        <f>RTD("tos.rtd", , "DELTA", ".SPY150717P213")</f>
        <v>-0.56044000000000005</v>
      </c>
      <c r="S407">
        <f>RTD("tos.rtd", , "THETA", ".SPY150717P213")</f>
        <v>-3.5659999999999997E-2</v>
      </c>
      <c r="T407">
        <f>RTD("tos.rtd", , "GAMMA", ".SPY150717P213")</f>
        <v>3.3239999999999999E-2</v>
      </c>
      <c r="U407">
        <f>RTD("tos.rtd", , "VEGA", ".SPY150717P213")</f>
        <v>0.37624000000000002</v>
      </c>
      <c r="V407">
        <f>RTD("tos.rtd", , "RHO", ".SPY150717P213")</f>
        <v>-0.25518999999999997</v>
      </c>
    </row>
    <row r="408" spans="1:22" x14ac:dyDescent="0.25">
      <c r="A408" t="str">
        <f>RTD("tos.rtd", , "ASK", ".SPY150717C213.5")</f>
        <v>N/A</v>
      </c>
      <c r="B408" t="str">
        <f>RTD("tos.rtd", , "ASK_SIZE", ".SPY150717C213.5")</f>
        <v>N/A</v>
      </c>
      <c r="C408" t="str">
        <f>RTD("tos.rtd", , "BID", ".SPY150717C213.5")</f>
        <v>N/A</v>
      </c>
      <c r="D408" t="str">
        <f>RTD("tos.rtd", , "BID_SIZE", ".SPY150717C213.5")</f>
        <v>N/A</v>
      </c>
      <c r="E408" t="str">
        <f>RTD("tos.rtd", , "VOLUME", ".SPY150717C213.5")</f>
        <v>N/A</v>
      </c>
      <c r="F408" t="str">
        <f>RTD("tos.rtd", , "OPEN_INT", ".SPY150717C213.5")</f>
        <v>N/A</v>
      </c>
      <c r="G408" t="str">
        <f>RTD("tos.rtd", , "DELTA", ".SPY150717C213.5")</f>
        <v>N/A</v>
      </c>
      <c r="H408" t="str">
        <f>RTD("tos.rtd", , "THETA", ".SPY150717C213.5")</f>
        <v>N/A</v>
      </c>
      <c r="I408" t="str">
        <f>RTD("tos.rtd", , "GAMMA", ".SPY150717C213.5")</f>
        <v>N/A</v>
      </c>
      <c r="J408" t="str">
        <f>RTD("tos.rtd", , "VEGA", ".SPY150717C213.5")</f>
        <v>N/A</v>
      </c>
      <c r="K408" t="str">
        <f>RTD("tos.rtd", , "RHO", ".SPY150717C213.5")</f>
        <v>N/A</v>
      </c>
      <c r="L408" t="str">
        <f>RTD("tos.rtd", , "ASK", ".SPY150717P213.5")</f>
        <v>N/A</v>
      </c>
      <c r="M408" t="str">
        <f>RTD("tos.rtd", , "ASK_SIZE", ".SPY150717P213.5")</f>
        <v>N/A</v>
      </c>
      <c r="N408" t="str">
        <f>RTD("tos.rtd", , "BID", ".SPY150717P213.5")</f>
        <v>N/A</v>
      </c>
      <c r="O408" t="str">
        <f>RTD("tos.rtd", , "BID_SIZE", ".SPY150717P213.5")</f>
        <v>N/A</v>
      </c>
      <c r="P408" t="str">
        <f>RTD("tos.rtd", , "VOLUME", ".SPY150717P213.5")</f>
        <v>N/A</v>
      </c>
      <c r="Q408" t="str">
        <f>RTD("tos.rtd", , "OPEN_INT", ".SPY150717P213.5")</f>
        <v>N/A</v>
      </c>
      <c r="R408" t="str">
        <f>RTD("tos.rtd", , "DELTA", ".SPY150717P213.5")</f>
        <v>N/A</v>
      </c>
      <c r="S408" t="str">
        <f>RTD("tos.rtd", , "THETA", ".SPY150717P213.5")</f>
        <v>N/A</v>
      </c>
      <c r="T408" t="str">
        <f>RTD("tos.rtd", , "GAMMA", ".SPY150717P213.5")</f>
        <v>N/A</v>
      </c>
      <c r="U408" t="str">
        <f>RTD("tos.rtd", , "VEGA", ".SPY150717P213.5")</f>
        <v>N/A</v>
      </c>
      <c r="V408" t="str">
        <f>RTD("tos.rtd", , "RHO", ".SPY150717P213.5")</f>
        <v>N/A</v>
      </c>
    </row>
    <row r="409" spans="1:22" x14ac:dyDescent="0.25">
      <c r="A409">
        <f>RTD("tos.rtd", , "ASK", ".SPY150717C214")</f>
        <v>3.02</v>
      </c>
      <c r="B409">
        <f>RTD("tos.rtd", , "ASK_SIZE", ".SPY150717C214")</f>
        <v>250</v>
      </c>
      <c r="C409">
        <f>RTD("tos.rtd", , "BID", ".SPY150717C214")</f>
        <v>2.95</v>
      </c>
      <c r="D409">
        <f>RTD("tos.rtd", , "BID_SIZE", ".SPY150717C214")</f>
        <v>2233</v>
      </c>
      <c r="E409">
        <f>RTD("tos.rtd", , "VOLUME", ".SPY150717C214")</f>
        <v>400</v>
      </c>
      <c r="F409">
        <f>RTD("tos.rtd", , "OPEN_INT", ".SPY150717C214")</f>
        <v>7737</v>
      </c>
      <c r="G409">
        <f>RTD("tos.rtd", , "DELTA", ".SPY150717C214")</f>
        <v>0.39700999999999997</v>
      </c>
      <c r="H409">
        <f>RTD("tos.rtd", , "THETA", ".SPY150717C214")</f>
        <v>-2.47E-2</v>
      </c>
      <c r="I409">
        <f>RTD("tos.rtd", , "GAMMA", ".SPY150717C214")</f>
        <v>3.56E-2</v>
      </c>
      <c r="J409">
        <f>RTD("tos.rtd", , "VEGA", ".SPY150717C214")</f>
        <v>0.36828</v>
      </c>
      <c r="K409">
        <f>RTD("tos.rtd", , "RHO", ".SPY150717C214")</f>
        <v>0.15759999999999999</v>
      </c>
      <c r="L409">
        <f>RTD("tos.rtd", , "ASK", ".SPY150717P214")</f>
        <v>6.43</v>
      </c>
      <c r="M409">
        <f>RTD("tos.rtd", , "ASK_SIZE", ".SPY150717P214")</f>
        <v>240</v>
      </c>
      <c r="N409">
        <f>RTD("tos.rtd", , "BID", ".SPY150717P214")</f>
        <v>6.27</v>
      </c>
      <c r="O409">
        <f>RTD("tos.rtd", , "BID_SIZE", ".SPY150717P214")</f>
        <v>240</v>
      </c>
      <c r="P409">
        <f>RTD("tos.rtd", , "VOLUME", ".SPY150717P214")</f>
        <v>215</v>
      </c>
      <c r="Q409">
        <f>RTD("tos.rtd", , "OPEN_INT", ".SPY150717P214")</f>
        <v>1345</v>
      </c>
      <c r="R409">
        <f>RTD("tos.rtd", , "DELTA", ".SPY150717P214")</f>
        <v>-0.59687999999999997</v>
      </c>
      <c r="S409">
        <f>RTD("tos.rtd", , "THETA", ".SPY150717P214")</f>
        <v>-3.4430000000000002E-2</v>
      </c>
      <c r="T409">
        <f>RTD("tos.rtd", , "GAMMA", ".SPY150717P214")</f>
        <v>3.3689999999999998E-2</v>
      </c>
      <c r="U409">
        <f>RTD("tos.rtd", , "VEGA", ".SPY150717P214")</f>
        <v>0.36918000000000001</v>
      </c>
      <c r="V409">
        <f>RTD("tos.rtd", , "RHO", ".SPY150717P214")</f>
        <v>-0.27194000000000002</v>
      </c>
    </row>
    <row r="410" spans="1:22" x14ac:dyDescent="0.25">
      <c r="A410" t="str">
        <f>RTD("tos.rtd", , "ASK", ".SPY150717C214.5")</f>
        <v>N/A</v>
      </c>
      <c r="B410" t="str">
        <f>RTD("tos.rtd", , "ASK_SIZE", ".SPY150717C214.5")</f>
        <v>N/A</v>
      </c>
      <c r="C410" t="str">
        <f>RTD("tos.rtd", , "BID", ".SPY150717C214.5")</f>
        <v>N/A</v>
      </c>
      <c r="D410" t="str">
        <f>RTD("tos.rtd", , "BID_SIZE", ".SPY150717C214.5")</f>
        <v>N/A</v>
      </c>
      <c r="E410" t="str">
        <f>RTD("tos.rtd", , "VOLUME", ".SPY150717C214.5")</f>
        <v>N/A</v>
      </c>
      <c r="F410" t="str">
        <f>RTD("tos.rtd", , "OPEN_INT", ".SPY150717C214.5")</f>
        <v>N/A</v>
      </c>
      <c r="G410" t="str">
        <f>RTD("tos.rtd", , "DELTA", ".SPY150717C214.5")</f>
        <v>N/A</v>
      </c>
      <c r="H410" t="str">
        <f>RTD("tos.rtd", , "THETA", ".SPY150717C214.5")</f>
        <v>N/A</v>
      </c>
      <c r="I410" t="str">
        <f>RTD("tos.rtd", , "GAMMA", ".SPY150717C214.5")</f>
        <v>N/A</v>
      </c>
      <c r="J410" t="str">
        <f>RTD("tos.rtd", , "VEGA", ".SPY150717C214.5")</f>
        <v>N/A</v>
      </c>
      <c r="K410" t="str">
        <f>RTD("tos.rtd", , "RHO", ".SPY150717C214.5")</f>
        <v>N/A</v>
      </c>
      <c r="L410" t="str">
        <f>RTD("tos.rtd", , "ASK", ".SPY150717P214.5")</f>
        <v>N/A</v>
      </c>
      <c r="M410" t="str">
        <f>RTD("tos.rtd", , "ASK_SIZE", ".SPY150717P214.5")</f>
        <v>N/A</v>
      </c>
      <c r="N410" t="str">
        <f>RTD("tos.rtd", , "BID", ".SPY150717P214.5")</f>
        <v>N/A</v>
      </c>
      <c r="O410" t="str">
        <f>RTD("tos.rtd", , "BID_SIZE", ".SPY150717P214.5")</f>
        <v>N/A</v>
      </c>
      <c r="P410" t="str">
        <f>RTD("tos.rtd", , "VOLUME", ".SPY150717P214.5")</f>
        <v>N/A</v>
      </c>
      <c r="Q410" t="str">
        <f>RTD("tos.rtd", , "OPEN_INT", ".SPY150717P214.5")</f>
        <v>N/A</v>
      </c>
      <c r="R410" t="str">
        <f>RTD("tos.rtd", , "DELTA", ".SPY150717P214.5")</f>
        <v>N/A</v>
      </c>
      <c r="S410" t="str">
        <f>RTD("tos.rtd", , "THETA", ".SPY150717P214.5")</f>
        <v>N/A</v>
      </c>
      <c r="T410" t="str">
        <f>RTD("tos.rtd", , "GAMMA", ".SPY150717P214.5")</f>
        <v>N/A</v>
      </c>
      <c r="U410" t="str">
        <f>RTD("tos.rtd", , "VEGA", ".SPY150717P214.5")</f>
        <v>N/A</v>
      </c>
      <c r="V410" t="str">
        <f>RTD("tos.rtd", , "RHO", ".SPY150717P214.5")</f>
        <v>N/A</v>
      </c>
    </row>
    <row r="411" spans="1:22" x14ac:dyDescent="0.25">
      <c r="A411">
        <f>RTD("tos.rtd", , "ASK", ".SPY150717C215")</f>
        <v>2.5299999999999998</v>
      </c>
      <c r="B411">
        <f>RTD("tos.rtd", , "ASK_SIZE", ".SPY150717C215")</f>
        <v>336</v>
      </c>
      <c r="C411">
        <f>RTD("tos.rtd", , "BID", ".SPY150717C215")</f>
        <v>2.46</v>
      </c>
      <c r="D411">
        <f>RTD("tos.rtd", , "BID_SIZE", ".SPY150717C215")</f>
        <v>2712</v>
      </c>
      <c r="E411">
        <f>RTD("tos.rtd", , "VOLUME", ".SPY150717C215")</f>
        <v>5547</v>
      </c>
      <c r="F411">
        <f>RTD("tos.rtd", , "OPEN_INT", ".SPY150717C215")</f>
        <v>11285</v>
      </c>
      <c r="G411">
        <f>RTD("tos.rtd", , "DELTA", ".SPY150717C215")</f>
        <v>0.35753000000000001</v>
      </c>
      <c r="H411">
        <f>RTD("tos.rtd", , "THETA", ".SPY150717C215")</f>
        <v>-2.3259999999999999E-2</v>
      </c>
      <c r="I411">
        <f>RTD("tos.rtd", , "GAMMA", ".SPY150717C215")</f>
        <v>3.5499999999999997E-2</v>
      </c>
      <c r="J411">
        <f>RTD("tos.rtd", , "VEGA", ".SPY150717C215")</f>
        <v>0.35671999999999998</v>
      </c>
      <c r="K411">
        <f>RTD("tos.rtd", , "RHO", ".SPY150717C215")</f>
        <v>0.14346</v>
      </c>
      <c r="L411">
        <f>RTD("tos.rtd", , "ASK", ".SPY150717P215")</f>
        <v>6.99</v>
      </c>
      <c r="M411">
        <f>RTD("tos.rtd", , "ASK_SIZE", ".SPY150717P215")</f>
        <v>240</v>
      </c>
      <c r="N411">
        <f>RTD("tos.rtd", , "BID", ".SPY150717P215")</f>
        <v>6.79</v>
      </c>
      <c r="O411">
        <f>RTD("tos.rtd", , "BID_SIZE", ".SPY150717P215")</f>
        <v>240</v>
      </c>
      <c r="P411">
        <f>RTD("tos.rtd", , "VOLUME", ".SPY150717P215")</f>
        <v>94</v>
      </c>
      <c r="Q411">
        <f>RTD("tos.rtd", , "OPEN_INT", ".SPY150717P215")</f>
        <v>1915</v>
      </c>
      <c r="R411">
        <f>RTD("tos.rtd", , "DELTA", ".SPY150717P215")</f>
        <v>-0.63312000000000002</v>
      </c>
      <c r="S411">
        <f>RTD("tos.rtd", , "THETA", ".SPY150717P215")</f>
        <v>-3.3279999999999997E-2</v>
      </c>
      <c r="T411">
        <f>RTD("tos.rtd", , "GAMMA", ".SPY150717P215")</f>
        <v>3.3520000000000001E-2</v>
      </c>
      <c r="U411">
        <f>RTD("tos.rtd", , "VEGA", ".SPY150717P215")</f>
        <v>0.35888999999999999</v>
      </c>
      <c r="V411">
        <f>RTD("tos.rtd", , "RHO", ".SPY150717P215")</f>
        <v>-0.28877999999999998</v>
      </c>
    </row>
    <row r="412" spans="1:22" x14ac:dyDescent="0.25">
      <c r="A412" t="str">
        <f>RTD("tos.rtd", , "ASK", ".SPY150717C215.5")</f>
        <v>N/A</v>
      </c>
      <c r="B412" t="str">
        <f>RTD("tos.rtd", , "ASK_SIZE", ".SPY150717C215.5")</f>
        <v>N/A</v>
      </c>
      <c r="C412" t="str">
        <f>RTD("tos.rtd", , "BID", ".SPY150717C215.5")</f>
        <v>N/A</v>
      </c>
      <c r="D412" t="str">
        <f>RTD("tos.rtd", , "BID_SIZE", ".SPY150717C215.5")</f>
        <v>N/A</v>
      </c>
      <c r="E412" t="str">
        <f>RTD("tos.rtd", , "VOLUME", ".SPY150717C215.5")</f>
        <v>N/A</v>
      </c>
      <c r="F412" t="str">
        <f>RTD("tos.rtd", , "OPEN_INT", ".SPY150717C215.5")</f>
        <v>N/A</v>
      </c>
      <c r="G412" t="str">
        <f>RTD("tos.rtd", , "DELTA", ".SPY150717C215.5")</f>
        <v>N/A</v>
      </c>
      <c r="H412" t="str">
        <f>RTD("tos.rtd", , "THETA", ".SPY150717C215.5")</f>
        <v>N/A</v>
      </c>
      <c r="I412" t="str">
        <f>RTD("tos.rtd", , "GAMMA", ".SPY150717C215.5")</f>
        <v>N/A</v>
      </c>
      <c r="J412" t="str">
        <f>RTD("tos.rtd", , "VEGA", ".SPY150717C215.5")</f>
        <v>N/A</v>
      </c>
      <c r="K412" t="str">
        <f>RTD("tos.rtd", , "RHO", ".SPY150717C215.5")</f>
        <v>N/A</v>
      </c>
      <c r="L412" t="str">
        <f>RTD("tos.rtd", , "ASK", ".SPY150717P215.5")</f>
        <v>N/A</v>
      </c>
      <c r="M412" t="str">
        <f>RTD("tos.rtd", , "ASK_SIZE", ".SPY150717P215.5")</f>
        <v>N/A</v>
      </c>
      <c r="N412" t="str">
        <f>RTD("tos.rtd", , "BID", ".SPY150717P215.5")</f>
        <v>N/A</v>
      </c>
      <c r="O412" t="str">
        <f>RTD("tos.rtd", , "BID_SIZE", ".SPY150717P215.5")</f>
        <v>N/A</v>
      </c>
      <c r="P412" t="str">
        <f>RTD("tos.rtd", , "VOLUME", ".SPY150717P215.5")</f>
        <v>N/A</v>
      </c>
      <c r="Q412" t="str">
        <f>RTD("tos.rtd", , "OPEN_INT", ".SPY150717P215.5")</f>
        <v>N/A</v>
      </c>
      <c r="R412" t="str">
        <f>RTD("tos.rtd", , "DELTA", ".SPY150717P215.5")</f>
        <v>N/A</v>
      </c>
      <c r="S412" t="str">
        <f>RTD("tos.rtd", , "THETA", ".SPY150717P215.5")</f>
        <v>N/A</v>
      </c>
      <c r="T412" t="str">
        <f>RTD("tos.rtd", , "GAMMA", ".SPY150717P215.5")</f>
        <v>N/A</v>
      </c>
      <c r="U412" t="str">
        <f>RTD("tos.rtd", , "VEGA", ".SPY150717P215.5")</f>
        <v>N/A</v>
      </c>
      <c r="V412" t="str">
        <f>RTD("tos.rtd", , "RHO", ".SPY150717P215.5")</f>
        <v>N/A</v>
      </c>
    </row>
    <row r="413" spans="1:22" x14ac:dyDescent="0.25">
      <c r="A413">
        <f>RTD("tos.rtd", , "ASK", ".SPY150717C216")</f>
        <v>2.09</v>
      </c>
      <c r="B413">
        <f>RTD("tos.rtd", , "ASK_SIZE", ".SPY150717C216")</f>
        <v>887</v>
      </c>
      <c r="C413">
        <f>RTD("tos.rtd", , "BID", ".SPY150717C216")</f>
        <v>2.02</v>
      </c>
      <c r="D413">
        <f>RTD("tos.rtd", , "BID_SIZE", ".SPY150717C216")</f>
        <v>2726</v>
      </c>
      <c r="E413">
        <f>RTD("tos.rtd", , "VOLUME", ".SPY150717C216")</f>
        <v>1896</v>
      </c>
      <c r="F413">
        <f>RTD("tos.rtd", , "OPEN_INT", ".SPY150717C216")</f>
        <v>5355</v>
      </c>
      <c r="G413">
        <f>RTD("tos.rtd", , "DELTA", ".SPY150717C216")</f>
        <v>0.31756000000000001</v>
      </c>
      <c r="H413">
        <f>RTD("tos.rtd", , "THETA", ".SPY150717C216")</f>
        <v>-2.163E-2</v>
      </c>
      <c r="I413">
        <f>RTD("tos.rtd", , "GAMMA", ".SPY150717C216")</f>
        <v>3.4930000000000003E-2</v>
      </c>
      <c r="J413">
        <f>RTD("tos.rtd", , "VEGA", ".SPY150717C216")</f>
        <v>0.34094999999999998</v>
      </c>
      <c r="K413">
        <f>RTD("tos.rtd", , "RHO", ".SPY150717C216")</f>
        <v>0.12869</v>
      </c>
      <c r="L413">
        <f>RTD("tos.rtd", , "ASK", ".SPY150717P216")</f>
        <v>7.56</v>
      </c>
      <c r="M413">
        <f>RTD("tos.rtd", , "ASK_SIZE", ".SPY150717P216")</f>
        <v>190</v>
      </c>
      <c r="N413">
        <f>RTD("tos.rtd", , "BID", ".SPY150717P216")</f>
        <v>7.35</v>
      </c>
      <c r="O413">
        <f>RTD("tos.rtd", , "BID_SIZE", ".SPY150717P216")</f>
        <v>240</v>
      </c>
      <c r="P413">
        <f>RTD("tos.rtd", , "VOLUME", ".SPY150717P216")</f>
        <v>288</v>
      </c>
      <c r="Q413">
        <f>RTD("tos.rtd", , "OPEN_INT", ".SPY150717P216")</f>
        <v>627</v>
      </c>
      <c r="R413">
        <f>RTD("tos.rtd", , "DELTA", ".SPY150717P216")</f>
        <v>-0.67010999999999998</v>
      </c>
      <c r="S413">
        <f>RTD("tos.rtd", , "THETA", ".SPY150717P216")</f>
        <v>-3.1829999999999997E-2</v>
      </c>
      <c r="T413">
        <f>RTD("tos.rtd", , "GAMMA", ".SPY150717P216")</f>
        <v>3.3059999999999999E-2</v>
      </c>
      <c r="U413">
        <f>RTD("tos.rtd", , "VEGA", ".SPY150717P216")</f>
        <v>0.34495999999999999</v>
      </c>
      <c r="V413">
        <f>RTD("tos.rtd", , "RHO", ".SPY150717P216")</f>
        <v>-0.30601</v>
      </c>
    </row>
    <row r="414" spans="1:22" x14ac:dyDescent="0.25">
      <c r="A414" t="str">
        <f>RTD("tos.rtd", , "ASK", ".SPY150717C216.5")</f>
        <v>N/A</v>
      </c>
      <c r="B414" t="str">
        <f>RTD("tos.rtd", , "ASK_SIZE", ".SPY150717C216.5")</f>
        <v>N/A</v>
      </c>
      <c r="C414" t="str">
        <f>RTD("tos.rtd", , "BID", ".SPY150717C216.5")</f>
        <v>N/A</v>
      </c>
      <c r="D414" t="str">
        <f>RTD("tos.rtd", , "BID_SIZE", ".SPY150717C216.5")</f>
        <v>N/A</v>
      </c>
      <c r="E414" t="str">
        <f>RTD("tos.rtd", , "VOLUME", ".SPY150717C216.5")</f>
        <v>N/A</v>
      </c>
      <c r="F414" t="str">
        <f>RTD("tos.rtd", , "OPEN_INT", ".SPY150717C216.5")</f>
        <v>N/A</v>
      </c>
      <c r="G414" t="str">
        <f>RTD("tos.rtd", , "DELTA", ".SPY150717C216.5")</f>
        <v>N/A</v>
      </c>
      <c r="H414" t="str">
        <f>RTD("tos.rtd", , "THETA", ".SPY150717C216.5")</f>
        <v>N/A</v>
      </c>
      <c r="I414" t="str">
        <f>RTD("tos.rtd", , "GAMMA", ".SPY150717C216.5")</f>
        <v>N/A</v>
      </c>
      <c r="J414" t="str">
        <f>RTD("tos.rtd", , "VEGA", ".SPY150717C216.5")</f>
        <v>N/A</v>
      </c>
      <c r="K414" t="str">
        <f>RTD("tos.rtd", , "RHO", ".SPY150717C216.5")</f>
        <v>N/A</v>
      </c>
      <c r="L414" t="str">
        <f>RTD("tos.rtd", , "ASK", ".SPY150717P216.5")</f>
        <v>N/A</v>
      </c>
      <c r="M414" t="str">
        <f>RTD("tos.rtd", , "ASK_SIZE", ".SPY150717P216.5")</f>
        <v>N/A</v>
      </c>
      <c r="N414" t="str">
        <f>RTD("tos.rtd", , "BID", ".SPY150717P216.5")</f>
        <v>N/A</v>
      </c>
      <c r="O414" t="str">
        <f>RTD("tos.rtd", , "BID_SIZE", ".SPY150717P216.5")</f>
        <v>N/A</v>
      </c>
      <c r="P414" t="str">
        <f>RTD("tos.rtd", , "VOLUME", ".SPY150717P216.5")</f>
        <v>N/A</v>
      </c>
      <c r="Q414" t="str">
        <f>RTD("tos.rtd", , "OPEN_INT", ".SPY150717P216.5")</f>
        <v>N/A</v>
      </c>
      <c r="R414" t="str">
        <f>RTD("tos.rtd", , "DELTA", ".SPY150717P216.5")</f>
        <v>N/A</v>
      </c>
      <c r="S414" t="str">
        <f>RTD("tos.rtd", , "THETA", ".SPY150717P216.5")</f>
        <v>N/A</v>
      </c>
      <c r="T414" t="str">
        <f>RTD("tos.rtd", , "GAMMA", ".SPY150717P216.5")</f>
        <v>N/A</v>
      </c>
      <c r="U414" t="str">
        <f>RTD("tos.rtd", , "VEGA", ".SPY150717P216.5")</f>
        <v>N/A</v>
      </c>
      <c r="V414" t="str">
        <f>RTD("tos.rtd", , "RHO", ".SPY150717P216.5")</f>
        <v>N/A</v>
      </c>
    </row>
    <row r="415" spans="1:22" x14ac:dyDescent="0.25">
      <c r="A415">
        <f>RTD("tos.rtd", , "ASK", ".SPY150717C217")</f>
        <v>1.69</v>
      </c>
      <c r="B415">
        <f>RTD("tos.rtd", , "ASK_SIZE", ".SPY150717C217")</f>
        <v>374</v>
      </c>
      <c r="C415">
        <f>RTD("tos.rtd", , "BID", ".SPY150717C217")</f>
        <v>1.63</v>
      </c>
      <c r="D415">
        <f>RTD("tos.rtd", , "BID_SIZE", ".SPY150717C217")</f>
        <v>2900</v>
      </c>
      <c r="E415">
        <f>RTD("tos.rtd", , "VOLUME", ".SPY150717C217")</f>
        <v>2612</v>
      </c>
      <c r="F415">
        <f>RTD("tos.rtd", , "OPEN_INT", ".SPY150717C217")</f>
        <v>6415</v>
      </c>
      <c r="G415">
        <f>RTD("tos.rtd", , "DELTA", ".SPY150717C217")</f>
        <v>0.27743000000000001</v>
      </c>
      <c r="H415">
        <f>RTD("tos.rtd", , "THETA", ".SPY150717C217")</f>
        <v>-1.9779999999999999E-2</v>
      </c>
      <c r="I415">
        <f>RTD("tos.rtd", , "GAMMA", ".SPY150717C217")</f>
        <v>3.3860000000000001E-2</v>
      </c>
      <c r="J415">
        <f>RTD("tos.rtd", , "VEGA", ".SPY150717C217")</f>
        <v>0.32083</v>
      </c>
      <c r="K415">
        <f>RTD("tos.rtd", , "RHO", ".SPY150717C217")</f>
        <v>0.11345</v>
      </c>
      <c r="L415">
        <f>RTD("tos.rtd", , "ASK", ".SPY150717P217")</f>
        <v>8.19</v>
      </c>
      <c r="M415">
        <f>RTD("tos.rtd", , "ASK_SIZE", ".SPY150717P217")</f>
        <v>249</v>
      </c>
      <c r="N415">
        <f>RTD("tos.rtd", , "BID", ".SPY150717P217")</f>
        <v>7.96</v>
      </c>
      <c r="O415">
        <f>RTD("tos.rtd", , "BID_SIZE", ".SPY150717P217")</f>
        <v>240</v>
      </c>
      <c r="P415">
        <f>RTD("tos.rtd", , "VOLUME", ".SPY150717P217")</f>
        <v>117</v>
      </c>
      <c r="Q415">
        <f>RTD("tos.rtd", , "OPEN_INT", ".SPY150717P217")</f>
        <v>638</v>
      </c>
      <c r="R415">
        <f>RTD("tos.rtd", , "DELTA", ".SPY150717P217")</f>
        <v>-0.70652999999999999</v>
      </c>
      <c r="S415">
        <f>RTD("tos.rtd", , "THETA", ".SPY150717P217")</f>
        <v>-3.0259999999999999E-2</v>
      </c>
      <c r="T415">
        <f>RTD("tos.rtd", , "GAMMA", ".SPY150717P217")</f>
        <v>3.2129999999999999E-2</v>
      </c>
      <c r="U415">
        <f>RTD("tos.rtd", , "VEGA", ".SPY150717P217")</f>
        <v>0.32769999999999999</v>
      </c>
      <c r="V415">
        <f>RTD("tos.rtd", , "RHO", ".SPY150717P217")</f>
        <v>-0.3231</v>
      </c>
    </row>
    <row r="416" spans="1:22" x14ac:dyDescent="0.25">
      <c r="A416" t="str">
        <f>RTD("tos.rtd", , "ASK", ".SPY150717C217.5")</f>
        <v>N/A</v>
      </c>
      <c r="B416" t="str">
        <f>RTD("tos.rtd", , "ASK_SIZE", ".SPY150717C217.5")</f>
        <v>N/A</v>
      </c>
      <c r="C416" t="str">
        <f>RTD("tos.rtd", , "BID", ".SPY150717C217.5")</f>
        <v>N/A</v>
      </c>
      <c r="D416" t="str">
        <f>RTD("tos.rtd", , "BID_SIZE", ".SPY150717C217.5")</f>
        <v>N/A</v>
      </c>
      <c r="E416" t="str">
        <f>RTD("tos.rtd", , "VOLUME", ".SPY150717C217.5")</f>
        <v>N/A</v>
      </c>
      <c r="F416" t="str">
        <f>RTD("tos.rtd", , "OPEN_INT", ".SPY150717C217.5")</f>
        <v>N/A</v>
      </c>
      <c r="G416" t="str">
        <f>RTD("tos.rtd", , "DELTA", ".SPY150717C217.5")</f>
        <v>N/A</v>
      </c>
      <c r="H416" t="str">
        <f>RTD("tos.rtd", , "THETA", ".SPY150717C217.5")</f>
        <v>N/A</v>
      </c>
      <c r="I416" t="str">
        <f>RTD("tos.rtd", , "GAMMA", ".SPY150717C217.5")</f>
        <v>N/A</v>
      </c>
      <c r="J416" t="str">
        <f>RTD("tos.rtd", , "VEGA", ".SPY150717C217.5")</f>
        <v>N/A</v>
      </c>
      <c r="K416" t="str">
        <f>RTD("tos.rtd", , "RHO", ".SPY150717C217.5")</f>
        <v>N/A</v>
      </c>
      <c r="L416" t="str">
        <f>RTD("tos.rtd", , "ASK", ".SPY150717P217.5")</f>
        <v>N/A</v>
      </c>
      <c r="M416" t="str">
        <f>RTD("tos.rtd", , "ASK_SIZE", ".SPY150717P217.5")</f>
        <v>N/A</v>
      </c>
      <c r="N416" t="str">
        <f>RTD("tos.rtd", , "BID", ".SPY150717P217.5")</f>
        <v>N/A</v>
      </c>
      <c r="O416" t="str">
        <f>RTD("tos.rtd", , "BID_SIZE", ".SPY150717P217.5")</f>
        <v>N/A</v>
      </c>
      <c r="P416" t="str">
        <f>RTD("tos.rtd", , "VOLUME", ".SPY150717P217.5")</f>
        <v>N/A</v>
      </c>
      <c r="Q416" t="str">
        <f>RTD("tos.rtd", , "OPEN_INT", ".SPY150717P217.5")</f>
        <v>N/A</v>
      </c>
      <c r="R416" t="str">
        <f>RTD("tos.rtd", , "DELTA", ".SPY150717P217.5")</f>
        <v>N/A</v>
      </c>
      <c r="S416" t="str">
        <f>RTD("tos.rtd", , "THETA", ".SPY150717P217.5")</f>
        <v>N/A</v>
      </c>
      <c r="T416" t="str">
        <f>RTD("tos.rtd", , "GAMMA", ".SPY150717P217.5")</f>
        <v>N/A</v>
      </c>
      <c r="U416" t="str">
        <f>RTD("tos.rtd", , "VEGA", ".SPY150717P217.5")</f>
        <v>N/A</v>
      </c>
      <c r="V416" t="str">
        <f>RTD("tos.rtd", , "RHO", ".SPY150717P217.5")</f>
        <v>N/A</v>
      </c>
    </row>
    <row r="417" spans="1:22" x14ac:dyDescent="0.25">
      <c r="A417">
        <f>RTD("tos.rtd", , "ASK", ".SPY150717C218")</f>
        <v>1.34</v>
      </c>
      <c r="B417">
        <f>RTD("tos.rtd", , "ASK_SIZE", ".SPY150717C218")</f>
        <v>404</v>
      </c>
      <c r="C417">
        <f>RTD("tos.rtd", , "BID", ".SPY150717C218")</f>
        <v>1.28</v>
      </c>
      <c r="D417">
        <f>RTD("tos.rtd", , "BID_SIZE", ".SPY150717C218")</f>
        <v>3011</v>
      </c>
      <c r="E417">
        <f>RTD("tos.rtd", , "VOLUME", ".SPY150717C218")</f>
        <v>573</v>
      </c>
      <c r="F417">
        <f>RTD("tos.rtd", , "OPEN_INT", ".SPY150717C218")</f>
        <v>6571</v>
      </c>
      <c r="G417">
        <f>RTD("tos.rtd", , "DELTA", ".SPY150717C218")</f>
        <v>0.23763000000000001</v>
      </c>
      <c r="H417">
        <f>RTD("tos.rtd", , "THETA", ".SPY150717C218")</f>
        <v>-1.7729999999999999E-2</v>
      </c>
      <c r="I417">
        <f>RTD("tos.rtd", , "GAMMA", ".SPY150717C218")</f>
        <v>3.227E-2</v>
      </c>
      <c r="J417">
        <f>RTD("tos.rtd", , "VEGA", ".SPY150717C218")</f>
        <v>0.29632999999999998</v>
      </c>
      <c r="K417">
        <f>RTD("tos.rtd", , "RHO", ".SPY150717C218")</f>
        <v>9.7970000000000002E-2</v>
      </c>
      <c r="L417">
        <f>RTD("tos.rtd", , "ASK", ".SPY150717P218")</f>
        <v>8.86</v>
      </c>
      <c r="M417">
        <f>RTD("tos.rtd", , "ASK_SIZE", ".SPY150717P218")</f>
        <v>249</v>
      </c>
      <c r="N417">
        <f>RTD("tos.rtd", , "BID", ".SPY150717P218")</f>
        <v>8.65</v>
      </c>
      <c r="O417">
        <f>RTD("tos.rtd", , "BID_SIZE", ".SPY150717P218")</f>
        <v>261</v>
      </c>
      <c r="P417">
        <f>RTD("tos.rtd", , "VOLUME", ".SPY150717P218")</f>
        <v>0</v>
      </c>
      <c r="Q417">
        <f>RTD("tos.rtd", , "OPEN_INT", ".SPY150717P218")</f>
        <v>540</v>
      </c>
      <c r="R417">
        <f>RTD("tos.rtd", , "DELTA", ".SPY150717P218")</f>
        <v>-0.74099000000000004</v>
      </c>
      <c r="S417">
        <f>RTD("tos.rtd", , "THETA", ".SPY150717P218")</f>
        <v>-2.87E-2</v>
      </c>
      <c r="T417">
        <f>RTD("tos.rtd", , "GAMMA", ".SPY150717P218")</f>
        <v>3.073E-2</v>
      </c>
      <c r="U417">
        <f>RTD("tos.rtd", , "VEGA", ".SPY150717P218")</f>
        <v>0.30796000000000001</v>
      </c>
      <c r="V417">
        <f>RTD("tos.rtd", , "RHO", ".SPY150717P218")</f>
        <v>-0.33946999999999999</v>
      </c>
    </row>
    <row r="418" spans="1:22" x14ac:dyDescent="0.25">
      <c r="A418" t="str">
        <f>RTD("tos.rtd", , "ASK", ".SPY150717C218.5")</f>
        <v>N/A</v>
      </c>
      <c r="B418" t="str">
        <f>RTD("tos.rtd", , "ASK_SIZE", ".SPY150717C218.5")</f>
        <v>N/A</v>
      </c>
      <c r="C418" t="str">
        <f>RTD("tos.rtd", , "BID", ".SPY150717C218.5")</f>
        <v>N/A</v>
      </c>
      <c r="D418" t="str">
        <f>RTD("tos.rtd", , "BID_SIZE", ".SPY150717C218.5")</f>
        <v>N/A</v>
      </c>
      <c r="E418" t="str">
        <f>RTD("tos.rtd", , "VOLUME", ".SPY150717C218.5")</f>
        <v>N/A</v>
      </c>
      <c r="F418" t="str">
        <f>RTD("tos.rtd", , "OPEN_INT", ".SPY150717C218.5")</f>
        <v>N/A</v>
      </c>
      <c r="G418" t="str">
        <f>RTD("tos.rtd", , "DELTA", ".SPY150717C218.5")</f>
        <v>N/A</v>
      </c>
      <c r="H418" t="str">
        <f>RTD("tos.rtd", , "THETA", ".SPY150717C218.5")</f>
        <v>N/A</v>
      </c>
      <c r="I418" t="str">
        <f>RTD("tos.rtd", , "GAMMA", ".SPY150717C218.5")</f>
        <v>N/A</v>
      </c>
      <c r="J418" t="str">
        <f>RTD("tos.rtd", , "VEGA", ".SPY150717C218.5")</f>
        <v>N/A</v>
      </c>
      <c r="K418" t="str">
        <f>RTD("tos.rtd", , "RHO", ".SPY150717C218.5")</f>
        <v>N/A</v>
      </c>
      <c r="L418" t="str">
        <f>RTD("tos.rtd", , "ASK", ".SPY150717P218.5")</f>
        <v>N/A</v>
      </c>
      <c r="M418" t="str">
        <f>RTD("tos.rtd", , "ASK_SIZE", ".SPY150717P218.5")</f>
        <v>N/A</v>
      </c>
      <c r="N418" t="str">
        <f>RTD("tos.rtd", , "BID", ".SPY150717P218.5")</f>
        <v>N/A</v>
      </c>
      <c r="O418" t="str">
        <f>RTD("tos.rtd", , "BID_SIZE", ".SPY150717P218.5")</f>
        <v>N/A</v>
      </c>
      <c r="P418" t="str">
        <f>RTD("tos.rtd", , "VOLUME", ".SPY150717P218.5")</f>
        <v>N/A</v>
      </c>
      <c r="Q418" t="str">
        <f>RTD("tos.rtd", , "OPEN_INT", ".SPY150717P218.5")</f>
        <v>N/A</v>
      </c>
      <c r="R418" t="str">
        <f>RTD("tos.rtd", , "DELTA", ".SPY150717P218.5")</f>
        <v>N/A</v>
      </c>
      <c r="S418" t="str">
        <f>RTD("tos.rtd", , "THETA", ".SPY150717P218.5")</f>
        <v>N/A</v>
      </c>
      <c r="T418" t="str">
        <f>RTD("tos.rtd", , "GAMMA", ".SPY150717P218.5")</f>
        <v>N/A</v>
      </c>
      <c r="U418" t="str">
        <f>RTD("tos.rtd", , "VEGA", ".SPY150717P218.5")</f>
        <v>N/A</v>
      </c>
      <c r="V418" t="str">
        <f>RTD("tos.rtd", , "RHO", ".SPY150717P218.5")</f>
        <v>N/A</v>
      </c>
    </row>
    <row r="419" spans="1:22" x14ac:dyDescent="0.25">
      <c r="A419">
        <f>RTD("tos.rtd", , "ASK", ".SPY150717C219")</f>
        <v>1.05</v>
      </c>
      <c r="B419">
        <f>RTD("tos.rtd", , "ASK_SIZE", ".SPY150717C219")</f>
        <v>445</v>
      </c>
      <c r="C419">
        <f>RTD("tos.rtd", , "BID", ".SPY150717C219")</f>
        <v>1.01</v>
      </c>
      <c r="D419">
        <f>RTD("tos.rtd", , "BID_SIZE", ".SPY150717C219")</f>
        <v>2815</v>
      </c>
      <c r="E419">
        <f>RTD("tos.rtd", , "VOLUME", ".SPY150717C219")</f>
        <v>1346</v>
      </c>
      <c r="F419">
        <f>RTD("tos.rtd", , "OPEN_INT", ".SPY150717C219")</f>
        <v>21112</v>
      </c>
      <c r="G419">
        <f>RTD("tos.rtd", , "DELTA", ".SPY150717C219")</f>
        <v>0.2011</v>
      </c>
      <c r="H419">
        <f>RTD("tos.rtd", , "THETA", ".SPY150717C219")</f>
        <v>-1.5769999999999999E-2</v>
      </c>
      <c r="I419">
        <f>RTD("tos.rtd", , "GAMMA", ".SPY150717C219")</f>
        <v>3.005E-2</v>
      </c>
      <c r="J419">
        <f>RTD("tos.rtd", , "VEGA", ".SPY150717C219")</f>
        <v>0.26954</v>
      </c>
      <c r="K419">
        <f>RTD("tos.rtd", , "RHO", ".SPY150717C219")</f>
        <v>8.3489999999999995E-2</v>
      </c>
      <c r="L419">
        <f>RTD("tos.rtd", , "ASK", ".SPY150717P219")</f>
        <v>9.6</v>
      </c>
      <c r="M419">
        <f>RTD("tos.rtd", , "ASK_SIZE", ".SPY150717P219")</f>
        <v>150</v>
      </c>
      <c r="N419">
        <f>RTD("tos.rtd", , "BID", ".SPY150717P219")</f>
        <v>9.36</v>
      </c>
      <c r="O419">
        <f>RTD("tos.rtd", , "BID_SIZE", ".SPY150717P219")</f>
        <v>199</v>
      </c>
      <c r="P419">
        <f>RTD("tos.rtd", , "VOLUME", ".SPY150717P219")</f>
        <v>123</v>
      </c>
      <c r="Q419">
        <f>RTD("tos.rtd", , "OPEN_INT", ".SPY150717P219")</f>
        <v>442</v>
      </c>
      <c r="R419">
        <f>RTD("tos.rtd", , "DELTA", ".SPY150717P219")</f>
        <v>-0.77354999999999996</v>
      </c>
      <c r="S419">
        <f>RTD("tos.rtd", , "THETA", ".SPY150717P219")</f>
        <v>-2.707E-2</v>
      </c>
      <c r="T419">
        <f>RTD("tos.rtd", , "GAMMA", ".SPY150717P219")</f>
        <v>2.8969999999999999E-2</v>
      </c>
      <c r="U419">
        <f>RTD("tos.rtd", , "VEGA", ".SPY150717P219")</f>
        <v>0.28608</v>
      </c>
      <c r="V419">
        <f>RTD("tos.rtd", , "RHO", ".SPY150717P219")</f>
        <v>-0.35510999999999998</v>
      </c>
    </row>
    <row r="420" spans="1:22" x14ac:dyDescent="0.25">
      <c r="A420" t="str">
        <f>RTD("tos.rtd", , "ASK", ".SPY150717C219.5")</f>
        <v>N/A</v>
      </c>
      <c r="B420" t="str">
        <f>RTD("tos.rtd", , "ASK_SIZE", ".SPY150717C219.5")</f>
        <v>N/A</v>
      </c>
      <c r="C420" t="str">
        <f>RTD("tos.rtd", , "BID", ".SPY150717C219.5")</f>
        <v>N/A</v>
      </c>
      <c r="D420" t="str">
        <f>RTD("tos.rtd", , "BID_SIZE", ".SPY150717C219.5")</f>
        <v>N/A</v>
      </c>
      <c r="E420" t="str">
        <f>RTD("tos.rtd", , "VOLUME", ".SPY150717C219.5")</f>
        <v>N/A</v>
      </c>
      <c r="F420" t="str">
        <f>RTD("tos.rtd", , "OPEN_INT", ".SPY150717C219.5")</f>
        <v>N/A</v>
      </c>
      <c r="G420" t="str">
        <f>RTD("tos.rtd", , "DELTA", ".SPY150717C219.5")</f>
        <v>N/A</v>
      </c>
      <c r="H420" t="str">
        <f>RTD("tos.rtd", , "THETA", ".SPY150717C219.5")</f>
        <v>N/A</v>
      </c>
      <c r="I420" t="str">
        <f>RTD("tos.rtd", , "GAMMA", ".SPY150717C219.5")</f>
        <v>N/A</v>
      </c>
      <c r="J420" t="str">
        <f>RTD("tos.rtd", , "VEGA", ".SPY150717C219.5")</f>
        <v>N/A</v>
      </c>
      <c r="K420" t="str">
        <f>RTD("tos.rtd", , "RHO", ".SPY150717C219.5")</f>
        <v>N/A</v>
      </c>
      <c r="L420" t="str">
        <f>RTD("tos.rtd", , "ASK", ".SPY150717P219.5")</f>
        <v>N/A</v>
      </c>
      <c r="M420" t="str">
        <f>RTD("tos.rtd", , "ASK_SIZE", ".SPY150717P219.5")</f>
        <v>N/A</v>
      </c>
      <c r="N420" t="str">
        <f>RTD("tos.rtd", , "BID", ".SPY150717P219.5")</f>
        <v>N/A</v>
      </c>
      <c r="O420" t="str">
        <f>RTD("tos.rtd", , "BID_SIZE", ".SPY150717P219.5")</f>
        <v>N/A</v>
      </c>
      <c r="P420" t="str">
        <f>RTD("tos.rtd", , "VOLUME", ".SPY150717P219.5")</f>
        <v>N/A</v>
      </c>
      <c r="Q420" t="str">
        <f>RTD("tos.rtd", , "OPEN_INT", ".SPY150717P219.5")</f>
        <v>N/A</v>
      </c>
      <c r="R420" t="str">
        <f>RTD("tos.rtd", , "DELTA", ".SPY150717P219.5")</f>
        <v>N/A</v>
      </c>
      <c r="S420" t="str">
        <f>RTD("tos.rtd", , "THETA", ".SPY150717P219.5")</f>
        <v>N/A</v>
      </c>
      <c r="T420" t="str">
        <f>RTD("tos.rtd", , "GAMMA", ".SPY150717P219.5")</f>
        <v>N/A</v>
      </c>
      <c r="U420" t="str">
        <f>RTD("tos.rtd", , "VEGA", ".SPY150717P219.5")</f>
        <v>N/A</v>
      </c>
      <c r="V420" t="str">
        <f>RTD("tos.rtd", , "RHO", ".SPY150717P219.5")</f>
        <v>N/A</v>
      </c>
    </row>
    <row r="421" spans="1:22" x14ac:dyDescent="0.25">
      <c r="A421" t="s">
        <v>10</v>
      </c>
      <c r="B421">
        <v>40</v>
      </c>
    </row>
    <row r="422" spans="1:22" x14ac:dyDescent="0.25">
      <c r="A422">
        <f>RTD("tos.rtd", ,"LAST", "SPY")</f>
        <v>211.32</v>
      </c>
    </row>
    <row r="423" spans="1:22" x14ac:dyDescent="0.25">
      <c r="A423">
        <f>RTD("tos.rtd", , "ASK", ".SPY150918C200")</f>
        <v>14.93</v>
      </c>
      <c r="B423">
        <f>RTD("tos.rtd", , "ASK_SIZE", ".SPY150918C200")</f>
        <v>41</v>
      </c>
      <c r="C423">
        <f>RTD("tos.rtd", , "BID", ".SPY150918C200")</f>
        <v>14.56</v>
      </c>
      <c r="D423">
        <f>RTD("tos.rtd", , "BID_SIZE", ".SPY150918C200")</f>
        <v>270</v>
      </c>
      <c r="E423">
        <f>RTD("tos.rtd", , "VOLUME", ".SPY150918C200")</f>
        <v>75</v>
      </c>
      <c r="F423">
        <f>RTD("tos.rtd", , "OPEN_INT", ".SPY150918C200")</f>
        <v>10603</v>
      </c>
      <c r="G423">
        <f>RTD("tos.rtd", , "DELTA", ".SPY150918C200")</f>
        <v>0.71089999999999998</v>
      </c>
      <c r="H423">
        <f>RTD("tos.rtd", , "THETA", ".SPY150918C200")</f>
        <v>-2.2030000000000001E-2</v>
      </c>
      <c r="I423">
        <f>RTD("tos.rtd", , "GAMMA", ".SPY150918C200")</f>
        <v>1.6570000000000001E-2</v>
      </c>
      <c r="J423">
        <f>RTD("tos.rtd", , "VEGA", ".SPY150918C200")</f>
        <v>0.43820999999999999</v>
      </c>
      <c r="K423">
        <f>RTD("tos.rtd", , "RHO", ".SPY150918C200")</f>
        <v>0.40934999999999999</v>
      </c>
      <c r="L423">
        <f>RTD("tos.rtd", , "ASK", ".SPY150918P200")</f>
        <v>4.3499999999999996</v>
      </c>
      <c r="M423">
        <f>RTD("tos.rtd", , "ASK_SIZE", ".SPY150918P200")</f>
        <v>41</v>
      </c>
      <c r="N423">
        <f>RTD("tos.rtd", , "BID", ".SPY150918P200")</f>
        <v>4.28</v>
      </c>
      <c r="O423">
        <f>RTD("tos.rtd", , "BID_SIZE", ".SPY150918P200")</f>
        <v>203</v>
      </c>
      <c r="P423">
        <f>RTD("tos.rtd", , "VOLUME", ".SPY150918P200")</f>
        <v>520</v>
      </c>
      <c r="Q423">
        <f>RTD("tos.rtd", , "OPEN_INT", ".SPY150918P200")</f>
        <v>36516</v>
      </c>
      <c r="R423">
        <f>RTD("tos.rtd", , "DELTA", ".SPY150918P200")</f>
        <v>-0.29457</v>
      </c>
      <c r="S423">
        <f>RTD("tos.rtd", , "THETA", ".SPY150918P200")</f>
        <v>-2.981E-2</v>
      </c>
      <c r="T423">
        <f>RTD("tos.rtd", , "GAMMA", ".SPY150918P200")</f>
        <v>1.567E-2</v>
      </c>
      <c r="U423">
        <f>RTD("tos.rtd", , "VEGA", ".SPY150918P200")</f>
        <v>0.44691999999999998</v>
      </c>
      <c r="V423">
        <f>RTD("tos.rtd", , "RHO", ".SPY150918P200")</f>
        <v>-0.25117</v>
      </c>
    </row>
    <row r="424" spans="1:22" x14ac:dyDescent="0.25">
      <c r="A424" t="str">
        <f>RTD("tos.rtd", , "ASK", ".SPY150918C200.5")</f>
        <v>N/A</v>
      </c>
      <c r="B424" t="str">
        <f>RTD("tos.rtd", , "ASK_SIZE", ".SPY150918C200.5")</f>
        <v>N/A</v>
      </c>
      <c r="C424" t="str">
        <f>RTD("tos.rtd", , "BID", ".SPY150918C200.5")</f>
        <v>N/A</v>
      </c>
      <c r="D424" t="str">
        <f>RTD("tos.rtd", , "BID_SIZE", ".SPY150918C200.5")</f>
        <v>N/A</v>
      </c>
      <c r="E424" t="str">
        <f>RTD("tos.rtd", , "VOLUME", ".SPY150918C200.5")</f>
        <v>N/A</v>
      </c>
      <c r="F424" t="str">
        <f>RTD("tos.rtd", , "OPEN_INT", ".SPY150918C200.5")</f>
        <v>N/A</v>
      </c>
      <c r="G424" t="str">
        <f>RTD("tos.rtd", , "DELTA", ".SPY150918C200.5")</f>
        <v>N/A</v>
      </c>
      <c r="H424" t="str">
        <f>RTD("tos.rtd", , "THETA", ".SPY150918C200.5")</f>
        <v>N/A</v>
      </c>
      <c r="I424" t="str">
        <f>RTD("tos.rtd", , "GAMMA", ".SPY150918C200.5")</f>
        <v>N/A</v>
      </c>
      <c r="J424" t="str">
        <f>RTD("tos.rtd", , "VEGA", ".SPY150918C200.5")</f>
        <v>N/A</v>
      </c>
      <c r="K424" t="str">
        <f>RTD("tos.rtd", , "RHO", ".SPY150918C200.5")</f>
        <v>N/A</v>
      </c>
      <c r="L424" t="str">
        <f>RTD("tos.rtd", , "ASK", ".SPY150918P200.5")</f>
        <v>N/A</v>
      </c>
      <c r="M424" t="str">
        <f>RTD("tos.rtd", , "ASK_SIZE", ".SPY150918P200.5")</f>
        <v>N/A</v>
      </c>
      <c r="N424" t="str">
        <f>RTD("tos.rtd", , "BID", ".SPY150918P200.5")</f>
        <v>N/A</v>
      </c>
      <c r="O424" t="str">
        <f>RTD("tos.rtd", , "BID_SIZE", ".SPY150918P200.5")</f>
        <v>N/A</v>
      </c>
      <c r="P424" t="str">
        <f>RTD("tos.rtd", , "VOLUME", ".SPY150918P200.5")</f>
        <v>N/A</v>
      </c>
      <c r="Q424" t="str">
        <f>RTD("tos.rtd", , "OPEN_INT", ".SPY150918P200.5")</f>
        <v>N/A</v>
      </c>
      <c r="R424" t="str">
        <f>RTD("tos.rtd", , "DELTA", ".SPY150918P200.5")</f>
        <v>N/A</v>
      </c>
      <c r="S424" t="str">
        <f>RTD("tos.rtd", , "THETA", ".SPY150918P200.5")</f>
        <v>N/A</v>
      </c>
      <c r="T424" t="str">
        <f>RTD("tos.rtd", , "GAMMA", ".SPY150918P200.5")</f>
        <v>N/A</v>
      </c>
      <c r="U424" t="str">
        <f>RTD("tos.rtd", , "VEGA", ".SPY150918P200.5")</f>
        <v>N/A</v>
      </c>
      <c r="V424" t="str">
        <f>RTD("tos.rtd", , "RHO", ".SPY150918P200.5")</f>
        <v>N/A</v>
      </c>
    </row>
    <row r="425" spans="1:22" x14ac:dyDescent="0.25">
      <c r="A425">
        <f>RTD("tos.rtd", , "ASK", ".SPY150918C201")</f>
        <v>14.01</v>
      </c>
      <c r="B425">
        <f>RTD("tos.rtd", , "ASK_SIZE", ".SPY150918C201")</f>
        <v>131</v>
      </c>
      <c r="C425">
        <f>RTD("tos.rtd", , "BID", ".SPY150918C201")</f>
        <v>13.77</v>
      </c>
      <c r="D425">
        <f>RTD("tos.rtd", , "BID_SIZE", ".SPY150918C201")</f>
        <v>291</v>
      </c>
      <c r="E425">
        <f>RTD("tos.rtd", , "VOLUME", ".SPY150918C201")</f>
        <v>0</v>
      </c>
      <c r="F425">
        <f>RTD("tos.rtd", , "OPEN_INT", ".SPY150918C201")</f>
        <v>1852</v>
      </c>
      <c r="G425">
        <f>RTD("tos.rtd", , "DELTA", ".SPY150918C201")</f>
        <v>0.69718000000000002</v>
      </c>
      <c r="H425">
        <f>RTD("tos.rtd", , "THETA", ".SPY150918C201")</f>
        <v>-2.1989999999999999E-2</v>
      </c>
      <c r="I425">
        <f>RTD("tos.rtd", , "GAMMA", ".SPY150918C201")</f>
        <v>1.729E-2</v>
      </c>
      <c r="J425">
        <f>RTD("tos.rtd", , "VEGA", ".SPY150918C201")</f>
        <v>0.44786999999999999</v>
      </c>
      <c r="K425">
        <f>RTD("tos.rtd", , "RHO", ".SPY150918C201")</f>
        <v>0.40783000000000003</v>
      </c>
      <c r="L425">
        <f>RTD("tos.rtd", , "ASK", ".SPY150918P201")</f>
        <v>4.58</v>
      </c>
      <c r="M425">
        <f>RTD("tos.rtd", , "ASK_SIZE", ".SPY150918P201")</f>
        <v>100</v>
      </c>
      <c r="N425">
        <f>RTD("tos.rtd", , "BID", ".SPY150918P201")</f>
        <v>4.5199999999999996</v>
      </c>
      <c r="O425">
        <f>RTD("tos.rtd", , "BID_SIZE", ".SPY150918P201")</f>
        <v>111</v>
      </c>
      <c r="P425">
        <f>RTD("tos.rtd", , "VOLUME", ".SPY150918P201")</f>
        <v>9</v>
      </c>
      <c r="Q425">
        <f>RTD("tos.rtd", , "OPEN_INT", ".SPY150918P201")</f>
        <v>3691</v>
      </c>
      <c r="R425">
        <f>RTD("tos.rtd", , "DELTA", ".SPY150918P201")</f>
        <v>-0.30941000000000002</v>
      </c>
      <c r="S425">
        <f>RTD("tos.rtd", , "THETA", ".SPY150918P201")</f>
        <v>-3.015E-2</v>
      </c>
      <c r="T425">
        <f>RTD("tos.rtd", , "GAMMA", ".SPY150918P201")</f>
        <v>1.6250000000000001E-2</v>
      </c>
      <c r="U425">
        <f>RTD("tos.rtd", , "VEGA", ".SPY150918P201")</f>
        <v>0.45677000000000001</v>
      </c>
      <c r="V425">
        <f>RTD("tos.rtd", , "RHO", ".SPY150918P201")</f>
        <v>-0.26390000000000002</v>
      </c>
    </row>
    <row r="426" spans="1:22" x14ac:dyDescent="0.25">
      <c r="A426" t="str">
        <f>RTD("tos.rtd", , "ASK", ".SPY150918C201.5")</f>
        <v>N/A</v>
      </c>
      <c r="B426" t="str">
        <f>RTD("tos.rtd", , "ASK_SIZE", ".SPY150918C201.5")</f>
        <v>N/A</v>
      </c>
      <c r="C426" t="str">
        <f>RTD("tos.rtd", , "BID", ".SPY150918C201.5")</f>
        <v>N/A</v>
      </c>
      <c r="D426" t="str">
        <f>RTD("tos.rtd", , "BID_SIZE", ".SPY150918C201.5")</f>
        <v>N/A</v>
      </c>
      <c r="E426" t="str">
        <f>RTD("tos.rtd", , "VOLUME", ".SPY150918C201.5")</f>
        <v>N/A</v>
      </c>
      <c r="F426" t="str">
        <f>RTD("tos.rtd", , "OPEN_INT", ".SPY150918C201.5")</f>
        <v>N/A</v>
      </c>
      <c r="G426" t="str">
        <f>RTD("tos.rtd", , "DELTA", ".SPY150918C201.5")</f>
        <v>N/A</v>
      </c>
      <c r="H426" t="str">
        <f>RTD("tos.rtd", , "THETA", ".SPY150918C201.5")</f>
        <v>N/A</v>
      </c>
      <c r="I426" t="str">
        <f>RTD("tos.rtd", , "GAMMA", ".SPY150918C201.5")</f>
        <v>N/A</v>
      </c>
      <c r="J426" t="str">
        <f>RTD("tos.rtd", , "VEGA", ".SPY150918C201.5")</f>
        <v>N/A</v>
      </c>
      <c r="K426" t="str">
        <f>RTD("tos.rtd", , "RHO", ".SPY150918C201.5")</f>
        <v>N/A</v>
      </c>
      <c r="L426" t="str">
        <f>RTD("tos.rtd", , "ASK", ".SPY150918P201.5")</f>
        <v>N/A</v>
      </c>
      <c r="M426" t="str">
        <f>RTD("tos.rtd", , "ASK_SIZE", ".SPY150918P201.5")</f>
        <v>N/A</v>
      </c>
      <c r="N426" t="str">
        <f>RTD("tos.rtd", , "BID", ".SPY150918P201.5")</f>
        <v>N/A</v>
      </c>
      <c r="O426" t="str">
        <f>RTD("tos.rtd", , "BID_SIZE", ".SPY150918P201.5")</f>
        <v>N/A</v>
      </c>
      <c r="P426" t="str">
        <f>RTD("tos.rtd", , "VOLUME", ".SPY150918P201.5")</f>
        <v>N/A</v>
      </c>
      <c r="Q426" t="str">
        <f>RTD("tos.rtd", , "OPEN_INT", ".SPY150918P201.5")</f>
        <v>N/A</v>
      </c>
      <c r="R426" t="str">
        <f>RTD("tos.rtd", , "DELTA", ".SPY150918P201.5")</f>
        <v>N/A</v>
      </c>
      <c r="S426" t="str">
        <f>RTD("tos.rtd", , "THETA", ".SPY150918P201.5")</f>
        <v>N/A</v>
      </c>
      <c r="T426" t="str">
        <f>RTD("tos.rtd", , "GAMMA", ".SPY150918P201.5")</f>
        <v>N/A</v>
      </c>
      <c r="U426" t="str">
        <f>RTD("tos.rtd", , "VEGA", ".SPY150918P201.5")</f>
        <v>N/A</v>
      </c>
      <c r="V426" t="str">
        <f>RTD("tos.rtd", , "RHO", ".SPY150918P201.5")</f>
        <v>N/A</v>
      </c>
    </row>
    <row r="427" spans="1:22" x14ac:dyDescent="0.25">
      <c r="A427">
        <f>RTD("tos.rtd", , "ASK", ".SPY150918C202")</f>
        <v>13.23</v>
      </c>
      <c r="B427">
        <f>RTD("tos.rtd", , "ASK_SIZE", ".SPY150918C202")</f>
        <v>131</v>
      </c>
      <c r="C427">
        <f>RTD("tos.rtd", , "BID", ".SPY150918C202")</f>
        <v>13.02</v>
      </c>
      <c r="D427">
        <f>RTD("tos.rtd", , "BID_SIZE", ".SPY150918C202")</f>
        <v>240</v>
      </c>
      <c r="E427">
        <f>RTD("tos.rtd", , "VOLUME", ".SPY150918C202")</f>
        <v>8</v>
      </c>
      <c r="F427">
        <f>RTD("tos.rtd", , "OPEN_INT", ".SPY150918C202")</f>
        <v>2585</v>
      </c>
      <c r="G427">
        <f>RTD("tos.rtd", , "DELTA", ".SPY150918C202")</f>
        <v>0.68101</v>
      </c>
      <c r="H427">
        <f>RTD("tos.rtd", , "THETA", ".SPY150918C202")</f>
        <v>-2.2259999999999999E-2</v>
      </c>
      <c r="I427">
        <f>RTD("tos.rtd", , "GAMMA", ".SPY150918C202")</f>
        <v>1.787E-2</v>
      </c>
      <c r="J427">
        <f>RTD("tos.rtd", , "VEGA", ".SPY150918C202")</f>
        <v>0.45840999999999998</v>
      </c>
      <c r="K427">
        <f>RTD("tos.rtd", , "RHO", ".SPY150918C202")</f>
        <v>0.40538999999999997</v>
      </c>
      <c r="L427">
        <f>RTD("tos.rtd", , "ASK", ".SPY150918P202")</f>
        <v>4.83</v>
      </c>
      <c r="M427">
        <f>RTD("tos.rtd", , "ASK_SIZE", ".SPY150918P202")</f>
        <v>155</v>
      </c>
      <c r="N427">
        <f>RTD("tos.rtd", , "BID", ".SPY150918P202")</f>
        <v>4.75</v>
      </c>
      <c r="O427">
        <f>RTD("tos.rtd", , "BID_SIZE", ".SPY150918P202")</f>
        <v>174</v>
      </c>
      <c r="P427">
        <f>RTD("tos.rtd", , "VOLUME", ".SPY150918P202")</f>
        <v>226</v>
      </c>
      <c r="Q427">
        <f>RTD("tos.rtd", , "OPEN_INT", ".SPY150918P202")</f>
        <v>4644</v>
      </c>
      <c r="R427">
        <f>RTD("tos.rtd", , "DELTA", ".SPY150918P202")</f>
        <v>-0.32478000000000001</v>
      </c>
      <c r="S427">
        <f>RTD("tos.rtd", , "THETA", ".SPY150918P202")</f>
        <v>-3.0419999999999999E-2</v>
      </c>
      <c r="T427">
        <f>RTD("tos.rtd", , "GAMMA", ".SPY150918P202")</f>
        <v>1.6840000000000001E-2</v>
      </c>
      <c r="U427">
        <f>RTD("tos.rtd", , "VEGA", ".SPY150918P202")</f>
        <v>0.46611999999999998</v>
      </c>
      <c r="V427">
        <f>RTD("tos.rtd", , "RHO", ".SPY150918P202")</f>
        <v>-0.27705999999999997</v>
      </c>
    </row>
    <row r="428" spans="1:22" x14ac:dyDescent="0.25">
      <c r="A428" t="str">
        <f>RTD("tos.rtd", , "ASK", ".SPY150918C202.5")</f>
        <v>N/A</v>
      </c>
      <c r="B428" t="str">
        <f>RTD("tos.rtd", , "ASK_SIZE", ".SPY150918C202.5")</f>
        <v>N/A</v>
      </c>
      <c r="C428" t="str">
        <f>RTD("tos.rtd", , "BID", ".SPY150918C202.5")</f>
        <v>N/A</v>
      </c>
      <c r="D428" t="str">
        <f>RTD("tos.rtd", , "BID_SIZE", ".SPY150918C202.5")</f>
        <v>N/A</v>
      </c>
      <c r="E428" t="str">
        <f>RTD("tos.rtd", , "VOLUME", ".SPY150918C202.5")</f>
        <v>N/A</v>
      </c>
      <c r="F428" t="str">
        <f>RTD("tos.rtd", , "OPEN_INT", ".SPY150918C202.5")</f>
        <v>N/A</v>
      </c>
      <c r="G428" t="str">
        <f>RTD("tos.rtd", , "DELTA", ".SPY150918C202.5")</f>
        <v>N/A</v>
      </c>
      <c r="H428" t="str">
        <f>RTD("tos.rtd", , "THETA", ".SPY150918C202.5")</f>
        <v>N/A</v>
      </c>
      <c r="I428" t="str">
        <f>RTD("tos.rtd", , "GAMMA", ".SPY150918C202.5")</f>
        <v>N/A</v>
      </c>
      <c r="J428" t="str">
        <f>RTD("tos.rtd", , "VEGA", ".SPY150918C202.5")</f>
        <v>N/A</v>
      </c>
      <c r="K428" t="str">
        <f>RTD("tos.rtd", , "RHO", ".SPY150918C202.5")</f>
        <v>N/A</v>
      </c>
      <c r="L428" t="str">
        <f>RTD("tos.rtd", , "ASK", ".SPY150918P202.5")</f>
        <v>N/A</v>
      </c>
      <c r="M428" t="str">
        <f>RTD("tos.rtd", , "ASK_SIZE", ".SPY150918P202.5")</f>
        <v>N/A</v>
      </c>
      <c r="N428" t="str">
        <f>RTD("tos.rtd", , "BID", ".SPY150918P202.5")</f>
        <v>N/A</v>
      </c>
      <c r="O428" t="str">
        <f>RTD("tos.rtd", , "BID_SIZE", ".SPY150918P202.5")</f>
        <v>N/A</v>
      </c>
      <c r="P428" t="str">
        <f>RTD("tos.rtd", , "VOLUME", ".SPY150918P202.5")</f>
        <v>N/A</v>
      </c>
      <c r="Q428" t="str">
        <f>RTD("tos.rtd", , "OPEN_INT", ".SPY150918P202.5")</f>
        <v>N/A</v>
      </c>
      <c r="R428" t="str">
        <f>RTD("tos.rtd", , "DELTA", ".SPY150918P202.5")</f>
        <v>N/A</v>
      </c>
      <c r="S428" t="str">
        <f>RTD("tos.rtd", , "THETA", ".SPY150918P202.5")</f>
        <v>N/A</v>
      </c>
      <c r="T428" t="str">
        <f>RTD("tos.rtd", , "GAMMA", ".SPY150918P202.5")</f>
        <v>N/A</v>
      </c>
      <c r="U428" t="str">
        <f>RTD("tos.rtd", , "VEGA", ".SPY150918P202.5")</f>
        <v>N/A</v>
      </c>
      <c r="V428" t="str">
        <f>RTD("tos.rtd", , "RHO", ".SPY150918P202.5")</f>
        <v>N/A</v>
      </c>
    </row>
    <row r="429" spans="1:22" x14ac:dyDescent="0.25">
      <c r="A429">
        <f>RTD("tos.rtd", , "ASK", ".SPY150918C203")</f>
        <v>12.58</v>
      </c>
      <c r="B429">
        <f>RTD("tos.rtd", , "ASK_SIZE", ".SPY150918C203")</f>
        <v>89</v>
      </c>
      <c r="C429">
        <f>RTD("tos.rtd", , "BID", ".SPY150918C203")</f>
        <v>12.24</v>
      </c>
      <c r="D429">
        <f>RTD("tos.rtd", , "BID_SIZE", ".SPY150918C203")</f>
        <v>168</v>
      </c>
      <c r="E429">
        <f>RTD("tos.rtd", , "VOLUME", ".SPY150918C203")</f>
        <v>0</v>
      </c>
      <c r="F429">
        <f>RTD("tos.rtd", , "OPEN_INT", ".SPY150918C203")</f>
        <v>1785</v>
      </c>
      <c r="G429">
        <f>RTD("tos.rtd", , "DELTA", ".SPY150918C203")</f>
        <v>0.66352</v>
      </c>
      <c r="H429">
        <f>RTD("tos.rtd", , "THETA", ".SPY150918C203")</f>
        <v>-2.265E-2</v>
      </c>
      <c r="I429">
        <f>RTD("tos.rtd", , "GAMMA", ".SPY150918C203")</f>
        <v>1.8350000000000002E-2</v>
      </c>
      <c r="J429">
        <f>RTD("tos.rtd", , "VEGA", ".SPY150918C203")</f>
        <v>0.46875</v>
      </c>
      <c r="K429">
        <f>RTD("tos.rtd", , "RHO", ".SPY150918C203")</f>
        <v>0.40193000000000001</v>
      </c>
      <c r="L429">
        <f>RTD("tos.rtd", , "ASK", ".SPY150918P203")</f>
        <v>5.08</v>
      </c>
      <c r="M429">
        <f>RTD("tos.rtd", , "ASK_SIZE", ".SPY150918P203")</f>
        <v>100</v>
      </c>
      <c r="N429">
        <f>RTD("tos.rtd", , "BID", ".SPY150918P203")</f>
        <v>5</v>
      </c>
      <c r="O429">
        <f>RTD("tos.rtd", , "BID_SIZE", ".SPY150918P203")</f>
        <v>133</v>
      </c>
      <c r="P429">
        <f>RTD("tos.rtd", , "VOLUME", ".SPY150918P203")</f>
        <v>798</v>
      </c>
      <c r="Q429">
        <f>RTD("tos.rtd", , "OPEN_INT", ".SPY150918P203")</f>
        <v>3418</v>
      </c>
      <c r="R429">
        <f>RTD("tos.rtd", , "DELTA", ".SPY150918P203")</f>
        <v>-0.34078000000000003</v>
      </c>
      <c r="S429">
        <f>RTD("tos.rtd", , "THETA", ".SPY150918P203")</f>
        <v>-3.0640000000000001E-2</v>
      </c>
      <c r="T429">
        <f>RTD("tos.rtd", , "GAMMA", ".SPY150918P203")</f>
        <v>1.7430000000000001E-2</v>
      </c>
      <c r="U429">
        <f>RTD("tos.rtd", , "VEGA", ".SPY150918P203")</f>
        <v>0.47493999999999997</v>
      </c>
      <c r="V429">
        <f>RTD("tos.rtd", , "RHO", ".SPY150918P203")</f>
        <v>-0.29076999999999997</v>
      </c>
    </row>
    <row r="430" spans="1:22" x14ac:dyDescent="0.25">
      <c r="A430" t="str">
        <f>RTD("tos.rtd", , "ASK", ".SPY150918C203.5")</f>
        <v>N/A</v>
      </c>
      <c r="B430" t="str">
        <f>RTD("tos.rtd", , "ASK_SIZE", ".SPY150918C203.5")</f>
        <v>N/A</v>
      </c>
      <c r="C430" t="str">
        <f>RTD("tos.rtd", , "BID", ".SPY150918C203.5")</f>
        <v>N/A</v>
      </c>
      <c r="D430" t="str">
        <f>RTD("tos.rtd", , "BID_SIZE", ".SPY150918C203.5")</f>
        <v>N/A</v>
      </c>
      <c r="E430" t="str">
        <f>RTD("tos.rtd", , "VOLUME", ".SPY150918C203.5")</f>
        <v>N/A</v>
      </c>
      <c r="F430" t="str">
        <f>RTD("tos.rtd", , "OPEN_INT", ".SPY150918C203.5")</f>
        <v>N/A</v>
      </c>
      <c r="G430" t="str">
        <f>RTD("tos.rtd", , "DELTA", ".SPY150918C203.5")</f>
        <v>N/A</v>
      </c>
      <c r="H430" t="str">
        <f>RTD("tos.rtd", , "THETA", ".SPY150918C203.5")</f>
        <v>N/A</v>
      </c>
      <c r="I430" t="str">
        <f>RTD("tos.rtd", , "GAMMA", ".SPY150918C203.5")</f>
        <v>N/A</v>
      </c>
      <c r="J430" t="str">
        <f>RTD("tos.rtd", , "VEGA", ".SPY150918C203.5")</f>
        <v>N/A</v>
      </c>
      <c r="K430" t="str">
        <f>RTD("tos.rtd", , "RHO", ".SPY150918C203.5")</f>
        <v>N/A</v>
      </c>
      <c r="L430" t="str">
        <f>RTD("tos.rtd", , "ASK", ".SPY150918P203.5")</f>
        <v>N/A</v>
      </c>
      <c r="M430" t="str">
        <f>RTD("tos.rtd", , "ASK_SIZE", ".SPY150918P203.5")</f>
        <v>N/A</v>
      </c>
      <c r="N430" t="str">
        <f>RTD("tos.rtd", , "BID", ".SPY150918P203.5")</f>
        <v>N/A</v>
      </c>
      <c r="O430" t="str">
        <f>RTD("tos.rtd", , "BID_SIZE", ".SPY150918P203.5")</f>
        <v>N/A</v>
      </c>
      <c r="P430" t="str">
        <f>RTD("tos.rtd", , "VOLUME", ".SPY150918P203.5")</f>
        <v>N/A</v>
      </c>
      <c r="Q430" t="str">
        <f>RTD("tos.rtd", , "OPEN_INT", ".SPY150918P203.5")</f>
        <v>N/A</v>
      </c>
      <c r="R430" t="str">
        <f>RTD("tos.rtd", , "DELTA", ".SPY150918P203.5")</f>
        <v>N/A</v>
      </c>
      <c r="S430" t="str">
        <f>RTD("tos.rtd", , "THETA", ".SPY150918P203.5")</f>
        <v>N/A</v>
      </c>
      <c r="T430" t="str">
        <f>RTD("tos.rtd", , "GAMMA", ".SPY150918P203.5")</f>
        <v>N/A</v>
      </c>
      <c r="U430" t="str">
        <f>RTD("tos.rtd", , "VEGA", ".SPY150918P203.5")</f>
        <v>N/A</v>
      </c>
      <c r="V430" t="str">
        <f>RTD("tos.rtd", , "RHO", ".SPY150918P203.5")</f>
        <v>N/A</v>
      </c>
    </row>
    <row r="431" spans="1:22" x14ac:dyDescent="0.25">
      <c r="A431">
        <f>RTD("tos.rtd", , "ASK", ".SPY150918C204")</f>
        <v>11.71</v>
      </c>
      <c r="B431">
        <f>RTD("tos.rtd", , "ASK_SIZE", ".SPY150918C204")</f>
        <v>131</v>
      </c>
      <c r="C431">
        <f>RTD("tos.rtd", , "BID", ".SPY150918C204")</f>
        <v>11.48</v>
      </c>
      <c r="D431">
        <f>RTD("tos.rtd", , "BID_SIZE", ".SPY150918C204")</f>
        <v>237</v>
      </c>
      <c r="E431">
        <f>RTD("tos.rtd", , "VOLUME", ".SPY150918C204")</f>
        <v>0</v>
      </c>
      <c r="F431">
        <f>RTD("tos.rtd", , "OPEN_INT", ".SPY150918C204")</f>
        <v>2844</v>
      </c>
      <c r="G431">
        <f>RTD("tos.rtd", , "DELTA", ".SPY150918C204")</f>
        <v>0.64725999999999995</v>
      </c>
      <c r="H431">
        <f>RTD("tos.rtd", , "THETA", ".SPY150918C204")</f>
        <v>-2.2509999999999999E-2</v>
      </c>
      <c r="I431">
        <f>RTD("tos.rtd", , "GAMMA", ".SPY150918C204")</f>
        <v>1.9099999999999999E-2</v>
      </c>
      <c r="J431">
        <f>RTD("tos.rtd", , "VEGA", ".SPY150918C204")</f>
        <v>0.47731000000000001</v>
      </c>
      <c r="K431">
        <f>RTD("tos.rtd", , "RHO", ".SPY150918C204")</f>
        <v>0.39782000000000001</v>
      </c>
      <c r="L431">
        <f>RTD("tos.rtd", , "ASK", ".SPY150918P204")</f>
        <v>5.35</v>
      </c>
      <c r="M431">
        <f>RTD("tos.rtd", , "ASK_SIZE", ".SPY150918P204")</f>
        <v>100</v>
      </c>
      <c r="N431">
        <f>RTD("tos.rtd", , "BID", ".SPY150918P204")</f>
        <v>5.26</v>
      </c>
      <c r="O431">
        <f>RTD("tos.rtd", , "BID_SIZE", ".SPY150918P204")</f>
        <v>151</v>
      </c>
      <c r="P431">
        <f>RTD("tos.rtd", , "VOLUME", ".SPY150918P204")</f>
        <v>37</v>
      </c>
      <c r="Q431">
        <f>RTD("tos.rtd", , "OPEN_INT", ".SPY150918P204")</f>
        <v>10751</v>
      </c>
      <c r="R431">
        <f>RTD("tos.rtd", , "DELTA", ".SPY150918P204")</f>
        <v>-0.35752</v>
      </c>
      <c r="S431">
        <f>RTD("tos.rtd", , "THETA", ".SPY150918P204")</f>
        <v>-3.082E-2</v>
      </c>
      <c r="T431">
        <f>RTD("tos.rtd", , "GAMMA", ".SPY150918P204")</f>
        <v>1.8020000000000001E-2</v>
      </c>
      <c r="U431">
        <f>RTD("tos.rtd", , "VEGA", ".SPY150918P204")</f>
        <v>0.48319000000000001</v>
      </c>
      <c r="V431">
        <f>RTD("tos.rtd", , "RHO", ".SPY150918P204")</f>
        <v>-0.30513000000000001</v>
      </c>
    </row>
    <row r="432" spans="1:22" x14ac:dyDescent="0.25">
      <c r="A432" t="str">
        <f>RTD("tos.rtd", , "ASK", ".SPY150918C204.5")</f>
        <v>N/A</v>
      </c>
      <c r="B432" t="str">
        <f>RTD("tos.rtd", , "ASK_SIZE", ".SPY150918C204.5")</f>
        <v>N/A</v>
      </c>
      <c r="C432" t="str">
        <f>RTD("tos.rtd", , "BID", ".SPY150918C204.5")</f>
        <v>N/A</v>
      </c>
      <c r="D432" t="str">
        <f>RTD("tos.rtd", , "BID_SIZE", ".SPY150918C204.5")</f>
        <v>N/A</v>
      </c>
      <c r="E432" t="str">
        <f>RTD("tos.rtd", , "VOLUME", ".SPY150918C204.5")</f>
        <v>N/A</v>
      </c>
      <c r="F432" t="str">
        <f>RTD("tos.rtd", , "OPEN_INT", ".SPY150918C204.5")</f>
        <v>N/A</v>
      </c>
      <c r="G432" t="str">
        <f>RTD("tos.rtd", , "DELTA", ".SPY150918C204.5")</f>
        <v>N/A</v>
      </c>
      <c r="H432" t="str">
        <f>RTD("tos.rtd", , "THETA", ".SPY150918C204.5")</f>
        <v>N/A</v>
      </c>
      <c r="I432" t="str">
        <f>RTD("tos.rtd", , "GAMMA", ".SPY150918C204.5")</f>
        <v>N/A</v>
      </c>
      <c r="J432" t="str">
        <f>RTD("tos.rtd", , "VEGA", ".SPY150918C204.5")</f>
        <v>N/A</v>
      </c>
      <c r="K432" t="str">
        <f>RTD("tos.rtd", , "RHO", ".SPY150918C204.5")</f>
        <v>N/A</v>
      </c>
      <c r="L432" t="str">
        <f>RTD("tos.rtd", , "ASK", ".SPY150918P204.5")</f>
        <v>N/A</v>
      </c>
      <c r="M432" t="str">
        <f>RTD("tos.rtd", , "ASK_SIZE", ".SPY150918P204.5")</f>
        <v>N/A</v>
      </c>
      <c r="N432" t="str">
        <f>RTD("tos.rtd", , "BID", ".SPY150918P204.5")</f>
        <v>N/A</v>
      </c>
      <c r="O432" t="str">
        <f>RTD("tos.rtd", , "BID_SIZE", ".SPY150918P204.5")</f>
        <v>N/A</v>
      </c>
      <c r="P432" t="str">
        <f>RTD("tos.rtd", , "VOLUME", ".SPY150918P204.5")</f>
        <v>N/A</v>
      </c>
      <c r="Q432" t="str">
        <f>RTD("tos.rtd", , "OPEN_INT", ".SPY150918P204.5")</f>
        <v>N/A</v>
      </c>
      <c r="R432" t="str">
        <f>RTD("tos.rtd", , "DELTA", ".SPY150918P204.5")</f>
        <v>N/A</v>
      </c>
      <c r="S432" t="str">
        <f>RTD("tos.rtd", , "THETA", ".SPY150918P204.5")</f>
        <v>N/A</v>
      </c>
      <c r="T432" t="str">
        <f>RTD("tos.rtd", , "GAMMA", ".SPY150918P204.5")</f>
        <v>N/A</v>
      </c>
      <c r="U432" t="str">
        <f>RTD("tos.rtd", , "VEGA", ".SPY150918P204.5")</f>
        <v>N/A</v>
      </c>
      <c r="V432" t="str">
        <f>RTD("tos.rtd", , "RHO", ".SPY150918P204.5")</f>
        <v>N/A</v>
      </c>
    </row>
    <row r="433" spans="1:22" x14ac:dyDescent="0.25">
      <c r="A433">
        <f>RTD("tos.rtd", , "ASK", ".SPY150918C205")</f>
        <v>10.97</v>
      </c>
      <c r="B433">
        <f>RTD("tos.rtd", , "ASK_SIZE", ".SPY150918C205")</f>
        <v>131</v>
      </c>
      <c r="C433">
        <f>RTD("tos.rtd", , "BID", ".SPY150918C205")</f>
        <v>10.74</v>
      </c>
      <c r="D433">
        <f>RTD("tos.rtd", , "BID_SIZE", ".SPY150918C205")</f>
        <v>244</v>
      </c>
      <c r="E433">
        <f>RTD("tos.rtd", , "VOLUME", ".SPY150918C205")</f>
        <v>12</v>
      </c>
      <c r="F433">
        <f>RTD("tos.rtd", , "OPEN_INT", ".SPY150918C205")</f>
        <v>17847</v>
      </c>
      <c r="G433">
        <f>RTD("tos.rtd", , "DELTA", ".SPY150918C205")</f>
        <v>0.62914999999999999</v>
      </c>
      <c r="H433">
        <f>RTD("tos.rtd", , "THETA", ".SPY150918C205")</f>
        <v>-2.257E-2</v>
      </c>
      <c r="I433">
        <f>RTD("tos.rtd", , "GAMMA", ".SPY150918C205")</f>
        <v>1.9699999999999999E-2</v>
      </c>
      <c r="J433">
        <f>RTD("tos.rtd", , "VEGA", ".SPY150918C205")</f>
        <v>0.48580000000000001</v>
      </c>
      <c r="K433">
        <f>RTD("tos.rtd", , "RHO", ".SPY150918C205")</f>
        <v>0.3926</v>
      </c>
      <c r="L433">
        <f>RTD("tos.rtd", , "ASK", ".SPY150918P205")</f>
        <v>5.63</v>
      </c>
      <c r="M433">
        <f>RTD("tos.rtd", , "ASK_SIZE", ".SPY150918P205")</f>
        <v>100</v>
      </c>
      <c r="N433">
        <f>RTD("tos.rtd", , "BID", ".SPY150918P205")</f>
        <v>5.55</v>
      </c>
      <c r="O433">
        <f>RTD("tos.rtd", , "BID_SIZE", ".SPY150918P205")</f>
        <v>118</v>
      </c>
      <c r="P433">
        <f>RTD("tos.rtd", , "VOLUME", ".SPY150918P205")</f>
        <v>108</v>
      </c>
      <c r="Q433">
        <f>RTD("tos.rtd", , "OPEN_INT", ".SPY150918P205")</f>
        <v>19640</v>
      </c>
      <c r="R433">
        <f>RTD("tos.rtd", , "DELTA", ".SPY150918P205")</f>
        <v>-0.37504999999999999</v>
      </c>
      <c r="S433">
        <f>RTD("tos.rtd", , "THETA", ".SPY150918P205")</f>
        <v>-3.0970000000000001E-2</v>
      </c>
      <c r="T433">
        <f>RTD("tos.rtd", , "GAMMA", ".SPY150918P205")</f>
        <v>1.8589999999999999E-2</v>
      </c>
      <c r="U433">
        <f>RTD("tos.rtd", , "VEGA", ".SPY150918P205")</f>
        <v>0.49079</v>
      </c>
      <c r="V433">
        <f>RTD("tos.rtd", , "RHO", ".SPY150918P205")</f>
        <v>-0.32018999999999997</v>
      </c>
    </row>
    <row r="434" spans="1:22" x14ac:dyDescent="0.25">
      <c r="A434" t="str">
        <f>RTD("tos.rtd", , "ASK", ".SPY150918C205.5")</f>
        <v>N/A</v>
      </c>
      <c r="B434" t="str">
        <f>RTD("tos.rtd", , "ASK_SIZE", ".SPY150918C205.5")</f>
        <v>N/A</v>
      </c>
      <c r="C434" t="str">
        <f>RTD("tos.rtd", , "BID", ".SPY150918C205.5")</f>
        <v>N/A</v>
      </c>
      <c r="D434" t="str">
        <f>RTD("tos.rtd", , "BID_SIZE", ".SPY150918C205.5")</f>
        <v>N/A</v>
      </c>
      <c r="E434" t="str">
        <f>RTD("tos.rtd", , "VOLUME", ".SPY150918C205.5")</f>
        <v>N/A</v>
      </c>
      <c r="F434" t="str">
        <f>RTD("tos.rtd", , "OPEN_INT", ".SPY150918C205.5")</f>
        <v>N/A</v>
      </c>
      <c r="G434" t="str">
        <f>RTD("tos.rtd", , "DELTA", ".SPY150918C205.5")</f>
        <v>N/A</v>
      </c>
      <c r="H434" t="str">
        <f>RTD("tos.rtd", , "THETA", ".SPY150918C205.5")</f>
        <v>N/A</v>
      </c>
      <c r="I434" t="str">
        <f>RTD("tos.rtd", , "GAMMA", ".SPY150918C205.5")</f>
        <v>N/A</v>
      </c>
      <c r="J434" t="str">
        <f>RTD("tos.rtd", , "VEGA", ".SPY150918C205.5")</f>
        <v>N/A</v>
      </c>
      <c r="K434" t="str">
        <f>RTD("tos.rtd", , "RHO", ".SPY150918C205.5")</f>
        <v>N/A</v>
      </c>
      <c r="L434" t="str">
        <f>RTD("tos.rtd", , "ASK", ".SPY150918P205.5")</f>
        <v>N/A</v>
      </c>
      <c r="M434" t="str">
        <f>RTD("tos.rtd", , "ASK_SIZE", ".SPY150918P205.5")</f>
        <v>N/A</v>
      </c>
      <c r="N434" t="str">
        <f>RTD("tos.rtd", , "BID", ".SPY150918P205.5")</f>
        <v>N/A</v>
      </c>
      <c r="O434" t="str">
        <f>RTD("tos.rtd", , "BID_SIZE", ".SPY150918P205.5")</f>
        <v>N/A</v>
      </c>
      <c r="P434" t="str">
        <f>RTD("tos.rtd", , "VOLUME", ".SPY150918P205.5")</f>
        <v>N/A</v>
      </c>
      <c r="Q434" t="str">
        <f>RTD("tos.rtd", , "OPEN_INT", ".SPY150918P205.5")</f>
        <v>N/A</v>
      </c>
      <c r="R434" t="str">
        <f>RTD("tos.rtd", , "DELTA", ".SPY150918P205.5")</f>
        <v>N/A</v>
      </c>
      <c r="S434" t="str">
        <f>RTD("tos.rtd", , "THETA", ".SPY150918P205.5")</f>
        <v>N/A</v>
      </c>
      <c r="T434" t="str">
        <f>RTD("tos.rtd", , "GAMMA", ".SPY150918P205.5")</f>
        <v>N/A</v>
      </c>
      <c r="U434" t="str">
        <f>RTD("tos.rtd", , "VEGA", ".SPY150918P205.5")</f>
        <v>N/A</v>
      </c>
      <c r="V434" t="str">
        <f>RTD("tos.rtd", , "RHO", ".SPY150918P205.5")</f>
        <v>N/A</v>
      </c>
    </row>
    <row r="435" spans="1:22" x14ac:dyDescent="0.25">
      <c r="A435">
        <f>RTD("tos.rtd", , "ASK", ".SPY150918C206")</f>
        <v>10.25</v>
      </c>
      <c r="B435">
        <f>RTD("tos.rtd", , "ASK_SIZE", ".SPY150918C206")</f>
        <v>150</v>
      </c>
      <c r="C435">
        <f>RTD("tos.rtd", , "BID", ".SPY150918C206")</f>
        <v>10.029999999999999</v>
      </c>
      <c r="D435">
        <f>RTD("tos.rtd", , "BID_SIZE", ".SPY150918C206")</f>
        <v>237</v>
      </c>
      <c r="E435">
        <f>RTD("tos.rtd", , "VOLUME", ".SPY150918C206")</f>
        <v>0</v>
      </c>
      <c r="F435">
        <f>RTD("tos.rtd", , "OPEN_INT", ".SPY150918C206")</f>
        <v>4095</v>
      </c>
      <c r="G435">
        <f>RTD("tos.rtd", , "DELTA", ".SPY150918C206")</f>
        <v>0.61014999999999997</v>
      </c>
      <c r="H435">
        <f>RTD("tos.rtd", , "THETA", ".SPY150918C206")</f>
        <v>-2.2620000000000001E-2</v>
      </c>
      <c r="I435">
        <f>RTD("tos.rtd", , "GAMMA", ".SPY150918C206")</f>
        <v>2.026E-2</v>
      </c>
      <c r="J435">
        <f>RTD("tos.rtd", , "VEGA", ".SPY150918C206")</f>
        <v>0.49351</v>
      </c>
      <c r="K435">
        <f>RTD("tos.rtd", , "RHO", ".SPY150918C206")</f>
        <v>0.38639000000000001</v>
      </c>
      <c r="L435">
        <f>RTD("tos.rtd", , "ASK", ".SPY150918P206")</f>
        <v>5.95</v>
      </c>
      <c r="M435">
        <f>RTD("tos.rtd", , "ASK_SIZE", ".SPY150918P206")</f>
        <v>2186</v>
      </c>
      <c r="N435">
        <f>RTD("tos.rtd", , "BID", ".SPY150918P206")</f>
        <v>5.82</v>
      </c>
      <c r="O435">
        <f>RTD("tos.rtd", , "BID_SIZE", ".SPY150918P206")</f>
        <v>160</v>
      </c>
      <c r="P435">
        <f>RTD("tos.rtd", , "VOLUME", ".SPY150918P206")</f>
        <v>6</v>
      </c>
      <c r="Q435">
        <f>RTD("tos.rtd", , "OPEN_INT", ".SPY150918P206")</f>
        <v>2304</v>
      </c>
      <c r="R435">
        <f>RTD("tos.rtd", , "DELTA", ".SPY150918P206")</f>
        <v>-0.39324999999999999</v>
      </c>
      <c r="S435">
        <f>RTD("tos.rtd", , "THETA", ".SPY150918P206")</f>
        <v>-3.1040000000000002E-2</v>
      </c>
      <c r="T435">
        <f>RTD("tos.rtd", , "GAMMA", ".SPY150918P206")</f>
        <v>1.917E-2</v>
      </c>
      <c r="U435">
        <f>RTD("tos.rtd", , "VEGA", ".SPY150918P206")</f>
        <v>0.49757000000000001</v>
      </c>
      <c r="V435">
        <f>RTD("tos.rtd", , "RHO", ".SPY150918P206")</f>
        <v>-0.33583000000000002</v>
      </c>
    </row>
    <row r="436" spans="1:22" x14ac:dyDescent="0.25">
      <c r="A436" t="str">
        <f>RTD("tos.rtd", , "ASK", ".SPY150918C206.5")</f>
        <v>N/A</v>
      </c>
      <c r="B436" t="str">
        <f>RTD("tos.rtd", , "ASK_SIZE", ".SPY150918C206.5")</f>
        <v>N/A</v>
      </c>
      <c r="C436" t="str">
        <f>RTD("tos.rtd", , "BID", ".SPY150918C206.5")</f>
        <v>N/A</v>
      </c>
      <c r="D436" t="str">
        <f>RTD("tos.rtd", , "BID_SIZE", ".SPY150918C206.5")</f>
        <v>N/A</v>
      </c>
      <c r="E436" t="str">
        <f>RTD("tos.rtd", , "VOLUME", ".SPY150918C206.5")</f>
        <v>N/A</v>
      </c>
      <c r="F436" t="str">
        <f>RTD("tos.rtd", , "OPEN_INT", ".SPY150918C206.5")</f>
        <v>N/A</v>
      </c>
      <c r="G436" t="str">
        <f>RTD("tos.rtd", , "DELTA", ".SPY150918C206.5")</f>
        <v>N/A</v>
      </c>
      <c r="H436" t="str">
        <f>RTD("tos.rtd", , "THETA", ".SPY150918C206.5")</f>
        <v>N/A</v>
      </c>
      <c r="I436" t="str">
        <f>RTD("tos.rtd", , "GAMMA", ".SPY150918C206.5")</f>
        <v>N/A</v>
      </c>
      <c r="J436" t="str">
        <f>RTD("tos.rtd", , "VEGA", ".SPY150918C206.5")</f>
        <v>N/A</v>
      </c>
      <c r="K436" t="str">
        <f>RTD("tos.rtd", , "RHO", ".SPY150918C206.5")</f>
        <v>N/A</v>
      </c>
      <c r="L436" t="str">
        <f>RTD("tos.rtd", , "ASK", ".SPY150918P206.5")</f>
        <v>N/A</v>
      </c>
      <c r="M436" t="str">
        <f>RTD("tos.rtd", , "ASK_SIZE", ".SPY150918P206.5")</f>
        <v>N/A</v>
      </c>
      <c r="N436" t="str">
        <f>RTD("tos.rtd", , "BID", ".SPY150918P206.5")</f>
        <v>N/A</v>
      </c>
      <c r="O436" t="str">
        <f>RTD("tos.rtd", , "BID_SIZE", ".SPY150918P206.5")</f>
        <v>N/A</v>
      </c>
      <c r="P436" t="str">
        <f>RTD("tos.rtd", , "VOLUME", ".SPY150918P206.5")</f>
        <v>N/A</v>
      </c>
      <c r="Q436" t="str">
        <f>RTD("tos.rtd", , "OPEN_INT", ".SPY150918P206.5")</f>
        <v>N/A</v>
      </c>
      <c r="R436" t="str">
        <f>RTD("tos.rtd", , "DELTA", ".SPY150918P206.5")</f>
        <v>N/A</v>
      </c>
      <c r="S436" t="str">
        <f>RTD("tos.rtd", , "THETA", ".SPY150918P206.5")</f>
        <v>N/A</v>
      </c>
      <c r="T436" t="str">
        <f>RTD("tos.rtd", , "GAMMA", ".SPY150918P206.5")</f>
        <v>N/A</v>
      </c>
      <c r="U436" t="str">
        <f>RTD("tos.rtd", , "VEGA", ".SPY150918P206.5")</f>
        <v>N/A</v>
      </c>
      <c r="V436" t="str">
        <f>RTD("tos.rtd", , "RHO", ".SPY150918P206.5")</f>
        <v>N/A</v>
      </c>
    </row>
    <row r="437" spans="1:22" x14ac:dyDescent="0.25">
      <c r="A437">
        <f>RTD("tos.rtd", , "ASK", ".SPY150918C207")</f>
        <v>9.52</v>
      </c>
      <c r="B437">
        <f>RTD("tos.rtd", , "ASK_SIZE", ".SPY150918C207")</f>
        <v>160</v>
      </c>
      <c r="C437">
        <f>RTD("tos.rtd", , "BID", ".SPY150918C207")</f>
        <v>9.41</v>
      </c>
      <c r="D437">
        <f>RTD("tos.rtd", , "BID_SIZE", ".SPY150918C207")</f>
        <v>199</v>
      </c>
      <c r="E437">
        <f>RTD("tos.rtd", , "VOLUME", ".SPY150918C207")</f>
        <v>5</v>
      </c>
      <c r="F437">
        <f>RTD("tos.rtd", , "OPEN_INT", ".SPY150918C207")</f>
        <v>5393</v>
      </c>
      <c r="G437">
        <f>RTD("tos.rtd", , "DELTA", ".SPY150918C207")</f>
        <v>0.59018000000000004</v>
      </c>
      <c r="H437">
        <f>RTD("tos.rtd", , "THETA", ".SPY150918C207")</f>
        <v>-2.2689999999999998E-2</v>
      </c>
      <c r="I437">
        <f>RTD("tos.rtd", , "GAMMA", ".SPY150918C207")</f>
        <v>2.0740000000000001E-2</v>
      </c>
      <c r="J437">
        <f>RTD("tos.rtd", , "VEGA", ".SPY150918C207")</f>
        <v>0.50029999999999997</v>
      </c>
      <c r="K437">
        <f>RTD("tos.rtd", , "RHO", ".SPY150918C207")</f>
        <v>0.37913000000000002</v>
      </c>
      <c r="L437">
        <f>RTD("tos.rtd", , "ASK", ".SPY150918P207")</f>
        <v>6.28</v>
      </c>
      <c r="M437">
        <f>RTD("tos.rtd", , "ASK_SIZE", ".SPY150918P207")</f>
        <v>2529</v>
      </c>
      <c r="N437">
        <f>RTD("tos.rtd", , "BID", ".SPY150918P207")</f>
        <v>6.13</v>
      </c>
      <c r="O437">
        <f>RTD("tos.rtd", , "BID_SIZE", ".SPY150918P207")</f>
        <v>2508</v>
      </c>
      <c r="P437">
        <f>RTD("tos.rtd", , "VOLUME", ".SPY150918P207")</f>
        <v>151</v>
      </c>
      <c r="Q437">
        <f>RTD("tos.rtd", , "OPEN_INT", ".SPY150918P207")</f>
        <v>9298</v>
      </c>
      <c r="R437">
        <f>RTD("tos.rtd", , "DELTA", ".SPY150918P207")</f>
        <v>-0.41222999999999999</v>
      </c>
      <c r="S437">
        <f>RTD("tos.rtd", , "THETA", ".SPY150918P207")</f>
        <v>-3.108E-2</v>
      </c>
      <c r="T437">
        <f>RTD("tos.rtd", , "GAMMA", ".SPY150918P207")</f>
        <v>1.9709999999999998E-2</v>
      </c>
      <c r="U437">
        <f>RTD("tos.rtd", , "VEGA", ".SPY150918P207")</f>
        <v>0.50344</v>
      </c>
      <c r="V437">
        <f>RTD("tos.rtd", , "RHO", ".SPY150918P207")</f>
        <v>-0.35217999999999999</v>
      </c>
    </row>
    <row r="438" spans="1:22" x14ac:dyDescent="0.25">
      <c r="A438" t="str">
        <f>RTD("tos.rtd", , "ASK", ".SPY150918C207.5")</f>
        <v>N/A</v>
      </c>
      <c r="B438" t="str">
        <f>RTD("tos.rtd", , "ASK_SIZE", ".SPY150918C207.5")</f>
        <v>N/A</v>
      </c>
      <c r="C438" t="str">
        <f>RTD("tos.rtd", , "BID", ".SPY150918C207.5")</f>
        <v>N/A</v>
      </c>
      <c r="D438" t="str">
        <f>RTD("tos.rtd", , "BID_SIZE", ".SPY150918C207.5")</f>
        <v>N/A</v>
      </c>
      <c r="E438" t="str">
        <f>RTD("tos.rtd", , "VOLUME", ".SPY150918C207.5")</f>
        <v>N/A</v>
      </c>
      <c r="F438" t="str">
        <f>RTD("tos.rtd", , "OPEN_INT", ".SPY150918C207.5")</f>
        <v>N/A</v>
      </c>
      <c r="G438" t="str">
        <f>RTD("tos.rtd", , "DELTA", ".SPY150918C207.5")</f>
        <v>N/A</v>
      </c>
      <c r="H438" t="str">
        <f>RTD("tos.rtd", , "THETA", ".SPY150918C207.5")</f>
        <v>N/A</v>
      </c>
      <c r="I438" t="str">
        <f>RTD("tos.rtd", , "GAMMA", ".SPY150918C207.5")</f>
        <v>N/A</v>
      </c>
      <c r="J438" t="str">
        <f>RTD("tos.rtd", , "VEGA", ".SPY150918C207.5")</f>
        <v>N/A</v>
      </c>
      <c r="K438" t="str">
        <f>RTD("tos.rtd", , "RHO", ".SPY150918C207.5")</f>
        <v>N/A</v>
      </c>
      <c r="L438" t="str">
        <f>RTD("tos.rtd", , "ASK", ".SPY150918P207.5")</f>
        <v>N/A</v>
      </c>
      <c r="M438" t="str">
        <f>RTD("tos.rtd", , "ASK_SIZE", ".SPY150918P207.5")</f>
        <v>N/A</v>
      </c>
      <c r="N438" t="str">
        <f>RTD("tos.rtd", , "BID", ".SPY150918P207.5")</f>
        <v>N/A</v>
      </c>
      <c r="O438" t="str">
        <f>RTD("tos.rtd", , "BID_SIZE", ".SPY150918P207.5")</f>
        <v>N/A</v>
      </c>
      <c r="P438" t="str">
        <f>RTD("tos.rtd", , "VOLUME", ".SPY150918P207.5")</f>
        <v>N/A</v>
      </c>
      <c r="Q438" t="str">
        <f>RTD("tos.rtd", , "OPEN_INT", ".SPY150918P207.5")</f>
        <v>N/A</v>
      </c>
      <c r="R438" t="str">
        <f>RTD("tos.rtd", , "DELTA", ".SPY150918P207.5")</f>
        <v>N/A</v>
      </c>
      <c r="S438" t="str">
        <f>RTD("tos.rtd", , "THETA", ".SPY150918P207.5")</f>
        <v>N/A</v>
      </c>
      <c r="T438" t="str">
        <f>RTD("tos.rtd", , "GAMMA", ".SPY150918P207.5")</f>
        <v>N/A</v>
      </c>
      <c r="U438" t="str">
        <f>RTD("tos.rtd", , "VEGA", ".SPY150918P207.5")</f>
        <v>N/A</v>
      </c>
      <c r="V438" t="str">
        <f>RTD("tos.rtd", , "RHO", ".SPY150918P207.5")</f>
        <v>N/A</v>
      </c>
    </row>
    <row r="439" spans="1:22" x14ac:dyDescent="0.25">
      <c r="A439">
        <f>RTD("tos.rtd", , "ASK", ".SPY150918C208")</f>
        <v>8.85</v>
      </c>
      <c r="B439">
        <f>RTD("tos.rtd", , "ASK_SIZE", ".SPY150918C208")</f>
        <v>160</v>
      </c>
      <c r="C439">
        <f>RTD("tos.rtd", , "BID", ".SPY150918C208")</f>
        <v>8.7200000000000006</v>
      </c>
      <c r="D439">
        <f>RTD("tos.rtd", , "BID_SIZE", ".SPY150918C208")</f>
        <v>2165</v>
      </c>
      <c r="E439">
        <f>RTD("tos.rtd", , "VOLUME", ".SPY150918C208")</f>
        <v>25</v>
      </c>
      <c r="F439">
        <f>RTD("tos.rtd", , "OPEN_INT", ".SPY150918C208")</f>
        <v>4781</v>
      </c>
      <c r="G439">
        <f>RTD("tos.rtd", , "DELTA", ".SPY150918C208")</f>
        <v>0.56967999999999996</v>
      </c>
      <c r="H439">
        <f>RTD("tos.rtd", , "THETA", ".SPY150918C208")</f>
        <v>-2.2620000000000001E-2</v>
      </c>
      <c r="I439">
        <f>RTD("tos.rtd", , "GAMMA", ".SPY150918C208")</f>
        <v>2.1260000000000001E-2</v>
      </c>
      <c r="J439">
        <f>RTD("tos.rtd", , "VEGA", ".SPY150918C208")</f>
        <v>0.50588</v>
      </c>
      <c r="K439">
        <f>RTD("tos.rtd", , "RHO", ".SPY150918C208")</f>
        <v>0.37092999999999998</v>
      </c>
      <c r="L439">
        <f>RTD("tos.rtd", , "ASK", ".SPY150918P208")</f>
        <v>6.62</v>
      </c>
      <c r="M439">
        <f>RTD("tos.rtd", , "ASK_SIZE", ".SPY150918P208")</f>
        <v>2695</v>
      </c>
      <c r="N439">
        <f>RTD("tos.rtd", , "BID", ".SPY150918P208")</f>
        <v>6.45</v>
      </c>
      <c r="O439">
        <f>RTD("tos.rtd", , "BID_SIZE", ".SPY150918P208")</f>
        <v>199</v>
      </c>
      <c r="P439">
        <f>RTD("tos.rtd", , "VOLUME", ".SPY150918P208")</f>
        <v>216</v>
      </c>
      <c r="Q439">
        <f>RTD("tos.rtd", , "OPEN_INT", ".SPY150918P208")</f>
        <v>9185</v>
      </c>
      <c r="R439">
        <f>RTD("tos.rtd", , "DELTA", ".SPY150918P208")</f>
        <v>-0.43193999999999999</v>
      </c>
      <c r="S439">
        <f>RTD("tos.rtd", , "THETA", ".SPY150918P208")</f>
        <v>-3.1040000000000002E-2</v>
      </c>
      <c r="T439">
        <f>RTD("tos.rtd", , "GAMMA", ".SPY150918P208")</f>
        <v>2.0240000000000001E-2</v>
      </c>
      <c r="U439">
        <f>RTD("tos.rtd", , "VEGA", ".SPY150918P208")</f>
        <v>0.50826000000000005</v>
      </c>
      <c r="V439">
        <f>RTD("tos.rtd", , "RHO", ".SPY150918P208")</f>
        <v>-0.36914999999999998</v>
      </c>
    </row>
    <row r="440" spans="1:22" x14ac:dyDescent="0.25">
      <c r="A440" t="str">
        <f>RTD("tos.rtd", , "ASK", ".SPY150918C208.5")</f>
        <v>N/A</v>
      </c>
      <c r="B440" t="str">
        <f>RTD("tos.rtd", , "ASK_SIZE", ".SPY150918C208.5")</f>
        <v>N/A</v>
      </c>
      <c r="C440" t="str">
        <f>RTD("tos.rtd", , "BID", ".SPY150918C208.5")</f>
        <v>N/A</v>
      </c>
      <c r="D440" t="str">
        <f>RTD("tos.rtd", , "BID_SIZE", ".SPY150918C208.5")</f>
        <v>N/A</v>
      </c>
      <c r="E440" t="str">
        <f>RTD("tos.rtd", , "VOLUME", ".SPY150918C208.5")</f>
        <v>N/A</v>
      </c>
      <c r="F440" t="str">
        <f>RTD("tos.rtd", , "OPEN_INT", ".SPY150918C208.5")</f>
        <v>N/A</v>
      </c>
      <c r="G440" t="str">
        <f>RTD("tos.rtd", , "DELTA", ".SPY150918C208.5")</f>
        <v>N/A</v>
      </c>
      <c r="H440" t="str">
        <f>RTD("tos.rtd", , "THETA", ".SPY150918C208.5")</f>
        <v>N/A</v>
      </c>
      <c r="I440" t="str">
        <f>RTD("tos.rtd", , "GAMMA", ".SPY150918C208.5")</f>
        <v>N/A</v>
      </c>
      <c r="J440" t="str">
        <f>RTD("tos.rtd", , "VEGA", ".SPY150918C208.5")</f>
        <v>N/A</v>
      </c>
      <c r="K440" t="str">
        <f>RTD("tos.rtd", , "RHO", ".SPY150918C208.5")</f>
        <v>N/A</v>
      </c>
      <c r="L440" t="str">
        <f>RTD("tos.rtd", , "ASK", ".SPY150918P208.5")</f>
        <v>N/A</v>
      </c>
      <c r="M440" t="str">
        <f>RTD("tos.rtd", , "ASK_SIZE", ".SPY150918P208.5")</f>
        <v>N/A</v>
      </c>
      <c r="N440" t="str">
        <f>RTD("tos.rtd", , "BID", ".SPY150918P208.5")</f>
        <v>N/A</v>
      </c>
      <c r="O440" t="str">
        <f>RTD("tos.rtd", , "BID_SIZE", ".SPY150918P208.5")</f>
        <v>N/A</v>
      </c>
      <c r="P440" t="str">
        <f>RTD("tos.rtd", , "VOLUME", ".SPY150918P208.5")</f>
        <v>N/A</v>
      </c>
      <c r="Q440" t="str">
        <f>RTD("tos.rtd", , "OPEN_INT", ".SPY150918P208.5")</f>
        <v>N/A</v>
      </c>
      <c r="R440" t="str">
        <f>RTD("tos.rtd", , "DELTA", ".SPY150918P208.5")</f>
        <v>N/A</v>
      </c>
      <c r="S440" t="str">
        <f>RTD("tos.rtd", , "THETA", ".SPY150918P208.5")</f>
        <v>N/A</v>
      </c>
      <c r="T440" t="str">
        <f>RTD("tos.rtd", , "GAMMA", ".SPY150918P208.5")</f>
        <v>N/A</v>
      </c>
      <c r="U440" t="str">
        <f>RTD("tos.rtd", , "VEGA", ".SPY150918P208.5")</f>
        <v>N/A</v>
      </c>
      <c r="V440" t="str">
        <f>RTD("tos.rtd", , "RHO", ".SPY150918P208.5")</f>
        <v>N/A</v>
      </c>
    </row>
    <row r="441" spans="1:22" x14ac:dyDescent="0.25">
      <c r="A441">
        <f>RTD("tos.rtd", , "ASK", ".SPY150918C209")</f>
        <v>8.17</v>
      </c>
      <c r="B441">
        <f>RTD("tos.rtd", , "ASK_SIZE", ".SPY150918C209")</f>
        <v>199</v>
      </c>
      <c r="C441">
        <f>RTD("tos.rtd", , "BID", ".SPY150918C209")</f>
        <v>8.0500000000000007</v>
      </c>
      <c r="D441">
        <f>RTD("tos.rtd", , "BID_SIZE", ".SPY150918C209")</f>
        <v>1875</v>
      </c>
      <c r="E441">
        <f>RTD("tos.rtd", , "VOLUME", ".SPY150918C209")</f>
        <v>49</v>
      </c>
      <c r="F441">
        <f>RTD("tos.rtd", , "OPEN_INT", ".SPY150918C209")</f>
        <v>9152</v>
      </c>
      <c r="G441">
        <f>RTD("tos.rtd", , "DELTA", ".SPY150918C209")</f>
        <v>0.54845999999999995</v>
      </c>
      <c r="H441">
        <f>RTD("tos.rtd", , "THETA", ".SPY150918C209")</f>
        <v>-2.2409999999999999E-2</v>
      </c>
      <c r="I441">
        <f>RTD("tos.rtd", , "GAMMA", ".SPY150918C209")</f>
        <v>2.18E-2</v>
      </c>
      <c r="J441">
        <f>RTD("tos.rtd", , "VEGA", ".SPY150918C209")</f>
        <v>0.51017999999999997</v>
      </c>
      <c r="K441">
        <f>RTD("tos.rtd", , "RHO", ".SPY150918C209")</f>
        <v>0.36173</v>
      </c>
      <c r="L441">
        <f>RTD("tos.rtd", , "ASK", ".SPY150918P209")</f>
        <v>6.98</v>
      </c>
      <c r="M441">
        <f>RTD("tos.rtd", , "ASK_SIZE", ".SPY150918P209")</f>
        <v>2701</v>
      </c>
      <c r="N441">
        <f>RTD("tos.rtd", , "BID", ".SPY150918P209")</f>
        <v>6.79</v>
      </c>
      <c r="O441">
        <f>RTD("tos.rtd", , "BID_SIZE", ".SPY150918P209")</f>
        <v>2560</v>
      </c>
      <c r="P441">
        <f>RTD("tos.rtd", , "VOLUME", ".SPY150918P209")</f>
        <v>58</v>
      </c>
      <c r="Q441">
        <f>RTD("tos.rtd", , "OPEN_INT", ".SPY150918P209")</f>
        <v>6804</v>
      </c>
      <c r="R441">
        <f>RTD("tos.rtd", , "DELTA", ".SPY150918P209")</f>
        <v>-0.45240999999999998</v>
      </c>
      <c r="S441">
        <f>RTD("tos.rtd", , "THETA", ".SPY150918P209")</f>
        <v>-3.0939999999999999E-2</v>
      </c>
      <c r="T441">
        <f>RTD("tos.rtd", , "GAMMA", ".SPY150918P209")</f>
        <v>2.0740000000000001E-2</v>
      </c>
      <c r="U441">
        <f>RTD("tos.rtd", , "VEGA", ".SPY150918P209")</f>
        <v>0.51190999999999998</v>
      </c>
      <c r="V441">
        <f>RTD("tos.rtd", , "RHO", ".SPY150918P209")</f>
        <v>-0.38682</v>
      </c>
    </row>
    <row r="442" spans="1:22" x14ac:dyDescent="0.25">
      <c r="A442" t="str">
        <f>RTD("tos.rtd", , "ASK", ".SPY150918C209.5")</f>
        <v>N/A</v>
      </c>
      <c r="B442" t="str">
        <f>RTD("tos.rtd", , "ASK_SIZE", ".SPY150918C209.5")</f>
        <v>N/A</v>
      </c>
      <c r="C442" t="str">
        <f>RTD("tos.rtd", , "BID", ".SPY150918C209.5")</f>
        <v>N/A</v>
      </c>
      <c r="D442" t="str">
        <f>RTD("tos.rtd", , "BID_SIZE", ".SPY150918C209.5")</f>
        <v>N/A</v>
      </c>
      <c r="E442" t="str">
        <f>RTD("tos.rtd", , "VOLUME", ".SPY150918C209.5")</f>
        <v>N/A</v>
      </c>
      <c r="F442" t="str">
        <f>RTD("tos.rtd", , "OPEN_INT", ".SPY150918C209.5")</f>
        <v>N/A</v>
      </c>
      <c r="G442" t="str">
        <f>RTD("tos.rtd", , "DELTA", ".SPY150918C209.5")</f>
        <v>N/A</v>
      </c>
      <c r="H442" t="str">
        <f>RTD("tos.rtd", , "THETA", ".SPY150918C209.5")</f>
        <v>N/A</v>
      </c>
      <c r="I442" t="str">
        <f>RTD("tos.rtd", , "GAMMA", ".SPY150918C209.5")</f>
        <v>N/A</v>
      </c>
      <c r="J442" t="str">
        <f>RTD("tos.rtd", , "VEGA", ".SPY150918C209.5")</f>
        <v>N/A</v>
      </c>
      <c r="K442" t="str">
        <f>RTD("tos.rtd", , "RHO", ".SPY150918C209.5")</f>
        <v>N/A</v>
      </c>
      <c r="L442" t="str">
        <f>RTD("tos.rtd", , "ASK", ".SPY150918P209.5")</f>
        <v>N/A</v>
      </c>
      <c r="M442" t="str">
        <f>RTD("tos.rtd", , "ASK_SIZE", ".SPY150918P209.5")</f>
        <v>N/A</v>
      </c>
      <c r="N442" t="str">
        <f>RTD("tos.rtd", , "BID", ".SPY150918P209.5")</f>
        <v>N/A</v>
      </c>
      <c r="O442" t="str">
        <f>RTD("tos.rtd", , "BID_SIZE", ".SPY150918P209.5")</f>
        <v>N/A</v>
      </c>
      <c r="P442" t="str">
        <f>RTD("tos.rtd", , "VOLUME", ".SPY150918P209.5")</f>
        <v>N/A</v>
      </c>
      <c r="Q442" t="str">
        <f>RTD("tos.rtd", , "OPEN_INT", ".SPY150918P209.5")</f>
        <v>N/A</v>
      </c>
      <c r="R442" t="str">
        <f>RTD("tos.rtd", , "DELTA", ".SPY150918P209.5")</f>
        <v>N/A</v>
      </c>
      <c r="S442" t="str">
        <f>RTD("tos.rtd", , "THETA", ".SPY150918P209.5")</f>
        <v>N/A</v>
      </c>
      <c r="T442" t="str">
        <f>RTD("tos.rtd", , "GAMMA", ".SPY150918P209.5")</f>
        <v>N/A</v>
      </c>
      <c r="U442" t="str">
        <f>RTD("tos.rtd", , "VEGA", ".SPY150918P209.5")</f>
        <v>N/A</v>
      </c>
      <c r="V442" t="str">
        <f>RTD("tos.rtd", , "RHO", ".SPY150918P209.5")</f>
        <v>N/A</v>
      </c>
    </row>
    <row r="443" spans="1:22" x14ac:dyDescent="0.25">
      <c r="A443">
        <f>RTD("tos.rtd", , "ASK", ".SPY150918C210")</f>
        <v>7.52</v>
      </c>
      <c r="B443">
        <f>RTD("tos.rtd", , "ASK_SIZE", ".SPY150918C210")</f>
        <v>160</v>
      </c>
      <c r="C443">
        <f>RTD("tos.rtd", , "BID", ".SPY150918C210")</f>
        <v>7.4</v>
      </c>
      <c r="D443">
        <f>RTD("tos.rtd", , "BID_SIZE", ".SPY150918C210")</f>
        <v>2055</v>
      </c>
      <c r="E443">
        <f>RTD("tos.rtd", , "VOLUME", ".SPY150918C210")</f>
        <v>165</v>
      </c>
      <c r="F443">
        <f>RTD("tos.rtd", , "OPEN_INT", ".SPY150918C210")</f>
        <v>11740</v>
      </c>
      <c r="G443">
        <f>RTD("tos.rtd", , "DELTA", ".SPY150918C210")</f>
        <v>0.52634000000000003</v>
      </c>
      <c r="H443">
        <f>RTD("tos.rtd", , "THETA", ".SPY150918C210")</f>
        <v>-2.2169999999999999E-2</v>
      </c>
      <c r="I443">
        <f>RTD("tos.rtd", , "GAMMA", ".SPY150918C210")</f>
        <v>2.2360000000000001E-2</v>
      </c>
      <c r="J443">
        <f>RTD("tos.rtd", , "VEGA", ".SPY150918C210")</f>
        <v>0.5131</v>
      </c>
      <c r="K443">
        <f>RTD("tos.rtd", , "RHO", ".SPY150918C210")</f>
        <v>0.35145999999999999</v>
      </c>
      <c r="L443">
        <f>RTD("tos.rtd", , "ASK", ".SPY150918P210")</f>
        <v>7.34</v>
      </c>
      <c r="M443">
        <f>RTD("tos.rtd", , "ASK_SIZE", ".SPY150918P210")</f>
        <v>3477</v>
      </c>
      <c r="N443">
        <f>RTD("tos.rtd", , "BID", ".SPY150918P210")</f>
        <v>7.16</v>
      </c>
      <c r="O443">
        <f>RTD("tos.rtd", , "BID_SIZE", ".SPY150918P210")</f>
        <v>2681</v>
      </c>
      <c r="P443">
        <f>RTD("tos.rtd", , "VOLUME", ".SPY150918P210")</f>
        <v>562</v>
      </c>
      <c r="Q443">
        <f>RTD("tos.rtd", , "OPEN_INT", ".SPY150918P210")</f>
        <v>17281</v>
      </c>
      <c r="R443">
        <f>RTD("tos.rtd", , "DELTA", ".SPY150918P210")</f>
        <v>-0.47365000000000002</v>
      </c>
      <c r="S443">
        <f>RTD("tos.rtd", , "THETA", ".SPY150918P210")</f>
        <v>-3.0759999999999999E-2</v>
      </c>
      <c r="T443">
        <f>RTD("tos.rtd", , "GAMMA", ".SPY150918P210")</f>
        <v>2.128E-2</v>
      </c>
      <c r="U443">
        <f>RTD("tos.rtd", , "VEGA", ".SPY150918P210")</f>
        <v>0.51424000000000003</v>
      </c>
      <c r="V443">
        <f>RTD("tos.rtd", , "RHO", ".SPY150918P210")</f>
        <v>-0.40515000000000001</v>
      </c>
    </row>
    <row r="444" spans="1:22" x14ac:dyDescent="0.25">
      <c r="A444" t="str">
        <f>RTD("tos.rtd", , "ASK", ".SPY150918C210.5")</f>
        <v>N/A</v>
      </c>
      <c r="B444" t="str">
        <f>RTD("tos.rtd", , "ASK_SIZE", ".SPY150918C210.5")</f>
        <v>N/A</v>
      </c>
      <c r="C444" t="str">
        <f>RTD("tos.rtd", , "BID", ".SPY150918C210.5")</f>
        <v>N/A</v>
      </c>
      <c r="D444" t="str">
        <f>RTD("tos.rtd", , "BID_SIZE", ".SPY150918C210.5")</f>
        <v>N/A</v>
      </c>
      <c r="E444" t="str">
        <f>RTD("tos.rtd", , "VOLUME", ".SPY150918C210.5")</f>
        <v>N/A</v>
      </c>
      <c r="F444" t="str">
        <f>RTD("tos.rtd", , "OPEN_INT", ".SPY150918C210.5")</f>
        <v>N/A</v>
      </c>
      <c r="G444" t="str">
        <f>RTD("tos.rtd", , "DELTA", ".SPY150918C210.5")</f>
        <v>N/A</v>
      </c>
      <c r="H444" t="str">
        <f>RTD("tos.rtd", , "THETA", ".SPY150918C210.5")</f>
        <v>N/A</v>
      </c>
      <c r="I444" t="str">
        <f>RTD("tos.rtd", , "GAMMA", ".SPY150918C210.5")</f>
        <v>N/A</v>
      </c>
      <c r="J444" t="str">
        <f>RTD("tos.rtd", , "VEGA", ".SPY150918C210.5")</f>
        <v>N/A</v>
      </c>
      <c r="K444" t="str">
        <f>RTD("tos.rtd", , "RHO", ".SPY150918C210.5")</f>
        <v>N/A</v>
      </c>
      <c r="L444" t="str">
        <f>RTD("tos.rtd", , "ASK", ".SPY150918P210.5")</f>
        <v>N/A</v>
      </c>
      <c r="M444" t="str">
        <f>RTD("tos.rtd", , "ASK_SIZE", ".SPY150918P210.5")</f>
        <v>N/A</v>
      </c>
      <c r="N444" t="str">
        <f>RTD("tos.rtd", , "BID", ".SPY150918P210.5")</f>
        <v>N/A</v>
      </c>
      <c r="O444" t="str">
        <f>RTD("tos.rtd", , "BID_SIZE", ".SPY150918P210.5")</f>
        <v>N/A</v>
      </c>
      <c r="P444" t="str">
        <f>RTD("tos.rtd", , "VOLUME", ".SPY150918P210.5")</f>
        <v>N/A</v>
      </c>
      <c r="Q444" t="str">
        <f>RTD("tos.rtd", , "OPEN_INT", ".SPY150918P210.5")</f>
        <v>N/A</v>
      </c>
      <c r="R444" t="str">
        <f>RTD("tos.rtd", , "DELTA", ".SPY150918P210.5")</f>
        <v>N/A</v>
      </c>
      <c r="S444" t="str">
        <f>RTD("tos.rtd", , "THETA", ".SPY150918P210.5")</f>
        <v>N/A</v>
      </c>
      <c r="T444" t="str">
        <f>RTD("tos.rtd", , "GAMMA", ".SPY150918P210.5")</f>
        <v>N/A</v>
      </c>
      <c r="U444" t="str">
        <f>RTD("tos.rtd", , "VEGA", ".SPY150918P210.5")</f>
        <v>N/A</v>
      </c>
      <c r="V444" t="str">
        <f>RTD("tos.rtd", , "RHO", ".SPY150918P210.5")</f>
        <v>N/A</v>
      </c>
    </row>
    <row r="445" spans="1:22" x14ac:dyDescent="0.25">
      <c r="A445">
        <f>RTD("tos.rtd", , "ASK", ".SPY150918C211")</f>
        <v>6.88</v>
      </c>
      <c r="B445">
        <f>RTD("tos.rtd", , "ASK_SIZE", ".SPY150918C211")</f>
        <v>160</v>
      </c>
      <c r="C445">
        <f>RTD("tos.rtd", , "BID", ".SPY150918C211")</f>
        <v>6.77</v>
      </c>
      <c r="D445">
        <f>RTD("tos.rtd", , "BID_SIZE", ".SPY150918C211")</f>
        <v>1768</v>
      </c>
      <c r="E445">
        <f>RTD("tos.rtd", , "VOLUME", ".SPY150918C211")</f>
        <v>389</v>
      </c>
      <c r="F445">
        <f>RTD("tos.rtd", , "OPEN_INT", ".SPY150918C211")</f>
        <v>3388</v>
      </c>
      <c r="G445">
        <f>RTD("tos.rtd", , "DELTA", ".SPY150918C211")</f>
        <v>0.50334000000000001</v>
      </c>
      <c r="H445">
        <f>RTD("tos.rtd", , "THETA", ".SPY150918C211")</f>
        <v>-2.1829999999999999E-2</v>
      </c>
      <c r="I445">
        <f>RTD("tos.rtd", , "GAMMA", ".SPY150918C211")</f>
        <v>2.2790000000000001E-2</v>
      </c>
      <c r="J445">
        <f>RTD("tos.rtd", , "VEGA", ".SPY150918C211")</f>
        <v>0.51444000000000001</v>
      </c>
      <c r="K445">
        <f>RTD("tos.rtd", , "RHO", ".SPY150918C211")</f>
        <v>0.34011999999999998</v>
      </c>
      <c r="L445">
        <f>RTD("tos.rtd", , "ASK", ".SPY150918P211")</f>
        <v>7.74</v>
      </c>
      <c r="M445">
        <f>RTD("tos.rtd", , "ASK_SIZE", ".SPY150918P211")</f>
        <v>1843</v>
      </c>
      <c r="N445">
        <f>RTD("tos.rtd", , "BID", ".SPY150918P211")</f>
        <v>7.6</v>
      </c>
      <c r="O445">
        <f>RTD("tos.rtd", , "BID_SIZE", ".SPY150918P211")</f>
        <v>1</v>
      </c>
      <c r="P445">
        <f>RTD("tos.rtd", , "VOLUME", ".SPY150918P211")</f>
        <v>852</v>
      </c>
      <c r="Q445">
        <f>RTD("tos.rtd", , "OPEN_INT", ".SPY150918P211")</f>
        <v>3545</v>
      </c>
      <c r="R445">
        <f>RTD("tos.rtd", , "DELTA", ".SPY150918P211")</f>
        <v>-0.49551000000000001</v>
      </c>
      <c r="S445">
        <f>RTD("tos.rtd", , "THETA", ".SPY150918P211")</f>
        <v>-3.0620000000000001E-2</v>
      </c>
      <c r="T445">
        <f>RTD("tos.rtd", , "GAMMA", ".SPY150918P211")</f>
        <v>2.1610000000000001E-2</v>
      </c>
      <c r="U445">
        <f>RTD("tos.rtd", , "VEGA", ".SPY150918P211")</f>
        <v>0.5151</v>
      </c>
      <c r="V445">
        <f>RTD("tos.rtd", , "RHO", ".SPY150918P211")</f>
        <v>-0.42420000000000002</v>
      </c>
    </row>
    <row r="446" spans="1:22" x14ac:dyDescent="0.25">
      <c r="A446" t="str">
        <f>RTD("tos.rtd", , "ASK", ".SPY150918C211.5")</f>
        <v>N/A</v>
      </c>
      <c r="B446" t="str">
        <f>RTD("tos.rtd", , "ASK_SIZE", ".SPY150918C211.5")</f>
        <v>N/A</v>
      </c>
      <c r="C446" t="str">
        <f>RTD("tos.rtd", , "BID", ".SPY150918C211.5")</f>
        <v>N/A</v>
      </c>
      <c r="D446" t="str">
        <f>RTD("tos.rtd", , "BID_SIZE", ".SPY150918C211.5")</f>
        <v>N/A</v>
      </c>
      <c r="E446" t="str">
        <f>RTD("tos.rtd", , "VOLUME", ".SPY150918C211.5")</f>
        <v>N/A</v>
      </c>
      <c r="F446" t="str">
        <f>RTD("tos.rtd", , "OPEN_INT", ".SPY150918C211.5")</f>
        <v>N/A</v>
      </c>
      <c r="G446" t="str">
        <f>RTD("tos.rtd", , "DELTA", ".SPY150918C211.5")</f>
        <v>N/A</v>
      </c>
      <c r="H446" t="str">
        <f>RTD("tos.rtd", , "THETA", ".SPY150918C211.5")</f>
        <v>N/A</v>
      </c>
      <c r="I446" t="str">
        <f>RTD("tos.rtd", , "GAMMA", ".SPY150918C211.5")</f>
        <v>N/A</v>
      </c>
      <c r="J446" t="str">
        <f>RTD("tos.rtd", , "VEGA", ".SPY150918C211.5")</f>
        <v>N/A</v>
      </c>
      <c r="K446" t="str">
        <f>RTD("tos.rtd", , "RHO", ".SPY150918C211.5")</f>
        <v>N/A</v>
      </c>
      <c r="L446" t="str">
        <f>RTD("tos.rtd", , "ASK", ".SPY150918P211.5")</f>
        <v>N/A</v>
      </c>
      <c r="M446" t="str">
        <f>RTD("tos.rtd", , "ASK_SIZE", ".SPY150918P211.5")</f>
        <v>N/A</v>
      </c>
      <c r="N446" t="str">
        <f>RTD("tos.rtd", , "BID", ".SPY150918P211.5")</f>
        <v>N/A</v>
      </c>
      <c r="O446" t="str">
        <f>RTD("tos.rtd", , "BID_SIZE", ".SPY150918P211.5")</f>
        <v>N/A</v>
      </c>
      <c r="P446" t="str">
        <f>RTD("tos.rtd", , "VOLUME", ".SPY150918P211.5")</f>
        <v>N/A</v>
      </c>
      <c r="Q446" t="str">
        <f>RTD("tos.rtd", , "OPEN_INT", ".SPY150918P211.5")</f>
        <v>N/A</v>
      </c>
      <c r="R446" t="str">
        <f>RTD("tos.rtd", , "DELTA", ".SPY150918P211.5")</f>
        <v>N/A</v>
      </c>
      <c r="S446" t="str">
        <f>RTD("tos.rtd", , "THETA", ".SPY150918P211.5")</f>
        <v>N/A</v>
      </c>
      <c r="T446" t="str">
        <f>RTD("tos.rtd", , "GAMMA", ".SPY150918P211.5")</f>
        <v>N/A</v>
      </c>
      <c r="U446" t="str">
        <f>RTD("tos.rtd", , "VEGA", ".SPY150918P211.5")</f>
        <v>N/A</v>
      </c>
      <c r="V446" t="str">
        <f>RTD("tos.rtd", , "RHO", ".SPY150918P211.5")</f>
        <v>N/A</v>
      </c>
    </row>
    <row r="447" spans="1:22" x14ac:dyDescent="0.25">
      <c r="A447">
        <f>RTD("tos.rtd", , "ASK", ".SPY150918C212")</f>
        <v>6.26</v>
      </c>
      <c r="B447">
        <f>RTD("tos.rtd", , "ASK_SIZE", ".SPY150918C212")</f>
        <v>160</v>
      </c>
      <c r="C447">
        <f>RTD("tos.rtd", , "BID", ".SPY150918C212")</f>
        <v>6.17</v>
      </c>
      <c r="D447">
        <f>RTD("tos.rtd", , "BID_SIZE", ".SPY150918C212")</f>
        <v>199</v>
      </c>
      <c r="E447">
        <f>RTD("tos.rtd", , "VOLUME", ".SPY150918C212")</f>
        <v>2949</v>
      </c>
      <c r="F447">
        <f>RTD("tos.rtd", , "OPEN_INT", ".SPY150918C212")</f>
        <v>3519</v>
      </c>
      <c r="G447">
        <f>RTD("tos.rtd", , "DELTA", ".SPY150918C212")</f>
        <v>0.47960000000000003</v>
      </c>
      <c r="H447">
        <f>RTD("tos.rtd", , "THETA", ".SPY150918C212")</f>
        <v>-2.1420000000000002E-2</v>
      </c>
      <c r="I447">
        <f>RTD("tos.rtd", , "GAMMA", ".SPY150918C212")</f>
        <v>2.3140000000000001E-2</v>
      </c>
      <c r="J447">
        <f>RTD("tos.rtd", , "VEGA", ".SPY150918C212")</f>
        <v>0.51404000000000005</v>
      </c>
      <c r="K447">
        <f>RTD("tos.rtd", , "RHO", ".SPY150918C212")</f>
        <v>0.32779000000000003</v>
      </c>
      <c r="L447">
        <f>RTD("tos.rtd", , "ASK", ".SPY150918P212")</f>
        <v>8.17</v>
      </c>
      <c r="M447">
        <f>RTD("tos.rtd", , "ASK_SIZE", ".SPY150918P212")</f>
        <v>238</v>
      </c>
      <c r="N447">
        <f>RTD("tos.rtd", , "BID", ".SPY150918P212")</f>
        <v>7.98</v>
      </c>
      <c r="O447">
        <f>RTD("tos.rtd", , "BID_SIZE", ".SPY150918P212")</f>
        <v>129</v>
      </c>
      <c r="P447">
        <f>RTD("tos.rtd", , "VOLUME", ".SPY150918P212")</f>
        <v>95</v>
      </c>
      <c r="Q447">
        <f>RTD("tos.rtd", , "OPEN_INT", ".SPY150918P212")</f>
        <v>2395</v>
      </c>
      <c r="R447">
        <f>RTD("tos.rtd", , "DELTA", ".SPY150918P212")</f>
        <v>-0.51814000000000004</v>
      </c>
      <c r="S447">
        <f>RTD("tos.rtd", , "THETA", ".SPY150918P212")</f>
        <v>-3.0259999999999999E-2</v>
      </c>
      <c r="T447">
        <f>RTD("tos.rtd", , "GAMMA", ".SPY150918P212")</f>
        <v>2.1950000000000001E-2</v>
      </c>
      <c r="U447">
        <f>RTD("tos.rtd", , "VEGA", ".SPY150918P212")</f>
        <v>0.51436000000000004</v>
      </c>
      <c r="V447">
        <f>RTD("tos.rtd", , "RHO", ".SPY150918P212")</f>
        <v>-0.44378000000000001</v>
      </c>
    </row>
    <row r="448" spans="1:22" x14ac:dyDescent="0.25">
      <c r="A448" t="str">
        <f>RTD("tos.rtd", , "ASK", ".SPY150918C212.5")</f>
        <v>N/A</v>
      </c>
      <c r="B448" t="str">
        <f>RTD("tos.rtd", , "ASK_SIZE", ".SPY150918C212.5")</f>
        <v>N/A</v>
      </c>
      <c r="C448" t="str">
        <f>RTD("tos.rtd", , "BID", ".SPY150918C212.5")</f>
        <v>N/A</v>
      </c>
      <c r="D448" t="str">
        <f>RTD("tos.rtd", , "BID_SIZE", ".SPY150918C212.5")</f>
        <v>N/A</v>
      </c>
      <c r="E448" t="str">
        <f>RTD("tos.rtd", , "VOLUME", ".SPY150918C212.5")</f>
        <v>N/A</v>
      </c>
      <c r="F448" t="str">
        <f>RTD("tos.rtd", , "OPEN_INT", ".SPY150918C212.5")</f>
        <v>N/A</v>
      </c>
      <c r="G448" t="str">
        <f>RTD("tos.rtd", , "DELTA", ".SPY150918C212.5")</f>
        <v>N/A</v>
      </c>
      <c r="H448" t="str">
        <f>RTD("tos.rtd", , "THETA", ".SPY150918C212.5")</f>
        <v>N/A</v>
      </c>
      <c r="I448" t="str">
        <f>RTD("tos.rtd", , "GAMMA", ".SPY150918C212.5")</f>
        <v>N/A</v>
      </c>
      <c r="J448" t="str">
        <f>RTD("tos.rtd", , "VEGA", ".SPY150918C212.5")</f>
        <v>N/A</v>
      </c>
      <c r="K448" t="str">
        <f>RTD("tos.rtd", , "RHO", ".SPY150918C212.5")</f>
        <v>N/A</v>
      </c>
      <c r="L448" t="str">
        <f>RTD("tos.rtd", , "ASK", ".SPY150918P212.5")</f>
        <v>N/A</v>
      </c>
      <c r="M448" t="str">
        <f>RTD("tos.rtd", , "ASK_SIZE", ".SPY150918P212.5")</f>
        <v>N/A</v>
      </c>
      <c r="N448" t="str">
        <f>RTD("tos.rtd", , "BID", ".SPY150918P212.5")</f>
        <v>N/A</v>
      </c>
      <c r="O448" t="str">
        <f>RTD("tos.rtd", , "BID_SIZE", ".SPY150918P212.5")</f>
        <v>N/A</v>
      </c>
      <c r="P448" t="str">
        <f>RTD("tos.rtd", , "VOLUME", ".SPY150918P212.5")</f>
        <v>N/A</v>
      </c>
      <c r="Q448" t="str">
        <f>RTD("tos.rtd", , "OPEN_INT", ".SPY150918P212.5")</f>
        <v>N/A</v>
      </c>
      <c r="R448" t="str">
        <f>RTD("tos.rtd", , "DELTA", ".SPY150918P212.5")</f>
        <v>N/A</v>
      </c>
      <c r="S448" t="str">
        <f>RTD("tos.rtd", , "THETA", ".SPY150918P212.5")</f>
        <v>N/A</v>
      </c>
      <c r="T448" t="str">
        <f>RTD("tos.rtd", , "GAMMA", ".SPY150918P212.5")</f>
        <v>N/A</v>
      </c>
      <c r="U448" t="str">
        <f>RTD("tos.rtd", , "VEGA", ".SPY150918P212.5")</f>
        <v>N/A</v>
      </c>
      <c r="V448" t="str">
        <f>RTD("tos.rtd", , "RHO", ".SPY150918P212.5")</f>
        <v>N/A</v>
      </c>
    </row>
    <row r="449" spans="1:22" x14ac:dyDescent="0.25">
      <c r="A449">
        <f>RTD("tos.rtd", , "ASK", ".SPY150918C213")</f>
        <v>5.67</v>
      </c>
      <c r="B449">
        <f>RTD("tos.rtd", , "ASK_SIZE", ".SPY150918C213")</f>
        <v>199</v>
      </c>
      <c r="C449">
        <f>RTD("tos.rtd", , "BID", ".SPY150918C213")</f>
        <v>5.59</v>
      </c>
      <c r="D449">
        <f>RTD("tos.rtd", , "BID_SIZE", ".SPY150918C213")</f>
        <v>1776</v>
      </c>
      <c r="E449">
        <f>RTD("tos.rtd", , "VOLUME", ".SPY150918C213")</f>
        <v>20</v>
      </c>
      <c r="F449">
        <f>RTD("tos.rtd", , "OPEN_INT", ".SPY150918C213")</f>
        <v>3459</v>
      </c>
      <c r="G449">
        <f>RTD("tos.rtd", , "DELTA", ".SPY150918C213")</f>
        <v>0.45511000000000001</v>
      </c>
      <c r="H449">
        <f>RTD("tos.rtd", , "THETA", ".SPY150918C213")</f>
        <v>-2.094E-2</v>
      </c>
      <c r="I449">
        <f>RTD("tos.rtd", , "GAMMA", ".SPY150918C213")</f>
        <v>2.3460000000000002E-2</v>
      </c>
      <c r="J449">
        <f>RTD("tos.rtd", , "VEGA", ".SPY150918C213")</f>
        <v>0.51171</v>
      </c>
      <c r="K449">
        <f>RTD("tos.rtd", , "RHO", ".SPY150918C213")</f>
        <v>0.31446000000000002</v>
      </c>
      <c r="L449">
        <f>RTD("tos.rtd", , "ASK", ".SPY150918P213")</f>
        <v>8.6199999999999992</v>
      </c>
      <c r="M449">
        <f>RTD("tos.rtd", , "ASK_SIZE", ".SPY150918P213")</f>
        <v>199</v>
      </c>
      <c r="N449">
        <f>RTD("tos.rtd", , "BID", ".SPY150918P213")</f>
        <v>8.3800000000000008</v>
      </c>
      <c r="O449">
        <f>RTD("tos.rtd", , "BID_SIZE", ".SPY150918P213")</f>
        <v>178</v>
      </c>
      <c r="P449">
        <f>RTD("tos.rtd", , "VOLUME", ".SPY150918P213")</f>
        <v>11</v>
      </c>
      <c r="Q449">
        <f>RTD("tos.rtd", , "OPEN_INT", ".SPY150918P213")</f>
        <v>827</v>
      </c>
      <c r="R449">
        <f>RTD("tos.rtd", , "DELTA", ".SPY150918P213")</f>
        <v>-0.54144999999999999</v>
      </c>
      <c r="S449">
        <f>RTD("tos.rtd", , "THETA", ".SPY150918P213")</f>
        <v>-2.9839999999999998E-2</v>
      </c>
      <c r="T449">
        <f>RTD("tos.rtd", , "GAMMA", ".SPY150918P213")</f>
        <v>2.2280000000000001E-2</v>
      </c>
      <c r="U449">
        <f>RTD("tos.rtd", , "VEGA", ".SPY150918P213")</f>
        <v>0.51183999999999996</v>
      </c>
      <c r="V449">
        <f>RTD("tos.rtd", , "RHO", ".SPY150918P213")</f>
        <v>-0.46400000000000002</v>
      </c>
    </row>
    <row r="450" spans="1:22" x14ac:dyDescent="0.25">
      <c r="A450" t="str">
        <f>RTD("tos.rtd", , "ASK", ".SPY150918C213.5")</f>
        <v>N/A</v>
      </c>
      <c r="B450" t="str">
        <f>RTD("tos.rtd", , "ASK_SIZE", ".SPY150918C213.5")</f>
        <v>N/A</v>
      </c>
      <c r="C450" t="str">
        <f>RTD("tos.rtd", , "BID", ".SPY150918C213.5")</f>
        <v>N/A</v>
      </c>
      <c r="D450" t="str">
        <f>RTD("tos.rtd", , "BID_SIZE", ".SPY150918C213.5")</f>
        <v>N/A</v>
      </c>
      <c r="E450" t="str">
        <f>RTD("tos.rtd", , "VOLUME", ".SPY150918C213.5")</f>
        <v>N/A</v>
      </c>
      <c r="F450" t="str">
        <f>RTD("tos.rtd", , "OPEN_INT", ".SPY150918C213.5")</f>
        <v>N/A</v>
      </c>
      <c r="G450" t="str">
        <f>RTD("tos.rtd", , "DELTA", ".SPY150918C213.5")</f>
        <v>N/A</v>
      </c>
      <c r="H450" t="str">
        <f>RTD("tos.rtd", , "THETA", ".SPY150918C213.5")</f>
        <v>N/A</v>
      </c>
      <c r="I450" t="str">
        <f>RTD("tos.rtd", , "GAMMA", ".SPY150918C213.5")</f>
        <v>N/A</v>
      </c>
      <c r="J450" t="str">
        <f>RTD("tos.rtd", , "VEGA", ".SPY150918C213.5")</f>
        <v>N/A</v>
      </c>
      <c r="K450" t="str">
        <f>RTD("tos.rtd", , "RHO", ".SPY150918C213.5")</f>
        <v>N/A</v>
      </c>
      <c r="L450" t="str">
        <f>RTD("tos.rtd", , "ASK", ".SPY150918P213.5")</f>
        <v>N/A</v>
      </c>
      <c r="M450" t="str">
        <f>RTD("tos.rtd", , "ASK_SIZE", ".SPY150918P213.5")</f>
        <v>N/A</v>
      </c>
      <c r="N450" t="str">
        <f>RTD("tos.rtd", , "BID", ".SPY150918P213.5")</f>
        <v>N/A</v>
      </c>
      <c r="O450" t="str">
        <f>RTD("tos.rtd", , "BID_SIZE", ".SPY150918P213.5")</f>
        <v>N/A</v>
      </c>
      <c r="P450" t="str">
        <f>RTD("tos.rtd", , "VOLUME", ".SPY150918P213.5")</f>
        <v>N/A</v>
      </c>
      <c r="Q450" t="str">
        <f>RTD("tos.rtd", , "OPEN_INT", ".SPY150918P213.5")</f>
        <v>N/A</v>
      </c>
      <c r="R450" t="str">
        <f>RTD("tos.rtd", , "DELTA", ".SPY150918P213.5")</f>
        <v>N/A</v>
      </c>
      <c r="S450" t="str">
        <f>RTD("tos.rtd", , "THETA", ".SPY150918P213.5")</f>
        <v>N/A</v>
      </c>
      <c r="T450" t="str">
        <f>RTD("tos.rtd", , "GAMMA", ".SPY150918P213.5")</f>
        <v>N/A</v>
      </c>
      <c r="U450" t="str">
        <f>RTD("tos.rtd", , "VEGA", ".SPY150918P213.5")</f>
        <v>N/A</v>
      </c>
      <c r="V450" t="str">
        <f>RTD("tos.rtd", , "RHO", ".SPY150918P213.5")</f>
        <v>N/A</v>
      </c>
    </row>
    <row r="451" spans="1:22" x14ac:dyDescent="0.25">
      <c r="A451">
        <f>RTD("tos.rtd", , "ASK", ".SPY150918C214")</f>
        <v>5.13</v>
      </c>
      <c r="B451">
        <f>RTD("tos.rtd", , "ASK_SIZE", ".SPY150918C214")</f>
        <v>160</v>
      </c>
      <c r="C451">
        <f>RTD("tos.rtd", , "BID", ".SPY150918C214")</f>
        <v>5.03</v>
      </c>
      <c r="D451">
        <f>RTD("tos.rtd", , "BID_SIZE", ".SPY150918C214")</f>
        <v>151</v>
      </c>
      <c r="E451">
        <f>RTD("tos.rtd", , "VOLUME", ".SPY150918C214")</f>
        <v>50</v>
      </c>
      <c r="F451">
        <f>RTD("tos.rtd", , "OPEN_INT", ".SPY150918C214")</f>
        <v>1644</v>
      </c>
      <c r="G451">
        <f>RTD("tos.rtd", , "DELTA", ".SPY150918C214")</f>
        <v>0.42997000000000002</v>
      </c>
      <c r="H451">
        <f>RTD("tos.rtd", , "THETA", ".SPY150918C214")</f>
        <v>-2.0400000000000001E-2</v>
      </c>
      <c r="I451">
        <f>RTD("tos.rtd", , "GAMMA", ".SPY150918C214")</f>
        <v>2.368E-2</v>
      </c>
      <c r="J451">
        <f>RTD("tos.rtd", , "VEGA", ".SPY150918C214")</f>
        <v>0.50729000000000002</v>
      </c>
      <c r="K451">
        <f>RTD("tos.rtd", , "RHO", ".SPY150918C214")</f>
        <v>0.30020999999999998</v>
      </c>
      <c r="L451">
        <f>RTD("tos.rtd", , "ASK", ".SPY150918P214")</f>
        <v>9.09</v>
      </c>
      <c r="M451">
        <f>RTD("tos.rtd", , "ASK_SIZE", ".SPY150918P214")</f>
        <v>160</v>
      </c>
      <c r="N451">
        <f>RTD("tos.rtd", , "BID", ".SPY150918P214")</f>
        <v>8.84</v>
      </c>
      <c r="O451">
        <f>RTD("tos.rtd", , "BID_SIZE", ".SPY150918P214")</f>
        <v>100</v>
      </c>
      <c r="P451">
        <f>RTD("tos.rtd", , "VOLUME", ".SPY150918P214")</f>
        <v>5</v>
      </c>
      <c r="Q451">
        <f>RTD("tos.rtd", , "OPEN_INT", ".SPY150918P214")</f>
        <v>1626</v>
      </c>
      <c r="R451">
        <f>RTD("tos.rtd", , "DELTA", ".SPY150918P214")</f>
        <v>-0.56523000000000001</v>
      </c>
      <c r="S451">
        <f>RTD("tos.rtd", , "THETA", ".SPY150918P214")</f>
        <v>-2.938E-2</v>
      </c>
      <c r="T451">
        <f>RTD("tos.rtd", , "GAMMA", ".SPY150918P214")</f>
        <v>2.249E-2</v>
      </c>
      <c r="U451">
        <f>RTD("tos.rtd", , "VEGA", ".SPY150918P214")</f>
        <v>0.50744</v>
      </c>
      <c r="V451">
        <f>RTD("tos.rtd", , "RHO", ".SPY150918P214")</f>
        <v>-0.48475000000000001</v>
      </c>
    </row>
    <row r="452" spans="1:22" x14ac:dyDescent="0.25">
      <c r="A452" t="str">
        <f>RTD("tos.rtd", , "ASK", ".SPY150918C214.5")</f>
        <v>N/A</v>
      </c>
      <c r="B452" t="str">
        <f>RTD("tos.rtd", , "ASK_SIZE", ".SPY150918C214.5")</f>
        <v>N/A</v>
      </c>
      <c r="C452" t="str">
        <f>RTD("tos.rtd", , "BID", ".SPY150918C214.5")</f>
        <v>N/A</v>
      </c>
      <c r="D452" t="str">
        <f>RTD("tos.rtd", , "BID_SIZE", ".SPY150918C214.5")</f>
        <v>N/A</v>
      </c>
      <c r="E452" t="str">
        <f>RTD("tos.rtd", , "VOLUME", ".SPY150918C214.5")</f>
        <v>N/A</v>
      </c>
      <c r="F452" t="str">
        <f>RTD("tos.rtd", , "OPEN_INT", ".SPY150918C214.5")</f>
        <v>N/A</v>
      </c>
      <c r="G452" t="str">
        <f>RTD("tos.rtd", , "DELTA", ".SPY150918C214.5")</f>
        <v>N/A</v>
      </c>
      <c r="H452" t="str">
        <f>RTD("tos.rtd", , "THETA", ".SPY150918C214.5")</f>
        <v>N/A</v>
      </c>
      <c r="I452" t="str">
        <f>RTD("tos.rtd", , "GAMMA", ".SPY150918C214.5")</f>
        <v>N/A</v>
      </c>
      <c r="J452" t="str">
        <f>RTD("tos.rtd", , "VEGA", ".SPY150918C214.5")</f>
        <v>N/A</v>
      </c>
      <c r="K452" t="str">
        <f>RTD("tos.rtd", , "RHO", ".SPY150918C214.5")</f>
        <v>N/A</v>
      </c>
      <c r="L452" t="str">
        <f>RTD("tos.rtd", , "ASK", ".SPY150918P214.5")</f>
        <v>N/A</v>
      </c>
      <c r="M452" t="str">
        <f>RTD("tos.rtd", , "ASK_SIZE", ".SPY150918P214.5")</f>
        <v>N/A</v>
      </c>
      <c r="N452" t="str">
        <f>RTD("tos.rtd", , "BID", ".SPY150918P214.5")</f>
        <v>N/A</v>
      </c>
      <c r="O452" t="str">
        <f>RTD("tos.rtd", , "BID_SIZE", ".SPY150918P214.5")</f>
        <v>N/A</v>
      </c>
      <c r="P452" t="str">
        <f>RTD("tos.rtd", , "VOLUME", ".SPY150918P214.5")</f>
        <v>N/A</v>
      </c>
      <c r="Q452" t="str">
        <f>RTD("tos.rtd", , "OPEN_INT", ".SPY150918P214.5")</f>
        <v>N/A</v>
      </c>
      <c r="R452" t="str">
        <f>RTD("tos.rtd", , "DELTA", ".SPY150918P214.5")</f>
        <v>N/A</v>
      </c>
      <c r="S452" t="str">
        <f>RTD("tos.rtd", , "THETA", ".SPY150918P214.5")</f>
        <v>N/A</v>
      </c>
      <c r="T452" t="str">
        <f>RTD("tos.rtd", , "GAMMA", ".SPY150918P214.5")</f>
        <v>N/A</v>
      </c>
      <c r="U452" t="str">
        <f>RTD("tos.rtd", , "VEGA", ".SPY150918P214.5")</f>
        <v>N/A</v>
      </c>
      <c r="V452" t="str">
        <f>RTD("tos.rtd", , "RHO", ".SPY150918P214.5")</f>
        <v>N/A</v>
      </c>
    </row>
    <row r="453" spans="1:22" x14ac:dyDescent="0.25">
      <c r="A453">
        <f>RTD("tos.rtd", , "ASK", ".SPY150918C215")</f>
        <v>4.58</v>
      </c>
      <c r="B453">
        <f>RTD("tos.rtd", , "ASK_SIZE", ".SPY150918C215")</f>
        <v>160</v>
      </c>
      <c r="C453">
        <f>RTD("tos.rtd", , "BID", ".SPY150918C215")</f>
        <v>4.5</v>
      </c>
      <c r="D453">
        <f>RTD("tos.rtd", , "BID_SIZE", ".SPY150918C215")</f>
        <v>1780</v>
      </c>
      <c r="E453">
        <f>RTD("tos.rtd", , "VOLUME", ".SPY150918C215")</f>
        <v>79</v>
      </c>
      <c r="F453">
        <f>RTD("tos.rtd", , "OPEN_INT", ".SPY150918C215")</f>
        <v>12324</v>
      </c>
      <c r="G453">
        <f>RTD("tos.rtd", , "DELTA", ".SPY150918C215")</f>
        <v>0.40400999999999998</v>
      </c>
      <c r="H453">
        <f>RTD("tos.rtd", , "THETA", ".SPY150918C215")</f>
        <v>-1.9730000000000001E-2</v>
      </c>
      <c r="I453">
        <f>RTD("tos.rtd", , "GAMMA", ".SPY150918C215")</f>
        <v>2.384E-2</v>
      </c>
      <c r="J453">
        <f>RTD("tos.rtd", , "VEGA", ".SPY150918C215")</f>
        <v>0.50053000000000003</v>
      </c>
      <c r="K453">
        <f>RTD("tos.rtd", , "RHO", ".SPY150918C215")</f>
        <v>0.28492000000000001</v>
      </c>
      <c r="L453">
        <f>RTD("tos.rtd", , "ASK", ".SPY150918P215")</f>
        <v>9.6300000000000008</v>
      </c>
      <c r="M453">
        <f>RTD("tos.rtd", , "ASK_SIZE", ".SPY150918P215")</f>
        <v>248</v>
      </c>
      <c r="N453">
        <f>RTD("tos.rtd", , "BID", ".SPY150918P215")</f>
        <v>9.41</v>
      </c>
      <c r="O453">
        <f>RTD("tos.rtd", , "BID_SIZE", ".SPY150918P215")</f>
        <v>10</v>
      </c>
      <c r="P453">
        <f>RTD("tos.rtd", , "VOLUME", ".SPY150918P215")</f>
        <v>28</v>
      </c>
      <c r="Q453">
        <f>RTD("tos.rtd", , "OPEN_INT", ".SPY150918P215")</f>
        <v>1332</v>
      </c>
      <c r="R453">
        <f>RTD("tos.rtd", , "DELTA", ".SPY150918P215")</f>
        <v>-0.58831</v>
      </c>
      <c r="S453">
        <f>RTD("tos.rtd", , "THETA", ".SPY150918P215")</f>
        <v>-2.9080000000000002E-2</v>
      </c>
      <c r="T453">
        <f>RTD("tos.rtd", , "GAMMA", ".SPY150918P215")</f>
        <v>2.2409999999999999E-2</v>
      </c>
      <c r="U453">
        <f>RTD("tos.rtd", , "VEGA", ".SPY150918P215")</f>
        <v>0.50138000000000005</v>
      </c>
      <c r="V453">
        <f>RTD("tos.rtd", , "RHO", ".SPY150918P215")</f>
        <v>-0.50527999999999995</v>
      </c>
    </row>
    <row r="454" spans="1:22" x14ac:dyDescent="0.25">
      <c r="A454" t="str">
        <f>RTD("tos.rtd", , "ASK", ".SPY150918C215.5")</f>
        <v>N/A</v>
      </c>
      <c r="B454" t="str">
        <f>RTD("tos.rtd", , "ASK_SIZE", ".SPY150918C215.5")</f>
        <v>N/A</v>
      </c>
      <c r="C454" t="str">
        <f>RTD("tos.rtd", , "BID", ".SPY150918C215.5")</f>
        <v>N/A</v>
      </c>
      <c r="D454" t="str">
        <f>RTD("tos.rtd", , "BID_SIZE", ".SPY150918C215.5")</f>
        <v>N/A</v>
      </c>
      <c r="E454" t="str">
        <f>RTD("tos.rtd", , "VOLUME", ".SPY150918C215.5")</f>
        <v>N/A</v>
      </c>
      <c r="F454" t="str">
        <f>RTD("tos.rtd", , "OPEN_INT", ".SPY150918C215.5")</f>
        <v>N/A</v>
      </c>
      <c r="G454" t="str">
        <f>RTD("tos.rtd", , "DELTA", ".SPY150918C215.5")</f>
        <v>N/A</v>
      </c>
      <c r="H454" t="str">
        <f>RTD("tos.rtd", , "THETA", ".SPY150918C215.5")</f>
        <v>N/A</v>
      </c>
      <c r="I454" t="str">
        <f>RTD("tos.rtd", , "GAMMA", ".SPY150918C215.5")</f>
        <v>N/A</v>
      </c>
      <c r="J454" t="str">
        <f>RTD("tos.rtd", , "VEGA", ".SPY150918C215.5")</f>
        <v>N/A</v>
      </c>
      <c r="K454" t="str">
        <f>RTD("tos.rtd", , "RHO", ".SPY150918C215.5")</f>
        <v>N/A</v>
      </c>
      <c r="L454" t="str">
        <f>RTD("tos.rtd", , "ASK", ".SPY150918P215.5")</f>
        <v>N/A</v>
      </c>
      <c r="M454" t="str">
        <f>RTD("tos.rtd", , "ASK_SIZE", ".SPY150918P215.5")</f>
        <v>N/A</v>
      </c>
      <c r="N454" t="str">
        <f>RTD("tos.rtd", , "BID", ".SPY150918P215.5")</f>
        <v>N/A</v>
      </c>
      <c r="O454" t="str">
        <f>RTD("tos.rtd", , "BID_SIZE", ".SPY150918P215.5")</f>
        <v>N/A</v>
      </c>
      <c r="P454" t="str">
        <f>RTD("tos.rtd", , "VOLUME", ".SPY150918P215.5")</f>
        <v>N/A</v>
      </c>
      <c r="Q454" t="str">
        <f>RTD("tos.rtd", , "OPEN_INT", ".SPY150918P215.5")</f>
        <v>N/A</v>
      </c>
      <c r="R454" t="str">
        <f>RTD("tos.rtd", , "DELTA", ".SPY150918P215.5")</f>
        <v>N/A</v>
      </c>
      <c r="S454" t="str">
        <f>RTD("tos.rtd", , "THETA", ".SPY150918P215.5")</f>
        <v>N/A</v>
      </c>
      <c r="T454" t="str">
        <f>RTD("tos.rtd", , "GAMMA", ".SPY150918P215.5")</f>
        <v>N/A</v>
      </c>
      <c r="U454" t="str">
        <f>RTD("tos.rtd", , "VEGA", ".SPY150918P215.5")</f>
        <v>N/A</v>
      </c>
      <c r="V454" t="str">
        <f>RTD("tos.rtd", , "RHO", ".SPY150918P215.5")</f>
        <v>N/A</v>
      </c>
    </row>
    <row r="455" spans="1:22" x14ac:dyDescent="0.25">
      <c r="A455">
        <f>RTD("tos.rtd", , "ASK", ".SPY150918C216")</f>
        <v>4.08</v>
      </c>
      <c r="B455">
        <f>RTD("tos.rtd", , "ASK_SIZE", ".SPY150918C216")</f>
        <v>160</v>
      </c>
      <c r="C455">
        <f>RTD("tos.rtd", , "BID", ".SPY150918C216")</f>
        <v>4.03</v>
      </c>
      <c r="D455">
        <f>RTD("tos.rtd", , "BID_SIZE", ".SPY150918C216")</f>
        <v>31</v>
      </c>
      <c r="E455">
        <f>RTD("tos.rtd", , "VOLUME", ".SPY150918C216")</f>
        <v>104</v>
      </c>
      <c r="F455">
        <f>RTD("tos.rtd", , "OPEN_INT", ".SPY150918C216")</f>
        <v>2964</v>
      </c>
      <c r="G455">
        <f>RTD("tos.rtd", , "DELTA", ".SPY150918C216")</f>
        <v>0.37801000000000001</v>
      </c>
      <c r="H455">
        <f>RTD("tos.rtd", , "THETA", ".SPY150918C216")</f>
        <v>-1.9060000000000001E-2</v>
      </c>
      <c r="I455">
        <f>RTD("tos.rtd", , "GAMMA", ".SPY150918C216")</f>
        <v>2.3810000000000001E-2</v>
      </c>
      <c r="J455">
        <f>RTD("tos.rtd", , "VEGA", ".SPY150918C216")</f>
        <v>0.49151</v>
      </c>
      <c r="K455">
        <f>RTD("tos.rtd", , "RHO", ".SPY150918C216")</f>
        <v>0.26910000000000001</v>
      </c>
      <c r="L455">
        <f>RTD("tos.rtd", , "ASK", ".SPY150918P216")</f>
        <v>10.16</v>
      </c>
      <c r="M455">
        <f>RTD("tos.rtd", , "ASK_SIZE", ".SPY150918P216")</f>
        <v>167</v>
      </c>
      <c r="N455">
        <f>RTD("tos.rtd", , "BID", ".SPY150918P216")</f>
        <v>9.83</v>
      </c>
      <c r="O455">
        <f>RTD("tos.rtd", , "BID_SIZE", ".SPY150918P216")</f>
        <v>201</v>
      </c>
      <c r="P455">
        <f>RTD("tos.rtd", , "VOLUME", ".SPY150918P216")</f>
        <v>1</v>
      </c>
      <c r="Q455">
        <f>RTD("tos.rtd", , "OPEN_INT", ".SPY150918P216")</f>
        <v>507</v>
      </c>
      <c r="R455">
        <f>RTD("tos.rtd", , "DELTA", ".SPY150918P216")</f>
        <v>-0.61365000000000003</v>
      </c>
      <c r="S455">
        <f>RTD("tos.rtd", , "THETA", ".SPY150918P216")</f>
        <v>-2.8299999999999999E-2</v>
      </c>
      <c r="T455">
        <f>RTD("tos.rtd", , "GAMMA", ".SPY150918P216")</f>
        <v>2.257E-2</v>
      </c>
      <c r="U455">
        <f>RTD("tos.rtd", , "VEGA", ".SPY150918P216")</f>
        <v>0.49267</v>
      </c>
      <c r="V455">
        <f>RTD("tos.rtd", , "RHO", ".SPY150918P216")</f>
        <v>-0.52732000000000001</v>
      </c>
    </row>
    <row r="456" spans="1:22" x14ac:dyDescent="0.25">
      <c r="A456" t="str">
        <f>RTD("tos.rtd", , "ASK", ".SPY150918C216.5")</f>
        <v>N/A</v>
      </c>
      <c r="B456" t="str">
        <f>RTD("tos.rtd", , "ASK_SIZE", ".SPY150918C216.5")</f>
        <v>N/A</v>
      </c>
      <c r="C456" t="str">
        <f>RTD("tos.rtd", , "BID", ".SPY150918C216.5")</f>
        <v>N/A</v>
      </c>
      <c r="D456" t="str">
        <f>RTD("tos.rtd", , "BID_SIZE", ".SPY150918C216.5")</f>
        <v>N/A</v>
      </c>
      <c r="E456" t="str">
        <f>RTD("tos.rtd", , "VOLUME", ".SPY150918C216.5")</f>
        <v>N/A</v>
      </c>
      <c r="F456" t="str">
        <f>RTD("tos.rtd", , "OPEN_INT", ".SPY150918C216.5")</f>
        <v>N/A</v>
      </c>
      <c r="G456" t="str">
        <f>RTD("tos.rtd", , "DELTA", ".SPY150918C216.5")</f>
        <v>N/A</v>
      </c>
      <c r="H456" t="str">
        <f>RTD("tos.rtd", , "THETA", ".SPY150918C216.5")</f>
        <v>N/A</v>
      </c>
      <c r="I456" t="str">
        <f>RTD("tos.rtd", , "GAMMA", ".SPY150918C216.5")</f>
        <v>N/A</v>
      </c>
      <c r="J456" t="str">
        <f>RTD("tos.rtd", , "VEGA", ".SPY150918C216.5")</f>
        <v>N/A</v>
      </c>
      <c r="K456" t="str">
        <f>RTD("tos.rtd", , "RHO", ".SPY150918C216.5")</f>
        <v>N/A</v>
      </c>
      <c r="L456" t="str">
        <f>RTD("tos.rtd", , "ASK", ".SPY150918P216.5")</f>
        <v>N/A</v>
      </c>
      <c r="M456" t="str">
        <f>RTD("tos.rtd", , "ASK_SIZE", ".SPY150918P216.5")</f>
        <v>N/A</v>
      </c>
      <c r="N456" t="str">
        <f>RTD("tos.rtd", , "BID", ".SPY150918P216.5")</f>
        <v>N/A</v>
      </c>
      <c r="O456" t="str">
        <f>RTD("tos.rtd", , "BID_SIZE", ".SPY150918P216.5")</f>
        <v>N/A</v>
      </c>
      <c r="P456" t="str">
        <f>RTD("tos.rtd", , "VOLUME", ".SPY150918P216.5")</f>
        <v>N/A</v>
      </c>
      <c r="Q456" t="str">
        <f>RTD("tos.rtd", , "OPEN_INT", ".SPY150918P216.5")</f>
        <v>N/A</v>
      </c>
      <c r="R456" t="str">
        <f>RTD("tos.rtd", , "DELTA", ".SPY150918P216.5")</f>
        <v>N/A</v>
      </c>
      <c r="S456" t="str">
        <f>RTD("tos.rtd", , "THETA", ".SPY150918P216.5")</f>
        <v>N/A</v>
      </c>
      <c r="T456" t="str">
        <f>RTD("tos.rtd", , "GAMMA", ".SPY150918P216.5")</f>
        <v>N/A</v>
      </c>
      <c r="U456" t="str">
        <f>RTD("tos.rtd", , "VEGA", ".SPY150918P216.5")</f>
        <v>N/A</v>
      </c>
      <c r="V456" t="str">
        <f>RTD("tos.rtd", , "RHO", ".SPY150918P216.5")</f>
        <v>N/A</v>
      </c>
    </row>
    <row r="457" spans="1:22" x14ac:dyDescent="0.25">
      <c r="A457">
        <f>RTD("tos.rtd", , "ASK", ".SPY150918C217")</f>
        <v>3.6</v>
      </c>
      <c r="B457">
        <f>RTD("tos.rtd", , "ASK_SIZE", ".SPY150918C217")</f>
        <v>100</v>
      </c>
      <c r="C457">
        <f>RTD("tos.rtd", , "BID", ".SPY150918C217")</f>
        <v>3.55</v>
      </c>
      <c r="D457">
        <f>RTD("tos.rtd", , "BID_SIZE", ".SPY150918C217")</f>
        <v>34</v>
      </c>
      <c r="E457">
        <f>RTD("tos.rtd", , "VOLUME", ".SPY150918C217")</f>
        <v>144</v>
      </c>
      <c r="F457">
        <f>RTD("tos.rtd", , "OPEN_INT", ".SPY150918C217")</f>
        <v>3244</v>
      </c>
      <c r="G457">
        <f>RTD("tos.rtd", , "DELTA", ".SPY150918C217")</f>
        <v>0.35106999999999999</v>
      </c>
      <c r="H457">
        <f>RTD("tos.rtd", , "THETA", ".SPY150918C217")</f>
        <v>-1.822E-2</v>
      </c>
      <c r="I457">
        <f>RTD("tos.rtd", , "GAMMA", ".SPY150918C217")</f>
        <v>2.3740000000000001E-2</v>
      </c>
      <c r="J457">
        <f>RTD("tos.rtd", , "VEGA", ".SPY150918C217")</f>
        <v>0.47972999999999999</v>
      </c>
      <c r="K457">
        <f>RTD("tos.rtd", , "RHO", ".SPY150918C217")</f>
        <v>0.25219999999999998</v>
      </c>
      <c r="L457">
        <f>RTD("tos.rtd", , "ASK", ".SPY150918P217")</f>
        <v>10.71</v>
      </c>
      <c r="M457">
        <f>RTD("tos.rtd", , "ASK_SIZE", ".SPY150918P217")</f>
        <v>193</v>
      </c>
      <c r="N457">
        <f>RTD("tos.rtd", , "BID", ".SPY150918P217")</f>
        <v>10.38</v>
      </c>
      <c r="O457">
        <f>RTD("tos.rtd", , "BID_SIZE", ".SPY150918P217")</f>
        <v>180</v>
      </c>
      <c r="P457">
        <f>RTD("tos.rtd", , "VOLUME", ".SPY150918P217")</f>
        <v>0</v>
      </c>
      <c r="Q457">
        <f>RTD("tos.rtd", , "OPEN_INT", ".SPY150918P217")</f>
        <v>298</v>
      </c>
      <c r="R457">
        <f>RTD("tos.rtd", , "DELTA", ".SPY150918P217")</f>
        <v>-0.63841999999999999</v>
      </c>
      <c r="S457">
        <f>RTD("tos.rtd", , "THETA", ".SPY150918P217")</f>
        <v>-2.7619999999999999E-2</v>
      </c>
      <c r="T457">
        <f>RTD("tos.rtd", , "GAMMA", ".SPY150918P217")</f>
        <v>2.248E-2</v>
      </c>
      <c r="U457">
        <f>RTD("tos.rtd", , "VEGA", ".SPY150918P217")</f>
        <v>0.48204999999999998</v>
      </c>
      <c r="V457">
        <f>RTD("tos.rtd", , "RHO", ".SPY150918P217")</f>
        <v>-0.54918</v>
      </c>
    </row>
    <row r="458" spans="1:22" x14ac:dyDescent="0.25">
      <c r="A458" t="str">
        <f>RTD("tos.rtd", , "ASK", ".SPY150918C217.5")</f>
        <v>N/A</v>
      </c>
      <c r="B458" t="str">
        <f>RTD("tos.rtd", , "ASK_SIZE", ".SPY150918C217.5")</f>
        <v>N/A</v>
      </c>
      <c r="C458" t="str">
        <f>RTD("tos.rtd", , "BID", ".SPY150918C217.5")</f>
        <v>N/A</v>
      </c>
      <c r="D458" t="str">
        <f>RTD("tos.rtd", , "BID_SIZE", ".SPY150918C217.5")</f>
        <v>N/A</v>
      </c>
      <c r="E458" t="str">
        <f>RTD("tos.rtd", , "VOLUME", ".SPY150918C217.5")</f>
        <v>N/A</v>
      </c>
      <c r="F458" t="str">
        <f>RTD("tos.rtd", , "OPEN_INT", ".SPY150918C217.5")</f>
        <v>N/A</v>
      </c>
      <c r="G458" t="str">
        <f>RTD("tos.rtd", , "DELTA", ".SPY150918C217.5")</f>
        <v>N/A</v>
      </c>
      <c r="H458" t="str">
        <f>RTD("tos.rtd", , "THETA", ".SPY150918C217.5")</f>
        <v>N/A</v>
      </c>
      <c r="I458" t="str">
        <f>RTD("tos.rtd", , "GAMMA", ".SPY150918C217.5")</f>
        <v>N/A</v>
      </c>
      <c r="J458" t="str">
        <f>RTD("tos.rtd", , "VEGA", ".SPY150918C217.5")</f>
        <v>N/A</v>
      </c>
      <c r="K458" t="str">
        <f>RTD("tos.rtd", , "RHO", ".SPY150918C217.5")</f>
        <v>N/A</v>
      </c>
      <c r="L458" t="str">
        <f>RTD("tos.rtd", , "ASK", ".SPY150918P217.5")</f>
        <v>N/A</v>
      </c>
      <c r="M458" t="str">
        <f>RTD("tos.rtd", , "ASK_SIZE", ".SPY150918P217.5")</f>
        <v>N/A</v>
      </c>
      <c r="N458" t="str">
        <f>RTD("tos.rtd", , "BID", ".SPY150918P217.5")</f>
        <v>N/A</v>
      </c>
      <c r="O458" t="str">
        <f>RTD("tos.rtd", , "BID_SIZE", ".SPY150918P217.5")</f>
        <v>N/A</v>
      </c>
      <c r="P458" t="str">
        <f>RTD("tos.rtd", , "VOLUME", ".SPY150918P217.5")</f>
        <v>N/A</v>
      </c>
      <c r="Q458" t="str">
        <f>RTD("tos.rtd", , "OPEN_INT", ".SPY150918P217.5")</f>
        <v>N/A</v>
      </c>
      <c r="R458" t="str">
        <f>RTD("tos.rtd", , "DELTA", ".SPY150918P217.5")</f>
        <v>N/A</v>
      </c>
      <c r="S458" t="str">
        <f>RTD("tos.rtd", , "THETA", ".SPY150918P217.5")</f>
        <v>N/A</v>
      </c>
      <c r="T458" t="str">
        <f>RTD("tos.rtd", , "GAMMA", ".SPY150918P217.5")</f>
        <v>N/A</v>
      </c>
      <c r="U458" t="str">
        <f>RTD("tos.rtd", , "VEGA", ".SPY150918P217.5")</f>
        <v>N/A</v>
      </c>
      <c r="V458" t="str">
        <f>RTD("tos.rtd", , "RHO", ".SPY150918P217.5")</f>
        <v>N/A</v>
      </c>
    </row>
    <row r="459" spans="1:22" x14ac:dyDescent="0.25">
      <c r="A459">
        <f>RTD("tos.rtd", , "ASK", ".SPY150918C218")</f>
        <v>3.16</v>
      </c>
      <c r="B459">
        <f>RTD("tos.rtd", , "ASK_SIZE", ".SPY150918C218")</f>
        <v>100</v>
      </c>
      <c r="C459">
        <f>RTD("tos.rtd", , "BID", ".SPY150918C218")</f>
        <v>3.11</v>
      </c>
      <c r="D459">
        <f>RTD("tos.rtd", , "BID_SIZE", ".SPY150918C218")</f>
        <v>38</v>
      </c>
      <c r="E459">
        <f>RTD("tos.rtd", , "VOLUME", ".SPY150918C218")</f>
        <v>191</v>
      </c>
      <c r="F459">
        <f>RTD("tos.rtd", , "OPEN_INT", ".SPY150918C218")</f>
        <v>1548</v>
      </c>
      <c r="G459">
        <f>RTD("tos.rtd", , "DELTA", ".SPY150918C218")</f>
        <v>0.32406000000000001</v>
      </c>
      <c r="H459">
        <f>RTD("tos.rtd", , "THETA", ".SPY150918C218")</f>
        <v>-1.7340000000000001E-2</v>
      </c>
      <c r="I459">
        <f>RTD("tos.rtd", , "GAMMA", ".SPY150918C218")</f>
        <v>2.35E-2</v>
      </c>
      <c r="J459">
        <f>RTD("tos.rtd", , "VEGA", ".SPY150918C218")</f>
        <v>0.46539000000000003</v>
      </c>
      <c r="K459">
        <f>RTD("tos.rtd", , "RHO", ".SPY150918C218")</f>
        <v>0.23480000000000001</v>
      </c>
      <c r="L459">
        <f>RTD("tos.rtd", , "ASK", ".SPY150918P218")</f>
        <v>11.31</v>
      </c>
      <c r="M459">
        <f>RTD("tos.rtd", , "ASK_SIZE", ".SPY150918P218")</f>
        <v>228</v>
      </c>
      <c r="N459">
        <f>RTD("tos.rtd", , "BID", ".SPY150918P218")</f>
        <v>10.96</v>
      </c>
      <c r="O459">
        <f>RTD("tos.rtd", , "BID_SIZE", ".SPY150918P218")</f>
        <v>193</v>
      </c>
      <c r="P459">
        <f>RTD("tos.rtd", , "VOLUME", ".SPY150918P218")</f>
        <v>0</v>
      </c>
      <c r="Q459">
        <f>RTD("tos.rtd", , "OPEN_INT", ".SPY150918P218")</f>
        <v>859</v>
      </c>
      <c r="R459">
        <f>RTD("tos.rtd", , "DELTA", ".SPY150918P218")</f>
        <v>-0.66276999999999997</v>
      </c>
      <c r="S459">
        <f>RTD("tos.rtd", , "THETA", ".SPY150918P218")</f>
        <v>-2.6929999999999999E-2</v>
      </c>
      <c r="T459">
        <f>RTD("tos.rtd", , "GAMMA", ".SPY150918P218")</f>
        <v>2.222E-2</v>
      </c>
      <c r="U459">
        <f>RTD("tos.rtd", , "VEGA", ".SPY150918P218")</f>
        <v>0.46951999999999999</v>
      </c>
      <c r="V459">
        <f>RTD("tos.rtd", , "RHO", ".SPY150918P218")</f>
        <v>-0.57088000000000005</v>
      </c>
    </row>
    <row r="460" spans="1:22" x14ac:dyDescent="0.25">
      <c r="A460" t="str">
        <f>RTD("tos.rtd", , "ASK", ".SPY150918C218.5")</f>
        <v>N/A</v>
      </c>
      <c r="B460" t="str">
        <f>RTD("tos.rtd", , "ASK_SIZE", ".SPY150918C218.5")</f>
        <v>N/A</v>
      </c>
      <c r="C460" t="str">
        <f>RTD("tos.rtd", , "BID", ".SPY150918C218.5")</f>
        <v>N/A</v>
      </c>
      <c r="D460" t="str">
        <f>RTD("tos.rtd", , "BID_SIZE", ".SPY150918C218.5")</f>
        <v>N/A</v>
      </c>
      <c r="E460" t="str">
        <f>RTD("tos.rtd", , "VOLUME", ".SPY150918C218.5")</f>
        <v>N/A</v>
      </c>
      <c r="F460" t="str">
        <f>RTD("tos.rtd", , "OPEN_INT", ".SPY150918C218.5")</f>
        <v>N/A</v>
      </c>
      <c r="G460" t="str">
        <f>RTD("tos.rtd", , "DELTA", ".SPY150918C218.5")</f>
        <v>N/A</v>
      </c>
      <c r="H460" t="str">
        <f>RTD("tos.rtd", , "THETA", ".SPY150918C218.5")</f>
        <v>N/A</v>
      </c>
      <c r="I460" t="str">
        <f>RTD("tos.rtd", , "GAMMA", ".SPY150918C218.5")</f>
        <v>N/A</v>
      </c>
      <c r="J460" t="str">
        <f>RTD("tos.rtd", , "VEGA", ".SPY150918C218.5")</f>
        <v>N/A</v>
      </c>
      <c r="K460" t="str">
        <f>RTD("tos.rtd", , "RHO", ".SPY150918C218.5")</f>
        <v>N/A</v>
      </c>
      <c r="L460" t="str">
        <f>RTD("tos.rtd", , "ASK", ".SPY150918P218.5")</f>
        <v>N/A</v>
      </c>
      <c r="M460" t="str">
        <f>RTD("tos.rtd", , "ASK_SIZE", ".SPY150918P218.5")</f>
        <v>N/A</v>
      </c>
      <c r="N460" t="str">
        <f>RTD("tos.rtd", , "BID", ".SPY150918P218.5")</f>
        <v>N/A</v>
      </c>
      <c r="O460" t="str">
        <f>RTD("tos.rtd", , "BID_SIZE", ".SPY150918P218.5")</f>
        <v>N/A</v>
      </c>
      <c r="P460" t="str">
        <f>RTD("tos.rtd", , "VOLUME", ".SPY150918P218.5")</f>
        <v>N/A</v>
      </c>
      <c r="Q460" t="str">
        <f>RTD("tos.rtd", , "OPEN_INT", ".SPY150918P218.5")</f>
        <v>N/A</v>
      </c>
      <c r="R460" t="str">
        <f>RTD("tos.rtd", , "DELTA", ".SPY150918P218.5")</f>
        <v>N/A</v>
      </c>
      <c r="S460" t="str">
        <f>RTD("tos.rtd", , "THETA", ".SPY150918P218.5")</f>
        <v>N/A</v>
      </c>
      <c r="T460" t="str">
        <f>RTD("tos.rtd", , "GAMMA", ".SPY150918P218.5")</f>
        <v>N/A</v>
      </c>
      <c r="U460" t="str">
        <f>RTD("tos.rtd", , "VEGA", ".SPY150918P218.5")</f>
        <v>N/A</v>
      </c>
      <c r="V460" t="str">
        <f>RTD("tos.rtd", , "RHO", ".SPY150918P218.5")</f>
        <v>N/A</v>
      </c>
    </row>
    <row r="461" spans="1:22" x14ac:dyDescent="0.25">
      <c r="A461">
        <f>RTD("tos.rtd", , "ASK", ".SPY150918C219")</f>
        <v>2.75</v>
      </c>
      <c r="B461">
        <f>RTD("tos.rtd", , "ASK_SIZE", ".SPY150918C219")</f>
        <v>145</v>
      </c>
      <c r="C461">
        <f>RTD("tos.rtd", , "BID", ".SPY150918C219")</f>
        <v>2.7</v>
      </c>
      <c r="D461">
        <f>RTD("tos.rtd", , "BID_SIZE", ".SPY150918C219")</f>
        <v>40</v>
      </c>
      <c r="E461">
        <f>RTD("tos.rtd", , "VOLUME", ".SPY150918C219")</f>
        <v>161</v>
      </c>
      <c r="F461">
        <f>RTD("tos.rtd", , "OPEN_INT", ".SPY150918C219")</f>
        <v>3598</v>
      </c>
      <c r="G461">
        <f>RTD("tos.rtd", , "DELTA", ".SPY150918C219")</f>
        <v>0.29696</v>
      </c>
      <c r="H461">
        <f>RTD("tos.rtd", , "THETA", ".SPY150918C219")</f>
        <v>-1.6369999999999999E-2</v>
      </c>
      <c r="I461">
        <f>RTD("tos.rtd", , "GAMMA", ".SPY150918C219")</f>
        <v>2.3109999999999999E-2</v>
      </c>
      <c r="J461">
        <f>RTD("tos.rtd", , "VEGA", ".SPY150918C219")</f>
        <v>0.44835000000000003</v>
      </c>
      <c r="K461">
        <f>RTD("tos.rtd", , "RHO", ".SPY150918C219")</f>
        <v>0.21690999999999999</v>
      </c>
      <c r="L461">
        <f>RTD("tos.rtd", , "ASK", ".SPY150918P219")</f>
        <v>11.92</v>
      </c>
      <c r="M461">
        <f>RTD("tos.rtd", , "ASK_SIZE", ".SPY150918P219")</f>
        <v>198</v>
      </c>
      <c r="N461">
        <f>RTD("tos.rtd", , "BID", ".SPY150918P219")</f>
        <v>11.58</v>
      </c>
      <c r="O461">
        <f>RTD("tos.rtd", , "BID_SIZE", ".SPY150918P219")</f>
        <v>180</v>
      </c>
      <c r="P461">
        <f>RTD("tos.rtd", , "VOLUME", ".SPY150918P219")</f>
        <v>0</v>
      </c>
      <c r="Q461">
        <f>RTD("tos.rtd", , "OPEN_INT", ".SPY150918P219")</f>
        <v>796</v>
      </c>
      <c r="R461">
        <f>RTD("tos.rtd", , "DELTA", ".SPY150918P219")</f>
        <v>-0.68718999999999997</v>
      </c>
      <c r="S461">
        <f>RTD("tos.rtd", , "THETA", ".SPY150918P219")</f>
        <v>-2.615E-2</v>
      </c>
      <c r="T461">
        <f>RTD("tos.rtd", , "GAMMA", ".SPY150918P219")</f>
        <v>2.1870000000000001E-2</v>
      </c>
      <c r="U461">
        <f>RTD("tos.rtd", , "VEGA", ".SPY150918P219")</f>
        <v>0.45483000000000001</v>
      </c>
      <c r="V461">
        <f>RTD("tos.rtd", , "RHO", ".SPY150918P219")</f>
        <v>-0.59270999999999996</v>
      </c>
    </row>
    <row r="462" spans="1:22" x14ac:dyDescent="0.25">
      <c r="A462" t="str">
        <f>RTD("tos.rtd", , "ASK", ".SPY150918C219.5")</f>
        <v>N/A</v>
      </c>
      <c r="B462" t="str">
        <f>RTD("tos.rtd", , "ASK_SIZE", ".SPY150918C219.5")</f>
        <v>N/A</v>
      </c>
      <c r="C462" t="str">
        <f>RTD("tos.rtd", , "BID", ".SPY150918C219.5")</f>
        <v>N/A</v>
      </c>
      <c r="D462" t="str">
        <f>RTD("tos.rtd", , "BID_SIZE", ".SPY150918C219.5")</f>
        <v>N/A</v>
      </c>
      <c r="E462" t="str">
        <f>RTD("tos.rtd", , "VOLUME", ".SPY150918C219.5")</f>
        <v>N/A</v>
      </c>
      <c r="F462" t="str">
        <f>RTD("tos.rtd", , "OPEN_INT", ".SPY150918C219.5")</f>
        <v>N/A</v>
      </c>
      <c r="G462" t="str">
        <f>RTD("tos.rtd", , "DELTA", ".SPY150918C219.5")</f>
        <v>N/A</v>
      </c>
      <c r="H462" t="str">
        <f>RTD("tos.rtd", , "THETA", ".SPY150918C219.5")</f>
        <v>N/A</v>
      </c>
      <c r="I462" t="str">
        <f>RTD("tos.rtd", , "GAMMA", ".SPY150918C219.5")</f>
        <v>N/A</v>
      </c>
      <c r="J462" t="str">
        <f>RTD("tos.rtd", , "VEGA", ".SPY150918C219.5")</f>
        <v>N/A</v>
      </c>
      <c r="K462" t="str">
        <f>RTD("tos.rtd", , "RHO", ".SPY150918C219.5")</f>
        <v>N/A</v>
      </c>
      <c r="L462" t="str">
        <f>RTD("tos.rtd", , "ASK", ".SPY150918P219.5")</f>
        <v>N/A</v>
      </c>
      <c r="M462" t="str">
        <f>RTD("tos.rtd", , "ASK_SIZE", ".SPY150918P219.5")</f>
        <v>N/A</v>
      </c>
      <c r="N462" t="str">
        <f>RTD("tos.rtd", , "BID", ".SPY150918P219.5")</f>
        <v>N/A</v>
      </c>
      <c r="O462" t="str">
        <f>RTD("tos.rtd", , "BID_SIZE", ".SPY150918P219.5")</f>
        <v>N/A</v>
      </c>
      <c r="P462" t="str">
        <f>RTD("tos.rtd", , "VOLUME", ".SPY150918P219.5")</f>
        <v>N/A</v>
      </c>
      <c r="Q462" t="str">
        <f>RTD("tos.rtd", , "OPEN_INT", ".SPY150918P219.5")</f>
        <v>N/A</v>
      </c>
      <c r="R462" t="str">
        <f>RTD("tos.rtd", , "DELTA", ".SPY150918P219.5")</f>
        <v>N/A</v>
      </c>
      <c r="S462" t="str">
        <f>RTD("tos.rtd", , "THETA", ".SPY150918P219.5")</f>
        <v>N/A</v>
      </c>
      <c r="T462" t="str">
        <f>RTD("tos.rtd", , "GAMMA", ".SPY150918P219.5")</f>
        <v>N/A</v>
      </c>
      <c r="U462" t="str">
        <f>RTD("tos.rtd", , "VEGA", ".SPY150918P219.5")</f>
        <v>N/A</v>
      </c>
      <c r="V462" t="str">
        <f>RTD("tos.rtd", , "RHO", ".SPY150918P219.5")</f>
        <v>N/A</v>
      </c>
    </row>
    <row r="463" spans="1:22" x14ac:dyDescent="0.25">
      <c r="A463" t="s">
        <v>11</v>
      </c>
      <c r="B463">
        <v>40</v>
      </c>
    </row>
    <row r="464" spans="1:22" x14ac:dyDescent="0.25">
      <c r="A464">
        <f>RTD("tos.rtd", ,"LAST", "SPY")</f>
        <v>211.32</v>
      </c>
    </row>
    <row r="465" spans="1:22" x14ac:dyDescent="0.25">
      <c r="A465">
        <f>RTD("tos.rtd", , "ASK", ".SPY150930C200")</f>
        <v>15.04</v>
      </c>
      <c r="B465">
        <f>RTD("tos.rtd", , "ASK_SIZE", ".SPY150930C200")</f>
        <v>146</v>
      </c>
      <c r="C465">
        <f>RTD("tos.rtd", , "BID", ".SPY150930C200")</f>
        <v>14.78</v>
      </c>
      <c r="D465">
        <f>RTD("tos.rtd", , "BID_SIZE", ".SPY150930C200")</f>
        <v>303</v>
      </c>
      <c r="E465">
        <f>RTD("tos.rtd", , "VOLUME", ".SPY150930C200")</f>
        <v>0</v>
      </c>
      <c r="F465">
        <f>RTD("tos.rtd", , "OPEN_INT", ".SPY150930C200")</f>
        <v>2608</v>
      </c>
      <c r="G465">
        <f>RTD("tos.rtd", , "DELTA", ".SPY150930C200")</f>
        <v>0.70533999999999997</v>
      </c>
      <c r="H465">
        <f>RTD("tos.rtd", , "THETA", ".SPY150930C200")</f>
        <v>-2.0879999999999999E-2</v>
      </c>
      <c r="I465">
        <f>RTD("tos.rtd", , "GAMMA", ".SPY150930C200")</f>
        <v>1.627E-2</v>
      </c>
      <c r="J465">
        <f>RTD("tos.rtd", , "VEGA", ".SPY150930C200")</f>
        <v>0.46049000000000001</v>
      </c>
      <c r="K465">
        <f>RTD("tos.rtd", , "RHO", ".SPY150930C200")</f>
        <v>0.43924999999999997</v>
      </c>
      <c r="L465">
        <f>RTD("tos.rtd", , "ASK", ".SPY150930P200")</f>
        <v>4.74</v>
      </c>
      <c r="M465">
        <f>RTD("tos.rtd", , "ASK_SIZE", ".SPY150930P200")</f>
        <v>2393</v>
      </c>
      <c r="N465">
        <f>RTD("tos.rtd", , "BID", ".SPY150930P200")</f>
        <v>4.63</v>
      </c>
      <c r="O465">
        <f>RTD("tos.rtd", , "BID_SIZE", ".SPY150930P200")</f>
        <v>160</v>
      </c>
      <c r="P465">
        <f>RTD("tos.rtd", , "VOLUME", ".SPY150930P200")</f>
        <v>168</v>
      </c>
      <c r="Q465">
        <f>RTD("tos.rtd", , "OPEN_INT", ".SPY150930P200")</f>
        <v>3779</v>
      </c>
      <c r="R465">
        <f>RTD("tos.rtd", , "DELTA", ".SPY150930P200")</f>
        <v>-0.30231999999999998</v>
      </c>
      <c r="S465">
        <f>RTD("tos.rtd", , "THETA", ".SPY150930P200")</f>
        <v>-2.912E-2</v>
      </c>
      <c r="T465">
        <f>RTD("tos.rtd", , "GAMMA", ".SPY150930P200")</f>
        <v>1.5180000000000001E-2</v>
      </c>
      <c r="U465">
        <f>RTD("tos.rtd", , "VEGA", ".SPY150930P200")</f>
        <v>0.47126000000000001</v>
      </c>
      <c r="V465">
        <f>RTD("tos.rtd", , "RHO", ".SPY150930P200")</f>
        <v>-0.28122999999999998</v>
      </c>
    </row>
    <row r="466" spans="1:22" x14ac:dyDescent="0.25">
      <c r="A466" t="str">
        <f>RTD("tos.rtd", , "ASK", ".SPY150930C200.5")</f>
        <v>N/A</v>
      </c>
      <c r="B466" t="str">
        <f>RTD("tos.rtd", , "ASK_SIZE", ".SPY150930C200.5")</f>
        <v>N/A</v>
      </c>
      <c r="C466" t="str">
        <f>RTD("tos.rtd", , "BID", ".SPY150930C200.5")</f>
        <v>N/A</v>
      </c>
      <c r="D466" t="str">
        <f>RTD("tos.rtd", , "BID_SIZE", ".SPY150930C200.5")</f>
        <v>N/A</v>
      </c>
      <c r="E466" t="str">
        <f>RTD("tos.rtd", , "VOLUME", ".SPY150930C200.5")</f>
        <v>N/A</v>
      </c>
      <c r="F466" t="str">
        <f>RTD("tos.rtd", , "OPEN_INT", ".SPY150930C200.5")</f>
        <v>N/A</v>
      </c>
      <c r="G466" t="str">
        <f>RTD("tos.rtd", , "DELTA", ".SPY150930C200.5")</f>
        <v>N/A</v>
      </c>
      <c r="H466" t="str">
        <f>RTD("tos.rtd", , "THETA", ".SPY150930C200.5")</f>
        <v>N/A</v>
      </c>
      <c r="I466" t="str">
        <f>RTD("tos.rtd", , "GAMMA", ".SPY150930C200.5")</f>
        <v>N/A</v>
      </c>
      <c r="J466" t="str">
        <f>RTD("tos.rtd", , "VEGA", ".SPY150930C200.5")</f>
        <v>N/A</v>
      </c>
      <c r="K466" t="str">
        <f>RTD("tos.rtd", , "RHO", ".SPY150930C200.5")</f>
        <v>N/A</v>
      </c>
      <c r="L466" t="str">
        <f>RTD("tos.rtd", , "ASK", ".SPY150930P200.5")</f>
        <v>N/A</v>
      </c>
      <c r="M466" t="str">
        <f>RTD("tos.rtd", , "ASK_SIZE", ".SPY150930P200.5")</f>
        <v>N/A</v>
      </c>
      <c r="N466" t="str">
        <f>RTD("tos.rtd", , "BID", ".SPY150930P200.5")</f>
        <v>N/A</v>
      </c>
      <c r="O466" t="str">
        <f>RTD("tos.rtd", , "BID_SIZE", ".SPY150930P200.5")</f>
        <v>N/A</v>
      </c>
      <c r="P466" t="str">
        <f>RTD("tos.rtd", , "VOLUME", ".SPY150930P200.5")</f>
        <v>N/A</v>
      </c>
      <c r="Q466" t="str">
        <f>RTD("tos.rtd", , "OPEN_INT", ".SPY150930P200.5")</f>
        <v>N/A</v>
      </c>
      <c r="R466" t="str">
        <f>RTD("tos.rtd", , "DELTA", ".SPY150930P200.5")</f>
        <v>N/A</v>
      </c>
      <c r="S466" t="str">
        <f>RTD("tos.rtd", , "THETA", ".SPY150930P200.5")</f>
        <v>N/A</v>
      </c>
      <c r="T466" t="str">
        <f>RTD("tos.rtd", , "GAMMA", ".SPY150930P200.5")</f>
        <v>N/A</v>
      </c>
      <c r="U466" t="str">
        <f>RTD("tos.rtd", , "VEGA", ".SPY150930P200.5")</f>
        <v>N/A</v>
      </c>
      <c r="V466" t="str">
        <f>RTD("tos.rtd", , "RHO", ".SPY150930P200.5")</f>
        <v>N/A</v>
      </c>
    </row>
    <row r="467" spans="1:22" x14ac:dyDescent="0.25">
      <c r="A467">
        <f>RTD("tos.rtd", , "ASK", ".SPY150930C201")</f>
        <v>14.25</v>
      </c>
      <c r="B467">
        <f>RTD("tos.rtd", , "ASK_SIZE", ".SPY150930C201")</f>
        <v>146</v>
      </c>
      <c r="C467">
        <f>RTD("tos.rtd", , "BID", ".SPY150930C201")</f>
        <v>14.01</v>
      </c>
      <c r="D467">
        <f>RTD("tos.rtd", , "BID_SIZE", ".SPY150930C201")</f>
        <v>266</v>
      </c>
      <c r="E467">
        <f>RTD("tos.rtd", , "VOLUME", ".SPY150930C201")</f>
        <v>0</v>
      </c>
      <c r="F467">
        <f>RTD("tos.rtd", , "OPEN_INT", ".SPY150930C201")</f>
        <v>770</v>
      </c>
      <c r="G467">
        <f>RTD("tos.rtd", , "DELTA", ".SPY150930C201")</f>
        <v>0.69033999999999995</v>
      </c>
      <c r="H467">
        <f>RTD("tos.rtd", , "THETA", ".SPY150930C201")</f>
        <v>-2.112E-2</v>
      </c>
      <c r="I467">
        <f>RTD("tos.rtd", , "GAMMA", ".SPY150930C201")</f>
        <v>1.6809999999999999E-2</v>
      </c>
      <c r="J467">
        <f>RTD("tos.rtd", , "VEGA", ".SPY150930C201")</f>
        <v>0.47119</v>
      </c>
      <c r="K467">
        <f>RTD("tos.rtd", , "RHO", ".SPY150930C201")</f>
        <v>0.43742999999999999</v>
      </c>
      <c r="L467">
        <f>RTD("tos.rtd", , "ASK", ".SPY150930P201")</f>
        <v>4.9800000000000004</v>
      </c>
      <c r="M467">
        <f>RTD("tos.rtd", , "ASK_SIZE", ".SPY150930P201")</f>
        <v>2703</v>
      </c>
      <c r="N467">
        <f>RTD("tos.rtd", , "BID", ".SPY150930P201")</f>
        <v>4.8600000000000003</v>
      </c>
      <c r="O467">
        <f>RTD("tos.rtd", , "BID_SIZE", ".SPY150930P201")</f>
        <v>199</v>
      </c>
      <c r="P467">
        <f>RTD("tos.rtd", , "VOLUME", ".SPY150930P201")</f>
        <v>1325</v>
      </c>
      <c r="Q467">
        <f>RTD("tos.rtd", , "OPEN_INT", ".SPY150930P201")</f>
        <v>9829</v>
      </c>
      <c r="R467">
        <f>RTD("tos.rtd", , "DELTA", ".SPY150930P201")</f>
        <v>-0.31666</v>
      </c>
      <c r="S467">
        <f>RTD("tos.rtd", , "THETA", ".SPY150930P201")</f>
        <v>-2.9389999999999999E-2</v>
      </c>
      <c r="T467">
        <f>RTD("tos.rtd", , "GAMMA", ".SPY150930P201")</f>
        <v>1.5709999999999998E-2</v>
      </c>
      <c r="U467">
        <f>RTD("tos.rtd", , "VEGA", ".SPY150930P201")</f>
        <v>0.48076000000000002</v>
      </c>
      <c r="V467">
        <f>RTD("tos.rtd", , "RHO", ".SPY150930P201")</f>
        <v>-0.29461999999999999</v>
      </c>
    </row>
    <row r="468" spans="1:22" x14ac:dyDescent="0.25">
      <c r="A468" t="str">
        <f>RTD("tos.rtd", , "ASK", ".SPY150930C201.5")</f>
        <v>N/A</v>
      </c>
      <c r="B468" t="str">
        <f>RTD("tos.rtd", , "ASK_SIZE", ".SPY150930C201.5")</f>
        <v>N/A</v>
      </c>
      <c r="C468" t="str">
        <f>RTD("tos.rtd", , "BID", ".SPY150930C201.5")</f>
        <v>N/A</v>
      </c>
      <c r="D468" t="str">
        <f>RTD("tos.rtd", , "BID_SIZE", ".SPY150930C201.5")</f>
        <v>N/A</v>
      </c>
      <c r="E468" t="str">
        <f>RTD("tos.rtd", , "VOLUME", ".SPY150930C201.5")</f>
        <v>N/A</v>
      </c>
      <c r="F468" t="str">
        <f>RTD("tos.rtd", , "OPEN_INT", ".SPY150930C201.5")</f>
        <v>N/A</v>
      </c>
      <c r="G468" t="str">
        <f>RTD("tos.rtd", , "DELTA", ".SPY150930C201.5")</f>
        <v>N/A</v>
      </c>
      <c r="H468" t="str">
        <f>RTD("tos.rtd", , "THETA", ".SPY150930C201.5")</f>
        <v>N/A</v>
      </c>
      <c r="I468" t="str">
        <f>RTD("tos.rtd", , "GAMMA", ".SPY150930C201.5")</f>
        <v>N/A</v>
      </c>
      <c r="J468" t="str">
        <f>RTD("tos.rtd", , "VEGA", ".SPY150930C201.5")</f>
        <v>N/A</v>
      </c>
      <c r="K468" t="str">
        <f>RTD("tos.rtd", , "RHO", ".SPY150930C201.5")</f>
        <v>N/A</v>
      </c>
      <c r="L468" t="str">
        <f>RTD("tos.rtd", , "ASK", ".SPY150930P201.5")</f>
        <v>N/A</v>
      </c>
      <c r="M468" t="str">
        <f>RTD("tos.rtd", , "ASK_SIZE", ".SPY150930P201.5")</f>
        <v>N/A</v>
      </c>
      <c r="N468" t="str">
        <f>RTD("tos.rtd", , "BID", ".SPY150930P201.5")</f>
        <v>N/A</v>
      </c>
      <c r="O468" t="str">
        <f>RTD("tos.rtd", , "BID_SIZE", ".SPY150930P201.5")</f>
        <v>N/A</v>
      </c>
      <c r="P468" t="str">
        <f>RTD("tos.rtd", , "VOLUME", ".SPY150930P201.5")</f>
        <v>N/A</v>
      </c>
      <c r="Q468" t="str">
        <f>RTD("tos.rtd", , "OPEN_INT", ".SPY150930P201.5")</f>
        <v>N/A</v>
      </c>
      <c r="R468" t="str">
        <f>RTD("tos.rtd", , "DELTA", ".SPY150930P201.5")</f>
        <v>N/A</v>
      </c>
      <c r="S468" t="str">
        <f>RTD("tos.rtd", , "THETA", ".SPY150930P201.5")</f>
        <v>N/A</v>
      </c>
      <c r="T468" t="str">
        <f>RTD("tos.rtd", , "GAMMA", ".SPY150930P201.5")</f>
        <v>N/A</v>
      </c>
      <c r="U468" t="str">
        <f>RTD("tos.rtd", , "VEGA", ".SPY150930P201.5")</f>
        <v>N/A</v>
      </c>
      <c r="V468" t="str">
        <f>RTD("tos.rtd", , "RHO", ".SPY150930P201.5")</f>
        <v>N/A</v>
      </c>
    </row>
    <row r="469" spans="1:22" x14ac:dyDescent="0.25">
      <c r="A469">
        <f>RTD("tos.rtd", , "ASK", ".SPY150930C202")</f>
        <v>13.48</v>
      </c>
      <c r="B469">
        <f>RTD("tos.rtd", , "ASK_SIZE", ".SPY150930C202")</f>
        <v>128</v>
      </c>
      <c r="C469">
        <f>RTD("tos.rtd", , "BID", ".SPY150930C202")</f>
        <v>13.24</v>
      </c>
      <c r="D469">
        <f>RTD("tos.rtd", , "BID_SIZE", ".SPY150930C202")</f>
        <v>241</v>
      </c>
      <c r="E469">
        <f>RTD("tos.rtd", , "VOLUME", ".SPY150930C202")</f>
        <v>0</v>
      </c>
      <c r="F469">
        <f>RTD("tos.rtd", , "OPEN_INT", ".SPY150930C202")</f>
        <v>527</v>
      </c>
      <c r="G469">
        <f>RTD("tos.rtd", , "DELTA", ".SPY150930C202")</f>
        <v>0.67474000000000001</v>
      </c>
      <c r="H469">
        <f>RTD("tos.rtd", , "THETA", ".SPY150930C202")</f>
        <v>-2.1309999999999999E-2</v>
      </c>
      <c r="I469">
        <f>RTD("tos.rtd", , "GAMMA", ".SPY150930C202")</f>
        <v>1.736E-2</v>
      </c>
      <c r="J469">
        <f>RTD("tos.rtd", , "VEGA", ".SPY150930C202")</f>
        <v>0.48139999999999999</v>
      </c>
      <c r="K469">
        <f>RTD("tos.rtd", , "RHO", ".SPY150930C202")</f>
        <v>0.43472</v>
      </c>
      <c r="L469">
        <f>RTD("tos.rtd", , "ASK", ".SPY150930P202")</f>
        <v>5.23</v>
      </c>
      <c r="M469">
        <f>RTD("tos.rtd", , "ASK_SIZE", ".SPY150930P202")</f>
        <v>2694</v>
      </c>
      <c r="N469">
        <f>RTD("tos.rtd", , "BID", ".SPY150930P202")</f>
        <v>5.1100000000000003</v>
      </c>
      <c r="O469">
        <f>RTD("tos.rtd", , "BID_SIZE", ".SPY150930P202")</f>
        <v>118</v>
      </c>
      <c r="P469">
        <f>RTD("tos.rtd", , "VOLUME", ".SPY150930P202")</f>
        <v>0</v>
      </c>
      <c r="Q469">
        <f>RTD("tos.rtd", , "OPEN_INT", ".SPY150930P202")</f>
        <v>2316</v>
      </c>
      <c r="R469">
        <f>RTD("tos.rtd", , "DELTA", ".SPY150930P202")</f>
        <v>-0.33165</v>
      </c>
      <c r="S469">
        <f>RTD("tos.rtd", , "THETA", ".SPY150930P202")</f>
        <v>-2.964E-2</v>
      </c>
      <c r="T469">
        <f>RTD("tos.rtd", , "GAMMA", ".SPY150930P202")</f>
        <v>1.6240000000000001E-2</v>
      </c>
      <c r="U469">
        <f>RTD("tos.rtd", , "VEGA", ".SPY150930P202")</f>
        <v>0.48985000000000001</v>
      </c>
      <c r="V469">
        <f>RTD("tos.rtd", , "RHO", ".SPY150930P202")</f>
        <v>-0.30864999999999998</v>
      </c>
    </row>
    <row r="470" spans="1:22" x14ac:dyDescent="0.25">
      <c r="A470" t="str">
        <f>RTD("tos.rtd", , "ASK", ".SPY150930C202.5")</f>
        <v>N/A</v>
      </c>
      <c r="B470" t="str">
        <f>RTD("tos.rtd", , "ASK_SIZE", ".SPY150930C202.5")</f>
        <v>N/A</v>
      </c>
      <c r="C470" t="str">
        <f>RTD("tos.rtd", , "BID", ".SPY150930C202.5")</f>
        <v>N/A</v>
      </c>
      <c r="D470" t="str">
        <f>RTD("tos.rtd", , "BID_SIZE", ".SPY150930C202.5")</f>
        <v>N/A</v>
      </c>
      <c r="E470" t="str">
        <f>RTD("tos.rtd", , "VOLUME", ".SPY150930C202.5")</f>
        <v>N/A</v>
      </c>
      <c r="F470" t="str">
        <f>RTD("tos.rtd", , "OPEN_INT", ".SPY150930C202.5")</f>
        <v>N/A</v>
      </c>
      <c r="G470" t="str">
        <f>RTD("tos.rtd", , "DELTA", ".SPY150930C202.5")</f>
        <v>N/A</v>
      </c>
      <c r="H470" t="str">
        <f>RTD("tos.rtd", , "THETA", ".SPY150930C202.5")</f>
        <v>N/A</v>
      </c>
      <c r="I470" t="str">
        <f>RTD("tos.rtd", , "GAMMA", ".SPY150930C202.5")</f>
        <v>N/A</v>
      </c>
      <c r="J470" t="str">
        <f>RTD("tos.rtd", , "VEGA", ".SPY150930C202.5")</f>
        <v>N/A</v>
      </c>
      <c r="K470" t="str">
        <f>RTD("tos.rtd", , "RHO", ".SPY150930C202.5")</f>
        <v>N/A</v>
      </c>
      <c r="L470" t="str">
        <f>RTD("tos.rtd", , "ASK", ".SPY150930P202.5")</f>
        <v>N/A</v>
      </c>
      <c r="M470" t="str">
        <f>RTD("tos.rtd", , "ASK_SIZE", ".SPY150930P202.5")</f>
        <v>N/A</v>
      </c>
      <c r="N470" t="str">
        <f>RTD("tos.rtd", , "BID", ".SPY150930P202.5")</f>
        <v>N/A</v>
      </c>
      <c r="O470" t="str">
        <f>RTD("tos.rtd", , "BID_SIZE", ".SPY150930P202.5")</f>
        <v>N/A</v>
      </c>
      <c r="P470" t="str">
        <f>RTD("tos.rtd", , "VOLUME", ".SPY150930P202.5")</f>
        <v>N/A</v>
      </c>
      <c r="Q470" t="str">
        <f>RTD("tos.rtd", , "OPEN_INT", ".SPY150930P202.5")</f>
        <v>N/A</v>
      </c>
      <c r="R470" t="str">
        <f>RTD("tos.rtd", , "DELTA", ".SPY150930P202.5")</f>
        <v>N/A</v>
      </c>
      <c r="S470" t="str">
        <f>RTD("tos.rtd", , "THETA", ".SPY150930P202.5")</f>
        <v>N/A</v>
      </c>
      <c r="T470" t="str">
        <f>RTD("tos.rtd", , "GAMMA", ".SPY150930P202.5")</f>
        <v>N/A</v>
      </c>
      <c r="U470" t="str">
        <f>RTD("tos.rtd", , "VEGA", ".SPY150930P202.5")</f>
        <v>N/A</v>
      </c>
      <c r="V470" t="str">
        <f>RTD("tos.rtd", , "RHO", ".SPY150930P202.5")</f>
        <v>N/A</v>
      </c>
    </row>
    <row r="471" spans="1:22" x14ac:dyDescent="0.25">
      <c r="A471">
        <f>RTD("tos.rtd", , "ASK", ".SPY150930C203")</f>
        <v>12.72</v>
      </c>
      <c r="B471">
        <f>RTD("tos.rtd", , "ASK_SIZE", ".SPY150930C203")</f>
        <v>140</v>
      </c>
      <c r="C471">
        <f>RTD("tos.rtd", , "BID", ".SPY150930C203")</f>
        <v>12.48</v>
      </c>
      <c r="D471">
        <f>RTD("tos.rtd", , "BID_SIZE", ".SPY150930C203")</f>
        <v>226</v>
      </c>
      <c r="E471">
        <f>RTD("tos.rtd", , "VOLUME", ".SPY150930C203")</f>
        <v>0</v>
      </c>
      <c r="F471">
        <f>RTD("tos.rtd", , "OPEN_INT", ".SPY150930C203")</f>
        <v>358</v>
      </c>
      <c r="G471">
        <f>RTD("tos.rtd", , "DELTA", ".SPY150930C203")</f>
        <v>0.65851999999999999</v>
      </c>
      <c r="H471">
        <f>RTD("tos.rtd", , "THETA", ".SPY150930C203")</f>
        <v>-2.146E-2</v>
      </c>
      <c r="I471">
        <f>RTD("tos.rtd", , "GAMMA", ".SPY150930C203")</f>
        <v>1.7909999999999999E-2</v>
      </c>
      <c r="J471">
        <f>RTD("tos.rtd", , "VEGA", ".SPY150930C203")</f>
        <v>0.49103999999999998</v>
      </c>
      <c r="K471">
        <f>RTD("tos.rtd", , "RHO", ".SPY150930C203")</f>
        <v>0.43109999999999998</v>
      </c>
      <c r="L471">
        <f>RTD("tos.rtd", , "ASK", ".SPY150930P203")</f>
        <v>5.48</v>
      </c>
      <c r="M471">
        <f>RTD("tos.rtd", , "ASK_SIZE", ".SPY150930P203")</f>
        <v>2490</v>
      </c>
      <c r="N471">
        <f>RTD("tos.rtd", , "BID", ".SPY150930P203")</f>
        <v>5.37</v>
      </c>
      <c r="O471">
        <f>RTD("tos.rtd", , "BID_SIZE", ".SPY150930P203")</f>
        <v>99</v>
      </c>
      <c r="P471">
        <f>RTD("tos.rtd", , "VOLUME", ".SPY150930P203")</f>
        <v>683</v>
      </c>
      <c r="Q471">
        <f>RTD("tos.rtd", , "OPEN_INT", ".SPY150930P203")</f>
        <v>1037</v>
      </c>
      <c r="R471">
        <f>RTD("tos.rtd", , "DELTA", ".SPY150930P203")</f>
        <v>-0.34716999999999998</v>
      </c>
      <c r="S471">
        <f>RTD("tos.rtd", , "THETA", ".SPY150930P203")</f>
        <v>-2.981E-2</v>
      </c>
      <c r="T471">
        <f>RTD("tos.rtd", , "GAMMA", ".SPY150930P203")</f>
        <v>1.678E-2</v>
      </c>
      <c r="U471">
        <f>RTD("tos.rtd", , "VEGA", ".SPY150930P203")</f>
        <v>0.49836999999999998</v>
      </c>
      <c r="V471">
        <f>RTD("tos.rtd", , "RHO", ".SPY150930P203")</f>
        <v>-0.32314999999999999</v>
      </c>
    </row>
    <row r="472" spans="1:22" x14ac:dyDescent="0.25">
      <c r="A472" t="str">
        <f>RTD("tos.rtd", , "ASK", ".SPY150930C203.5")</f>
        <v>N/A</v>
      </c>
      <c r="B472" t="str">
        <f>RTD("tos.rtd", , "ASK_SIZE", ".SPY150930C203.5")</f>
        <v>N/A</v>
      </c>
      <c r="C472" t="str">
        <f>RTD("tos.rtd", , "BID", ".SPY150930C203.5")</f>
        <v>N/A</v>
      </c>
      <c r="D472" t="str">
        <f>RTD("tos.rtd", , "BID_SIZE", ".SPY150930C203.5")</f>
        <v>N/A</v>
      </c>
      <c r="E472" t="str">
        <f>RTD("tos.rtd", , "VOLUME", ".SPY150930C203.5")</f>
        <v>N/A</v>
      </c>
      <c r="F472" t="str">
        <f>RTD("tos.rtd", , "OPEN_INT", ".SPY150930C203.5")</f>
        <v>N/A</v>
      </c>
      <c r="G472" t="str">
        <f>RTD("tos.rtd", , "DELTA", ".SPY150930C203.5")</f>
        <v>N/A</v>
      </c>
      <c r="H472" t="str">
        <f>RTD("tos.rtd", , "THETA", ".SPY150930C203.5")</f>
        <v>N/A</v>
      </c>
      <c r="I472" t="str">
        <f>RTD("tos.rtd", , "GAMMA", ".SPY150930C203.5")</f>
        <v>N/A</v>
      </c>
      <c r="J472" t="str">
        <f>RTD("tos.rtd", , "VEGA", ".SPY150930C203.5")</f>
        <v>N/A</v>
      </c>
      <c r="K472" t="str">
        <f>RTD("tos.rtd", , "RHO", ".SPY150930C203.5")</f>
        <v>N/A</v>
      </c>
      <c r="L472" t="str">
        <f>RTD("tos.rtd", , "ASK", ".SPY150930P203.5")</f>
        <v>N/A</v>
      </c>
      <c r="M472" t="str">
        <f>RTD("tos.rtd", , "ASK_SIZE", ".SPY150930P203.5")</f>
        <v>N/A</v>
      </c>
      <c r="N472" t="str">
        <f>RTD("tos.rtd", , "BID", ".SPY150930P203.5")</f>
        <v>N/A</v>
      </c>
      <c r="O472" t="str">
        <f>RTD("tos.rtd", , "BID_SIZE", ".SPY150930P203.5")</f>
        <v>N/A</v>
      </c>
      <c r="P472" t="str">
        <f>RTD("tos.rtd", , "VOLUME", ".SPY150930P203.5")</f>
        <v>N/A</v>
      </c>
      <c r="Q472" t="str">
        <f>RTD("tos.rtd", , "OPEN_INT", ".SPY150930P203.5")</f>
        <v>N/A</v>
      </c>
      <c r="R472" t="str">
        <f>RTD("tos.rtd", , "DELTA", ".SPY150930P203.5")</f>
        <v>N/A</v>
      </c>
      <c r="S472" t="str">
        <f>RTD("tos.rtd", , "THETA", ".SPY150930P203.5")</f>
        <v>N/A</v>
      </c>
      <c r="T472" t="str">
        <f>RTD("tos.rtd", , "GAMMA", ".SPY150930P203.5")</f>
        <v>N/A</v>
      </c>
      <c r="U472" t="str">
        <f>RTD("tos.rtd", , "VEGA", ".SPY150930P203.5")</f>
        <v>N/A</v>
      </c>
      <c r="V472" t="str">
        <f>RTD("tos.rtd", , "RHO", ".SPY150930P203.5")</f>
        <v>N/A</v>
      </c>
    </row>
    <row r="473" spans="1:22" x14ac:dyDescent="0.25">
      <c r="A473">
        <f>RTD("tos.rtd", , "ASK", ".SPY150930C204")</f>
        <v>11.97</v>
      </c>
      <c r="B473">
        <f>RTD("tos.rtd", , "ASK_SIZE", ".SPY150930C204")</f>
        <v>138</v>
      </c>
      <c r="C473">
        <f>RTD("tos.rtd", , "BID", ".SPY150930C204")</f>
        <v>11.75</v>
      </c>
      <c r="D473">
        <f>RTD("tos.rtd", , "BID_SIZE", ".SPY150930C204")</f>
        <v>187</v>
      </c>
      <c r="E473">
        <f>RTD("tos.rtd", , "VOLUME", ".SPY150930C204")</f>
        <v>1</v>
      </c>
      <c r="F473">
        <f>RTD("tos.rtd", , "OPEN_INT", ".SPY150930C204")</f>
        <v>311</v>
      </c>
      <c r="G473">
        <f>RTD("tos.rtd", , "DELTA", ".SPY150930C204")</f>
        <v>0.64151999999999998</v>
      </c>
      <c r="H473">
        <f>RTD("tos.rtd", , "THETA", ".SPY150930C204")</f>
        <v>-2.1579999999999998E-2</v>
      </c>
      <c r="I473">
        <f>RTD("tos.rtd", , "GAMMA", ".SPY150930C204")</f>
        <v>1.8440000000000002E-2</v>
      </c>
      <c r="J473">
        <f>RTD("tos.rtd", , "VEGA", ".SPY150930C204")</f>
        <v>0.50009999999999999</v>
      </c>
      <c r="K473">
        <f>RTD("tos.rtd", , "RHO", ".SPY150930C204")</f>
        <v>0.42653000000000002</v>
      </c>
      <c r="L473">
        <f>RTD("tos.rtd", , "ASK", ".SPY150930P204")</f>
        <v>5.76</v>
      </c>
      <c r="M473">
        <f>RTD("tos.rtd", , "ASK_SIZE", ".SPY150930P204")</f>
        <v>2676</v>
      </c>
      <c r="N473">
        <f>RTD("tos.rtd", , "BID", ".SPY150930P204")</f>
        <v>5.64</v>
      </c>
      <c r="O473">
        <f>RTD("tos.rtd", , "BID_SIZE", ".SPY150930P204")</f>
        <v>99</v>
      </c>
      <c r="P473">
        <f>RTD("tos.rtd", , "VOLUME", ".SPY150930P204")</f>
        <v>0</v>
      </c>
      <c r="Q473">
        <f>RTD("tos.rtd", , "OPEN_INT", ".SPY150930P204")</f>
        <v>613</v>
      </c>
      <c r="R473">
        <f>RTD("tos.rtd", , "DELTA", ".SPY150930P204")</f>
        <v>-0.36341000000000001</v>
      </c>
      <c r="S473">
        <f>RTD("tos.rtd", , "THETA", ".SPY150930P204")</f>
        <v>-2.998E-2</v>
      </c>
      <c r="T473">
        <f>RTD("tos.rtd", , "GAMMA", ".SPY150930P204")</f>
        <v>1.7309999999999999E-2</v>
      </c>
      <c r="U473">
        <f>RTD("tos.rtd", , "VEGA", ".SPY150930P204")</f>
        <v>0.50634999999999997</v>
      </c>
      <c r="V473">
        <f>RTD("tos.rtd", , "RHO", ".SPY150930P204")</f>
        <v>-0.33835999999999999</v>
      </c>
    </row>
    <row r="474" spans="1:22" x14ac:dyDescent="0.25">
      <c r="A474" t="str">
        <f>RTD("tos.rtd", , "ASK", ".SPY150930C204.5")</f>
        <v>N/A</v>
      </c>
      <c r="B474" t="str">
        <f>RTD("tos.rtd", , "ASK_SIZE", ".SPY150930C204.5")</f>
        <v>N/A</v>
      </c>
      <c r="C474" t="str">
        <f>RTD("tos.rtd", , "BID", ".SPY150930C204.5")</f>
        <v>N/A</v>
      </c>
      <c r="D474" t="str">
        <f>RTD("tos.rtd", , "BID_SIZE", ".SPY150930C204.5")</f>
        <v>N/A</v>
      </c>
      <c r="E474" t="str">
        <f>RTD("tos.rtd", , "VOLUME", ".SPY150930C204.5")</f>
        <v>N/A</v>
      </c>
      <c r="F474" t="str">
        <f>RTD("tos.rtd", , "OPEN_INT", ".SPY150930C204.5")</f>
        <v>N/A</v>
      </c>
      <c r="G474" t="str">
        <f>RTD("tos.rtd", , "DELTA", ".SPY150930C204.5")</f>
        <v>N/A</v>
      </c>
      <c r="H474" t="str">
        <f>RTD("tos.rtd", , "THETA", ".SPY150930C204.5")</f>
        <v>N/A</v>
      </c>
      <c r="I474" t="str">
        <f>RTD("tos.rtd", , "GAMMA", ".SPY150930C204.5")</f>
        <v>N/A</v>
      </c>
      <c r="J474" t="str">
        <f>RTD("tos.rtd", , "VEGA", ".SPY150930C204.5")</f>
        <v>N/A</v>
      </c>
      <c r="K474" t="str">
        <f>RTD("tos.rtd", , "RHO", ".SPY150930C204.5")</f>
        <v>N/A</v>
      </c>
      <c r="L474" t="str">
        <f>RTD("tos.rtd", , "ASK", ".SPY150930P204.5")</f>
        <v>N/A</v>
      </c>
      <c r="M474" t="str">
        <f>RTD("tos.rtd", , "ASK_SIZE", ".SPY150930P204.5")</f>
        <v>N/A</v>
      </c>
      <c r="N474" t="str">
        <f>RTD("tos.rtd", , "BID", ".SPY150930P204.5")</f>
        <v>N/A</v>
      </c>
      <c r="O474" t="str">
        <f>RTD("tos.rtd", , "BID_SIZE", ".SPY150930P204.5")</f>
        <v>N/A</v>
      </c>
      <c r="P474" t="str">
        <f>RTD("tos.rtd", , "VOLUME", ".SPY150930P204.5")</f>
        <v>N/A</v>
      </c>
      <c r="Q474" t="str">
        <f>RTD("tos.rtd", , "OPEN_INT", ".SPY150930P204.5")</f>
        <v>N/A</v>
      </c>
      <c r="R474" t="str">
        <f>RTD("tos.rtd", , "DELTA", ".SPY150930P204.5")</f>
        <v>N/A</v>
      </c>
      <c r="S474" t="str">
        <f>RTD("tos.rtd", , "THETA", ".SPY150930P204.5")</f>
        <v>N/A</v>
      </c>
      <c r="T474" t="str">
        <f>RTD("tos.rtd", , "GAMMA", ".SPY150930P204.5")</f>
        <v>N/A</v>
      </c>
      <c r="U474" t="str">
        <f>RTD("tos.rtd", , "VEGA", ".SPY150930P204.5")</f>
        <v>N/A</v>
      </c>
      <c r="V474" t="str">
        <f>RTD("tos.rtd", , "RHO", ".SPY150930P204.5")</f>
        <v>N/A</v>
      </c>
    </row>
    <row r="475" spans="1:22" x14ac:dyDescent="0.25">
      <c r="A475">
        <f>RTD("tos.rtd", , "ASK", ".SPY150930C205")</f>
        <v>11.24</v>
      </c>
      <c r="B475">
        <f>RTD("tos.rtd", , "ASK_SIZE", ".SPY150930C205")</f>
        <v>138</v>
      </c>
      <c r="C475">
        <f>RTD("tos.rtd", , "BID", ".SPY150930C205")</f>
        <v>11.02</v>
      </c>
      <c r="D475">
        <f>RTD("tos.rtd", , "BID_SIZE", ".SPY150930C205")</f>
        <v>200</v>
      </c>
      <c r="E475">
        <f>RTD("tos.rtd", , "VOLUME", ".SPY150930C205")</f>
        <v>6</v>
      </c>
      <c r="F475">
        <f>RTD("tos.rtd", , "OPEN_INT", ".SPY150930C205")</f>
        <v>2415</v>
      </c>
      <c r="G475">
        <f>RTD("tos.rtd", , "DELTA", ".SPY150930C205")</f>
        <v>0.62388999999999994</v>
      </c>
      <c r="H475">
        <f>RTD("tos.rtd", , "THETA", ".SPY150930C205")</f>
        <v>-2.164E-2</v>
      </c>
      <c r="I475">
        <f>RTD("tos.rtd", , "GAMMA", ".SPY150930C205")</f>
        <v>1.898E-2</v>
      </c>
      <c r="J475">
        <f>RTD("tos.rtd", , "VEGA", ".SPY150930C205")</f>
        <v>0.50839000000000001</v>
      </c>
      <c r="K475">
        <f>RTD("tos.rtd", , "RHO", ".SPY150930C205")</f>
        <v>0.42099999999999999</v>
      </c>
      <c r="L475">
        <f>RTD("tos.rtd", , "ASK", ".SPY150930P205")</f>
        <v>6.05</v>
      </c>
      <c r="M475">
        <f>RTD("tos.rtd", , "ASK_SIZE", ".SPY150930P205")</f>
        <v>2684</v>
      </c>
      <c r="N475">
        <f>RTD("tos.rtd", , "BID", ".SPY150930P205")</f>
        <v>5.92</v>
      </c>
      <c r="O475">
        <f>RTD("tos.rtd", , "BID_SIZE", ".SPY150930P205")</f>
        <v>160</v>
      </c>
      <c r="P475">
        <f>RTD("tos.rtd", , "VOLUME", ".SPY150930P205")</f>
        <v>62</v>
      </c>
      <c r="Q475">
        <f>RTD("tos.rtd", , "OPEN_INT", ".SPY150930P205")</f>
        <v>1262</v>
      </c>
      <c r="R475">
        <f>RTD("tos.rtd", , "DELTA", ".SPY150930P205")</f>
        <v>-0.38028000000000001</v>
      </c>
      <c r="S475">
        <f>RTD("tos.rtd", , "THETA", ".SPY150930P205")</f>
        <v>-3.0079999999999999E-2</v>
      </c>
      <c r="T475">
        <f>RTD("tos.rtd", , "GAMMA", ".SPY150930P205")</f>
        <v>1.7840000000000002E-2</v>
      </c>
      <c r="U475">
        <f>RTD("tos.rtd", , "VEGA", ".SPY150930P205")</f>
        <v>0.51361999999999997</v>
      </c>
      <c r="V475">
        <f>RTD("tos.rtd", , "RHO", ".SPY150930P205")</f>
        <v>-0.35415999999999997</v>
      </c>
    </row>
    <row r="476" spans="1:22" x14ac:dyDescent="0.25">
      <c r="A476" t="str">
        <f>RTD("tos.rtd", , "ASK", ".SPY150930C205.5")</f>
        <v>N/A</v>
      </c>
      <c r="B476" t="str">
        <f>RTD("tos.rtd", , "ASK_SIZE", ".SPY150930C205.5")</f>
        <v>N/A</v>
      </c>
      <c r="C476" t="str">
        <f>RTD("tos.rtd", , "BID", ".SPY150930C205.5")</f>
        <v>N/A</v>
      </c>
      <c r="D476" t="str">
        <f>RTD("tos.rtd", , "BID_SIZE", ".SPY150930C205.5")</f>
        <v>N/A</v>
      </c>
      <c r="E476" t="str">
        <f>RTD("tos.rtd", , "VOLUME", ".SPY150930C205.5")</f>
        <v>N/A</v>
      </c>
      <c r="F476" t="str">
        <f>RTD("tos.rtd", , "OPEN_INT", ".SPY150930C205.5")</f>
        <v>N/A</v>
      </c>
      <c r="G476" t="str">
        <f>RTD("tos.rtd", , "DELTA", ".SPY150930C205.5")</f>
        <v>N/A</v>
      </c>
      <c r="H476" t="str">
        <f>RTD("tos.rtd", , "THETA", ".SPY150930C205.5")</f>
        <v>N/A</v>
      </c>
      <c r="I476" t="str">
        <f>RTD("tos.rtd", , "GAMMA", ".SPY150930C205.5")</f>
        <v>N/A</v>
      </c>
      <c r="J476" t="str">
        <f>RTD("tos.rtd", , "VEGA", ".SPY150930C205.5")</f>
        <v>N/A</v>
      </c>
      <c r="K476" t="str">
        <f>RTD("tos.rtd", , "RHO", ".SPY150930C205.5")</f>
        <v>N/A</v>
      </c>
      <c r="L476" t="str">
        <f>RTD("tos.rtd", , "ASK", ".SPY150930P205.5")</f>
        <v>N/A</v>
      </c>
      <c r="M476" t="str">
        <f>RTD("tos.rtd", , "ASK_SIZE", ".SPY150930P205.5")</f>
        <v>N/A</v>
      </c>
      <c r="N476" t="str">
        <f>RTD("tos.rtd", , "BID", ".SPY150930P205.5")</f>
        <v>N/A</v>
      </c>
      <c r="O476" t="str">
        <f>RTD("tos.rtd", , "BID_SIZE", ".SPY150930P205.5")</f>
        <v>N/A</v>
      </c>
      <c r="P476" t="str">
        <f>RTD("tos.rtd", , "VOLUME", ".SPY150930P205.5")</f>
        <v>N/A</v>
      </c>
      <c r="Q476" t="str">
        <f>RTD("tos.rtd", , "OPEN_INT", ".SPY150930P205.5")</f>
        <v>N/A</v>
      </c>
      <c r="R476" t="str">
        <f>RTD("tos.rtd", , "DELTA", ".SPY150930P205.5")</f>
        <v>N/A</v>
      </c>
      <c r="S476" t="str">
        <f>RTD("tos.rtd", , "THETA", ".SPY150930P205.5")</f>
        <v>N/A</v>
      </c>
      <c r="T476" t="str">
        <f>RTD("tos.rtd", , "GAMMA", ".SPY150930P205.5")</f>
        <v>N/A</v>
      </c>
      <c r="U476" t="str">
        <f>RTD("tos.rtd", , "VEGA", ".SPY150930P205.5")</f>
        <v>N/A</v>
      </c>
      <c r="V476" t="str">
        <f>RTD("tos.rtd", , "RHO", ".SPY150930P205.5")</f>
        <v>N/A</v>
      </c>
    </row>
    <row r="477" spans="1:22" x14ac:dyDescent="0.25">
      <c r="A477">
        <f>RTD("tos.rtd", , "ASK", ".SPY150930C206")</f>
        <v>10.52</v>
      </c>
      <c r="B477">
        <f>RTD("tos.rtd", , "ASK_SIZE", ".SPY150930C206")</f>
        <v>128</v>
      </c>
      <c r="C477">
        <f>RTD("tos.rtd", , "BID", ".SPY150930C206")</f>
        <v>10.41</v>
      </c>
      <c r="D477">
        <f>RTD("tos.rtd", , "BID_SIZE", ".SPY150930C206")</f>
        <v>100</v>
      </c>
      <c r="E477">
        <f>RTD("tos.rtd", , "VOLUME", ".SPY150930C206")</f>
        <v>0</v>
      </c>
      <c r="F477">
        <f>RTD("tos.rtd", , "OPEN_INT", ".SPY150930C206")</f>
        <v>1072</v>
      </c>
      <c r="G477">
        <f>RTD("tos.rtd", , "DELTA", ".SPY150930C206")</f>
        <v>0.60507</v>
      </c>
      <c r="H477">
        <f>RTD("tos.rtd", , "THETA", ".SPY150930C206")</f>
        <v>-2.1829999999999999E-2</v>
      </c>
      <c r="I477">
        <f>RTD("tos.rtd", , "GAMMA", ".SPY150930C206")</f>
        <v>1.9369999999999998E-2</v>
      </c>
      <c r="J477">
        <f>RTD("tos.rtd", , "VEGA", ".SPY150930C206")</f>
        <v>0.51604000000000005</v>
      </c>
      <c r="K477">
        <f>RTD("tos.rtd", , "RHO", ".SPY150930C206")</f>
        <v>0.41439999999999999</v>
      </c>
      <c r="L477">
        <f>RTD("tos.rtd", , "ASK", ".SPY150930P206")</f>
        <v>6.35</v>
      </c>
      <c r="M477">
        <f>RTD("tos.rtd", , "ASK_SIZE", ".SPY150930P206")</f>
        <v>2676</v>
      </c>
      <c r="N477">
        <f>RTD("tos.rtd", , "BID", ".SPY150930P206")</f>
        <v>6.22</v>
      </c>
      <c r="O477">
        <f>RTD("tos.rtd", , "BID_SIZE", ".SPY150930P206")</f>
        <v>150</v>
      </c>
      <c r="P477">
        <f>RTD("tos.rtd", , "VOLUME", ".SPY150930P206")</f>
        <v>10</v>
      </c>
      <c r="Q477">
        <f>RTD("tos.rtd", , "OPEN_INT", ".SPY150930P206")</f>
        <v>590</v>
      </c>
      <c r="R477">
        <f>RTD("tos.rtd", , "DELTA", ".SPY150930P206")</f>
        <v>-0.39778999999999998</v>
      </c>
      <c r="S477">
        <f>RTD("tos.rtd", , "THETA", ".SPY150930P206")</f>
        <v>-3.0120000000000001E-2</v>
      </c>
      <c r="T477">
        <f>RTD("tos.rtd", , "GAMMA", ".SPY150930P206")</f>
        <v>1.8360000000000001E-2</v>
      </c>
      <c r="U477">
        <f>RTD("tos.rtd", , "VEGA", ".SPY150930P206")</f>
        <v>0.52010000000000001</v>
      </c>
      <c r="V477">
        <f>RTD("tos.rtd", , "RHO", ".SPY150930P206")</f>
        <v>-0.37057000000000001</v>
      </c>
    </row>
    <row r="478" spans="1:22" x14ac:dyDescent="0.25">
      <c r="A478" t="str">
        <f>RTD("tos.rtd", , "ASK", ".SPY150930C206.5")</f>
        <v>N/A</v>
      </c>
      <c r="B478" t="str">
        <f>RTD("tos.rtd", , "ASK_SIZE", ".SPY150930C206.5")</f>
        <v>N/A</v>
      </c>
      <c r="C478" t="str">
        <f>RTD("tos.rtd", , "BID", ".SPY150930C206.5")</f>
        <v>N/A</v>
      </c>
      <c r="D478" t="str">
        <f>RTD("tos.rtd", , "BID_SIZE", ".SPY150930C206.5")</f>
        <v>N/A</v>
      </c>
      <c r="E478" t="str">
        <f>RTD("tos.rtd", , "VOLUME", ".SPY150930C206.5")</f>
        <v>N/A</v>
      </c>
      <c r="F478" t="str">
        <f>RTD("tos.rtd", , "OPEN_INT", ".SPY150930C206.5")</f>
        <v>N/A</v>
      </c>
      <c r="G478" t="str">
        <f>RTD("tos.rtd", , "DELTA", ".SPY150930C206.5")</f>
        <v>N/A</v>
      </c>
      <c r="H478" t="str">
        <f>RTD("tos.rtd", , "THETA", ".SPY150930C206.5")</f>
        <v>N/A</v>
      </c>
      <c r="I478" t="str">
        <f>RTD("tos.rtd", , "GAMMA", ".SPY150930C206.5")</f>
        <v>N/A</v>
      </c>
      <c r="J478" t="str">
        <f>RTD("tos.rtd", , "VEGA", ".SPY150930C206.5")</f>
        <v>N/A</v>
      </c>
      <c r="K478" t="str">
        <f>RTD("tos.rtd", , "RHO", ".SPY150930C206.5")</f>
        <v>N/A</v>
      </c>
      <c r="L478" t="str">
        <f>RTD("tos.rtd", , "ASK", ".SPY150930P206.5")</f>
        <v>N/A</v>
      </c>
      <c r="M478" t="str">
        <f>RTD("tos.rtd", , "ASK_SIZE", ".SPY150930P206.5")</f>
        <v>N/A</v>
      </c>
      <c r="N478" t="str">
        <f>RTD("tos.rtd", , "BID", ".SPY150930P206.5")</f>
        <v>N/A</v>
      </c>
      <c r="O478" t="str">
        <f>RTD("tos.rtd", , "BID_SIZE", ".SPY150930P206.5")</f>
        <v>N/A</v>
      </c>
      <c r="P478" t="str">
        <f>RTD("tos.rtd", , "VOLUME", ".SPY150930P206.5")</f>
        <v>N/A</v>
      </c>
      <c r="Q478" t="str">
        <f>RTD("tos.rtd", , "OPEN_INT", ".SPY150930P206.5")</f>
        <v>N/A</v>
      </c>
      <c r="R478" t="str">
        <f>RTD("tos.rtd", , "DELTA", ".SPY150930P206.5")</f>
        <v>N/A</v>
      </c>
      <c r="S478" t="str">
        <f>RTD("tos.rtd", , "THETA", ".SPY150930P206.5")</f>
        <v>N/A</v>
      </c>
      <c r="T478" t="str">
        <f>RTD("tos.rtd", , "GAMMA", ".SPY150930P206.5")</f>
        <v>N/A</v>
      </c>
      <c r="U478" t="str">
        <f>RTD("tos.rtd", , "VEGA", ".SPY150930P206.5")</f>
        <v>N/A</v>
      </c>
      <c r="V478" t="str">
        <f>RTD("tos.rtd", , "RHO", ".SPY150930P206.5")</f>
        <v>N/A</v>
      </c>
    </row>
    <row r="479" spans="1:22" x14ac:dyDescent="0.25">
      <c r="A479">
        <f>RTD("tos.rtd", , "ASK", ".SPY150930C207")</f>
        <v>9.8000000000000007</v>
      </c>
      <c r="B479">
        <f>RTD("tos.rtd", , "ASK_SIZE", ".SPY150930C207")</f>
        <v>169</v>
      </c>
      <c r="C479">
        <f>RTD("tos.rtd", , "BID", ".SPY150930C207")</f>
        <v>9.6999999999999993</v>
      </c>
      <c r="D479">
        <f>RTD("tos.rtd", , "BID_SIZE", ".SPY150930C207")</f>
        <v>100</v>
      </c>
      <c r="E479">
        <f>RTD("tos.rtd", , "VOLUME", ".SPY150930C207")</f>
        <v>0</v>
      </c>
      <c r="F479">
        <f>RTD("tos.rtd", , "OPEN_INT", ".SPY150930C207")</f>
        <v>427</v>
      </c>
      <c r="G479">
        <f>RTD("tos.rtd", , "DELTA", ".SPY150930C207")</f>
        <v>0.58623999999999998</v>
      </c>
      <c r="H479">
        <f>RTD("tos.rtd", , "THETA", ".SPY150930C207")</f>
        <v>-2.1729999999999999E-2</v>
      </c>
      <c r="I479">
        <f>RTD("tos.rtd", , "GAMMA", ".SPY150930C207")</f>
        <v>1.992E-2</v>
      </c>
      <c r="J479">
        <f>RTD("tos.rtd", , "VEGA", ".SPY150930C207")</f>
        <v>0.52242</v>
      </c>
      <c r="K479">
        <f>RTD("tos.rtd", , "RHO", ".SPY150930C207")</f>
        <v>0.40694999999999998</v>
      </c>
      <c r="L479">
        <f>RTD("tos.rtd", , "ASK", ".SPY150930P207")</f>
        <v>6.67</v>
      </c>
      <c r="M479">
        <f>RTD("tos.rtd", , "ASK_SIZE", ".SPY150930P207")</f>
        <v>2676</v>
      </c>
      <c r="N479">
        <f>RTD("tos.rtd", , "BID", ".SPY150930P207")</f>
        <v>6.53</v>
      </c>
      <c r="O479">
        <f>RTD("tos.rtd", , "BID_SIZE", ".SPY150930P207")</f>
        <v>228</v>
      </c>
      <c r="P479">
        <f>RTD("tos.rtd", , "VOLUME", ".SPY150930P207")</f>
        <v>0</v>
      </c>
      <c r="Q479">
        <f>RTD("tos.rtd", , "OPEN_INT", ".SPY150930P207")</f>
        <v>308</v>
      </c>
      <c r="R479">
        <f>RTD("tos.rtd", , "DELTA", ".SPY150930P207")</f>
        <v>-0.41602</v>
      </c>
      <c r="S479">
        <f>RTD("tos.rtd", , "THETA", ".SPY150930P207")</f>
        <v>-3.0120000000000001E-2</v>
      </c>
      <c r="T479">
        <f>RTD("tos.rtd", , "GAMMA", ".SPY150930P207")</f>
        <v>1.8870000000000001E-2</v>
      </c>
      <c r="U479">
        <f>RTD("tos.rtd", , "VEGA", ".SPY150930P207")</f>
        <v>0.52569999999999995</v>
      </c>
      <c r="V479">
        <f>RTD("tos.rtd", , "RHO", ".SPY150930P207")</f>
        <v>-0.38767000000000001</v>
      </c>
    </row>
    <row r="480" spans="1:22" x14ac:dyDescent="0.25">
      <c r="A480" t="str">
        <f>RTD("tos.rtd", , "ASK", ".SPY150930C207.5")</f>
        <v>N/A</v>
      </c>
      <c r="B480" t="str">
        <f>RTD("tos.rtd", , "ASK_SIZE", ".SPY150930C207.5")</f>
        <v>N/A</v>
      </c>
      <c r="C480" t="str">
        <f>RTD("tos.rtd", , "BID", ".SPY150930C207.5")</f>
        <v>N/A</v>
      </c>
      <c r="D480" t="str">
        <f>RTD("tos.rtd", , "BID_SIZE", ".SPY150930C207.5")</f>
        <v>N/A</v>
      </c>
      <c r="E480" t="str">
        <f>RTD("tos.rtd", , "VOLUME", ".SPY150930C207.5")</f>
        <v>N/A</v>
      </c>
      <c r="F480" t="str">
        <f>RTD("tos.rtd", , "OPEN_INT", ".SPY150930C207.5")</f>
        <v>N/A</v>
      </c>
      <c r="G480" t="str">
        <f>RTD("tos.rtd", , "DELTA", ".SPY150930C207.5")</f>
        <v>N/A</v>
      </c>
      <c r="H480" t="str">
        <f>RTD("tos.rtd", , "THETA", ".SPY150930C207.5")</f>
        <v>N/A</v>
      </c>
      <c r="I480" t="str">
        <f>RTD("tos.rtd", , "GAMMA", ".SPY150930C207.5")</f>
        <v>N/A</v>
      </c>
      <c r="J480" t="str">
        <f>RTD("tos.rtd", , "VEGA", ".SPY150930C207.5")</f>
        <v>N/A</v>
      </c>
      <c r="K480" t="str">
        <f>RTD("tos.rtd", , "RHO", ".SPY150930C207.5")</f>
        <v>N/A</v>
      </c>
      <c r="L480" t="str">
        <f>RTD("tos.rtd", , "ASK", ".SPY150930P207.5")</f>
        <v>N/A</v>
      </c>
      <c r="M480" t="str">
        <f>RTD("tos.rtd", , "ASK_SIZE", ".SPY150930P207.5")</f>
        <v>N/A</v>
      </c>
      <c r="N480" t="str">
        <f>RTD("tos.rtd", , "BID", ".SPY150930P207.5")</f>
        <v>N/A</v>
      </c>
      <c r="O480" t="str">
        <f>RTD("tos.rtd", , "BID_SIZE", ".SPY150930P207.5")</f>
        <v>N/A</v>
      </c>
      <c r="P480" t="str">
        <f>RTD("tos.rtd", , "VOLUME", ".SPY150930P207.5")</f>
        <v>N/A</v>
      </c>
      <c r="Q480" t="str">
        <f>RTD("tos.rtd", , "OPEN_INT", ".SPY150930P207.5")</f>
        <v>N/A</v>
      </c>
      <c r="R480" t="str">
        <f>RTD("tos.rtd", , "DELTA", ".SPY150930P207.5")</f>
        <v>N/A</v>
      </c>
      <c r="S480" t="str">
        <f>RTD("tos.rtd", , "THETA", ".SPY150930P207.5")</f>
        <v>N/A</v>
      </c>
      <c r="T480" t="str">
        <f>RTD("tos.rtd", , "GAMMA", ".SPY150930P207.5")</f>
        <v>N/A</v>
      </c>
      <c r="U480" t="str">
        <f>RTD("tos.rtd", , "VEGA", ".SPY150930P207.5")</f>
        <v>N/A</v>
      </c>
      <c r="V480" t="str">
        <f>RTD("tos.rtd", , "RHO", ".SPY150930P207.5")</f>
        <v>N/A</v>
      </c>
    </row>
    <row r="481" spans="1:22" x14ac:dyDescent="0.25">
      <c r="A481">
        <f>RTD("tos.rtd", , "ASK", ".SPY150930C208")</f>
        <v>9.11</v>
      </c>
      <c r="B481">
        <f>RTD("tos.rtd", , "ASK_SIZE", ".SPY150930C208")</f>
        <v>130</v>
      </c>
      <c r="C481">
        <f>RTD("tos.rtd", , "BID", ".SPY150930C208")</f>
        <v>9.0299999999999994</v>
      </c>
      <c r="D481">
        <f>RTD("tos.rtd", , "BID_SIZE", ".SPY150930C208")</f>
        <v>100</v>
      </c>
      <c r="E481">
        <f>RTD("tos.rtd", , "VOLUME", ".SPY150930C208")</f>
        <v>0</v>
      </c>
      <c r="F481">
        <f>RTD("tos.rtd", , "OPEN_INT", ".SPY150930C208")</f>
        <v>1393</v>
      </c>
      <c r="G481">
        <f>RTD("tos.rtd", , "DELTA", ".SPY150930C208")</f>
        <v>0.56650999999999996</v>
      </c>
      <c r="H481">
        <f>RTD("tos.rtd", , "THETA", ".SPY150930C208")</f>
        <v>-2.164E-2</v>
      </c>
      <c r="I481">
        <f>RTD("tos.rtd", , "GAMMA", ".SPY150930C208")</f>
        <v>2.0400000000000001E-2</v>
      </c>
      <c r="J481">
        <f>RTD("tos.rtd", , "VEGA", ".SPY150930C208")</f>
        <v>0.52778000000000003</v>
      </c>
      <c r="K481">
        <f>RTD("tos.rtd", , "RHO", ".SPY150930C208")</f>
        <v>0.39845999999999998</v>
      </c>
      <c r="L481">
        <f>RTD("tos.rtd", , "ASK", ".SPY150930P208")</f>
        <v>7.01</v>
      </c>
      <c r="M481">
        <f>RTD("tos.rtd", , "ASK_SIZE", ".SPY150930P208")</f>
        <v>2689</v>
      </c>
      <c r="N481">
        <f>RTD("tos.rtd", , "BID", ".SPY150930P208")</f>
        <v>6.86</v>
      </c>
      <c r="O481">
        <f>RTD("tos.rtd", , "BID_SIZE", ".SPY150930P208")</f>
        <v>199</v>
      </c>
      <c r="P481">
        <f>RTD("tos.rtd", , "VOLUME", ".SPY150930P208")</f>
        <v>34</v>
      </c>
      <c r="Q481">
        <f>RTD("tos.rtd", , "OPEN_INT", ".SPY150930P208")</f>
        <v>1782</v>
      </c>
      <c r="R481">
        <f>RTD("tos.rtd", , "DELTA", ".SPY150930P208")</f>
        <v>-0.43496000000000001</v>
      </c>
      <c r="S481">
        <f>RTD("tos.rtd", , "THETA", ".SPY150930P208")</f>
        <v>-3.0079999999999999E-2</v>
      </c>
      <c r="T481">
        <f>RTD("tos.rtd", , "GAMMA", ".SPY150930P208")</f>
        <v>1.9349999999999999E-2</v>
      </c>
      <c r="U481">
        <f>RTD("tos.rtd", , "VEGA", ".SPY150930P208")</f>
        <v>0.53029000000000004</v>
      </c>
      <c r="V481">
        <f>RTD("tos.rtd", , "RHO", ".SPY150930P208")</f>
        <v>-0.40548000000000001</v>
      </c>
    </row>
    <row r="482" spans="1:22" x14ac:dyDescent="0.25">
      <c r="A482" t="str">
        <f>RTD("tos.rtd", , "ASK", ".SPY150930C208.5")</f>
        <v>N/A</v>
      </c>
      <c r="B482" t="str">
        <f>RTD("tos.rtd", , "ASK_SIZE", ".SPY150930C208.5")</f>
        <v>N/A</v>
      </c>
      <c r="C482" t="str">
        <f>RTD("tos.rtd", , "BID", ".SPY150930C208.5")</f>
        <v>N/A</v>
      </c>
      <c r="D482" t="str">
        <f>RTD("tos.rtd", , "BID_SIZE", ".SPY150930C208.5")</f>
        <v>N/A</v>
      </c>
      <c r="E482" t="str">
        <f>RTD("tos.rtd", , "VOLUME", ".SPY150930C208.5")</f>
        <v>N/A</v>
      </c>
      <c r="F482" t="str">
        <f>RTD("tos.rtd", , "OPEN_INT", ".SPY150930C208.5")</f>
        <v>N/A</v>
      </c>
      <c r="G482" t="str">
        <f>RTD("tos.rtd", , "DELTA", ".SPY150930C208.5")</f>
        <v>N/A</v>
      </c>
      <c r="H482" t="str">
        <f>RTD("tos.rtd", , "THETA", ".SPY150930C208.5")</f>
        <v>N/A</v>
      </c>
      <c r="I482" t="str">
        <f>RTD("tos.rtd", , "GAMMA", ".SPY150930C208.5")</f>
        <v>N/A</v>
      </c>
      <c r="J482" t="str">
        <f>RTD("tos.rtd", , "VEGA", ".SPY150930C208.5")</f>
        <v>N/A</v>
      </c>
      <c r="K482" t="str">
        <f>RTD("tos.rtd", , "RHO", ".SPY150930C208.5")</f>
        <v>N/A</v>
      </c>
      <c r="L482" t="str">
        <f>RTD("tos.rtd", , "ASK", ".SPY150930P208.5")</f>
        <v>N/A</v>
      </c>
      <c r="M482" t="str">
        <f>RTD("tos.rtd", , "ASK_SIZE", ".SPY150930P208.5")</f>
        <v>N/A</v>
      </c>
      <c r="N482" t="str">
        <f>RTD("tos.rtd", , "BID", ".SPY150930P208.5")</f>
        <v>N/A</v>
      </c>
      <c r="O482" t="str">
        <f>RTD("tos.rtd", , "BID_SIZE", ".SPY150930P208.5")</f>
        <v>N/A</v>
      </c>
      <c r="P482" t="str">
        <f>RTD("tos.rtd", , "VOLUME", ".SPY150930P208.5")</f>
        <v>N/A</v>
      </c>
      <c r="Q482" t="str">
        <f>RTD("tos.rtd", , "OPEN_INT", ".SPY150930P208.5")</f>
        <v>N/A</v>
      </c>
      <c r="R482" t="str">
        <f>RTD("tos.rtd", , "DELTA", ".SPY150930P208.5")</f>
        <v>N/A</v>
      </c>
      <c r="S482" t="str">
        <f>RTD("tos.rtd", , "THETA", ".SPY150930P208.5")</f>
        <v>N/A</v>
      </c>
      <c r="T482" t="str">
        <f>RTD("tos.rtd", , "GAMMA", ".SPY150930P208.5")</f>
        <v>N/A</v>
      </c>
      <c r="U482" t="str">
        <f>RTD("tos.rtd", , "VEGA", ".SPY150930P208.5")</f>
        <v>N/A</v>
      </c>
      <c r="V482" t="str">
        <f>RTD("tos.rtd", , "RHO", ".SPY150930P208.5")</f>
        <v>N/A</v>
      </c>
    </row>
    <row r="483" spans="1:22" x14ac:dyDescent="0.25">
      <c r="A483">
        <f>RTD("tos.rtd", , "ASK", ".SPY150930C209")</f>
        <v>8.44</v>
      </c>
      <c r="B483">
        <f>RTD("tos.rtd", , "ASK_SIZE", ".SPY150930C209")</f>
        <v>131</v>
      </c>
      <c r="C483">
        <f>RTD("tos.rtd", , "BID", ".SPY150930C209")</f>
        <v>8.36</v>
      </c>
      <c r="D483">
        <f>RTD("tos.rtd", , "BID_SIZE", ".SPY150930C209")</f>
        <v>100</v>
      </c>
      <c r="E483">
        <f>RTD("tos.rtd", , "VOLUME", ".SPY150930C209")</f>
        <v>15</v>
      </c>
      <c r="F483">
        <f>RTD("tos.rtd", , "OPEN_INT", ".SPY150930C209")</f>
        <v>526</v>
      </c>
      <c r="G483">
        <f>RTD("tos.rtd", , "DELTA", ".SPY150930C209")</f>
        <v>0.54608999999999996</v>
      </c>
      <c r="H483">
        <f>RTD("tos.rtd", , "THETA", ".SPY150930C209")</f>
        <v>-2.145E-2</v>
      </c>
      <c r="I483">
        <f>RTD("tos.rtd", , "GAMMA", ".SPY150930C209")</f>
        <v>2.0879999999999999E-2</v>
      </c>
      <c r="J483">
        <f>RTD("tos.rtd", , "VEGA", ".SPY150930C209")</f>
        <v>0.53191999999999995</v>
      </c>
      <c r="K483">
        <f>RTD("tos.rtd", , "RHO", ".SPY150930C209")</f>
        <v>0.38896999999999998</v>
      </c>
      <c r="L483">
        <f>RTD("tos.rtd", , "ASK", ".SPY150930P209")</f>
        <v>7.36</v>
      </c>
      <c r="M483">
        <f>RTD("tos.rtd", , "ASK_SIZE", ".SPY150930P209")</f>
        <v>2672</v>
      </c>
      <c r="N483">
        <f>RTD("tos.rtd", , "BID", ".SPY150930P209")</f>
        <v>7.21</v>
      </c>
      <c r="O483">
        <f>RTD("tos.rtd", , "BID_SIZE", ".SPY150930P209")</f>
        <v>132</v>
      </c>
      <c r="P483">
        <f>RTD("tos.rtd", , "VOLUME", ".SPY150930P209")</f>
        <v>5</v>
      </c>
      <c r="Q483">
        <f>RTD("tos.rtd", , "OPEN_INT", ".SPY150930P209")</f>
        <v>1275</v>
      </c>
      <c r="R483">
        <f>RTD("tos.rtd", , "DELTA", ".SPY150930P209")</f>
        <v>-0.45457999999999998</v>
      </c>
      <c r="S483">
        <f>RTD("tos.rtd", , "THETA", ".SPY150930P209")</f>
        <v>-2.998E-2</v>
      </c>
      <c r="T483">
        <f>RTD("tos.rtd", , "GAMMA", ".SPY150930P209")</f>
        <v>1.9800000000000002E-2</v>
      </c>
      <c r="U483">
        <f>RTD("tos.rtd", , "VEGA", ".SPY150930P209")</f>
        <v>0.53374999999999995</v>
      </c>
      <c r="V483">
        <f>RTD("tos.rtd", , "RHO", ".SPY150930P209")</f>
        <v>-0.42393999999999998</v>
      </c>
    </row>
    <row r="484" spans="1:22" x14ac:dyDescent="0.25">
      <c r="A484" t="str">
        <f>RTD("tos.rtd", , "ASK", ".SPY150930C209.5")</f>
        <v>N/A</v>
      </c>
      <c r="B484" t="str">
        <f>RTD("tos.rtd", , "ASK_SIZE", ".SPY150930C209.5")</f>
        <v>N/A</v>
      </c>
      <c r="C484" t="str">
        <f>RTD("tos.rtd", , "BID", ".SPY150930C209.5")</f>
        <v>N/A</v>
      </c>
      <c r="D484" t="str">
        <f>RTD("tos.rtd", , "BID_SIZE", ".SPY150930C209.5")</f>
        <v>N/A</v>
      </c>
      <c r="E484" t="str">
        <f>RTD("tos.rtd", , "VOLUME", ".SPY150930C209.5")</f>
        <v>N/A</v>
      </c>
      <c r="F484" t="str">
        <f>RTD("tos.rtd", , "OPEN_INT", ".SPY150930C209.5")</f>
        <v>N/A</v>
      </c>
      <c r="G484" t="str">
        <f>RTD("tos.rtd", , "DELTA", ".SPY150930C209.5")</f>
        <v>N/A</v>
      </c>
      <c r="H484" t="str">
        <f>RTD("tos.rtd", , "THETA", ".SPY150930C209.5")</f>
        <v>N/A</v>
      </c>
      <c r="I484" t="str">
        <f>RTD("tos.rtd", , "GAMMA", ".SPY150930C209.5")</f>
        <v>N/A</v>
      </c>
      <c r="J484" t="str">
        <f>RTD("tos.rtd", , "VEGA", ".SPY150930C209.5")</f>
        <v>N/A</v>
      </c>
      <c r="K484" t="str">
        <f>RTD("tos.rtd", , "RHO", ".SPY150930C209.5")</f>
        <v>N/A</v>
      </c>
      <c r="L484" t="str">
        <f>RTD("tos.rtd", , "ASK", ".SPY150930P209.5")</f>
        <v>N/A</v>
      </c>
      <c r="M484" t="str">
        <f>RTD("tos.rtd", , "ASK_SIZE", ".SPY150930P209.5")</f>
        <v>N/A</v>
      </c>
      <c r="N484" t="str">
        <f>RTD("tos.rtd", , "BID", ".SPY150930P209.5")</f>
        <v>N/A</v>
      </c>
      <c r="O484" t="str">
        <f>RTD("tos.rtd", , "BID_SIZE", ".SPY150930P209.5")</f>
        <v>N/A</v>
      </c>
      <c r="P484" t="str">
        <f>RTD("tos.rtd", , "VOLUME", ".SPY150930P209.5")</f>
        <v>N/A</v>
      </c>
      <c r="Q484" t="str">
        <f>RTD("tos.rtd", , "OPEN_INT", ".SPY150930P209.5")</f>
        <v>N/A</v>
      </c>
      <c r="R484" t="str">
        <f>RTD("tos.rtd", , "DELTA", ".SPY150930P209.5")</f>
        <v>N/A</v>
      </c>
      <c r="S484" t="str">
        <f>RTD("tos.rtd", , "THETA", ".SPY150930P209.5")</f>
        <v>N/A</v>
      </c>
      <c r="T484" t="str">
        <f>RTD("tos.rtd", , "GAMMA", ".SPY150930P209.5")</f>
        <v>N/A</v>
      </c>
      <c r="U484" t="str">
        <f>RTD("tos.rtd", , "VEGA", ".SPY150930P209.5")</f>
        <v>N/A</v>
      </c>
      <c r="V484" t="str">
        <f>RTD("tos.rtd", , "RHO", ".SPY150930P209.5")</f>
        <v>N/A</v>
      </c>
    </row>
    <row r="485" spans="1:22" x14ac:dyDescent="0.25">
      <c r="A485">
        <f>RTD("tos.rtd", , "ASK", ".SPY150930C210")</f>
        <v>7.79</v>
      </c>
      <c r="B485">
        <f>RTD("tos.rtd", , "ASK_SIZE", ".SPY150930C210")</f>
        <v>131</v>
      </c>
      <c r="C485">
        <f>RTD("tos.rtd", , "BID", ".SPY150930C210")</f>
        <v>7.73</v>
      </c>
      <c r="D485">
        <f>RTD("tos.rtd", , "BID_SIZE", ".SPY150930C210")</f>
        <v>5</v>
      </c>
      <c r="E485">
        <f>RTD("tos.rtd", , "VOLUME", ".SPY150930C210")</f>
        <v>73</v>
      </c>
      <c r="F485">
        <f>RTD("tos.rtd", , "OPEN_INT", ".SPY150930C210")</f>
        <v>1518</v>
      </c>
      <c r="G485">
        <f>RTD("tos.rtd", , "DELTA", ".SPY150930C210")</f>
        <v>0.52485000000000004</v>
      </c>
      <c r="H485">
        <f>RTD("tos.rtd", , "THETA", ".SPY150930C210")</f>
        <v>-2.1250000000000002E-2</v>
      </c>
      <c r="I485">
        <f>RTD("tos.rtd", , "GAMMA", ".SPY150930C210")</f>
        <v>2.1360000000000001E-2</v>
      </c>
      <c r="J485">
        <f>RTD("tos.rtd", , "VEGA", ".SPY150930C210")</f>
        <v>0.53473000000000004</v>
      </c>
      <c r="K485">
        <f>RTD("tos.rtd", , "RHO", ".SPY150930C210")</f>
        <v>0.37841999999999998</v>
      </c>
      <c r="L485">
        <f>RTD("tos.rtd", , "ASK", ".SPY150930P210")</f>
        <v>7.74</v>
      </c>
      <c r="M485">
        <f>RTD("tos.rtd", , "ASK_SIZE", ".SPY150930P210")</f>
        <v>2517</v>
      </c>
      <c r="N485">
        <f>RTD("tos.rtd", , "BID", ".SPY150930P210")</f>
        <v>7.58</v>
      </c>
      <c r="O485">
        <f>RTD("tos.rtd", , "BID_SIZE", ".SPY150930P210")</f>
        <v>100</v>
      </c>
      <c r="P485">
        <f>RTD("tos.rtd", , "VOLUME", ".SPY150930P210")</f>
        <v>644</v>
      </c>
      <c r="Q485">
        <f>RTD("tos.rtd", , "OPEN_INT", ".SPY150930P210")</f>
        <v>1921</v>
      </c>
      <c r="R485">
        <f>RTD("tos.rtd", , "DELTA", ".SPY150930P210")</f>
        <v>-0.47491</v>
      </c>
      <c r="S485">
        <f>RTD("tos.rtd", , "THETA", ".SPY150930P210")</f>
        <v>-2.9829999999999999E-2</v>
      </c>
      <c r="T485">
        <f>RTD("tos.rtd", , "GAMMA", ".SPY150930P210")</f>
        <v>2.0279999999999999E-2</v>
      </c>
      <c r="U485">
        <f>RTD("tos.rtd", , "VEGA", ".SPY150930P210")</f>
        <v>0.53593999999999997</v>
      </c>
      <c r="V485">
        <f>RTD("tos.rtd", , "RHO", ".SPY150930P210")</f>
        <v>-0.44312000000000001</v>
      </c>
    </row>
    <row r="486" spans="1:22" x14ac:dyDescent="0.25">
      <c r="A486" t="str">
        <f>RTD("tos.rtd", , "ASK", ".SPY150930C210.5")</f>
        <v>N/A</v>
      </c>
      <c r="B486" t="str">
        <f>RTD("tos.rtd", , "ASK_SIZE", ".SPY150930C210.5")</f>
        <v>N/A</v>
      </c>
      <c r="C486" t="str">
        <f>RTD("tos.rtd", , "BID", ".SPY150930C210.5")</f>
        <v>N/A</v>
      </c>
      <c r="D486" t="str">
        <f>RTD("tos.rtd", , "BID_SIZE", ".SPY150930C210.5")</f>
        <v>N/A</v>
      </c>
      <c r="E486" t="str">
        <f>RTD("tos.rtd", , "VOLUME", ".SPY150930C210.5")</f>
        <v>N/A</v>
      </c>
      <c r="F486" t="str">
        <f>RTD("tos.rtd", , "OPEN_INT", ".SPY150930C210.5")</f>
        <v>N/A</v>
      </c>
      <c r="G486" t="str">
        <f>RTD("tos.rtd", , "DELTA", ".SPY150930C210.5")</f>
        <v>N/A</v>
      </c>
      <c r="H486" t="str">
        <f>RTD("tos.rtd", , "THETA", ".SPY150930C210.5")</f>
        <v>N/A</v>
      </c>
      <c r="I486" t="str">
        <f>RTD("tos.rtd", , "GAMMA", ".SPY150930C210.5")</f>
        <v>N/A</v>
      </c>
      <c r="J486" t="str">
        <f>RTD("tos.rtd", , "VEGA", ".SPY150930C210.5")</f>
        <v>N/A</v>
      </c>
      <c r="K486" t="str">
        <f>RTD("tos.rtd", , "RHO", ".SPY150930C210.5")</f>
        <v>N/A</v>
      </c>
      <c r="L486" t="str">
        <f>RTD("tos.rtd", , "ASK", ".SPY150930P210.5")</f>
        <v>N/A</v>
      </c>
      <c r="M486" t="str">
        <f>RTD("tos.rtd", , "ASK_SIZE", ".SPY150930P210.5")</f>
        <v>N/A</v>
      </c>
      <c r="N486" t="str">
        <f>RTD("tos.rtd", , "BID", ".SPY150930P210.5")</f>
        <v>N/A</v>
      </c>
      <c r="O486" t="str">
        <f>RTD("tos.rtd", , "BID_SIZE", ".SPY150930P210.5")</f>
        <v>N/A</v>
      </c>
      <c r="P486" t="str">
        <f>RTD("tos.rtd", , "VOLUME", ".SPY150930P210.5")</f>
        <v>N/A</v>
      </c>
      <c r="Q486" t="str">
        <f>RTD("tos.rtd", , "OPEN_INT", ".SPY150930P210.5")</f>
        <v>N/A</v>
      </c>
      <c r="R486" t="str">
        <f>RTD("tos.rtd", , "DELTA", ".SPY150930P210.5")</f>
        <v>N/A</v>
      </c>
      <c r="S486" t="str">
        <f>RTD("tos.rtd", , "THETA", ".SPY150930P210.5")</f>
        <v>N/A</v>
      </c>
      <c r="T486" t="str">
        <f>RTD("tos.rtd", , "GAMMA", ".SPY150930P210.5")</f>
        <v>N/A</v>
      </c>
      <c r="U486" t="str">
        <f>RTD("tos.rtd", , "VEGA", ".SPY150930P210.5")</f>
        <v>N/A</v>
      </c>
      <c r="V486" t="str">
        <f>RTD("tos.rtd", , "RHO", ".SPY150930P210.5")</f>
        <v>N/A</v>
      </c>
    </row>
    <row r="487" spans="1:22" x14ac:dyDescent="0.25">
      <c r="A487">
        <f>RTD("tos.rtd", , "ASK", ".SPY150930C211")</f>
        <v>7.16</v>
      </c>
      <c r="B487">
        <f>RTD("tos.rtd", , "ASK_SIZE", ".SPY150930C211")</f>
        <v>142</v>
      </c>
      <c r="C487">
        <f>RTD("tos.rtd", , "BID", ".SPY150930C211")</f>
        <v>7.11</v>
      </c>
      <c r="D487">
        <f>RTD("tos.rtd", , "BID_SIZE", ".SPY150930C211")</f>
        <v>5</v>
      </c>
      <c r="E487">
        <f>RTD("tos.rtd", , "VOLUME", ".SPY150930C211")</f>
        <v>105</v>
      </c>
      <c r="F487">
        <f>RTD("tos.rtd", , "OPEN_INT", ".SPY150930C211")</f>
        <v>2907</v>
      </c>
      <c r="G487">
        <f>RTD("tos.rtd", , "DELTA", ".SPY150930C211")</f>
        <v>0.50287000000000004</v>
      </c>
      <c r="H487">
        <f>RTD("tos.rtd", , "THETA", ".SPY150930C211")</f>
        <v>-2.0959999999999999E-2</v>
      </c>
      <c r="I487">
        <f>RTD("tos.rtd", , "GAMMA", ".SPY150930C211")</f>
        <v>2.172E-2</v>
      </c>
      <c r="J487">
        <f>RTD("tos.rtd", , "VEGA", ".SPY150930C211")</f>
        <v>0.53600999999999999</v>
      </c>
      <c r="K487">
        <f>RTD("tos.rtd", , "RHO", ".SPY150930C211")</f>
        <v>0.36682999999999999</v>
      </c>
      <c r="L487">
        <f>RTD("tos.rtd", , "ASK", ".SPY150930P211")</f>
        <v>8.14</v>
      </c>
      <c r="M487">
        <f>RTD("tos.rtd", , "ASK_SIZE", ".SPY150930P211")</f>
        <v>2692</v>
      </c>
      <c r="N487">
        <f>RTD("tos.rtd", , "BID", ".SPY150930P211")</f>
        <v>7.97</v>
      </c>
      <c r="O487">
        <f>RTD("tos.rtd", , "BID_SIZE", ".SPY150930P211")</f>
        <v>100</v>
      </c>
      <c r="P487">
        <f>RTD("tos.rtd", , "VOLUME", ".SPY150930P211")</f>
        <v>0</v>
      </c>
      <c r="Q487">
        <f>RTD("tos.rtd", , "OPEN_INT", ".SPY150930P211")</f>
        <v>1467</v>
      </c>
      <c r="R487">
        <f>RTD("tos.rtd", , "DELTA", ".SPY150930P211")</f>
        <v>-0.49591000000000002</v>
      </c>
      <c r="S487">
        <f>RTD("tos.rtd", , "THETA", ".SPY150930P211")</f>
        <v>-2.9610000000000001E-2</v>
      </c>
      <c r="T487">
        <f>RTD("tos.rtd", , "GAMMA", ".SPY150930P211")</f>
        <v>2.0639999999999999E-2</v>
      </c>
      <c r="U487">
        <f>RTD("tos.rtd", , "VEGA", ".SPY150930P211")</f>
        <v>0.53671999999999997</v>
      </c>
      <c r="V487">
        <f>RTD("tos.rtd", , "RHO", ".SPY150930P211")</f>
        <v>-0.46295999999999998</v>
      </c>
    </row>
    <row r="488" spans="1:22" x14ac:dyDescent="0.25">
      <c r="A488" t="str">
        <f>RTD("tos.rtd", , "ASK", ".SPY150930C211.5")</f>
        <v>N/A</v>
      </c>
      <c r="B488" t="str">
        <f>RTD("tos.rtd", , "ASK_SIZE", ".SPY150930C211.5")</f>
        <v>N/A</v>
      </c>
      <c r="C488" t="str">
        <f>RTD("tos.rtd", , "BID", ".SPY150930C211.5")</f>
        <v>N/A</v>
      </c>
      <c r="D488" t="str">
        <f>RTD("tos.rtd", , "BID_SIZE", ".SPY150930C211.5")</f>
        <v>N/A</v>
      </c>
      <c r="E488" t="str">
        <f>RTD("tos.rtd", , "VOLUME", ".SPY150930C211.5")</f>
        <v>N/A</v>
      </c>
      <c r="F488" t="str">
        <f>RTD("tos.rtd", , "OPEN_INT", ".SPY150930C211.5")</f>
        <v>N/A</v>
      </c>
      <c r="G488" t="str">
        <f>RTD("tos.rtd", , "DELTA", ".SPY150930C211.5")</f>
        <v>N/A</v>
      </c>
      <c r="H488" t="str">
        <f>RTD("tos.rtd", , "THETA", ".SPY150930C211.5")</f>
        <v>N/A</v>
      </c>
      <c r="I488" t="str">
        <f>RTD("tos.rtd", , "GAMMA", ".SPY150930C211.5")</f>
        <v>N/A</v>
      </c>
      <c r="J488" t="str">
        <f>RTD("tos.rtd", , "VEGA", ".SPY150930C211.5")</f>
        <v>N/A</v>
      </c>
      <c r="K488" t="str">
        <f>RTD("tos.rtd", , "RHO", ".SPY150930C211.5")</f>
        <v>N/A</v>
      </c>
      <c r="L488" t="str">
        <f>RTD("tos.rtd", , "ASK", ".SPY150930P211.5")</f>
        <v>N/A</v>
      </c>
      <c r="M488" t="str">
        <f>RTD("tos.rtd", , "ASK_SIZE", ".SPY150930P211.5")</f>
        <v>N/A</v>
      </c>
      <c r="N488" t="str">
        <f>RTD("tos.rtd", , "BID", ".SPY150930P211.5")</f>
        <v>N/A</v>
      </c>
      <c r="O488" t="str">
        <f>RTD("tos.rtd", , "BID_SIZE", ".SPY150930P211.5")</f>
        <v>N/A</v>
      </c>
      <c r="P488" t="str">
        <f>RTD("tos.rtd", , "VOLUME", ".SPY150930P211.5")</f>
        <v>N/A</v>
      </c>
      <c r="Q488" t="str">
        <f>RTD("tos.rtd", , "OPEN_INT", ".SPY150930P211.5")</f>
        <v>N/A</v>
      </c>
      <c r="R488" t="str">
        <f>RTD("tos.rtd", , "DELTA", ".SPY150930P211.5")</f>
        <v>N/A</v>
      </c>
      <c r="S488" t="str">
        <f>RTD("tos.rtd", , "THETA", ".SPY150930P211.5")</f>
        <v>N/A</v>
      </c>
      <c r="T488" t="str">
        <f>RTD("tos.rtd", , "GAMMA", ".SPY150930P211.5")</f>
        <v>N/A</v>
      </c>
      <c r="U488" t="str">
        <f>RTD("tos.rtd", , "VEGA", ".SPY150930P211.5")</f>
        <v>N/A</v>
      </c>
      <c r="V488" t="str">
        <f>RTD("tos.rtd", , "RHO", ".SPY150930P211.5")</f>
        <v>N/A</v>
      </c>
    </row>
    <row r="489" spans="1:22" x14ac:dyDescent="0.25">
      <c r="A489">
        <f>RTD("tos.rtd", , "ASK", ".SPY150930C212")</f>
        <v>6.59</v>
      </c>
      <c r="B489">
        <f>RTD("tos.rtd", , "ASK_SIZE", ".SPY150930C212")</f>
        <v>160</v>
      </c>
      <c r="C489">
        <f>RTD("tos.rtd", , "BID", ".SPY150930C212")</f>
        <v>6.48</v>
      </c>
      <c r="D489">
        <f>RTD("tos.rtd", , "BID_SIZE", ".SPY150930C212")</f>
        <v>100</v>
      </c>
      <c r="E489">
        <f>RTD("tos.rtd", , "VOLUME", ".SPY150930C212")</f>
        <v>0</v>
      </c>
      <c r="F489">
        <f>RTD("tos.rtd", , "OPEN_INT", ".SPY150930C212")</f>
        <v>1873</v>
      </c>
      <c r="G489">
        <f>RTD("tos.rtd", , "DELTA", ".SPY150930C212")</f>
        <v>0.48026999999999997</v>
      </c>
      <c r="H489">
        <f>RTD("tos.rtd", , "THETA", ".SPY150930C212")</f>
        <v>-2.0619999999999999E-2</v>
      </c>
      <c r="I489">
        <f>RTD("tos.rtd", , "GAMMA", ".SPY150930C212")</f>
        <v>2.2020000000000001E-2</v>
      </c>
      <c r="J489">
        <f>RTD("tos.rtd", , "VEGA", ".SPY150930C212")</f>
        <v>0.53564999999999996</v>
      </c>
      <c r="K489">
        <f>RTD("tos.rtd", , "RHO", ".SPY150930C212")</f>
        <v>0.3543</v>
      </c>
      <c r="L489">
        <f>RTD("tos.rtd", , "ASK", ".SPY150930P212")</f>
        <v>8.5500000000000007</v>
      </c>
      <c r="M489">
        <f>RTD("tos.rtd", , "ASK_SIZE", ".SPY150930P212")</f>
        <v>199</v>
      </c>
      <c r="N489">
        <f>RTD("tos.rtd", , "BID", ".SPY150930P212")</f>
        <v>8.3699999999999992</v>
      </c>
      <c r="O489">
        <f>RTD("tos.rtd", , "BID_SIZE", ".SPY150930P212")</f>
        <v>149</v>
      </c>
      <c r="P489">
        <f>RTD("tos.rtd", , "VOLUME", ".SPY150930P212")</f>
        <v>69</v>
      </c>
      <c r="Q489">
        <f>RTD("tos.rtd", , "OPEN_INT", ".SPY150930P212")</f>
        <v>1341</v>
      </c>
      <c r="R489">
        <f>RTD("tos.rtd", , "DELTA", ".SPY150930P212")</f>
        <v>-0.51756000000000002</v>
      </c>
      <c r="S489">
        <f>RTD("tos.rtd", , "THETA", ".SPY150930P212")</f>
        <v>-2.929E-2</v>
      </c>
      <c r="T489">
        <f>RTD("tos.rtd", , "GAMMA", ".SPY150930P212")</f>
        <v>2.0959999999999999E-2</v>
      </c>
      <c r="U489">
        <f>RTD("tos.rtd", , "VEGA", ".SPY150930P212")</f>
        <v>0.53595999999999999</v>
      </c>
      <c r="V489">
        <f>RTD("tos.rtd", , "RHO", ".SPY150930P212")</f>
        <v>-0.4834</v>
      </c>
    </row>
    <row r="490" spans="1:22" x14ac:dyDescent="0.25">
      <c r="A490" t="str">
        <f>RTD("tos.rtd", , "ASK", ".SPY150930C212.5")</f>
        <v>N/A</v>
      </c>
      <c r="B490" t="str">
        <f>RTD("tos.rtd", , "ASK_SIZE", ".SPY150930C212.5")</f>
        <v>N/A</v>
      </c>
      <c r="C490" t="str">
        <f>RTD("tos.rtd", , "BID", ".SPY150930C212.5")</f>
        <v>N/A</v>
      </c>
      <c r="D490" t="str">
        <f>RTD("tos.rtd", , "BID_SIZE", ".SPY150930C212.5")</f>
        <v>N/A</v>
      </c>
      <c r="E490" t="str">
        <f>RTD("tos.rtd", , "VOLUME", ".SPY150930C212.5")</f>
        <v>N/A</v>
      </c>
      <c r="F490" t="str">
        <f>RTD("tos.rtd", , "OPEN_INT", ".SPY150930C212.5")</f>
        <v>N/A</v>
      </c>
      <c r="G490" t="str">
        <f>RTD("tos.rtd", , "DELTA", ".SPY150930C212.5")</f>
        <v>N/A</v>
      </c>
      <c r="H490" t="str">
        <f>RTD("tos.rtd", , "THETA", ".SPY150930C212.5")</f>
        <v>N/A</v>
      </c>
      <c r="I490" t="str">
        <f>RTD("tos.rtd", , "GAMMA", ".SPY150930C212.5")</f>
        <v>N/A</v>
      </c>
      <c r="J490" t="str">
        <f>RTD("tos.rtd", , "VEGA", ".SPY150930C212.5")</f>
        <v>N/A</v>
      </c>
      <c r="K490" t="str">
        <f>RTD("tos.rtd", , "RHO", ".SPY150930C212.5")</f>
        <v>N/A</v>
      </c>
      <c r="L490" t="str">
        <f>RTD("tos.rtd", , "ASK", ".SPY150930P212.5")</f>
        <v>N/A</v>
      </c>
      <c r="M490" t="str">
        <f>RTD("tos.rtd", , "ASK_SIZE", ".SPY150930P212.5")</f>
        <v>N/A</v>
      </c>
      <c r="N490" t="str">
        <f>RTD("tos.rtd", , "BID", ".SPY150930P212.5")</f>
        <v>N/A</v>
      </c>
      <c r="O490" t="str">
        <f>RTD("tos.rtd", , "BID_SIZE", ".SPY150930P212.5")</f>
        <v>N/A</v>
      </c>
      <c r="P490" t="str">
        <f>RTD("tos.rtd", , "VOLUME", ".SPY150930P212.5")</f>
        <v>N/A</v>
      </c>
      <c r="Q490" t="str">
        <f>RTD("tos.rtd", , "OPEN_INT", ".SPY150930P212.5")</f>
        <v>N/A</v>
      </c>
      <c r="R490" t="str">
        <f>RTD("tos.rtd", , "DELTA", ".SPY150930P212.5")</f>
        <v>N/A</v>
      </c>
      <c r="S490" t="str">
        <f>RTD("tos.rtd", , "THETA", ".SPY150930P212.5")</f>
        <v>N/A</v>
      </c>
      <c r="T490" t="str">
        <f>RTD("tos.rtd", , "GAMMA", ".SPY150930P212.5")</f>
        <v>N/A</v>
      </c>
      <c r="U490" t="str">
        <f>RTD("tos.rtd", , "VEGA", ".SPY150930P212.5")</f>
        <v>N/A</v>
      </c>
      <c r="V490" t="str">
        <f>RTD("tos.rtd", , "RHO", ".SPY150930P212.5")</f>
        <v>N/A</v>
      </c>
    </row>
    <row r="491" spans="1:22" x14ac:dyDescent="0.25">
      <c r="A491">
        <f>RTD("tos.rtd", , "ASK", ".SPY150930C213")</f>
        <v>6.02</v>
      </c>
      <c r="B491">
        <f>RTD("tos.rtd", , "ASK_SIZE", ".SPY150930C213")</f>
        <v>164</v>
      </c>
      <c r="C491">
        <f>RTD("tos.rtd", , "BID", ".SPY150930C213")</f>
        <v>5.9</v>
      </c>
      <c r="D491">
        <f>RTD("tos.rtd", , "BID_SIZE", ".SPY150930C213")</f>
        <v>100</v>
      </c>
      <c r="E491">
        <f>RTD("tos.rtd", , "VOLUME", ".SPY150930C213")</f>
        <v>0</v>
      </c>
      <c r="F491">
        <f>RTD("tos.rtd", , "OPEN_INT", ".SPY150930C213")</f>
        <v>126</v>
      </c>
      <c r="G491">
        <f>RTD("tos.rtd", , "DELTA", ".SPY150930C213")</f>
        <v>0.45707999999999999</v>
      </c>
      <c r="H491">
        <f>RTD("tos.rtd", , "THETA", ".SPY150930C213")</f>
        <v>-2.0219999999999998E-2</v>
      </c>
      <c r="I491">
        <f>RTD("tos.rtd", , "GAMMA", ".SPY150930C213")</f>
        <v>2.2280000000000001E-2</v>
      </c>
      <c r="J491">
        <f>RTD("tos.rtd", , "VEGA", ".SPY150930C213")</f>
        <v>0.53347</v>
      </c>
      <c r="K491">
        <f>RTD("tos.rtd", , "RHO", ".SPY150930C213")</f>
        <v>0.34083000000000002</v>
      </c>
      <c r="L491">
        <f>RTD("tos.rtd", , "ASK", ".SPY150930P213")</f>
        <v>8.99</v>
      </c>
      <c r="M491">
        <f>RTD("tos.rtd", , "ASK_SIZE", ".SPY150930P213")</f>
        <v>199</v>
      </c>
      <c r="N491">
        <f>RTD("tos.rtd", , "BID", ".SPY150930P213")</f>
        <v>8.8000000000000007</v>
      </c>
      <c r="O491">
        <f>RTD("tos.rtd", , "BID_SIZE", ".SPY150930P213")</f>
        <v>144</v>
      </c>
      <c r="P491">
        <f>RTD("tos.rtd", , "VOLUME", ".SPY150930P213")</f>
        <v>136</v>
      </c>
      <c r="Q491">
        <f>RTD("tos.rtd", , "OPEN_INT", ".SPY150930P213")</f>
        <v>1655</v>
      </c>
      <c r="R491">
        <f>RTD("tos.rtd", , "DELTA", ".SPY150930P213")</f>
        <v>-0.53973000000000004</v>
      </c>
      <c r="S491">
        <f>RTD("tos.rtd", , "THETA", ".SPY150930P213")</f>
        <v>-2.8930000000000001E-2</v>
      </c>
      <c r="T491">
        <f>RTD("tos.rtd", , "GAMMA", ".SPY150930P213")</f>
        <v>2.1239999999999998E-2</v>
      </c>
      <c r="U491">
        <f>RTD("tos.rtd", , "VEGA", ".SPY150930P213")</f>
        <v>0.53352999999999995</v>
      </c>
      <c r="V491">
        <f>RTD("tos.rtd", , "RHO", ".SPY150930P213")</f>
        <v>-0.50444</v>
      </c>
    </row>
    <row r="492" spans="1:22" x14ac:dyDescent="0.25">
      <c r="A492" t="str">
        <f>RTD("tos.rtd", , "ASK", ".SPY150930C213.5")</f>
        <v>N/A</v>
      </c>
      <c r="B492" t="str">
        <f>RTD("tos.rtd", , "ASK_SIZE", ".SPY150930C213.5")</f>
        <v>N/A</v>
      </c>
      <c r="C492" t="str">
        <f>RTD("tos.rtd", , "BID", ".SPY150930C213.5")</f>
        <v>N/A</v>
      </c>
      <c r="D492" t="str">
        <f>RTD("tos.rtd", , "BID_SIZE", ".SPY150930C213.5")</f>
        <v>N/A</v>
      </c>
      <c r="E492" t="str">
        <f>RTD("tos.rtd", , "VOLUME", ".SPY150930C213.5")</f>
        <v>N/A</v>
      </c>
      <c r="F492" t="str">
        <f>RTD("tos.rtd", , "OPEN_INT", ".SPY150930C213.5")</f>
        <v>N/A</v>
      </c>
      <c r="G492" t="str">
        <f>RTD("tos.rtd", , "DELTA", ".SPY150930C213.5")</f>
        <v>N/A</v>
      </c>
      <c r="H492" t="str">
        <f>RTD("tos.rtd", , "THETA", ".SPY150930C213.5")</f>
        <v>N/A</v>
      </c>
      <c r="I492" t="str">
        <f>RTD("tos.rtd", , "GAMMA", ".SPY150930C213.5")</f>
        <v>N/A</v>
      </c>
      <c r="J492" t="str">
        <f>RTD("tos.rtd", , "VEGA", ".SPY150930C213.5")</f>
        <v>N/A</v>
      </c>
      <c r="K492" t="str">
        <f>RTD("tos.rtd", , "RHO", ".SPY150930C213.5")</f>
        <v>N/A</v>
      </c>
      <c r="L492" t="str">
        <f>RTD("tos.rtd", , "ASK", ".SPY150930P213.5")</f>
        <v>N/A</v>
      </c>
      <c r="M492" t="str">
        <f>RTD("tos.rtd", , "ASK_SIZE", ".SPY150930P213.5")</f>
        <v>N/A</v>
      </c>
      <c r="N492" t="str">
        <f>RTD("tos.rtd", , "BID", ".SPY150930P213.5")</f>
        <v>N/A</v>
      </c>
      <c r="O492" t="str">
        <f>RTD("tos.rtd", , "BID_SIZE", ".SPY150930P213.5")</f>
        <v>N/A</v>
      </c>
      <c r="P492" t="str">
        <f>RTD("tos.rtd", , "VOLUME", ".SPY150930P213.5")</f>
        <v>N/A</v>
      </c>
      <c r="Q492" t="str">
        <f>RTD("tos.rtd", , "OPEN_INT", ".SPY150930P213.5")</f>
        <v>N/A</v>
      </c>
      <c r="R492" t="str">
        <f>RTD("tos.rtd", , "DELTA", ".SPY150930P213.5")</f>
        <v>N/A</v>
      </c>
      <c r="S492" t="str">
        <f>RTD("tos.rtd", , "THETA", ".SPY150930P213.5")</f>
        <v>N/A</v>
      </c>
      <c r="T492" t="str">
        <f>RTD("tos.rtd", , "GAMMA", ".SPY150930P213.5")</f>
        <v>N/A</v>
      </c>
      <c r="U492" t="str">
        <f>RTD("tos.rtd", , "VEGA", ".SPY150930P213.5")</f>
        <v>N/A</v>
      </c>
      <c r="V492" t="str">
        <f>RTD("tos.rtd", , "RHO", ".SPY150930P213.5")</f>
        <v>N/A</v>
      </c>
    </row>
    <row r="493" spans="1:22" x14ac:dyDescent="0.25">
      <c r="A493">
        <f>RTD("tos.rtd", , "ASK", ".SPY150930C214")</f>
        <v>5.42</v>
      </c>
      <c r="B493">
        <f>RTD("tos.rtd", , "ASK_SIZE", ".SPY150930C214")</f>
        <v>131</v>
      </c>
      <c r="C493">
        <f>RTD("tos.rtd", , "BID", ".SPY150930C214")</f>
        <v>5.35</v>
      </c>
      <c r="D493">
        <f>RTD("tos.rtd", , "BID_SIZE", ".SPY150930C214")</f>
        <v>100</v>
      </c>
      <c r="E493">
        <f>RTD("tos.rtd", , "VOLUME", ".SPY150930C214")</f>
        <v>0</v>
      </c>
      <c r="F493">
        <f>RTD("tos.rtd", , "OPEN_INT", ".SPY150930C214")</f>
        <v>247</v>
      </c>
      <c r="G493">
        <f>RTD("tos.rtd", , "DELTA", ".SPY150930C214")</f>
        <v>0.43290000000000001</v>
      </c>
      <c r="H493">
        <f>RTD("tos.rtd", , "THETA", ".SPY150930C214")</f>
        <v>-1.9650000000000001E-2</v>
      </c>
      <c r="I493">
        <f>RTD("tos.rtd", , "GAMMA", ".SPY150930C214")</f>
        <v>2.256E-2</v>
      </c>
      <c r="J493">
        <f>RTD("tos.rtd", , "VEGA", ".SPY150930C214")</f>
        <v>0.52925</v>
      </c>
      <c r="K493">
        <f>RTD("tos.rtd", , "RHO", ".SPY150930C214")</f>
        <v>0.32617000000000002</v>
      </c>
      <c r="L493">
        <f>RTD("tos.rtd", , "ASK", ".SPY150930P214")</f>
        <v>9.4700000000000006</v>
      </c>
      <c r="M493">
        <f>RTD("tos.rtd", , "ASK_SIZE", ".SPY150930P214")</f>
        <v>176</v>
      </c>
      <c r="N493">
        <f>RTD("tos.rtd", , "BID", ".SPY150930P214")</f>
        <v>9.26</v>
      </c>
      <c r="O493">
        <f>RTD("tos.rtd", , "BID_SIZE", ".SPY150930P214")</f>
        <v>148</v>
      </c>
      <c r="P493">
        <f>RTD("tos.rtd", , "VOLUME", ".SPY150930P214")</f>
        <v>5</v>
      </c>
      <c r="Q493">
        <f>RTD("tos.rtd", , "OPEN_INT", ".SPY150930P214")</f>
        <v>100</v>
      </c>
      <c r="R493">
        <f>RTD("tos.rtd", , "DELTA", ".SPY150930P214")</f>
        <v>-0.56232000000000004</v>
      </c>
      <c r="S493">
        <f>RTD("tos.rtd", , "THETA", ".SPY150930P214")</f>
        <v>-2.8539999999999999E-2</v>
      </c>
      <c r="T493">
        <f>RTD("tos.rtd", , "GAMMA", ".SPY150930P214")</f>
        <v>2.1420000000000002E-2</v>
      </c>
      <c r="U493">
        <f>RTD("tos.rtd", , "VEGA", ".SPY150930P214")</f>
        <v>0.52932999999999997</v>
      </c>
      <c r="V493">
        <f>RTD("tos.rtd", , "RHO", ".SPY150930P214")</f>
        <v>-0.52598</v>
      </c>
    </row>
    <row r="494" spans="1:22" x14ac:dyDescent="0.25">
      <c r="A494" t="str">
        <f>RTD("tos.rtd", , "ASK", ".SPY150930C214.5")</f>
        <v>N/A</v>
      </c>
      <c r="B494" t="str">
        <f>RTD("tos.rtd", , "ASK_SIZE", ".SPY150930C214.5")</f>
        <v>N/A</v>
      </c>
      <c r="C494" t="str">
        <f>RTD("tos.rtd", , "BID", ".SPY150930C214.5")</f>
        <v>N/A</v>
      </c>
      <c r="D494" t="str">
        <f>RTD("tos.rtd", , "BID_SIZE", ".SPY150930C214.5")</f>
        <v>N/A</v>
      </c>
      <c r="E494" t="str">
        <f>RTD("tos.rtd", , "VOLUME", ".SPY150930C214.5")</f>
        <v>N/A</v>
      </c>
      <c r="F494" t="str">
        <f>RTD("tos.rtd", , "OPEN_INT", ".SPY150930C214.5")</f>
        <v>N/A</v>
      </c>
      <c r="G494" t="str">
        <f>RTD("tos.rtd", , "DELTA", ".SPY150930C214.5")</f>
        <v>N/A</v>
      </c>
      <c r="H494" t="str">
        <f>RTD("tos.rtd", , "THETA", ".SPY150930C214.5")</f>
        <v>N/A</v>
      </c>
      <c r="I494" t="str">
        <f>RTD("tos.rtd", , "GAMMA", ".SPY150930C214.5")</f>
        <v>N/A</v>
      </c>
      <c r="J494" t="str">
        <f>RTD("tos.rtd", , "VEGA", ".SPY150930C214.5")</f>
        <v>N/A</v>
      </c>
      <c r="K494" t="str">
        <f>RTD("tos.rtd", , "RHO", ".SPY150930C214.5")</f>
        <v>N/A</v>
      </c>
      <c r="L494" t="str">
        <f>RTD("tos.rtd", , "ASK", ".SPY150930P214.5")</f>
        <v>N/A</v>
      </c>
      <c r="M494" t="str">
        <f>RTD("tos.rtd", , "ASK_SIZE", ".SPY150930P214.5")</f>
        <v>N/A</v>
      </c>
      <c r="N494" t="str">
        <f>RTD("tos.rtd", , "BID", ".SPY150930P214.5")</f>
        <v>N/A</v>
      </c>
      <c r="O494" t="str">
        <f>RTD("tos.rtd", , "BID_SIZE", ".SPY150930P214.5")</f>
        <v>N/A</v>
      </c>
      <c r="P494" t="str">
        <f>RTD("tos.rtd", , "VOLUME", ".SPY150930P214.5")</f>
        <v>N/A</v>
      </c>
      <c r="Q494" t="str">
        <f>RTD("tos.rtd", , "OPEN_INT", ".SPY150930P214.5")</f>
        <v>N/A</v>
      </c>
      <c r="R494" t="str">
        <f>RTD("tos.rtd", , "DELTA", ".SPY150930P214.5")</f>
        <v>N/A</v>
      </c>
      <c r="S494" t="str">
        <f>RTD("tos.rtd", , "THETA", ".SPY150930P214.5")</f>
        <v>N/A</v>
      </c>
      <c r="T494" t="str">
        <f>RTD("tos.rtd", , "GAMMA", ".SPY150930P214.5")</f>
        <v>N/A</v>
      </c>
      <c r="U494" t="str">
        <f>RTD("tos.rtd", , "VEGA", ".SPY150930P214.5")</f>
        <v>N/A</v>
      </c>
      <c r="V494" t="str">
        <f>RTD("tos.rtd", , "RHO", ".SPY150930P214.5")</f>
        <v>N/A</v>
      </c>
    </row>
    <row r="495" spans="1:22" x14ac:dyDescent="0.25">
      <c r="A495">
        <f>RTD("tos.rtd", , "ASK", ".SPY150930C215")</f>
        <v>4.88</v>
      </c>
      <c r="B495">
        <f>RTD("tos.rtd", , "ASK_SIZE", ".SPY150930C215")</f>
        <v>117</v>
      </c>
      <c r="C495">
        <f>RTD("tos.rtd", , "BID", ".SPY150930C215")</f>
        <v>4.84</v>
      </c>
      <c r="D495">
        <f>RTD("tos.rtd", , "BID_SIZE", ".SPY150930C215")</f>
        <v>5</v>
      </c>
      <c r="E495">
        <f>RTD("tos.rtd", , "VOLUME", ".SPY150930C215")</f>
        <v>257</v>
      </c>
      <c r="F495">
        <f>RTD("tos.rtd", , "OPEN_INT", ".SPY150930C215")</f>
        <v>3188</v>
      </c>
      <c r="G495">
        <f>RTD("tos.rtd", , "DELTA", ".SPY150930C215")</f>
        <v>0.40848000000000001</v>
      </c>
      <c r="H495">
        <f>RTD("tos.rtd", , "THETA", ".SPY150930C215")</f>
        <v>-1.9099999999999999E-2</v>
      </c>
      <c r="I495">
        <f>RTD("tos.rtd", , "GAMMA", ".SPY150930C215")</f>
        <v>2.2669999999999999E-2</v>
      </c>
      <c r="J495">
        <f>RTD("tos.rtd", , "VEGA", ".SPY150930C215")</f>
        <v>0.52295999999999998</v>
      </c>
      <c r="K495">
        <f>RTD("tos.rtd", , "RHO", ".SPY150930C215")</f>
        <v>0.31081999999999999</v>
      </c>
      <c r="L495">
        <f>RTD("tos.rtd", , "ASK", ".SPY150930P215")</f>
        <v>10.029999999999999</v>
      </c>
      <c r="M495">
        <f>RTD("tos.rtd", , "ASK_SIZE", ".SPY150930P215")</f>
        <v>232</v>
      </c>
      <c r="N495">
        <f>RTD("tos.rtd", , "BID", ".SPY150930P215")</f>
        <v>9.67</v>
      </c>
      <c r="O495">
        <f>RTD("tos.rtd", , "BID_SIZE", ".SPY150930P215")</f>
        <v>187</v>
      </c>
      <c r="P495">
        <f>RTD("tos.rtd", , "VOLUME", ".SPY150930P215")</f>
        <v>0</v>
      </c>
      <c r="Q495">
        <f>RTD("tos.rtd", , "OPEN_INT", ".SPY150930P215")</f>
        <v>1576</v>
      </c>
      <c r="R495">
        <f>RTD("tos.rtd", , "DELTA", ".SPY150930P215")</f>
        <v>-0.58548</v>
      </c>
      <c r="S495">
        <f>RTD("tos.rtd", , "THETA", ".SPY150930P215")</f>
        <v>-2.8049999999999999E-2</v>
      </c>
      <c r="T495">
        <f>RTD("tos.rtd", , "GAMMA", ".SPY150930P215")</f>
        <v>2.1559999999999999E-2</v>
      </c>
      <c r="U495">
        <f>RTD("tos.rtd", , "VEGA", ".SPY150930P215")</f>
        <v>0.5232</v>
      </c>
      <c r="V495">
        <f>RTD("tos.rtd", , "RHO", ".SPY150930P215")</f>
        <v>-0.54806999999999995</v>
      </c>
    </row>
    <row r="496" spans="1:22" x14ac:dyDescent="0.25">
      <c r="A496" t="str">
        <f>RTD("tos.rtd", , "ASK", ".SPY150930C215.5")</f>
        <v>N/A</v>
      </c>
      <c r="B496" t="str">
        <f>RTD("tos.rtd", , "ASK_SIZE", ".SPY150930C215.5")</f>
        <v>N/A</v>
      </c>
      <c r="C496" t="str">
        <f>RTD("tos.rtd", , "BID", ".SPY150930C215.5")</f>
        <v>N/A</v>
      </c>
      <c r="D496" t="str">
        <f>RTD("tos.rtd", , "BID_SIZE", ".SPY150930C215.5")</f>
        <v>N/A</v>
      </c>
      <c r="E496" t="str">
        <f>RTD("tos.rtd", , "VOLUME", ".SPY150930C215.5")</f>
        <v>N/A</v>
      </c>
      <c r="F496" t="str">
        <f>RTD("tos.rtd", , "OPEN_INT", ".SPY150930C215.5")</f>
        <v>N/A</v>
      </c>
      <c r="G496" t="str">
        <f>RTD("tos.rtd", , "DELTA", ".SPY150930C215.5")</f>
        <v>N/A</v>
      </c>
      <c r="H496" t="str">
        <f>RTD("tos.rtd", , "THETA", ".SPY150930C215.5")</f>
        <v>N/A</v>
      </c>
      <c r="I496" t="str">
        <f>RTD("tos.rtd", , "GAMMA", ".SPY150930C215.5")</f>
        <v>N/A</v>
      </c>
      <c r="J496" t="str">
        <f>RTD("tos.rtd", , "VEGA", ".SPY150930C215.5")</f>
        <v>N/A</v>
      </c>
      <c r="K496" t="str">
        <f>RTD("tos.rtd", , "RHO", ".SPY150930C215.5")</f>
        <v>N/A</v>
      </c>
      <c r="L496" t="str">
        <f>RTD("tos.rtd", , "ASK", ".SPY150930P215.5")</f>
        <v>N/A</v>
      </c>
      <c r="M496" t="str">
        <f>RTD("tos.rtd", , "ASK_SIZE", ".SPY150930P215.5")</f>
        <v>N/A</v>
      </c>
      <c r="N496" t="str">
        <f>RTD("tos.rtd", , "BID", ".SPY150930P215.5")</f>
        <v>N/A</v>
      </c>
      <c r="O496" t="str">
        <f>RTD("tos.rtd", , "BID_SIZE", ".SPY150930P215.5")</f>
        <v>N/A</v>
      </c>
      <c r="P496" t="str">
        <f>RTD("tos.rtd", , "VOLUME", ".SPY150930P215.5")</f>
        <v>N/A</v>
      </c>
      <c r="Q496" t="str">
        <f>RTD("tos.rtd", , "OPEN_INT", ".SPY150930P215.5")</f>
        <v>N/A</v>
      </c>
      <c r="R496" t="str">
        <f>RTD("tos.rtd", , "DELTA", ".SPY150930P215.5")</f>
        <v>N/A</v>
      </c>
      <c r="S496" t="str">
        <f>RTD("tos.rtd", , "THETA", ".SPY150930P215.5")</f>
        <v>N/A</v>
      </c>
      <c r="T496" t="str">
        <f>RTD("tos.rtd", , "GAMMA", ".SPY150930P215.5")</f>
        <v>N/A</v>
      </c>
      <c r="U496" t="str">
        <f>RTD("tos.rtd", , "VEGA", ".SPY150930P215.5")</f>
        <v>N/A</v>
      </c>
      <c r="V496" t="str">
        <f>RTD("tos.rtd", , "RHO", ".SPY150930P215.5")</f>
        <v>N/A</v>
      </c>
    </row>
    <row r="497" spans="1:22" x14ac:dyDescent="0.25">
      <c r="A497" t="str">
        <f>RTD("tos.rtd", , "ASK", ".SPY150930C216")</f>
        <v>N/A</v>
      </c>
      <c r="B497" t="str">
        <f>RTD("tos.rtd", , "ASK_SIZE", ".SPY150930C216")</f>
        <v>N/A</v>
      </c>
      <c r="C497" t="str">
        <f>RTD("tos.rtd", , "BID", ".SPY150930C216")</f>
        <v>N/A</v>
      </c>
      <c r="D497" t="str">
        <f>RTD("tos.rtd", , "BID_SIZE", ".SPY150930C216")</f>
        <v>N/A</v>
      </c>
      <c r="E497" t="str">
        <f>RTD("tos.rtd", , "VOLUME", ".SPY150930C216")</f>
        <v>N/A</v>
      </c>
      <c r="F497" t="str">
        <f>RTD("tos.rtd", , "OPEN_INT", ".SPY150930C216")</f>
        <v>N/A</v>
      </c>
      <c r="G497" t="str">
        <f>RTD("tos.rtd", , "DELTA", ".SPY150930C216")</f>
        <v>N/A</v>
      </c>
      <c r="H497" t="str">
        <f>RTD("tos.rtd", , "THETA", ".SPY150930C216")</f>
        <v>N/A</v>
      </c>
      <c r="I497" t="str">
        <f>RTD("tos.rtd", , "GAMMA", ".SPY150930C216")</f>
        <v>N/A</v>
      </c>
      <c r="J497" t="str">
        <f>RTD("tos.rtd", , "VEGA", ".SPY150930C216")</f>
        <v>N/A</v>
      </c>
      <c r="K497" t="str">
        <f>RTD("tos.rtd", , "RHO", ".SPY150930C216")</f>
        <v>N/A</v>
      </c>
      <c r="L497" t="str">
        <f>RTD("tos.rtd", , "ASK", ".SPY150930P216")</f>
        <v>N/A</v>
      </c>
      <c r="M497" t="str">
        <f>RTD("tos.rtd", , "ASK_SIZE", ".SPY150930P216")</f>
        <v>N/A</v>
      </c>
      <c r="N497" t="str">
        <f>RTD("tos.rtd", , "BID", ".SPY150930P216")</f>
        <v>N/A</v>
      </c>
      <c r="O497" t="str">
        <f>RTD("tos.rtd", , "BID_SIZE", ".SPY150930P216")</f>
        <v>N/A</v>
      </c>
      <c r="P497" t="str">
        <f>RTD("tos.rtd", , "VOLUME", ".SPY150930P216")</f>
        <v>N/A</v>
      </c>
      <c r="Q497" t="str">
        <f>RTD("tos.rtd", , "OPEN_INT", ".SPY150930P216")</f>
        <v>N/A</v>
      </c>
      <c r="R497" t="str">
        <f>RTD("tos.rtd", , "DELTA", ".SPY150930P216")</f>
        <v>N/A</v>
      </c>
      <c r="S497" t="str">
        <f>RTD("tos.rtd", , "THETA", ".SPY150930P216")</f>
        <v>N/A</v>
      </c>
      <c r="T497" t="str">
        <f>RTD("tos.rtd", , "GAMMA", ".SPY150930P216")</f>
        <v>N/A</v>
      </c>
      <c r="U497" t="str">
        <f>RTD("tos.rtd", , "VEGA", ".SPY150930P216")</f>
        <v>N/A</v>
      </c>
      <c r="V497" t="str">
        <f>RTD("tos.rtd", , "RHO", ".SPY150930P216")</f>
        <v>N/A</v>
      </c>
    </row>
    <row r="498" spans="1:22" x14ac:dyDescent="0.25">
      <c r="A498" t="str">
        <f>RTD("tos.rtd", , "ASK", ".SPY150930C216.5")</f>
        <v>N/A</v>
      </c>
      <c r="B498" t="str">
        <f>RTD("tos.rtd", , "ASK_SIZE", ".SPY150930C216.5")</f>
        <v>N/A</v>
      </c>
      <c r="C498" t="str">
        <f>RTD("tos.rtd", , "BID", ".SPY150930C216.5")</f>
        <v>N/A</v>
      </c>
      <c r="D498" t="str">
        <f>RTD("tos.rtd", , "BID_SIZE", ".SPY150930C216.5")</f>
        <v>N/A</v>
      </c>
      <c r="E498" t="str">
        <f>RTD("tos.rtd", , "VOLUME", ".SPY150930C216.5")</f>
        <v>N/A</v>
      </c>
      <c r="F498" t="str">
        <f>RTD("tos.rtd", , "OPEN_INT", ".SPY150930C216.5")</f>
        <v>N/A</v>
      </c>
      <c r="G498" t="str">
        <f>RTD("tos.rtd", , "DELTA", ".SPY150930C216.5")</f>
        <v>N/A</v>
      </c>
      <c r="H498" t="str">
        <f>RTD("tos.rtd", , "THETA", ".SPY150930C216.5")</f>
        <v>N/A</v>
      </c>
      <c r="I498" t="str">
        <f>RTD("tos.rtd", , "GAMMA", ".SPY150930C216.5")</f>
        <v>N/A</v>
      </c>
      <c r="J498" t="str">
        <f>RTD("tos.rtd", , "VEGA", ".SPY150930C216.5")</f>
        <v>N/A</v>
      </c>
      <c r="K498" t="str">
        <f>RTD("tos.rtd", , "RHO", ".SPY150930C216.5")</f>
        <v>N/A</v>
      </c>
      <c r="L498" t="str">
        <f>RTD("tos.rtd", , "ASK", ".SPY150930P216.5")</f>
        <v>N/A</v>
      </c>
      <c r="M498" t="str">
        <f>RTD("tos.rtd", , "ASK_SIZE", ".SPY150930P216.5")</f>
        <v>N/A</v>
      </c>
      <c r="N498" t="str">
        <f>RTD("tos.rtd", , "BID", ".SPY150930P216.5")</f>
        <v>N/A</v>
      </c>
      <c r="O498" t="str">
        <f>RTD("tos.rtd", , "BID_SIZE", ".SPY150930P216.5")</f>
        <v>N/A</v>
      </c>
      <c r="P498" t="str">
        <f>RTD("tos.rtd", , "VOLUME", ".SPY150930P216.5")</f>
        <v>N/A</v>
      </c>
      <c r="Q498" t="str">
        <f>RTD("tos.rtd", , "OPEN_INT", ".SPY150930P216.5")</f>
        <v>N/A</v>
      </c>
      <c r="R498" t="str">
        <f>RTD("tos.rtd", , "DELTA", ".SPY150930P216.5")</f>
        <v>N/A</v>
      </c>
      <c r="S498" t="str">
        <f>RTD("tos.rtd", , "THETA", ".SPY150930P216.5")</f>
        <v>N/A</v>
      </c>
      <c r="T498" t="str">
        <f>RTD("tos.rtd", , "GAMMA", ".SPY150930P216.5")</f>
        <v>N/A</v>
      </c>
      <c r="U498" t="str">
        <f>RTD("tos.rtd", , "VEGA", ".SPY150930P216.5")</f>
        <v>N/A</v>
      </c>
      <c r="V498" t="str">
        <f>RTD("tos.rtd", , "RHO", ".SPY150930P216.5")</f>
        <v>N/A</v>
      </c>
    </row>
    <row r="499" spans="1:22" x14ac:dyDescent="0.25">
      <c r="A499" t="str">
        <f>RTD("tos.rtd", , "ASK", ".SPY150930C217")</f>
        <v>N/A</v>
      </c>
      <c r="B499" t="str">
        <f>RTD("tos.rtd", , "ASK_SIZE", ".SPY150930C217")</f>
        <v>N/A</v>
      </c>
      <c r="C499" t="str">
        <f>RTD("tos.rtd", , "BID", ".SPY150930C217")</f>
        <v>N/A</v>
      </c>
      <c r="D499" t="str">
        <f>RTD("tos.rtd", , "BID_SIZE", ".SPY150930C217")</f>
        <v>N/A</v>
      </c>
      <c r="E499" t="str">
        <f>RTD("tos.rtd", , "VOLUME", ".SPY150930C217")</f>
        <v>N/A</v>
      </c>
      <c r="F499" t="str">
        <f>RTD("tos.rtd", , "OPEN_INT", ".SPY150930C217")</f>
        <v>N/A</v>
      </c>
      <c r="G499" t="str">
        <f>RTD("tos.rtd", , "DELTA", ".SPY150930C217")</f>
        <v>N/A</v>
      </c>
      <c r="H499" t="str">
        <f>RTD("tos.rtd", , "THETA", ".SPY150930C217")</f>
        <v>N/A</v>
      </c>
      <c r="I499" t="str">
        <f>RTD("tos.rtd", , "GAMMA", ".SPY150930C217")</f>
        <v>N/A</v>
      </c>
      <c r="J499" t="str">
        <f>RTD("tos.rtd", , "VEGA", ".SPY150930C217")</f>
        <v>N/A</v>
      </c>
      <c r="K499" t="str">
        <f>RTD("tos.rtd", , "RHO", ".SPY150930C217")</f>
        <v>N/A</v>
      </c>
      <c r="L499" t="str">
        <f>RTD("tos.rtd", , "ASK", ".SPY150930P217")</f>
        <v>N/A</v>
      </c>
      <c r="M499" t="str">
        <f>RTD("tos.rtd", , "ASK_SIZE", ".SPY150930P217")</f>
        <v>N/A</v>
      </c>
      <c r="N499" t="str">
        <f>RTD("tos.rtd", , "BID", ".SPY150930P217")</f>
        <v>N/A</v>
      </c>
      <c r="O499" t="str">
        <f>RTD("tos.rtd", , "BID_SIZE", ".SPY150930P217")</f>
        <v>N/A</v>
      </c>
      <c r="P499" t="str">
        <f>RTD("tos.rtd", , "VOLUME", ".SPY150930P217")</f>
        <v>N/A</v>
      </c>
      <c r="Q499" t="str">
        <f>RTD("tos.rtd", , "OPEN_INT", ".SPY150930P217")</f>
        <v>N/A</v>
      </c>
      <c r="R499" t="str">
        <f>RTD("tos.rtd", , "DELTA", ".SPY150930P217")</f>
        <v>N/A</v>
      </c>
      <c r="S499" t="str">
        <f>RTD("tos.rtd", , "THETA", ".SPY150930P217")</f>
        <v>N/A</v>
      </c>
      <c r="T499" t="str">
        <f>RTD("tos.rtd", , "GAMMA", ".SPY150930P217")</f>
        <v>N/A</v>
      </c>
      <c r="U499" t="str">
        <f>RTD("tos.rtd", , "VEGA", ".SPY150930P217")</f>
        <v>N/A</v>
      </c>
      <c r="V499" t="str">
        <f>RTD("tos.rtd", , "RHO", ".SPY150930P217")</f>
        <v>N/A</v>
      </c>
    </row>
    <row r="500" spans="1:22" x14ac:dyDescent="0.25">
      <c r="A500" t="str">
        <f>RTD("tos.rtd", , "ASK", ".SPY150930C217.5")</f>
        <v>N/A</v>
      </c>
      <c r="B500" t="str">
        <f>RTD("tos.rtd", , "ASK_SIZE", ".SPY150930C217.5")</f>
        <v>N/A</v>
      </c>
      <c r="C500" t="str">
        <f>RTD("tos.rtd", , "BID", ".SPY150930C217.5")</f>
        <v>N/A</v>
      </c>
      <c r="D500" t="str">
        <f>RTD("tos.rtd", , "BID_SIZE", ".SPY150930C217.5")</f>
        <v>N/A</v>
      </c>
      <c r="E500" t="str">
        <f>RTD("tos.rtd", , "VOLUME", ".SPY150930C217.5")</f>
        <v>N/A</v>
      </c>
      <c r="F500" t="str">
        <f>RTD("tos.rtd", , "OPEN_INT", ".SPY150930C217.5")</f>
        <v>N/A</v>
      </c>
      <c r="G500" t="str">
        <f>RTD("tos.rtd", , "DELTA", ".SPY150930C217.5")</f>
        <v>N/A</v>
      </c>
      <c r="H500" t="str">
        <f>RTD("tos.rtd", , "THETA", ".SPY150930C217.5")</f>
        <v>N/A</v>
      </c>
      <c r="I500" t="str">
        <f>RTD("tos.rtd", , "GAMMA", ".SPY150930C217.5")</f>
        <v>N/A</v>
      </c>
      <c r="J500" t="str">
        <f>RTD("tos.rtd", , "VEGA", ".SPY150930C217.5")</f>
        <v>N/A</v>
      </c>
      <c r="K500" t="str">
        <f>RTD("tos.rtd", , "RHO", ".SPY150930C217.5")</f>
        <v>N/A</v>
      </c>
      <c r="L500" t="str">
        <f>RTD("tos.rtd", , "ASK", ".SPY150930P217.5")</f>
        <v>N/A</v>
      </c>
      <c r="M500" t="str">
        <f>RTD("tos.rtd", , "ASK_SIZE", ".SPY150930P217.5")</f>
        <v>N/A</v>
      </c>
      <c r="N500" t="str">
        <f>RTD("tos.rtd", , "BID", ".SPY150930P217.5")</f>
        <v>N/A</v>
      </c>
      <c r="O500" t="str">
        <f>RTD("tos.rtd", , "BID_SIZE", ".SPY150930P217.5")</f>
        <v>N/A</v>
      </c>
      <c r="P500" t="str">
        <f>RTD("tos.rtd", , "VOLUME", ".SPY150930P217.5")</f>
        <v>N/A</v>
      </c>
      <c r="Q500" t="str">
        <f>RTD("tos.rtd", , "OPEN_INT", ".SPY150930P217.5")</f>
        <v>N/A</v>
      </c>
      <c r="R500" t="str">
        <f>RTD("tos.rtd", , "DELTA", ".SPY150930P217.5")</f>
        <v>N/A</v>
      </c>
      <c r="S500" t="str">
        <f>RTD("tos.rtd", , "THETA", ".SPY150930P217.5")</f>
        <v>N/A</v>
      </c>
      <c r="T500" t="str">
        <f>RTD("tos.rtd", , "GAMMA", ".SPY150930P217.5")</f>
        <v>N/A</v>
      </c>
      <c r="U500" t="str">
        <f>RTD("tos.rtd", , "VEGA", ".SPY150930P217.5")</f>
        <v>N/A</v>
      </c>
      <c r="V500" t="str">
        <f>RTD("tos.rtd", , "RHO", ".SPY150930P217.5")</f>
        <v>N/A</v>
      </c>
    </row>
    <row r="501" spans="1:22" x14ac:dyDescent="0.25">
      <c r="A501" t="str">
        <f>RTD("tos.rtd", , "ASK", ".SPY150930C218")</f>
        <v>N/A</v>
      </c>
      <c r="B501" t="str">
        <f>RTD("tos.rtd", , "ASK_SIZE", ".SPY150930C218")</f>
        <v>N/A</v>
      </c>
      <c r="C501" t="str">
        <f>RTD("tos.rtd", , "BID", ".SPY150930C218")</f>
        <v>N/A</v>
      </c>
      <c r="D501" t="str">
        <f>RTD("tos.rtd", , "BID_SIZE", ".SPY150930C218")</f>
        <v>N/A</v>
      </c>
      <c r="E501" t="str">
        <f>RTD("tos.rtd", , "VOLUME", ".SPY150930C218")</f>
        <v>N/A</v>
      </c>
      <c r="F501" t="str">
        <f>RTD("tos.rtd", , "OPEN_INT", ".SPY150930C218")</f>
        <v>N/A</v>
      </c>
      <c r="G501" t="str">
        <f>RTD("tos.rtd", , "DELTA", ".SPY150930C218")</f>
        <v>N/A</v>
      </c>
      <c r="H501" t="str">
        <f>RTD("tos.rtd", , "THETA", ".SPY150930C218")</f>
        <v>N/A</v>
      </c>
      <c r="I501" t="str">
        <f>RTD("tos.rtd", , "GAMMA", ".SPY150930C218")</f>
        <v>N/A</v>
      </c>
      <c r="J501" t="str">
        <f>RTD("tos.rtd", , "VEGA", ".SPY150930C218")</f>
        <v>N/A</v>
      </c>
      <c r="K501" t="str">
        <f>RTD("tos.rtd", , "RHO", ".SPY150930C218")</f>
        <v>N/A</v>
      </c>
      <c r="L501" t="str">
        <f>RTD("tos.rtd", , "ASK", ".SPY150930P218")</f>
        <v>N/A</v>
      </c>
      <c r="M501" t="str">
        <f>RTD("tos.rtd", , "ASK_SIZE", ".SPY150930P218")</f>
        <v>N/A</v>
      </c>
      <c r="N501" t="str">
        <f>RTD("tos.rtd", , "BID", ".SPY150930P218")</f>
        <v>N/A</v>
      </c>
      <c r="O501" t="str">
        <f>RTD("tos.rtd", , "BID_SIZE", ".SPY150930P218")</f>
        <v>N/A</v>
      </c>
      <c r="P501" t="str">
        <f>RTD("tos.rtd", , "VOLUME", ".SPY150930P218")</f>
        <v>N/A</v>
      </c>
      <c r="Q501" t="str">
        <f>RTD("tos.rtd", , "OPEN_INT", ".SPY150930P218")</f>
        <v>N/A</v>
      </c>
      <c r="R501" t="str">
        <f>RTD("tos.rtd", , "DELTA", ".SPY150930P218")</f>
        <v>N/A</v>
      </c>
      <c r="S501" t="str">
        <f>RTD("tos.rtd", , "THETA", ".SPY150930P218")</f>
        <v>N/A</v>
      </c>
      <c r="T501" t="str">
        <f>RTD("tos.rtd", , "GAMMA", ".SPY150930P218")</f>
        <v>N/A</v>
      </c>
      <c r="U501" t="str">
        <f>RTD("tos.rtd", , "VEGA", ".SPY150930P218")</f>
        <v>N/A</v>
      </c>
      <c r="V501" t="str">
        <f>RTD("tos.rtd", , "RHO", ".SPY150930P218")</f>
        <v>N/A</v>
      </c>
    </row>
    <row r="502" spans="1:22" x14ac:dyDescent="0.25">
      <c r="A502" t="str">
        <f>RTD("tos.rtd", , "ASK", ".SPY150930C218.5")</f>
        <v>N/A</v>
      </c>
      <c r="B502" t="str">
        <f>RTD("tos.rtd", , "ASK_SIZE", ".SPY150930C218.5")</f>
        <v>N/A</v>
      </c>
      <c r="C502" t="str">
        <f>RTD("tos.rtd", , "BID", ".SPY150930C218.5")</f>
        <v>N/A</v>
      </c>
      <c r="D502" t="str">
        <f>RTD("tos.rtd", , "BID_SIZE", ".SPY150930C218.5")</f>
        <v>N/A</v>
      </c>
      <c r="E502" t="str">
        <f>RTD("tos.rtd", , "VOLUME", ".SPY150930C218.5")</f>
        <v>N/A</v>
      </c>
      <c r="F502" t="str">
        <f>RTD("tos.rtd", , "OPEN_INT", ".SPY150930C218.5")</f>
        <v>N/A</v>
      </c>
      <c r="G502" t="str">
        <f>RTD("tos.rtd", , "DELTA", ".SPY150930C218.5")</f>
        <v>N/A</v>
      </c>
      <c r="H502" t="str">
        <f>RTD("tos.rtd", , "THETA", ".SPY150930C218.5")</f>
        <v>N/A</v>
      </c>
      <c r="I502" t="str">
        <f>RTD("tos.rtd", , "GAMMA", ".SPY150930C218.5")</f>
        <v>N/A</v>
      </c>
      <c r="J502" t="str">
        <f>RTD("tos.rtd", , "VEGA", ".SPY150930C218.5")</f>
        <v>N/A</v>
      </c>
      <c r="K502" t="str">
        <f>RTD("tos.rtd", , "RHO", ".SPY150930C218.5")</f>
        <v>N/A</v>
      </c>
      <c r="L502" t="str">
        <f>RTD("tos.rtd", , "ASK", ".SPY150930P218.5")</f>
        <v>N/A</v>
      </c>
      <c r="M502" t="str">
        <f>RTD("tos.rtd", , "ASK_SIZE", ".SPY150930P218.5")</f>
        <v>N/A</v>
      </c>
      <c r="N502" t="str">
        <f>RTD("tos.rtd", , "BID", ".SPY150930P218.5")</f>
        <v>N/A</v>
      </c>
      <c r="O502" t="str">
        <f>RTD("tos.rtd", , "BID_SIZE", ".SPY150930P218.5")</f>
        <v>N/A</v>
      </c>
      <c r="P502" t="str">
        <f>RTD("tos.rtd", , "VOLUME", ".SPY150930P218.5")</f>
        <v>N/A</v>
      </c>
      <c r="Q502" t="str">
        <f>RTD("tos.rtd", , "OPEN_INT", ".SPY150930P218.5")</f>
        <v>N/A</v>
      </c>
      <c r="R502" t="str">
        <f>RTD("tos.rtd", , "DELTA", ".SPY150930P218.5")</f>
        <v>N/A</v>
      </c>
      <c r="S502" t="str">
        <f>RTD("tos.rtd", , "THETA", ".SPY150930P218.5")</f>
        <v>N/A</v>
      </c>
      <c r="T502" t="str">
        <f>RTD("tos.rtd", , "GAMMA", ".SPY150930P218.5")</f>
        <v>N/A</v>
      </c>
      <c r="U502" t="str">
        <f>RTD("tos.rtd", , "VEGA", ".SPY150930P218.5")</f>
        <v>N/A</v>
      </c>
      <c r="V502" t="str">
        <f>RTD("tos.rtd", , "RHO", ".SPY150930P218.5")</f>
        <v>N/A</v>
      </c>
    </row>
    <row r="503" spans="1:22" x14ac:dyDescent="0.25">
      <c r="A503" t="str">
        <f>RTD("tos.rtd", , "ASK", ".SPY150930C219")</f>
        <v>N/A</v>
      </c>
      <c r="B503" t="str">
        <f>RTD("tos.rtd", , "ASK_SIZE", ".SPY150930C219")</f>
        <v>N/A</v>
      </c>
      <c r="C503" t="str">
        <f>RTD("tos.rtd", , "BID", ".SPY150930C219")</f>
        <v>N/A</v>
      </c>
      <c r="D503" t="str">
        <f>RTD("tos.rtd", , "BID_SIZE", ".SPY150930C219")</f>
        <v>N/A</v>
      </c>
      <c r="E503" t="str">
        <f>RTD("tos.rtd", , "VOLUME", ".SPY150930C219")</f>
        <v>N/A</v>
      </c>
      <c r="F503" t="str">
        <f>RTD("tos.rtd", , "OPEN_INT", ".SPY150930C219")</f>
        <v>N/A</v>
      </c>
      <c r="G503" t="str">
        <f>RTD("tos.rtd", , "DELTA", ".SPY150930C219")</f>
        <v>N/A</v>
      </c>
      <c r="H503" t="str">
        <f>RTD("tos.rtd", , "THETA", ".SPY150930C219")</f>
        <v>N/A</v>
      </c>
      <c r="I503" t="str">
        <f>RTD("tos.rtd", , "GAMMA", ".SPY150930C219")</f>
        <v>N/A</v>
      </c>
      <c r="J503" t="str">
        <f>RTD("tos.rtd", , "VEGA", ".SPY150930C219")</f>
        <v>N/A</v>
      </c>
      <c r="K503" t="str">
        <f>RTD("tos.rtd", , "RHO", ".SPY150930C219")</f>
        <v>N/A</v>
      </c>
      <c r="L503" t="str">
        <f>RTD("tos.rtd", , "ASK", ".SPY150930P219")</f>
        <v>N/A</v>
      </c>
      <c r="M503" t="str">
        <f>RTD("tos.rtd", , "ASK_SIZE", ".SPY150930P219")</f>
        <v>N/A</v>
      </c>
      <c r="N503" t="str">
        <f>RTD("tos.rtd", , "BID", ".SPY150930P219")</f>
        <v>N/A</v>
      </c>
      <c r="O503" t="str">
        <f>RTD("tos.rtd", , "BID_SIZE", ".SPY150930P219")</f>
        <v>N/A</v>
      </c>
      <c r="P503" t="str">
        <f>RTD("tos.rtd", , "VOLUME", ".SPY150930P219")</f>
        <v>N/A</v>
      </c>
      <c r="Q503" t="str">
        <f>RTD("tos.rtd", , "OPEN_INT", ".SPY150930P219")</f>
        <v>N/A</v>
      </c>
      <c r="R503" t="str">
        <f>RTD("tos.rtd", , "DELTA", ".SPY150930P219")</f>
        <v>N/A</v>
      </c>
      <c r="S503" t="str">
        <f>RTD("tos.rtd", , "THETA", ".SPY150930P219")</f>
        <v>N/A</v>
      </c>
      <c r="T503" t="str">
        <f>RTD("tos.rtd", , "GAMMA", ".SPY150930P219")</f>
        <v>N/A</v>
      </c>
      <c r="U503" t="str">
        <f>RTD("tos.rtd", , "VEGA", ".SPY150930P219")</f>
        <v>N/A</v>
      </c>
      <c r="V503" t="str">
        <f>RTD("tos.rtd", , "RHO", ".SPY150930P219")</f>
        <v>N/A</v>
      </c>
    </row>
    <row r="504" spans="1:22" x14ac:dyDescent="0.25">
      <c r="A504" t="str">
        <f>RTD("tos.rtd", , "ASK", ".SPY150930C219.5")</f>
        <v>N/A</v>
      </c>
      <c r="B504" t="str">
        <f>RTD("tos.rtd", , "ASK_SIZE", ".SPY150930C219.5")</f>
        <v>N/A</v>
      </c>
      <c r="C504" t="str">
        <f>RTD("tos.rtd", , "BID", ".SPY150930C219.5")</f>
        <v>N/A</v>
      </c>
      <c r="D504" t="str">
        <f>RTD("tos.rtd", , "BID_SIZE", ".SPY150930C219.5")</f>
        <v>N/A</v>
      </c>
      <c r="E504" t="str">
        <f>RTD("tos.rtd", , "VOLUME", ".SPY150930C219.5")</f>
        <v>N/A</v>
      </c>
      <c r="F504" t="str">
        <f>RTD("tos.rtd", , "OPEN_INT", ".SPY150930C219.5")</f>
        <v>N/A</v>
      </c>
      <c r="G504" t="str">
        <f>RTD("tos.rtd", , "DELTA", ".SPY150930C219.5")</f>
        <v>N/A</v>
      </c>
      <c r="H504" t="str">
        <f>RTD("tos.rtd", , "THETA", ".SPY150930C219.5")</f>
        <v>N/A</v>
      </c>
      <c r="I504" t="str">
        <f>RTD("tos.rtd", , "GAMMA", ".SPY150930C219.5")</f>
        <v>N/A</v>
      </c>
      <c r="J504" t="str">
        <f>RTD("tos.rtd", , "VEGA", ".SPY150930C219.5")</f>
        <v>N/A</v>
      </c>
      <c r="K504" t="str">
        <f>RTD("tos.rtd", , "RHO", ".SPY150930C219.5")</f>
        <v>N/A</v>
      </c>
      <c r="L504" t="str">
        <f>RTD("tos.rtd", , "ASK", ".SPY150930P219.5")</f>
        <v>N/A</v>
      </c>
      <c r="M504" t="str">
        <f>RTD("tos.rtd", , "ASK_SIZE", ".SPY150930P219.5")</f>
        <v>N/A</v>
      </c>
      <c r="N504" t="str">
        <f>RTD("tos.rtd", , "BID", ".SPY150930P219.5")</f>
        <v>N/A</v>
      </c>
      <c r="O504" t="str">
        <f>RTD("tos.rtd", , "BID_SIZE", ".SPY150930P219.5")</f>
        <v>N/A</v>
      </c>
      <c r="P504" t="str">
        <f>RTD("tos.rtd", , "VOLUME", ".SPY150930P219.5")</f>
        <v>N/A</v>
      </c>
      <c r="Q504" t="str">
        <f>RTD("tos.rtd", , "OPEN_INT", ".SPY150930P219.5")</f>
        <v>N/A</v>
      </c>
      <c r="R504" t="str">
        <f>RTD("tos.rtd", , "DELTA", ".SPY150930P219.5")</f>
        <v>N/A</v>
      </c>
      <c r="S504" t="str">
        <f>RTD("tos.rtd", , "THETA", ".SPY150930P219.5")</f>
        <v>N/A</v>
      </c>
      <c r="T504" t="str">
        <f>RTD("tos.rtd", , "GAMMA", ".SPY150930P219.5")</f>
        <v>N/A</v>
      </c>
      <c r="U504" t="str">
        <f>RTD("tos.rtd", , "VEGA", ".SPY150930P219.5")</f>
        <v>N/A</v>
      </c>
      <c r="V504" t="str">
        <f>RTD("tos.rtd", , "RHO", ".SPY150930P219.5")</f>
        <v>N/A</v>
      </c>
    </row>
    <row r="505" spans="1:22" x14ac:dyDescent="0.25">
      <c r="A505" t="s">
        <v>12</v>
      </c>
      <c r="B505">
        <v>40</v>
      </c>
    </row>
    <row r="506" spans="1:22" x14ac:dyDescent="0.25">
      <c r="A506">
        <f>RTD("tos.rtd", ,"LAST", "SPY")</f>
        <v>211.32</v>
      </c>
    </row>
    <row r="507" spans="1:22" x14ac:dyDescent="0.25">
      <c r="A507">
        <f>RTD("tos.rtd", , "ASK", ".SPY151219C200")</f>
        <v>16.82</v>
      </c>
      <c r="B507">
        <f>RTD("tos.rtd", , "ASK_SIZE", ".SPY151219C200")</f>
        <v>143</v>
      </c>
      <c r="C507">
        <f>RTD("tos.rtd", , "BID", ".SPY151219C200")</f>
        <v>16.52</v>
      </c>
      <c r="D507">
        <f>RTD("tos.rtd", , "BID_SIZE", ".SPY151219C200")</f>
        <v>180</v>
      </c>
      <c r="E507">
        <f>RTD("tos.rtd", , "VOLUME", ".SPY151219C200")</f>
        <v>4</v>
      </c>
      <c r="F507">
        <f>RTD("tos.rtd", , "OPEN_INT", ".SPY151219C200")</f>
        <v>22817</v>
      </c>
      <c r="G507">
        <f>RTD("tos.rtd", , "DELTA", ".SPY151219C200")</f>
        <v>0.66659000000000002</v>
      </c>
      <c r="H507">
        <f>RTD("tos.rtd", , "THETA", ".SPY151219C200")</f>
        <v>-1.779E-2</v>
      </c>
      <c r="I507">
        <f>RTD("tos.rtd", , "GAMMA", ".SPY151219C200")</f>
        <v>1.353E-2</v>
      </c>
      <c r="J507">
        <f>RTD("tos.rtd", , "VEGA", ".SPY151219C200")</f>
        <v>0.59870999999999996</v>
      </c>
      <c r="K507">
        <f>RTD("tos.rtd", , "RHO", ".SPY151219C200")</f>
        <v>0.62548999999999999</v>
      </c>
      <c r="L507">
        <f>RTD("tos.rtd", , "ASK", ".SPY151219P200")</f>
        <v>7.18</v>
      </c>
      <c r="M507">
        <f>RTD("tos.rtd", , "ASK_SIZE", ".SPY151219P200")</f>
        <v>2775</v>
      </c>
      <c r="N507">
        <f>RTD("tos.rtd", , "BID", ".SPY151219P200")</f>
        <v>7.04</v>
      </c>
      <c r="O507">
        <f>RTD("tos.rtd", , "BID_SIZE", ".SPY151219P200")</f>
        <v>256</v>
      </c>
      <c r="P507">
        <f>RTD("tos.rtd", , "VOLUME", ".SPY151219P200")</f>
        <v>1631</v>
      </c>
      <c r="Q507">
        <f>RTD("tos.rtd", , "OPEN_INT", ".SPY151219P200")</f>
        <v>28485</v>
      </c>
      <c r="R507">
        <f>RTD("tos.rtd", , "DELTA", ".SPY151219P200")</f>
        <v>-0.33900999999999998</v>
      </c>
      <c r="S507">
        <f>RTD("tos.rtd", , "THETA", ".SPY151219P200")</f>
        <v>-2.588E-2</v>
      </c>
      <c r="T507">
        <f>RTD("tos.rtd", , "GAMMA", ".SPY151219P200")</f>
        <v>1.2500000000000001E-2</v>
      </c>
      <c r="U507">
        <f>RTD("tos.rtd", , "VEGA", ".SPY151219P200")</f>
        <v>0.61019000000000001</v>
      </c>
      <c r="V507">
        <f>RTD("tos.rtd", , "RHO", ".SPY151219P200")</f>
        <v>-0.49503000000000003</v>
      </c>
    </row>
    <row r="508" spans="1:22" x14ac:dyDescent="0.25">
      <c r="A508" t="str">
        <f>RTD("tos.rtd", , "ASK", ".SPY151219C200.5")</f>
        <v>N/A</v>
      </c>
      <c r="B508" t="str">
        <f>RTD("tos.rtd", , "ASK_SIZE", ".SPY151219C200.5")</f>
        <v>N/A</v>
      </c>
      <c r="C508" t="str">
        <f>RTD("tos.rtd", , "BID", ".SPY151219C200.5")</f>
        <v>N/A</v>
      </c>
      <c r="D508" t="str">
        <f>RTD("tos.rtd", , "BID_SIZE", ".SPY151219C200.5")</f>
        <v>N/A</v>
      </c>
      <c r="E508" t="str">
        <f>RTD("tos.rtd", , "VOLUME", ".SPY151219C200.5")</f>
        <v>N/A</v>
      </c>
      <c r="F508" t="str">
        <f>RTD("tos.rtd", , "OPEN_INT", ".SPY151219C200.5")</f>
        <v>N/A</v>
      </c>
      <c r="G508" t="str">
        <f>RTD("tos.rtd", , "DELTA", ".SPY151219C200.5")</f>
        <v>N/A</v>
      </c>
      <c r="H508" t="str">
        <f>RTD("tos.rtd", , "THETA", ".SPY151219C200.5")</f>
        <v>N/A</v>
      </c>
      <c r="I508" t="str">
        <f>RTD("tos.rtd", , "GAMMA", ".SPY151219C200.5")</f>
        <v>N/A</v>
      </c>
      <c r="J508" t="str">
        <f>RTD("tos.rtd", , "VEGA", ".SPY151219C200.5")</f>
        <v>N/A</v>
      </c>
      <c r="K508" t="str">
        <f>RTD("tos.rtd", , "RHO", ".SPY151219C200.5")</f>
        <v>N/A</v>
      </c>
      <c r="L508" t="str">
        <f>RTD("tos.rtd", , "ASK", ".SPY151219P200.5")</f>
        <v>N/A</v>
      </c>
      <c r="M508" t="str">
        <f>RTD("tos.rtd", , "ASK_SIZE", ".SPY151219P200.5")</f>
        <v>N/A</v>
      </c>
      <c r="N508" t="str">
        <f>RTD("tos.rtd", , "BID", ".SPY151219P200.5")</f>
        <v>N/A</v>
      </c>
      <c r="O508" t="str">
        <f>RTD("tos.rtd", , "BID_SIZE", ".SPY151219P200.5")</f>
        <v>N/A</v>
      </c>
      <c r="P508" t="str">
        <f>RTD("tos.rtd", , "VOLUME", ".SPY151219P200.5")</f>
        <v>N/A</v>
      </c>
      <c r="Q508" t="str">
        <f>RTD("tos.rtd", , "OPEN_INT", ".SPY151219P200.5")</f>
        <v>N/A</v>
      </c>
      <c r="R508" t="str">
        <f>RTD("tos.rtd", , "DELTA", ".SPY151219P200.5")</f>
        <v>N/A</v>
      </c>
      <c r="S508" t="str">
        <f>RTD("tos.rtd", , "THETA", ".SPY151219P200.5")</f>
        <v>N/A</v>
      </c>
      <c r="T508" t="str">
        <f>RTD("tos.rtd", , "GAMMA", ".SPY151219P200.5")</f>
        <v>N/A</v>
      </c>
      <c r="U508" t="str">
        <f>RTD("tos.rtd", , "VEGA", ".SPY151219P200.5")</f>
        <v>N/A</v>
      </c>
      <c r="V508" t="str">
        <f>RTD("tos.rtd", , "RHO", ".SPY151219P200.5")</f>
        <v>N/A</v>
      </c>
    </row>
    <row r="509" spans="1:22" x14ac:dyDescent="0.25">
      <c r="A509">
        <f>RTD("tos.rtd", , "ASK", ".SPY151219C201")</f>
        <v>16.079999999999998</v>
      </c>
      <c r="B509">
        <f>RTD("tos.rtd", , "ASK_SIZE", ".SPY151219C201")</f>
        <v>150</v>
      </c>
      <c r="C509">
        <f>RTD("tos.rtd", , "BID", ".SPY151219C201")</f>
        <v>15.78</v>
      </c>
      <c r="D509">
        <f>RTD("tos.rtd", , "BID_SIZE", ".SPY151219C201")</f>
        <v>188</v>
      </c>
      <c r="E509">
        <f>RTD("tos.rtd", , "VOLUME", ".SPY151219C201")</f>
        <v>0</v>
      </c>
      <c r="F509">
        <f>RTD("tos.rtd", , "OPEN_INT", ".SPY151219C201")</f>
        <v>24</v>
      </c>
      <c r="G509">
        <f>RTD("tos.rtd", , "DELTA", ".SPY151219C201")</f>
        <v>0.65361999999999998</v>
      </c>
      <c r="H509">
        <f>RTD("tos.rtd", , "THETA", ".SPY151219C201")</f>
        <v>-1.789E-2</v>
      </c>
      <c r="I509">
        <f>RTD("tos.rtd", , "GAMMA", ".SPY151219C201")</f>
        <v>1.384E-2</v>
      </c>
      <c r="J509">
        <f>RTD("tos.rtd", , "VEGA", ".SPY151219C201")</f>
        <v>0.60794000000000004</v>
      </c>
      <c r="K509">
        <f>RTD("tos.rtd", , "RHO", ".SPY151219C201")</f>
        <v>0.62209000000000003</v>
      </c>
      <c r="L509">
        <f>RTD("tos.rtd", , "ASK", ".SPY151219P201")</f>
        <v>7.44</v>
      </c>
      <c r="M509">
        <f>RTD("tos.rtd", , "ASK_SIZE", ".SPY151219P201")</f>
        <v>2133</v>
      </c>
      <c r="N509">
        <f>RTD("tos.rtd", , "BID", ".SPY151219P201")</f>
        <v>7.3</v>
      </c>
      <c r="O509">
        <f>RTD("tos.rtd", , "BID_SIZE", ".SPY151219P201")</f>
        <v>272</v>
      </c>
      <c r="P509">
        <f>RTD("tos.rtd", , "VOLUME", ".SPY151219P201")</f>
        <v>0</v>
      </c>
      <c r="Q509">
        <f>RTD("tos.rtd", , "OPEN_INT", ".SPY151219P201")</f>
        <v>261</v>
      </c>
      <c r="R509">
        <f>RTD("tos.rtd", , "DELTA", ".SPY151219P201")</f>
        <v>-0.35115000000000002</v>
      </c>
      <c r="S509">
        <f>RTD("tos.rtd", , "THETA", ".SPY151219P201")</f>
        <v>-2.598E-2</v>
      </c>
      <c r="T509">
        <f>RTD("tos.rtd", , "GAMMA", ".SPY151219P201")</f>
        <v>1.2829999999999999E-2</v>
      </c>
      <c r="U509">
        <f>RTD("tos.rtd", , "VEGA", ".SPY151219P201")</f>
        <v>0.61807000000000001</v>
      </c>
      <c r="V509">
        <f>RTD("tos.rtd", , "RHO", ".SPY151219P201")</f>
        <v>-0.51278999999999997</v>
      </c>
    </row>
    <row r="510" spans="1:22" x14ac:dyDescent="0.25">
      <c r="A510" t="str">
        <f>RTD("tos.rtd", , "ASK", ".SPY151219C201.5")</f>
        <v>N/A</v>
      </c>
      <c r="B510" t="str">
        <f>RTD("tos.rtd", , "ASK_SIZE", ".SPY151219C201.5")</f>
        <v>N/A</v>
      </c>
      <c r="C510" t="str">
        <f>RTD("tos.rtd", , "BID", ".SPY151219C201.5")</f>
        <v>N/A</v>
      </c>
      <c r="D510" t="str">
        <f>RTD("tos.rtd", , "BID_SIZE", ".SPY151219C201.5")</f>
        <v>N/A</v>
      </c>
      <c r="E510" t="str">
        <f>RTD("tos.rtd", , "VOLUME", ".SPY151219C201.5")</f>
        <v>N/A</v>
      </c>
      <c r="F510" t="str">
        <f>RTD("tos.rtd", , "OPEN_INT", ".SPY151219C201.5")</f>
        <v>N/A</v>
      </c>
      <c r="G510" t="str">
        <f>RTD("tos.rtd", , "DELTA", ".SPY151219C201.5")</f>
        <v>N/A</v>
      </c>
      <c r="H510" t="str">
        <f>RTD("tos.rtd", , "THETA", ".SPY151219C201.5")</f>
        <v>N/A</v>
      </c>
      <c r="I510" t="str">
        <f>RTD("tos.rtd", , "GAMMA", ".SPY151219C201.5")</f>
        <v>N/A</v>
      </c>
      <c r="J510" t="str">
        <f>RTD("tos.rtd", , "VEGA", ".SPY151219C201.5")</f>
        <v>N/A</v>
      </c>
      <c r="K510" t="str">
        <f>RTD("tos.rtd", , "RHO", ".SPY151219C201.5")</f>
        <v>N/A</v>
      </c>
      <c r="L510" t="str">
        <f>RTD("tos.rtd", , "ASK", ".SPY151219P201.5")</f>
        <v>N/A</v>
      </c>
      <c r="M510" t="str">
        <f>RTD("tos.rtd", , "ASK_SIZE", ".SPY151219P201.5")</f>
        <v>N/A</v>
      </c>
      <c r="N510" t="str">
        <f>RTD("tos.rtd", , "BID", ".SPY151219P201.5")</f>
        <v>N/A</v>
      </c>
      <c r="O510" t="str">
        <f>RTD("tos.rtd", , "BID_SIZE", ".SPY151219P201.5")</f>
        <v>N/A</v>
      </c>
      <c r="P510" t="str">
        <f>RTD("tos.rtd", , "VOLUME", ".SPY151219P201.5")</f>
        <v>N/A</v>
      </c>
      <c r="Q510" t="str">
        <f>RTD("tos.rtd", , "OPEN_INT", ".SPY151219P201.5")</f>
        <v>N/A</v>
      </c>
      <c r="R510" t="str">
        <f>RTD("tos.rtd", , "DELTA", ".SPY151219P201.5")</f>
        <v>N/A</v>
      </c>
      <c r="S510" t="str">
        <f>RTD("tos.rtd", , "THETA", ".SPY151219P201.5")</f>
        <v>N/A</v>
      </c>
      <c r="T510" t="str">
        <f>RTD("tos.rtd", , "GAMMA", ".SPY151219P201.5")</f>
        <v>N/A</v>
      </c>
      <c r="U510" t="str">
        <f>RTD("tos.rtd", , "VEGA", ".SPY151219P201.5")</f>
        <v>N/A</v>
      </c>
      <c r="V510" t="str">
        <f>RTD("tos.rtd", , "RHO", ".SPY151219P201.5")</f>
        <v>N/A</v>
      </c>
    </row>
    <row r="511" spans="1:22" x14ac:dyDescent="0.25">
      <c r="A511">
        <f>RTD("tos.rtd", , "ASK", ".SPY151219C202")</f>
        <v>15.35</v>
      </c>
      <c r="B511">
        <f>RTD("tos.rtd", , "ASK_SIZE", ".SPY151219C202")</f>
        <v>164</v>
      </c>
      <c r="C511">
        <f>RTD("tos.rtd", , "BID", ".SPY151219C202")</f>
        <v>15.05</v>
      </c>
      <c r="D511">
        <f>RTD("tos.rtd", , "BID_SIZE", ".SPY151219C202")</f>
        <v>198</v>
      </c>
      <c r="E511">
        <f>RTD("tos.rtd", , "VOLUME", ".SPY151219C202")</f>
        <v>0</v>
      </c>
      <c r="F511">
        <f>RTD("tos.rtd", , "OPEN_INT", ".SPY151219C202")</f>
        <v>473</v>
      </c>
      <c r="G511">
        <f>RTD("tos.rtd", , "DELTA", ".SPY151219C202")</f>
        <v>0.64027999999999996</v>
      </c>
      <c r="H511">
        <f>RTD("tos.rtd", , "THETA", ".SPY151219C202")</f>
        <v>-1.7979999999999999E-2</v>
      </c>
      <c r="I511">
        <f>RTD("tos.rtd", , "GAMMA", ".SPY151219C202")</f>
        <v>1.4149999999999999E-2</v>
      </c>
      <c r="J511">
        <f>RTD("tos.rtd", , "VEGA", ".SPY151219C202")</f>
        <v>0.61665000000000003</v>
      </c>
      <c r="K511">
        <f>RTD("tos.rtd", , "RHO", ".SPY151219C202")</f>
        <v>0.61782999999999999</v>
      </c>
      <c r="L511">
        <f>RTD("tos.rtd", , "ASK", ".SPY151219P202")</f>
        <v>7.73</v>
      </c>
      <c r="M511">
        <f>RTD("tos.rtd", , "ASK_SIZE", ".SPY151219P202")</f>
        <v>2419</v>
      </c>
      <c r="N511">
        <f>RTD("tos.rtd", , "BID", ".SPY151219P202")</f>
        <v>7.54</v>
      </c>
      <c r="O511">
        <f>RTD("tos.rtd", , "BID_SIZE", ".SPY151219P202")</f>
        <v>2545</v>
      </c>
      <c r="P511">
        <f>RTD("tos.rtd", , "VOLUME", ".SPY151219P202")</f>
        <v>0</v>
      </c>
      <c r="Q511">
        <f>RTD("tos.rtd", , "OPEN_INT", ".SPY151219P202")</f>
        <v>316</v>
      </c>
      <c r="R511">
        <f>RTD("tos.rtd", , "DELTA", ".SPY151219P202")</f>
        <v>-0.36364999999999997</v>
      </c>
      <c r="S511">
        <f>RTD("tos.rtd", , "THETA", ".SPY151219P202")</f>
        <v>-2.6040000000000001E-2</v>
      </c>
      <c r="T511">
        <f>RTD("tos.rtd", , "GAMMA", ".SPY151219P202")</f>
        <v>1.3169999999999999E-2</v>
      </c>
      <c r="U511">
        <f>RTD("tos.rtd", , "VEGA", ".SPY151219P202")</f>
        <v>0.62548000000000004</v>
      </c>
      <c r="V511">
        <f>RTD("tos.rtd", , "RHO", ".SPY151219P202")</f>
        <v>-0.53107000000000004</v>
      </c>
    </row>
    <row r="512" spans="1:22" x14ac:dyDescent="0.25">
      <c r="A512" t="str">
        <f>RTD("tos.rtd", , "ASK", ".SPY151219C202.5")</f>
        <v>N/A</v>
      </c>
      <c r="B512" t="str">
        <f>RTD("tos.rtd", , "ASK_SIZE", ".SPY151219C202.5")</f>
        <v>N/A</v>
      </c>
      <c r="C512" t="str">
        <f>RTD("tos.rtd", , "BID", ".SPY151219C202.5")</f>
        <v>N/A</v>
      </c>
      <c r="D512" t="str">
        <f>RTD("tos.rtd", , "BID_SIZE", ".SPY151219C202.5")</f>
        <v>N/A</v>
      </c>
      <c r="E512" t="str">
        <f>RTD("tos.rtd", , "VOLUME", ".SPY151219C202.5")</f>
        <v>N/A</v>
      </c>
      <c r="F512" t="str">
        <f>RTD("tos.rtd", , "OPEN_INT", ".SPY151219C202.5")</f>
        <v>N/A</v>
      </c>
      <c r="G512" t="str">
        <f>RTD("tos.rtd", , "DELTA", ".SPY151219C202.5")</f>
        <v>N/A</v>
      </c>
      <c r="H512" t="str">
        <f>RTD("tos.rtd", , "THETA", ".SPY151219C202.5")</f>
        <v>N/A</v>
      </c>
      <c r="I512" t="str">
        <f>RTD("tos.rtd", , "GAMMA", ".SPY151219C202.5")</f>
        <v>N/A</v>
      </c>
      <c r="J512" t="str">
        <f>RTD("tos.rtd", , "VEGA", ".SPY151219C202.5")</f>
        <v>N/A</v>
      </c>
      <c r="K512" t="str">
        <f>RTD("tos.rtd", , "RHO", ".SPY151219C202.5")</f>
        <v>N/A</v>
      </c>
      <c r="L512" t="str">
        <f>RTD("tos.rtd", , "ASK", ".SPY151219P202.5")</f>
        <v>N/A</v>
      </c>
      <c r="M512" t="str">
        <f>RTD("tos.rtd", , "ASK_SIZE", ".SPY151219P202.5")</f>
        <v>N/A</v>
      </c>
      <c r="N512" t="str">
        <f>RTD("tos.rtd", , "BID", ".SPY151219P202.5")</f>
        <v>N/A</v>
      </c>
      <c r="O512" t="str">
        <f>RTD("tos.rtd", , "BID_SIZE", ".SPY151219P202.5")</f>
        <v>N/A</v>
      </c>
      <c r="P512" t="str">
        <f>RTD("tos.rtd", , "VOLUME", ".SPY151219P202.5")</f>
        <v>N/A</v>
      </c>
      <c r="Q512" t="str">
        <f>RTD("tos.rtd", , "OPEN_INT", ".SPY151219P202.5")</f>
        <v>N/A</v>
      </c>
      <c r="R512" t="str">
        <f>RTD("tos.rtd", , "DELTA", ".SPY151219P202.5")</f>
        <v>N/A</v>
      </c>
      <c r="S512" t="str">
        <f>RTD("tos.rtd", , "THETA", ".SPY151219P202.5")</f>
        <v>N/A</v>
      </c>
      <c r="T512" t="str">
        <f>RTD("tos.rtd", , "GAMMA", ".SPY151219P202.5")</f>
        <v>N/A</v>
      </c>
      <c r="U512" t="str">
        <f>RTD("tos.rtd", , "VEGA", ".SPY151219P202.5")</f>
        <v>N/A</v>
      </c>
      <c r="V512" t="str">
        <f>RTD("tos.rtd", , "RHO", ".SPY151219P202.5")</f>
        <v>N/A</v>
      </c>
    </row>
    <row r="513" spans="1:22" x14ac:dyDescent="0.25">
      <c r="A513">
        <f>RTD("tos.rtd", , "ASK", ".SPY151219C203")</f>
        <v>14.62</v>
      </c>
      <c r="B513">
        <f>RTD("tos.rtd", , "ASK_SIZE", ".SPY151219C203")</f>
        <v>214</v>
      </c>
      <c r="C513">
        <f>RTD("tos.rtd", , "BID", ".SPY151219C203")</f>
        <v>14.36</v>
      </c>
      <c r="D513">
        <f>RTD("tos.rtd", , "BID_SIZE", ".SPY151219C203")</f>
        <v>167</v>
      </c>
      <c r="E513">
        <f>RTD("tos.rtd", , "VOLUME", ".SPY151219C203")</f>
        <v>60</v>
      </c>
      <c r="F513">
        <f>RTD("tos.rtd", , "OPEN_INT", ".SPY151219C203")</f>
        <v>584</v>
      </c>
      <c r="G513">
        <f>RTD("tos.rtd", , "DELTA", ".SPY151219C203")</f>
        <v>0.62646000000000002</v>
      </c>
      <c r="H513">
        <f>RTD("tos.rtd", , "THETA", ".SPY151219C203")</f>
        <v>-1.806E-2</v>
      </c>
      <c r="I513">
        <f>RTD("tos.rtd", , "GAMMA", ".SPY151219C203")</f>
        <v>1.4449999999999999E-2</v>
      </c>
      <c r="J513">
        <f>RTD("tos.rtd", , "VEGA", ".SPY151219C203")</f>
        <v>0.62483</v>
      </c>
      <c r="K513">
        <f>RTD("tos.rtd", , "RHO", ".SPY151219C203")</f>
        <v>0.61267000000000005</v>
      </c>
      <c r="L513">
        <f>RTD("tos.rtd", , "ASK", ".SPY151219P203")</f>
        <v>8.0299999999999994</v>
      </c>
      <c r="M513">
        <f>RTD("tos.rtd", , "ASK_SIZE", ".SPY151219P203")</f>
        <v>2554</v>
      </c>
      <c r="N513">
        <f>RTD("tos.rtd", , "BID", ".SPY151219P203")</f>
        <v>7.89</v>
      </c>
      <c r="O513">
        <f>RTD("tos.rtd", , "BID_SIZE", ".SPY151219P203")</f>
        <v>273</v>
      </c>
      <c r="P513">
        <f>RTD("tos.rtd", , "VOLUME", ".SPY151219P203")</f>
        <v>0</v>
      </c>
      <c r="Q513">
        <f>RTD("tos.rtd", , "OPEN_INT", ".SPY151219P203")</f>
        <v>819</v>
      </c>
      <c r="R513">
        <f>RTD("tos.rtd", , "DELTA", ".SPY151219P203")</f>
        <v>-0.37687999999999999</v>
      </c>
      <c r="S513">
        <f>RTD("tos.rtd", , "THETA", ".SPY151219P203")</f>
        <v>-2.6190000000000001E-2</v>
      </c>
      <c r="T513">
        <f>RTD("tos.rtd", , "GAMMA", ".SPY151219P203")</f>
        <v>1.3440000000000001E-2</v>
      </c>
      <c r="U513">
        <f>RTD("tos.rtd", , "VEGA", ".SPY151219P203")</f>
        <v>0.63254999999999995</v>
      </c>
      <c r="V513">
        <f>RTD("tos.rtd", , "RHO", ".SPY151219P203")</f>
        <v>-0.55071000000000003</v>
      </c>
    </row>
    <row r="514" spans="1:22" x14ac:dyDescent="0.25">
      <c r="A514" t="str">
        <f>RTD("tos.rtd", , "ASK", ".SPY151219C203.5")</f>
        <v>N/A</v>
      </c>
      <c r="B514" t="str">
        <f>RTD("tos.rtd", , "ASK_SIZE", ".SPY151219C203.5")</f>
        <v>N/A</v>
      </c>
      <c r="C514" t="str">
        <f>RTD("tos.rtd", , "BID", ".SPY151219C203.5")</f>
        <v>N/A</v>
      </c>
      <c r="D514" t="str">
        <f>RTD("tos.rtd", , "BID_SIZE", ".SPY151219C203.5")</f>
        <v>N/A</v>
      </c>
      <c r="E514" t="str">
        <f>RTD("tos.rtd", , "VOLUME", ".SPY151219C203.5")</f>
        <v>N/A</v>
      </c>
      <c r="F514" t="str">
        <f>RTD("tos.rtd", , "OPEN_INT", ".SPY151219C203.5")</f>
        <v>N/A</v>
      </c>
      <c r="G514" t="str">
        <f>RTD("tos.rtd", , "DELTA", ".SPY151219C203.5")</f>
        <v>N/A</v>
      </c>
      <c r="H514" t="str">
        <f>RTD("tos.rtd", , "THETA", ".SPY151219C203.5")</f>
        <v>N/A</v>
      </c>
      <c r="I514" t="str">
        <f>RTD("tos.rtd", , "GAMMA", ".SPY151219C203.5")</f>
        <v>N/A</v>
      </c>
      <c r="J514" t="str">
        <f>RTD("tos.rtd", , "VEGA", ".SPY151219C203.5")</f>
        <v>N/A</v>
      </c>
      <c r="K514" t="str">
        <f>RTD("tos.rtd", , "RHO", ".SPY151219C203.5")</f>
        <v>N/A</v>
      </c>
      <c r="L514" t="str">
        <f>RTD("tos.rtd", , "ASK", ".SPY151219P203.5")</f>
        <v>N/A</v>
      </c>
      <c r="M514" t="str">
        <f>RTD("tos.rtd", , "ASK_SIZE", ".SPY151219P203.5")</f>
        <v>N/A</v>
      </c>
      <c r="N514" t="str">
        <f>RTD("tos.rtd", , "BID", ".SPY151219P203.5")</f>
        <v>N/A</v>
      </c>
      <c r="O514" t="str">
        <f>RTD("tos.rtd", , "BID_SIZE", ".SPY151219P203.5")</f>
        <v>N/A</v>
      </c>
      <c r="P514" t="str">
        <f>RTD("tos.rtd", , "VOLUME", ".SPY151219P203.5")</f>
        <v>N/A</v>
      </c>
      <c r="Q514" t="str">
        <f>RTD("tos.rtd", , "OPEN_INT", ".SPY151219P203.5")</f>
        <v>N/A</v>
      </c>
      <c r="R514" t="str">
        <f>RTD("tos.rtd", , "DELTA", ".SPY151219P203.5")</f>
        <v>N/A</v>
      </c>
      <c r="S514" t="str">
        <f>RTD("tos.rtd", , "THETA", ".SPY151219P203.5")</f>
        <v>N/A</v>
      </c>
      <c r="T514" t="str">
        <f>RTD("tos.rtd", , "GAMMA", ".SPY151219P203.5")</f>
        <v>N/A</v>
      </c>
      <c r="U514" t="str">
        <f>RTD("tos.rtd", , "VEGA", ".SPY151219P203.5")</f>
        <v>N/A</v>
      </c>
      <c r="V514" t="str">
        <f>RTD("tos.rtd", , "RHO", ".SPY151219P203.5")</f>
        <v>N/A</v>
      </c>
    </row>
    <row r="515" spans="1:22" x14ac:dyDescent="0.25">
      <c r="A515">
        <f>RTD("tos.rtd", , "ASK", ".SPY151219C204")</f>
        <v>13.91</v>
      </c>
      <c r="B515">
        <f>RTD("tos.rtd", , "ASK_SIZE", ".SPY151219C204")</f>
        <v>186</v>
      </c>
      <c r="C515">
        <f>RTD("tos.rtd", , "BID", ".SPY151219C204")</f>
        <v>13.62</v>
      </c>
      <c r="D515">
        <f>RTD("tos.rtd", , "BID_SIZE", ".SPY151219C204")</f>
        <v>229</v>
      </c>
      <c r="E515">
        <f>RTD("tos.rtd", , "VOLUME", ".SPY151219C204")</f>
        <v>0</v>
      </c>
      <c r="F515">
        <f>RTD("tos.rtd", , "OPEN_INT", ".SPY151219C204")</f>
        <v>10</v>
      </c>
      <c r="G515">
        <f>RTD("tos.rtd", , "DELTA", ".SPY151219C204")</f>
        <v>0.61246</v>
      </c>
      <c r="H515">
        <f>RTD("tos.rtd", , "THETA", ".SPY151219C204")</f>
        <v>-1.805E-2</v>
      </c>
      <c r="I515">
        <f>RTD("tos.rtd", , "GAMMA", ".SPY151219C204")</f>
        <v>1.477E-2</v>
      </c>
      <c r="J515">
        <f>RTD("tos.rtd", , "VEGA", ".SPY151219C204")</f>
        <v>0.63222999999999996</v>
      </c>
      <c r="K515">
        <f>RTD("tos.rtd", , "RHO", ".SPY151219C204")</f>
        <v>0.60668</v>
      </c>
      <c r="L515">
        <f>RTD("tos.rtd", , "ASK", ".SPY151219P204")</f>
        <v>8.36</v>
      </c>
      <c r="M515">
        <f>RTD("tos.rtd", , "ASK_SIZE", ".SPY151219P204")</f>
        <v>2622</v>
      </c>
      <c r="N515">
        <f>RTD("tos.rtd", , "BID", ".SPY151219P204")</f>
        <v>8.15</v>
      </c>
      <c r="O515">
        <f>RTD("tos.rtd", , "BID_SIZE", ".SPY151219P204")</f>
        <v>2545</v>
      </c>
      <c r="P515">
        <f>RTD("tos.rtd", , "VOLUME", ".SPY151219P204")</f>
        <v>10</v>
      </c>
      <c r="Q515">
        <f>RTD("tos.rtd", , "OPEN_INT", ".SPY151219P204")</f>
        <v>321</v>
      </c>
      <c r="R515">
        <f>RTD("tos.rtd", , "DELTA", ".SPY151219P204")</f>
        <v>-0.39019999999999999</v>
      </c>
      <c r="S515">
        <f>RTD("tos.rtd", , "THETA", ".SPY151219P204")</f>
        <v>-2.6210000000000001E-2</v>
      </c>
      <c r="T515">
        <f>RTD("tos.rtd", , "GAMMA", ".SPY151219P204")</f>
        <v>1.3769999999999999E-2</v>
      </c>
      <c r="U515">
        <f>RTD("tos.rtd", , "VEGA", ".SPY151219P204")</f>
        <v>0.63888999999999996</v>
      </c>
      <c r="V515">
        <f>RTD("tos.rtd", , "RHO", ".SPY151219P204")</f>
        <v>-0.57025000000000003</v>
      </c>
    </row>
    <row r="516" spans="1:22" x14ac:dyDescent="0.25">
      <c r="A516" t="str">
        <f>RTD("tos.rtd", , "ASK", ".SPY151219C204.5")</f>
        <v>N/A</v>
      </c>
      <c r="B516" t="str">
        <f>RTD("tos.rtd", , "ASK_SIZE", ".SPY151219C204.5")</f>
        <v>N/A</v>
      </c>
      <c r="C516" t="str">
        <f>RTD("tos.rtd", , "BID", ".SPY151219C204.5")</f>
        <v>N/A</v>
      </c>
      <c r="D516" t="str">
        <f>RTD("tos.rtd", , "BID_SIZE", ".SPY151219C204.5")</f>
        <v>N/A</v>
      </c>
      <c r="E516" t="str">
        <f>RTD("tos.rtd", , "VOLUME", ".SPY151219C204.5")</f>
        <v>N/A</v>
      </c>
      <c r="F516" t="str">
        <f>RTD("tos.rtd", , "OPEN_INT", ".SPY151219C204.5")</f>
        <v>N/A</v>
      </c>
      <c r="G516" t="str">
        <f>RTD("tos.rtd", , "DELTA", ".SPY151219C204.5")</f>
        <v>N/A</v>
      </c>
      <c r="H516" t="str">
        <f>RTD("tos.rtd", , "THETA", ".SPY151219C204.5")</f>
        <v>N/A</v>
      </c>
      <c r="I516" t="str">
        <f>RTD("tos.rtd", , "GAMMA", ".SPY151219C204.5")</f>
        <v>N/A</v>
      </c>
      <c r="J516" t="str">
        <f>RTD("tos.rtd", , "VEGA", ".SPY151219C204.5")</f>
        <v>N/A</v>
      </c>
      <c r="K516" t="str">
        <f>RTD("tos.rtd", , "RHO", ".SPY151219C204.5")</f>
        <v>N/A</v>
      </c>
      <c r="L516" t="str">
        <f>RTD("tos.rtd", , "ASK", ".SPY151219P204.5")</f>
        <v>N/A</v>
      </c>
      <c r="M516" t="str">
        <f>RTD("tos.rtd", , "ASK_SIZE", ".SPY151219P204.5")</f>
        <v>N/A</v>
      </c>
      <c r="N516" t="str">
        <f>RTD("tos.rtd", , "BID", ".SPY151219P204.5")</f>
        <v>N/A</v>
      </c>
      <c r="O516" t="str">
        <f>RTD("tos.rtd", , "BID_SIZE", ".SPY151219P204.5")</f>
        <v>N/A</v>
      </c>
      <c r="P516" t="str">
        <f>RTD("tos.rtd", , "VOLUME", ".SPY151219P204.5")</f>
        <v>N/A</v>
      </c>
      <c r="Q516" t="str">
        <f>RTD("tos.rtd", , "OPEN_INT", ".SPY151219P204.5")</f>
        <v>N/A</v>
      </c>
      <c r="R516" t="str">
        <f>RTD("tos.rtd", , "DELTA", ".SPY151219P204.5")</f>
        <v>N/A</v>
      </c>
      <c r="S516" t="str">
        <f>RTD("tos.rtd", , "THETA", ".SPY151219P204.5")</f>
        <v>N/A</v>
      </c>
      <c r="T516" t="str">
        <f>RTD("tos.rtd", , "GAMMA", ".SPY151219P204.5")</f>
        <v>N/A</v>
      </c>
      <c r="U516" t="str">
        <f>RTD("tos.rtd", , "VEGA", ".SPY151219P204.5")</f>
        <v>N/A</v>
      </c>
      <c r="V516" t="str">
        <f>RTD("tos.rtd", , "RHO", ".SPY151219P204.5")</f>
        <v>N/A</v>
      </c>
    </row>
    <row r="517" spans="1:22" x14ac:dyDescent="0.25">
      <c r="A517">
        <f>RTD("tos.rtd", , "ASK", ".SPY151219C205")</f>
        <v>13.22</v>
      </c>
      <c r="B517">
        <f>RTD("tos.rtd", , "ASK_SIZE", ".SPY151219C205")</f>
        <v>232</v>
      </c>
      <c r="C517">
        <f>RTD("tos.rtd", , "BID", ".SPY151219C205")</f>
        <v>12.92</v>
      </c>
      <c r="D517">
        <f>RTD("tos.rtd", , "BID_SIZE", ".SPY151219C205")</f>
        <v>225</v>
      </c>
      <c r="E517">
        <f>RTD("tos.rtd", , "VOLUME", ".SPY151219C205")</f>
        <v>200</v>
      </c>
      <c r="F517">
        <f>RTD("tos.rtd", , "OPEN_INT", ".SPY151219C205")</f>
        <v>30948</v>
      </c>
      <c r="G517">
        <f>RTD("tos.rtd", , "DELTA", ".SPY151219C205")</f>
        <v>0.59791000000000005</v>
      </c>
      <c r="H517">
        <f>RTD("tos.rtd", , "THETA", ".SPY151219C205")</f>
        <v>-1.806E-2</v>
      </c>
      <c r="I517">
        <f>RTD("tos.rtd", , "GAMMA", ".SPY151219C205")</f>
        <v>1.507E-2</v>
      </c>
      <c r="J517">
        <f>RTD("tos.rtd", , "VEGA", ".SPY151219C205")</f>
        <v>0.63902000000000003</v>
      </c>
      <c r="K517">
        <f>RTD("tos.rtd", , "RHO", ".SPY151219C205")</f>
        <v>0.59975999999999996</v>
      </c>
      <c r="L517">
        <f>RTD("tos.rtd", , "ASK", ".SPY151219P205")</f>
        <v>8.67</v>
      </c>
      <c r="M517">
        <f>RTD("tos.rtd", , "ASK_SIZE", ".SPY151219P205")</f>
        <v>2746</v>
      </c>
      <c r="N517">
        <f>RTD("tos.rtd", , "BID", ".SPY151219P205")</f>
        <v>8.5299999999999994</v>
      </c>
      <c r="O517">
        <f>RTD("tos.rtd", , "BID_SIZE", ".SPY151219P205")</f>
        <v>279</v>
      </c>
      <c r="P517">
        <f>RTD("tos.rtd", , "VOLUME", ".SPY151219P205")</f>
        <v>22</v>
      </c>
      <c r="Q517">
        <f>RTD("tos.rtd", , "OPEN_INT", ".SPY151219P205")</f>
        <v>48533</v>
      </c>
      <c r="R517">
        <f>RTD("tos.rtd", , "DELTA", ".SPY151219P205")</f>
        <v>-0.40411000000000002</v>
      </c>
      <c r="S517">
        <f>RTD("tos.rtd", , "THETA", ".SPY151219P205")</f>
        <v>-2.631E-2</v>
      </c>
      <c r="T517">
        <f>RTD("tos.rtd", , "GAMMA", ".SPY151219P205")</f>
        <v>1.4030000000000001E-2</v>
      </c>
      <c r="U517">
        <f>RTD("tos.rtd", , "VEGA", ".SPY151219P205")</f>
        <v>0.64468999999999999</v>
      </c>
      <c r="V517">
        <f>RTD("tos.rtd", , "RHO", ".SPY151219P205")</f>
        <v>-0.59091000000000005</v>
      </c>
    </row>
    <row r="518" spans="1:22" x14ac:dyDescent="0.25">
      <c r="A518" t="str">
        <f>RTD("tos.rtd", , "ASK", ".SPY151219C205.5")</f>
        <v>N/A</v>
      </c>
      <c r="B518" t="str">
        <f>RTD("tos.rtd", , "ASK_SIZE", ".SPY151219C205.5")</f>
        <v>N/A</v>
      </c>
      <c r="C518" t="str">
        <f>RTD("tos.rtd", , "BID", ".SPY151219C205.5")</f>
        <v>N/A</v>
      </c>
      <c r="D518" t="str">
        <f>RTD("tos.rtd", , "BID_SIZE", ".SPY151219C205.5")</f>
        <v>N/A</v>
      </c>
      <c r="E518" t="str">
        <f>RTD("tos.rtd", , "VOLUME", ".SPY151219C205.5")</f>
        <v>N/A</v>
      </c>
      <c r="F518" t="str">
        <f>RTD("tos.rtd", , "OPEN_INT", ".SPY151219C205.5")</f>
        <v>N/A</v>
      </c>
      <c r="G518" t="str">
        <f>RTD("tos.rtd", , "DELTA", ".SPY151219C205.5")</f>
        <v>N/A</v>
      </c>
      <c r="H518" t="str">
        <f>RTD("tos.rtd", , "THETA", ".SPY151219C205.5")</f>
        <v>N/A</v>
      </c>
      <c r="I518" t="str">
        <f>RTD("tos.rtd", , "GAMMA", ".SPY151219C205.5")</f>
        <v>N/A</v>
      </c>
      <c r="J518" t="str">
        <f>RTD("tos.rtd", , "VEGA", ".SPY151219C205.5")</f>
        <v>N/A</v>
      </c>
      <c r="K518" t="str">
        <f>RTD("tos.rtd", , "RHO", ".SPY151219C205.5")</f>
        <v>N/A</v>
      </c>
      <c r="L518" t="str">
        <f>RTD("tos.rtd", , "ASK", ".SPY151219P205.5")</f>
        <v>N/A</v>
      </c>
      <c r="M518" t="str">
        <f>RTD("tos.rtd", , "ASK_SIZE", ".SPY151219P205.5")</f>
        <v>N/A</v>
      </c>
      <c r="N518" t="str">
        <f>RTD("tos.rtd", , "BID", ".SPY151219P205.5")</f>
        <v>N/A</v>
      </c>
      <c r="O518" t="str">
        <f>RTD("tos.rtd", , "BID_SIZE", ".SPY151219P205.5")</f>
        <v>N/A</v>
      </c>
      <c r="P518" t="str">
        <f>RTD("tos.rtd", , "VOLUME", ".SPY151219P205.5")</f>
        <v>N/A</v>
      </c>
      <c r="Q518" t="str">
        <f>RTD("tos.rtd", , "OPEN_INT", ".SPY151219P205.5")</f>
        <v>N/A</v>
      </c>
      <c r="R518" t="str">
        <f>RTD("tos.rtd", , "DELTA", ".SPY151219P205.5")</f>
        <v>N/A</v>
      </c>
      <c r="S518" t="str">
        <f>RTD("tos.rtd", , "THETA", ".SPY151219P205.5")</f>
        <v>N/A</v>
      </c>
      <c r="T518" t="str">
        <f>RTD("tos.rtd", , "GAMMA", ".SPY151219P205.5")</f>
        <v>N/A</v>
      </c>
      <c r="U518" t="str">
        <f>RTD("tos.rtd", , "VEGA", ".SPY151219P205.5")</f>
        <v>N/A</v>
      </c>
      <c r="V518" t="str">
        <f>RTD("tos.rtd", , "RHO", ".SPY151219P205.5")</f>
        <v>N/A</v>
      </c>
    </row>
    <row r="519" spans="1:22" x14ac:dyDescent="0.25">
      <c r="A519">
        <f>RTD("tos.rtd", , "ASK", ".SPY151219C206")</f>
        <v>12.47</v>
      </c>
      <c r="B519">
        <f>RTD("tos.rtd", , "ASK_SIZE", ".SPY151219C206")</f>
        <v>374</v>
      </c>
      <c r="C519">
        <f>RTD("tos.rtd", , "BID", ".SPY151219C206")</f>
        <v>12.27</v>
      </c>
      <c r="D519">
        <f>RTD("tos.rtd", , "BID_SIZE", ".SPY151219C206")</f>
        <v>365</v>
      </c>
      <c r="E519">
        <f>RTD("tos.rtd", , "VOLUME", ".SPY151219C206")</f>
        <v>57</v>
      </c>
      <c r="F519">
        <f>RTD("tos.rtd", , "OPEN_INT", ".SPY151219C206")</f>
        <v>490</v>
      </c>
      <c r="G519">
        <f>RTD("tos.rtd", , "DELTA", ".SPY151219C206")</f>
        <v>0.58301999999999998</v>
      </c>
      <c r="H519">
        <f>RTD("tos.rtd", , "THETA", ".SPY151219C206")</f>
        <v>-1.7999999999999999E-2</v>
      </c>
      <c r="I519">
        <f>RTD("tos.rtd", , "GAMMA", ".SPY151219C206")</f>
        <v>1.538E-2</v>
      </c>
      <c r="J519">
        <f>RTD("tos.rtd", , "VEGA", ".SPY151219C206")</f>
        <v>0.64500999999999997</v>
      </c>
      <c r="K519">
        <f>RTD("tos.rtd", , "RHO", ".SPY151219C206")</f>
        <v>0.59194999999999998</v>
      </c>
      <c r="L519">
        <f>RTD("tos.rtd", , "ASK", ".SPY151219P206")</f>
        <v>9.01</v>
      </c>
      <c r="M519">
        <f>RTD("tos.rtd", , "ASK_SIZE", ".SPY151219P206")</f>
        <v>2631</v>
      </c>
      <c r="N519">
        <f>RTD("tos.rtd", , "BID", ".SPY151219P206")</f>
        <v>8.8000000000000007</v>
      </c>
      <c r="O519">
        <f>RTD("tos.rtd", , "BID_SIZE", ".SPY151219P206")</f>
        <v>2545</v>
      </c>
      <c r="P519">
        <f>RTD("tos.rtd", , "VOLUME", ".SPY151219P206")</f>
        <v>0</v>
      </c>
      <c r="Q519">
        <f>RTD("tos.rtd", , "OPEN_INT", ".SPY151219P206")</f>
        <v>547</v>
      </c>
      <c r="R519">
        <f>RTD("tos.rtd", , "DELTA", ".SPY151219P206")</f>
        <v>-0.41821999999999998</v>
      </c>
      <c r="S519">
        <f>RTD("tos.rtd", , "THETA", ".SPY151219P206")</f>
        <v>-2.6259999999999999E-2</v>
      </c>
      <c r="T519">
        <f>RTD("tos.rtd", , "GAMMA", ".SPY151219P206")</f>
        <v>1.436E-2</v>
      </c>
      <c r="U519">
        <f>RTD("tos.rtd", , "VEGA", ".SPY151219P206")</f>
        <v>0.64970000000000006</v>
      </c>
      <c r="V519">
        <f>RTD("tos.rtd", , "RHO", ".SPY151219P206")</f>
        <v>-0.61158999999999997</v>
      </c>
    </row>
    <row r="520" spans="1:22" x14ac:dyDescent="0.25">
      <c r="A520" t="str">
        <f>RTD("tos.rtd", , "ASK", ".SPY151219C206.5")</f>
        <v>N/A</v>
      </c>
      <c r="B520" t="str">
        <f>RTD("tos.rtd", , "ASK_SIZE", ".SPY151219C206.5")</f>
        <v>N/A</v>
      </c>
      <c r="C520" t="str">
        <f>RTD("tos.rtd", , "BID", ".SPY151219C206.5")</f>
        <v>N/A</v>
      </c>
      <c r="D520" t="str">
        <f>RTD("tos.rtd", , "BID_SIZE", ".SPY151219C206.5")</f>
        <v>N/A</v>
      </c>
      <c r="E520" t="str">
        <f>RTD("tos.rtd", , "VOLUME", ".SPY151219C206.5")</f>
        <v>N/A</v>
      </c>
      <c r="F520" t="str">
        <f>RTD("tos.rtd", , "OPEN_INT", ".SPY151219C206.5")</f>
        <v>N/A</v>
      </c>
      <c r="G520" t="str">
        <f>RTD("tos.rtd", , "DELTA", ".SPY151219C206.5")</f>
        <v>N/A</v>
      </c>
      <c r="H520" t="str">
        <f>RTD("tos.rtd", , "THETA", ".SPY151219C206.5")</f>
        <v>N/A</v>
      </c>
      <c r="I520" t="str">
        <f>RTD("tos.rtd", , "GAMMA", ".SPY151219C206.5")</f>
        <v>N/A</v>
      </c>
      <c r="J520" t="str">
        <f>RTD("tos.rtd", , "VEGA", ".SPY151219C206.5")</f>
        <v>N/A</v>
      </c>
      <c r="K520" t="str">
        <f>RTD("tos.rtd", , "RHO", ".SPY151219C206.5")</f>
        <v>N/A</v>
      </c>
      <c r="L520" t="str">
        <f>RTD("tos.rtd", , "ASK", ".SPY151219P206.5")</f>
        <v>N/A</v>
      </c>
      <c r="M520" t="str">
        <f>RTD("tos.rtd", , "ASK_SIZE", ".SPY151219P206.5")</f>
        <v>N/A</v>
      </c>
      <c r="N520" t="str">
        <f>RTD("tos.rtd", , "BID", ".SPY151219P206.5")</f>
        <v>N/A</v>
      </c>
      <c r="O520" t="str">
        <f>RTD("tos.rtd", , "BID_SIZE", ".SPY151219P206.5")</f>
        <v>N/A</v>
      </c>
      <c r="P520" t="str">
        <f>RTD("tos.rtd", , "VOLUME", ".SPY151219P206.5")</f>
        <v>N/A</v>
      </c>
      <c r="Q520" t="str">
        <f>RTD("tos.rtd", , "OPEN_INT", ".SPY151219P206.5")</f>
        <v>N/A</v>
      </c>
      <c r="R520" t="str">
        <f>RTD("tos.rtd", , "DELTA", ".SPY151219P206.5")</f>
        <v>N/A</v>
      </c>
      <c r="S520" t="str">
        <f>RTD("tos.rtd", , "THETA", ".SPY151219P206.5")</f>
        <v>N/A</v>
      </c>
      <c r="T520" t="str">
        <f>RTD("tos.rtd", , "GAMMA", ".SPY151219P206.5")</f>
        <v>N/A</v>
      </c>
      <c r="U520" t="str">
        <f>RTD("tos.rtd", , "VEGA", ".SPY151219P206.5")</f>
        <v>N/A</v>
      </c>
      <c r="V520" t="str">
        <f>RTD("tos.rtd", , "RHO", ".SPY151219P206.5")</f>
        <v>N/A</v>
      </c>
    </row>
    <row r="521" spans="1:22" x14ac:dyDescent="0.25">
      <c r="A521">
        <f>RTD("tos.rtd", , "ASK", ".SPY151219C207")</f>
        <v>11.8</v>
      </c>
      <c r="B521">
        <f>RTD("tos.rtd", , "ASK_SIZE", ".SPY151219C207")</f>
        <v>189</v>
      </c>
      <c r="C521">
        <f>RTD("tos.rtd", , "BID", ".SPY151219C207")</f>
        <v>11.58</v>
      </c>
      <c r="D521">
        <f>RTD("tos.rtd", , "BID_SIZE", ".SPY151219C207")</f>
        <v>2545</v>
      </c>
      <c r="E521">
        <f>RTD("tos.rtd", , "VOLUME", ".SPY151219C207")</f>
        <v>168</v>
      </c>
      <c r="F521">
        <f>RTD("tos.rtd", , "OPEN_INT", ".SPY151219C207")</f>
        <v>106</v>
      </c>
      <c r="G521">
        <f>RTD("tos.rtd", , "DELTA", ".SPY151219C207")</f>
        <v>0.56766000000000005</v>
      </c>
      <c r="H521">
        <f>RTD("tos.rtd", , "THETA", ".SPY151219C207")</f>
        <v>-1.7919999999999998E-2</v>
      </c>
      <c r="I521">
        <f>RTD("tos.rtd", , "GAMMA", ".SPY151219C207")</f>
        <v>1.567E-2</v>
      </c>
      <c r="J521">
        <f>RTD("tos.rtd", , "VEGA", ".SPY151219C207")</f>
        <v>0.65020999999999995</v>
      </c>
      <c r="K521">
        <f>RTD("tos.rtd", , "RHO", ".SPY151219C207")</f>
        <v>0.58321000000000001</v>
      </c>
      <c r="L521">
        <f>RTD("tos.rtd", , "ASK", ".SPY151219P207")</f>
        <v>9.36</v>
      </c>
      <c r="M521">
        <f>RTD("tos.rtd", , "ASK_SIZE", ".SPY151219P207")</f>
        <v>2587</v>
      </c>
      <c r="N521">
        <f>RTD("tos.rtd", , "BID", ".SPY151219P207")</f>
        <v>9.2200000000000006</v>
      </c>
      <c r="O521">
        <f>RTD("tos.rtd", , "BID_SIZE", ".SPY151219P207")</f>
        <v>156</v>
      </c>
      <c r="P521">
        <f>RTD("tos.rtd", , "VOLUME", ".SPY151219P207")</f>
        <v>2</v>
      </c>
      <c r="Q521">
        <f>RTD("tos.rtd", , "OPEN_INT", ".SPY151219P207")</f>
        <v>507</v>
      </c>
      <c r="R521">
        <f>RTD("tos.rtd", , "DELTA", ".SPY151219P207")</f>
        <v>-0.43287999999999999</v>
      </c>
      <c r="S521">
        <f>RTD("tos.rtd", , "THETA", ".SPY151219P207")</f>
        <v>-2.6339999999999999E-2</v>
      </c>
      <c r="T521">
        <f>RTD("tos.rtd", , "GAMMA", ".SPY151219P207")</f>
        <v>1.4579999999999999E-2</v>
      </c>
      <c r="U521">
        <f>RTD("tos.rtd", , "VEGA", ".SPY151219P207")</f>
        <v>0.65400000000000003</v>
      </c>
      <c r="V521">
        <f>RTD("tos.rtd", , "RHO", ".SPY151219P207")</f>
        <v>-0.63353000000000004</v>
      </c>
    </row>
    <row r="522" spans="1:22" x14ac:dyDescent="0.25">
      <c r="A522" t="str">
        <f>RTD("tos.rtd", , "ASK", ".SPY151219C207.5")</f>
        <v>N/A</v>
      </c>
      <c r="B522" t="str">
        <f>RTD("tos.rtd", , "ASK_SIZE", ".SPY151219C207.5")</f>
        <v>N/A</v>
      </c>
      <c r="C522" t="str">
        <f>RTD("tos.rtd", , "BID", ".SPY151219C207.5")</f>
        <v>N/A</v>
      </c>
      <c r="D522" t="str">
        <f>RTD("tos.rtd", , "BID_SIZE", ".SPY151219C207.5")</f>
        <v>N/A</v>
      </c>
      <c r="E522" t="str">
        <f>RTD("tos.rtd", , "VOLUME", ".SPY151219C207.5")</f>
        <v>N/A</v>
      </c>
      <c r="F522" t="str">
        <f>RTD("tos.rtd", , "OPEN_INT", ".SPY151219C207.5")</f>
        <v>N/A</v>
      </c>
      <c r="G522" t="str">
        <f>RTD("tos.rtd", , "DELTA", ".SPY151219C207.5")</f>
        <v>N/A</v>
      </c>
      <c r="H522" t="str">
        <f>RTD("tos.rtd", , "THETA", ".SPY151219C207.5")</f>
        <v>N/A</v>
      </c>
      <c r="I522" t="str">
        <f>RTD("tos.rtd", , "GAMMA", ".SPY151219C207.5")</f>
        <v>N/A</v>
      </c>
      <c r="J522" t="str">
        <f>RTD("tos.rtd", , "VEGA", ".SPY151219C207.5")</f>
        <v>N/A</v>
      </c>
      <c r="K522" t="str">
        <f>RTD("tos.rtd", , "RHO", ".SPY151219C207.5")</f>
        <v>N/A</v>
      </c>
      <c r="L522" t="str">
        <f>RTD("tos.rtd", , "ASK", ".SPY151219P207.5")</f>
        <v>N/A</v>
      </c>
      <c r="M522" t="str">
        <f>RTD("tos.rtd", , "ASK_SIZE", ".SPY151219P207.5")</f>
        <v>N/A</v>
      </c>
      <c r="N522" t="str">
        <f>RTD("tos.rtd", , "BID", ".SPY151219P207.5")</f>
        <v>N/A</v>
      </c>
      <c r="O522" t="str">
        <f>RTD("tos.rtd", , "BID_SIZE", ".SPY151219P207.5")</f>
        <v>N/A</v>
      </c>
      <c r="P522" t="str">
        <f>RTD("tos.rtd", , "VOLUME", ".SPY151219P207.5")</f>
        <v>N/A</v>
      </c>
      <c r="Q522" t="str">
        <f>RTD("tos.rtd", , "OPEN_INT", ".SPY151219P207.5")</f>
        <v>N/A</v>
      </c>
      <c r="R522" t="str">
        <f>RTD("tos.rtd", , "DELTA", ".SPY151219P207.5")</f>
        <v>N/A</v>
      </c>
      <c r="S522" t="str">
        <f>RTD("tos.rtd", , "THETA", ".SPY151219P207.5")</f>
        <v>N/A</v>
      </c>
      <c r="T522" t="str">
        <f>RTD("tos.rtd", , "GAMMA", ".SPY151219P207.5")</f>
        <v>N/A</v>
      </c>
      <c r="U522" t="str">
        <f>RTD("tos.rtd", , "VEGA", ".SPY151219P207.5")</f>
        <v>N/A</v>
      </c>
      <c r="V522" t="str">
        <f>RTD("tos.rtd", , "RHO", ".SPY151219P207.5")</f>
        <v>N/A</v>
      </c>
    </row>
    <row r="523" spans="1:22" x14ac:dyDescent="0.25">
      <c r="A523">
        <f>RTD("tos.rtd", , "ASK", ".SPY151219C208")</f>
        <v>11.14</v>
      </c>
      <c r="B523">
        <f>RTD("tos.rtd", , "ASK_SIZE", ".SPY151219C208")</f>
        <v>332</v>
      </c>
      <c r="C523">
        <f>RTD("tos.rtd", , "BID", ".SPY151219C208")</f>
        <v>10.92</v>
      </c>
      <c r="D523">
        <f>RTD("tos.rtd", , "BID_SIZE", ".SPY151219C208")</f>
        <v>2545</v>
      </c>
      <c r="E523">
        <f>RTD("tos.rtd", , "VOLUME", ".SPY151219C208")</f>
        <v>2</v>
      </c>
      <c r="F523">
        <f>RTD("tos.rtd", , "OPEN_INT", ".SPY151219C208")</f>
        <v>322</v>
      </c>
      <c r="G523">
        <f>RTD("tos.rtd", , "DELTA", ".SPY151219C208")</f>
        <v>0.55184999999999995</v>
      </c>
      <c r="H523">
        <f>RTD("tos.rtd", , "THETA", ".SPY151219C208")</f>
        <v>-1.7829999999999999E-2</v>
      </c>
      <c r="I523">
        <f>RTD("tos.rtd", , "GAMMA", ".SPY151219C208")</f>
        <v>1.5990000000000001E-2</v>
      </c>
      <c r="J523">
        <f>RTD("tos.rtd", , "VEGA", ".SPY151219C208")</f>
        <v>0.65449999999999997</v>
      </c>
      <c r="K523">
        <f>RTD("tos.rtd", , "RHO", ".SPY151219C208")</f>
        <v>0.57352999999999998</v>
      </c>
      <c r="L523">
        <f>RTD("tos.rtd", , "ASK", ".SPY151219P208")</f>
        <v>9.73</v>
      </c>
      <c r="M523">
        <f>RTD("tos.rtd", , "ASK_SIZE", ".SPY151219P208")</f>
        <v>2593</v>
      </c>
      <c r="N523">
        <f>RTD("tos.rtd", , "BID", ".SPY151219P208")</f>
        <v>9.49</v>
      </c>
      <c r="O523">
        <f>RTD("tos.rtd", , "BID_SIZE", ".SPY151219P208")</f>
        <v>2545</v>
      </c>
      <c r="P523">
        <f>RTD("tos.rtd", , "VOLUME", ".SPY151219P208")</f>
        <v>12</v>
      </c>
      <c r="Q523">
        <f>RTD("tos.rtd", , "OPEN_INT", ".SPY151219P208")</f>
        <v>671</v>
      </c>
      <c r="R523">
        <f>RTD("tos.rtd", , "DELTA", ".SPY151219P208")</f>
        <v>-0.44782</v>
      </c>
      <c r="S523">
        <f>RTD("tos.rtd", , "THETA", ".SPY151219P208")</f>
        <v>-2.6210000000000001E-2</v>
      </c>
      <c r="T523">
        <f>RTD("tos.rtd", , "GAMMA", ".SPY151219P208")</f>
        <v>1.494E-2</v>
      </c>
      <c r="U523">
        <f>RTD("tos.rtd", , "VEGA", ".SPY151219P208")</f>
        <v>0.65742999999999996</v>
      </c>
      <c r="V523">
        <f>RTD("tos.rtd", , "RHO", ".SPY151219P208")</f>
        <v>-0.65541000000000005</v>
      </c>
    </row>
    <row r="524" spans="1:22" x14ac:dyDescent="0.25">
      <c r="A524" t="str">
        <f>RTD("tos.rtd", , "ASK", ".SPY151219C208.5")</f>
        <v>N/A</v>
      </c>
      <c r="B524" t="str">
        <f>RTD("tos.rtd", , "ASK_SIZE", ".SPY151219C208.5")</f>
        <v>N/A</v>
      </c>
      <c r="C524" t="str">
        <f>RTD("tos.rtd", , "BID", ".SPY151219C208.5")</f>
        <v>N/A</v>
      </c>
      <c r="D524" t="str">
        <f>RTD("tos.rtd", , "BID_SIZE", ".SPY151219C208.5")</f>
        <v>N/A</v>
      </c>
      <c r="E524" t="str">
        <f>RTD("tos.rtd", , "VOLUME", ".SPY151219C208.5")</f>
        <v>N/A</v>
      </c>
      <c r="F524" t="str">
        <f>RTD("tos.rtd", , "OPEN_INT", ".SPY151219C208.5")</f>
        <v>N/A</v>
      </c>
      <c r="G524" t="str">
        <f>RTD("tos.rtd", , "DELTA", ".SPY151219C208.5")</f>
        <v>N/A</v>
      </c>
      <c r="H524" t="str">
        <f>RTD("tos.rtd", , "THETA", ".SPY151219C208.5")</f>
        <v>N/A</v>
      </c>
      <c r="I524" t="str">
        <f>RTD("tos.rtd", , "GAMMA", ".SPY151219C208.5")</f>
        <v>N/A</v>
      </c>
      <c r="J524" t="str">
        <f>RTD("tos.rtd", , "VEGA", ".SPY151219C208.5")</f>
        <v>N/A</v>
      </c>
      <c r="K524" t="str">
        <f>RTD("tos.rtd", , "RHO", ".SPY151219C208.5")</f>
        <v>N/A</v>
      </c>
      <c r="L524" t="str">
        <f>RTD("tos.rtd", , "ASK", ".SPY151219P208.5")</f>
        <v>N/A</v>
      </c>
      <c r="M524" t="str">
        <f>RTD("tos.rtd", , "ASK_SIZE", ".SPY151219P208.5")</f>
        <v>N/A</v>
      </c>
      <c r="N524" t="str">
        <f>RTD("tos.rtd", , "BID", ".SPY151219P208.5")</f>
        <v>N/A</v>
      </c>
      <c r="O524" t="str">
        <f>RTD("tos.rtd", , "BID_SIZE", ".SPY151219P208.5")</f>
        <v>N/A</v>
      </c>
      <c r="P524" t="str">
        <f>RTD("tos.rtd", , "VOLUME", ".SPY151219P208.5")</f>
        <v>N/A</v>
      </c>
      <c r="Q524" t="str">
        <f>RTD("tos.rtd", , "OPEN_INT", ".SPY151219P208.5")</f>
        <v>N/A</v>
      </c>
      <c r="R524" t="str">
        <f>RTD("tos.rtd", , "DELTA", ".SPY151219P208.5")</f>
        <v>N/A</v>
      </c>
      <c r="S524" t="str">
        <f>RTD("tos.rtd", , "THETA", ".SPY151219P208.5")</f>
        <v>N/A</v>
      </c>
      <c r="T524" t="str">
        <f>RTD("tos.rtd", , "GAMMA", ".SPY151219P208.5")</f>
        <v>N/A</v>
      </c>
      <c r="U524" t="str">
        <f>RTD("tos.rtd", , "VEGA", ".SPY151219P208.5")</f>
        <v>N/A</v>
      </c>
      <c r="V524" t="str">
        <f>RTD("tos.rtd", , "RHO", ".SPY151219P208.5")</f>
        <v>N/A</v>
      </c>
    </row>
    <row r="525" spans="1:22" x14ac:dyDescent="0.25">
      <c r="A525">
        <f>RTD("tos.rtd", , "ASK", ".SPY151219C209")</f>
        <v>10.5</v>
      </c>
      <c r="B525">
        <f>RTD("tos.rtd", , "ASK_SIZE", ".SPY151219C209")</f>
        <v>369</v>
      </c>
      <c r="C525">
        <f>RTD("tos.rtd", , "BID", ".SPY151219C209")</f>
        <v>10.29</v>
      </c>
      <c r="D525">
        <f>RTD("tos.rtd", , "BID_SIZE", ".SPY151219C209")</f>
        <v>2545</v>
      </c>
      <c r="E525">
        <f>RTD("tos.rtd", , "VOLUME", ".SPY151219C209")</f>
        <v>73</v>
      </c>
      <c r="F525">
        <f>RTD("tos.rtd", , "OPEN_INT", ".SPY151219C209")</f>
        <v>619</v>
      </c>
      <c r="G525">
        <f>RTD("tos.rtd", , "DELTA", ".SPY151219C209")</f>
        <v>0.53556999999999999</v>
      </c>
      <c r="H525">
        <f>RTD("tos.rtd", , "THETA", ".SPY151219C209")</f>
        <v>-1.7729999999999999E-2</v>
      </c>
      <c r="I525">
        <f>RTD("tos.rtd", , "GAMMA", ".SPY151219C209")</f>
        <v>1.6230000000000001E-2</v>
      </c>
      <c r="J525">
        <f>RTD("tos.rtd", , "VEGA", ".SPY151219C209")</f>
        <v>0.65783000000000003</v>
      </c>
      <c r="K525">
        <f>RTD("tos.rtd", , "RHO", ".SPY151219C209")</f>
        <v>0.56289</v>
      </c>
      <c r="L525">
        <f>RTD("tos.rtd", , "ASK", ".SPY151219P209")</f>
        <v>10.11</v>
      </c>
      <c r="M525">
        <f>RTD("tos.rtd", , "ASK_SIZE", ".SPY151219P209")</f>
        <v>2824</v>
      </c>
      <c r="N525">
        <f>RTD("tos.rtd", , "BID", ".SPY151219P209")</f>
        <v>9.94</v>
      </c>
      <c r="O525">
        <f>RTD("tos.rtd", , "BID_SIZE", ".SPY151219P209")</f>
        <v>256</v>
      </c>
      <c r="P525">
        <f>RTD("tos.rtd", , "VOLUME", ".SPY151219P209")</f>
        <v>5</v>
      </c>
      <c r="Q525">
        <f>RTD("tos.rtd", , "OPEN_INT", ".SPY151219P209")</f>
        <v>1072</v>
      </c>
      <c r="R525">
        <f>RTD("tos.rtd", , "DELTA", ".SPY151219P209")</f>
        <v>-0.46316000000000002</v>
      </c>
      <c r="S525">
        <f>RTD("tos.rtd", , "THETA", ".SPY151219P209")</f>
        <v>-2.622E-2</v>
      </c>
      <c r="T525">
        <f>RTD("tos.rtd", , "GAMMA", ".SPY151219P209")</f>
        <v>1.5129999999999999E-2</v>
      </c>
      <c r="U525">
        <f>RTD("tos.rtd", , "VEGA", ".SPY151219P209")</f>
        <v>0.65996999999999995</v>
      </c>
      <c r="V525">
        <f>RTD("tos.rtd", , "RHO", ".SPY151219P209")</f>
        <v>-0.67842000000000002</v>
      </c>
    </row>
    <row r="526" spans="1:22" x14ac:dyDescent="0.25">
      <c r="A526" t="str">
        <f>RTD("tos.rtd", , "ASK", ".SPY151219C209.5")</f>
        <v>N/A</v>
      </c>
      <c r="B526" t="str">
        <f>RTD("tos.rtd", , "ASK_SIZE", ".SPY151219C209.5")</f>
        <v>N/A</v>
      </c>
      <c r="C526" t="str">
        <f>RTD("tos.rtd", , "BID", ".SPY151219C209.5")</f>
        <v>N/A</v>
      </c>
      <c r="D526" t="str">
        <f>RTD("tos.rtd", , "BID_SIZE", ".SPY151219C209.5")</f>
        <v>N/A</v>
      </c>
      <c r="E526" t="str">
        <f>RTD("tos.rtd", , "VOLUME", ".SPY151219C209.5")</f>
        <v>N/A</v>
      </c>
      <c r="F526" t="str">
        <f>RTD("tos.rtd", , "OPEN_INT", ".SPY151219C209.5")</f>
        <v>N/A</v>
      </c>
      <c r="G526" t="str">
        <f>RTD("tos.rtd", , "DELTA", ".SPY151219C209.5")</f>
        <v>N/A</v>
      </c>
      <c r="H526" t="str">
        <f>RTD("tos.rtd", , "THETA", ".SPY151219C209.5")</f>
        <v>N/A</v>
      </c>
      <c r="I526" t="str">
        <f>RTD("tos.rtd", , "GAMMA", ".SPY151219C209.5")</f>
        <v>N/A</v>
      </c>
      <c r="J526" t="str">
        <f>RTD("tos.rtd", , "VEGA", ".SPY151219C209.5")</f>
        <v>N/A</v>
      </c>
      <c r="K526" t="str">
        <f>RTD("tos.rtd", , "RHO", ".SPY151219C209.5")</f>
        <v>N/A</v>
      </c>
      <c r="L526" t="str">
        <f>RTD("tos.rtd", , "ASK", ".SPY151219P209.5")</f>
        <v>N/A</v>
      </c>
      <c r="M526" t="str">
        <f>RTD("tos.rtd", , "ASK_SIZE", ".SPY151219P209.5")</f>
        <v>N/A</v>
      </c>
      <c r="N526" t="str">
        <f>RTD("tos.rtd", , "BID", ".SPY151219P209.5")</f>
        <v>N/A</v>
      </c>
      <c r="O526" t="str">
        <f>RTD("tos.rtd", , "BID_SIZE", ".SPY151219P209.5")</f>
        <v>N/A</v>
      </c>
      <c r="P526" t="str">
        <f>RTD("tos.rtd", , "VOLUME", ".SPY151219P209.5")</f>
        <v>N/A</v>
      </c>
      <c r="Q526" t="str">
        <f>RTD("tos.rtd", , "OPEN_INT", ".SPY151219P209.5")</f>
        <v>N/A</v>
      </c>
      <c r="R526" t="str">
        <f>RTD("tos.rtd", , "DELTA", ".SPY151219P209.5")</f>
        <v>N/A</v>
      </c>
      <c r="S526" t="str">
        <f>RTD("tos.rtd", , "THETA", ".SPY151219P209.5")</f>
        <v>N/A</v>
      </c>
      <c r="T526" t="str">
        <f>RTD("tos.rtd", , "GAMMA", ".SPY151219P209.5")</f>
        <v>N/A</v>
      </c>
      <c r="U526" t="str">
        <f>RTD("tos.rtd", , "VEGA", ".SPY151219P209.5")</f>
        <v>N/A</v>
      </c>
      <c r="V526" t="str">
        <f>RTD("tos.rtd", , "RHO", ".SPY151219P209.5")</f>
        <v>N/A</v>
      </c>
    </row>
    <row r="527" spans="1:22" x14ac:dyDescent="0.25">
      <c r="A527">
        <f>RTD("tos.rtd", , "ASK", ".SPY151219C210")</f>
        <v>9.8699999999999992</v>
      </c>
      <c r="B527">
        <f>RTD("tos.rtd", , "ASK_SIZE", ".SPY151219C210")</f>
        <v>140</v>
      </c>
      <c r="C527">
        <f>RTD("tos.rtd", , "BID", ".SPY151219C210")</f>
        <v>9.7200000000000006</v>
      </c>
      <c r="D527">
        <f>RTD("tos.rtd", , "BID_SIZE", ".SPY151219C210")</f>
        <v>2545</v>
      </c>
      <c r="E527">
        <f>RTD("tos.rtd", , "VOLUME", ".SPY151219C210")</f>
        <v>34</v>
      </c>
      <c r="F527">
        <f>RTD("tos.rtd", , "OPEN_INT", ".SPY151219C210")</f>
        <v>21270</v>
      </c>
      <c r="G527">
        <f>RTD("tos.rtd", , "DELTA", ".SPY151219C210")</f>
        <v>0.51895000000000002</v>
      </c>
      <c r="H527">
        <f>RTD("tos.rtd", , "THETA", ".SPY151219C210")</f>
        <v>-1.7639999999999999E-2</v>
      </c>
      <c r="I527">
        <f>RTD("tos.rtd", , "GAMMA", ".SPY151219C210")</f>
        <v>1.6420000000000001E-2</v>
      </c>
      <c r="J527">
        <f>RTD("tos.rtd", , "VEGA", ".SPY151219C210")</f>
        <v>0.66008999999999995</v>
      </c>
      <c r="K527">
        <f>RTD("tos.rtd", , "RHO", ".SPY151219C210")</f>
        <v>0.55139000000000005</v>
      </c>
      <c r="L527">
        <f>RTD("tos.rtd", , "ASK", ".SPY151219P210")</f>
        <v>10.5</v>
      </c>
      <c r="M527">
        <f>RTD("tos.rtd", , "ASK_SIZE", ".SPY151219P210")</f>
        <v>2585</v>
      </c>
      <c r="N527">
        <f>RTD("tos.rtd", , "BID", ".SPY151219P210")</f>
        <v>10.25</v>
      </c>
      <c r="O527">
        <f>RTD("tos.rtd", , "BID_SIZE", ".SPY151219P210")</f>
        <v>2545</v>
      </c>
      <c r="P527">
        <f>RTD("tos.rtd", , "VOLUME", ".SPY151219P210")</f>
        <v>42</v>
      </c>
      <c r="Q527">
        <f>RTD("tos.rtd", , "OPEN_INT", ".SPY151219P210")</f>
        <v>9059</v>
      </c>
      <c r="R527">
        <f>RTD("tos.rtd", , "DELTA", ".SPY151219P210")</f>
        <v>-0.47900999999999999</v>
      </c>
      <c r="S527">
        <f>RTD("tos.rtd", , "THETA", ".SPY151219P210")</f>
        <v>-2.6030000000000001E-2</v>
      </c>
      <c r="T527">
        <f>RTD("tos.rtd", , "GAMMA", ".SPY151219P210")</f>
        <v>1.5429999999999999E-2</v>
      </c>
      <c r="U527">
        <f>RTD("tos.rtd", , "VEGA", ".SPY151219P210")</f>
        <v>0.66154000000000002</v>
      </c>
      <c r="V527">
        <f>RTD("tos.rtd", , "RHO", ".SPY151219P210")</f>
        <v>-0.70169999999999999</v>
      </c>
    </row>
    <row r="528" spans="1:22" x14ac:dyDescent="0.25">
      <c r="A528" t="str">
        <f>RTD("tos.rtd", , "ASK", ".SPY151219C210.5")</f>
        <v>N/A</v>
      </c>
      <c r="B528" t="str">
        <f>RTD("tos.rtd", , "ASK_SIZE", ".SPY151219C210.5")</f>
        <v>N/A</v>
      </c>
      <c r="C528" t="str">
        <f>RTD("tos.rtd", , "BID", ".SPY151219C210.5")</f>
        <v>N/A</v>
      </c>
      <c r="D528" t="str">
        <f>RTD("tos.rtd", , "BID_SIZE", ".SPY151219C210.5")</f>
        <v>N/A</v>
      </c>
      <c r="E528" t="str">
        <f>RTD("tos.rtd", , "VOLUME", ".SPY151219C210.5")</f>
        <v>N/A</v>
      </c>
      <c r="F528" t="str">
        <f>RTD("tos.rtd", , "OPEN_INT", ".SPY151219C210.5")</f>
        <v>N/A</v>
      </c>
      <c r="G528" t="str">
        <f>RTD("tos.rtd", , "DELTA", ".SPY151219C210.5")</f>
        <v>N/A</v>
      </c>
      <c r="H528" t="str">
        <f>RTD("tos.rtd", , "THETA", ".SPY151219C210.5")</f>
        <v>N/A</v>
      </c>
      <c r="I528" t="str">
        <f>RTD("tos.rtd", , "GAMMA", ".SPY151219C210.5")</f>
        <v>N/A</v>
      </c>
      <c r="J528" t="str">
        <f>RTD("tos.rtd", , "VEGA", ".SPY151219C210.5")</f>
        <v>N/A</v>
      </c>
      <c r="K528" t="str">
        <f>RTD("tos.rtd", , "RHO", ".SPY151219C210.5")</f>
        <v>N/A</v>
      </c>
      <c r="L528" t="str">
        <f>RTD("tos.rtd", , "ASK", ".SPY151219P210.5")</f>
        <v>N/A</v>
      </c>
      <c r="M528" t="str">
        <f>RTD("tos.rtd", , "ASK_SIZE", ".SPY151219P210.5")</f>
        <v>N/A</v>
      </c>
      <c r="N528" t="str">
        <f>RTD("tos.rtd", , "BID", ".SPY151219P210.5")</f>
        <v>N/A</v>
      </c>
      <c r="O528" t="str">
        <f>RTD("tos.rtd", , "BID_SIZE", ".SPY151219P210.5")</f>
        <v>N/A</v>
      </c>
      <c r="P528" t="str">
        <f>RTD("tos.rtd", , "VOLUME", ".SPY151219P210.5")</f>
        <v>N/A</v>
      </c>
      <c r="Q528" t="str">
        <f>RTD("tos.rtd", , "OPEN_INT", ".SPY151219P210.5")</f>
        <v>N/A</v>
      </c>
      <c r="R528" t="str">
        <f>RTD("tos.rtd", , "DELTA", ".SPY151219P210.5")</f>
        <v>N/A</v>
      </c>
      <c r="S528" t="str">
        <f>RTD("tos.rtd", , "THETA", ".SPY151219P210.5")</f>
        <v>N/A</v>
      </c>
      <c r="T528" t="str">
        <f>RTD("tos.rtd", , "GAMMA", ".SPY151219P210.5")</f>
        <v>N/A</v>
      </c>
      <c r="U528" t="str">
        <f>RTD("tos.rtd", , "VEGA", ".SPY151219P210.5")</f>
        <v>N/A</v>
      </c>
      <c r="V528" t="str">
        <f>RTD("tos.rtd", , "RHO", ".SPY151219P210.5")</f>
        <v>N/A</v>
      </c>
    </row>
    <row r="529" spans="1:22" x14ac:dyDescent="0.25">
      <c r="A529">
        <f>RTD("tos.rtd", , "ASK", ".SPY151219C211")</f>
        <v>9.26</v>
      </c>
      <c r="B529">
        <f>RTD("tos.rtd", , "ASK_SIZE", ".SPY151219C211")</f>
        <v>331</v>
      </c>
      <c r="C529">
        <f>RTD("tos.rtd", , "BID", ".SPY151219C211")</f>
        <v>9.07</v>
      </c>
      <c r="D529">
        <f>RTD("tos.rtd", , "BID_SIZE", ".SPY151219C211")</f>
        <v>2545</v>
      </c>
      <c r="E529">
        <f>RTD("tos.rtd", , "VOLUME", ".SPY151219C211")</f>
        <v>67</v>
      </c>
      <c r="F529">
        <f>RTD("tos.rtd", , "OPEN_INT", ".SPY151219C211")</f>
        <v>1374</v>
      </c>
      <c r="G529">
        <f>RTD("tos.rtd", , "DELTA", ".SPY151219C211")</f>
        <v>0.50185999999999997</v>
      </c>
      <c r="H529">
        <f>RTD("tos.rtd", , "THETA", ".SPY151219C211")</f>
        <v>-1.7420000000000001E-2</v>
      </c>
      <c r="I529">
        <f>RTD("tos.rtd", , "GAMMA", ".SPY151219C211")</f>
        <v>1.6629999999999999E-2</v>
      </c>
      <c r="J529">
        <f>RTD("tos.rtd", , "VEGA", ".SPY151219C211")</f>
        <v>0.66117999999999999</v>
      </c>
      <c r="K529">
        <f>RTD("tos.rtd", , "RHO", ".SPY151219C211")</f>
        <v>0.53885000000000005</v>
      </c>
      <c r="L529">
        <f>RTD("tos.rtd", , "ASK", ".SPY151219P211")</f>
        <v>10.92</v>
      </c>
      <c r="M529">
        <f>RTD("tos.rtd", , "ASK_SIZE", ".SPY151219P211")</f>
        <v>2585</v>
      </c>
      <c r="N529">
        <f>RTD("tos.rtd", , "BID", ".SPY151219P211")</f>
        <v>10.68</v>
      </c>
      <c r="O529">
        <f>RTD("tos.rtd", , "BID_SIZE", ".SPY151219P211")</f>
        <v>2545</v>
      </c>
      <c r="P529">
        <f>RTD("tos.rtd", , "VOLUME", ".SPY151219P211")</f>
        <v>56</v>
      </c>
      <c r="Q529">
        <f>RTD("tos.rtd", , "OPEN_INT", ".SPY151219P211")</f>
        <v>950</v>
      </c>
      <c r="R529">
        <f>RTD("tos.rtd", , "DELTA", ".SPY151219P211")</f>
        <v>-0.49506</v>
      </c>
      <c r="S529">
        <f>RTD("tos.rtd", , "THETA", ".SPY151219P211")</f>
        <v>-2.5930000000000002E-2</v>
      </c>
      <c r="T529">
        <f>RTD("tos.rtd", , "GAMMA", ".SPY151219P211")</f>
        <v>1.559E-2</v>
      </c>
      <c r="U529">
        <f>RTD("tos.rtd", , "VEGA", ".SPY151219P211")</f>
        <v>0.66205000000000003</v>
      </c>
      <c r="V529">
        <f>RTD("tos.rtd", , "RHO", ".SPY151219P211")</f>
        <v>-0.72572999999999999</v>
      </c>
    </row>
    <row r="530" spans="1:22" x14ac:dyDescent="0.25">
      <c r="A530" t="str">
        <f>RTD("tos.rtd", , "ASK", ".SPY151219C211.5")</f>
        <v>N/A</v>
      </c>
      <c r="B530" t="str">
        <f>RTD("tos.rtd", , "ASK_SIZE", ".SPY151219C211.5")</f>
        <v>N/A</v>
      </c>
      <c r="C530" t="str">
        <f>RTD("tos.rtd", , "BID", ".SPY151219C211.5")</f>
        <v>N/A</v>
      </c>
      <c r="D530" t="str">
        <f>RTD("tos.rtd", , "BID_SIZE", ".SPY151219C211.5")</f>
        <v>N/A</v>
      </c>
      <c r="E530" t="str">
        <f>RTD("tos.rtd", , "VOLUME", ".SPY151219C211.5")</f>
        <v>N/A</v>
      </c>
      <c r="F530" t="str">
        <f>RTD("tos.rtd", , "OPEN_INT", ".SPY151219C211.5")</f>
        <v>N/A</v>
      </c>
      <c r="G530" t="str">
        <f>RTD("tos.rtd", , "DELTA", ".SPY151219C211.5")</f>
        <v>N/A</v>
      </c>
      <c r="H530" t="str">
        <f>RTD("tos.rtd", , "THETA", ".SPY151219C211.5")</f>
        <v>N/A</v>
      </c>
      <c r="I530" t="str">
        <f>RTD("tos.rtd", , "GAMMA", ".SPY151219C211.5")</f>
        <v>N/A</v>
      </c>
      <c r="J530" t="str">
        <f>RTD("tos.rtd", , "VEGA", ".SPY151219C211.5")</f>
        <v>N/A</v>
      </c>
      <c r="K530" t="str">
        <f>RTD("tos.rtd", , "RHO", ".SPY151219C211.5")</f>
        <v>N/A</v>
      </c>
      <c r="L530" t="str">
        <f>RTD("tos.rtd", , "ASK", ".SPY151219P211.5")</f>
        <v>N/A</v>
      </c>
      <c r="M530" t="str">
        <f>RTD("tos.rtd", , "ASK_SIZE", ".SPY151219P211.5")</f>
        <v>N/A</v>
      </c>
      <c r="N530" t="str">
        <f>RTD("tos.rtd", , "BID", ".SPY151219P211.5")</f>
        <v>N/A</v>
      </c>
      <c r="O530" t="str">
        <f>RTD("tos.rtd", , "BID_SIZE", ".SPY151219P211.5")</f>
        <v>N/A</v>
      </c>
      <c r="P530" t="str">
        <f>RTD("tos.rtd", , "VOLUME", ".SPY151219P211.5")</f>
        <v>N/A</v>
      </c>
      <c r="Q530" t="str">
        <f>RTD("tos.rtd", , "OPEN_INT", ".SPY151219P211.5")</f>
        <v>N/A</v>
      </c>
      <c r="R530" t="str">
        <f>RTD("tos.rtd", , "DELTA", ".SPY151219P211.5")</f>
        <v>N/A</v>
      </c>
      <c r="S530" t="str">
        <f>RTD("tos.rtd", , "THETA", ".SPY151219P211.5")</f>
        <v>N/A</v>
      </c>
      <c r="T530" t="str">
        <f>RTD("tos.rtd", , "GAMMA", ".SPY151219P211.5")</f>
        <v>N/A</v>
      </c>
      <c r="U530" t="str">
        <f>RTD("tos.rtd", , "VEGA", ".SPY151219P211.5")</f>
        <v>N/A</v>
      </c>
      <c r="V530" t="str">
        <f>RTD("tos.rtd", , "RHO", ".SPY151219P211.5")</f>
        <v>N/A</v>
      </c>
    </row>
    <row r="531" spans="1:22" x14ac:dyDescent="0.25">
      <c r="A531">
        <f>RTD("tos.rtd", , "ASK", ".SPY151219C212")</f>
        <v>8.66</v>
      </c>
      <c r="B531">
        <f>RTD("tos.rtd", , "ASK_SIZE", ".SPY151219C212")</f>
        <v>256</v>
      </c>
      <c r="C531">
        <f>RTD("tos.rtd", , "BID", ".SPY151219C212")</f>
        <v>8.4700000000000006</v>
      </c>
      <c r="D531">
        <f>RTD("tos.rtd", , "BID_SIZE", ".SPY151219C212")</f>
        <v>2545</v>
      </c>
      <c r="E531">
        <f>RTD("tos.rtd", , "VOLUME", ".SPY151219C212")</f>
        <v>54</v>
      </c>
      <c r="F531">
        <f>RTD("tos.rtd", , "OPEN_INT", ".SPY151219C212")</f>
        <v>601</v>
      </c>
      <c r="G531">
        <f>RTD("tos.rtd", , "DELTA", ".SPY151219C212")</f>
        <v>0.48442000000000002</v>
      </c>
      <c r="H531">
        <f>RTD("tos.rtd", , "THETA", ".SPY151219C212")</f>
        <v>-1.72E-2</v>
      </c>
      <c r="I531">
        <f>RTD("tos.rtd", , "GAMMA", ".SPY151219C212")</f>
        <v>1.6830000000000001E-2</v>
      </c>
      <c r="J531">
        <f>RTD("tos.rtd", , "VEGA", ".SPY151219C212")</f>
        <v>0.66103999999999996</v>
      </c>
      <c r="K531">
        <f>RTD("tos.rtd", , "RHO", ".SPY151219C212")</f>
        <v>0.52546999999999999</v>
      </c>
      <c r="L531">
        <f>RTD("tos.rtd", , "ASK", ".SPY151219P212")</f>
        <v>11.33</v>
      </c>
      <c r="M531">
        <f>RTD("tos.rtd", , "ASK_SIZE", ".SPY151219P212")</f>
        <v>137</v>
      </c>
      <c r="N531">
        <f>RTD("tos.rtd", , "BID", ".SPY151219P212")</f>
        <v>11.11</v>
      </c>
      <c r="O531">
        <f>RTD("tos.rtd", , "BID_SIZE", ".SPY151219P212")</f>
        <v>294</v>
      </c>
      <c r="P531">
        <f>RTD("tos.rtd", , "VOLUME", ".SPY151219P212")</f>
        <v>365</v>
      </c>
      <c r="Q531">
        <f>RTD("tos.rtd", , "OPEN_INT", ".SPY151219P212")</f>
        <v>959</v>
      </c>
      <c r="R531">
        <f>RTD("tos.rtd", , "DELTA", ".SPY151219P212")</f>
        <v>-0.51149999999999995</v>
      </c>
      <c r="S531">
        <f>RTD("tos.rtd", , "THETA", ".SPY151219P212")</f>
        <v>-2.5760000000000002E-2</v>
      </c>
      <c r="T531">
        <f>RTD("tos.rtd", , "GAMMA", ".SPY151219P212")</f>
        <v>1.5789999999999998E-2</v>
      </c>
      <c r="U531">
        <f>RTD("tos.rtd", , "VEGA", ".SPY151219P212")</f>
        <v>0.66144000000000003</v>
      </c>
      <c r="V531">
        <f>RTD("tos.rtd", , "RHO", ".SPY151219P212")</f>
        <v>-0.75024999999999997</v>
      </c>
    </row>
    <row r="532" spans="1:22" x14ac:dyDescent="0.25">
      <c r="A532" t="str">
        <f>RTD("tos.rtd", , "ASK", ".SPY151219C212.5")</f>
        <v>N/A</v>
      </c>
      <c r="B532" t="str">
        <f>RTD("tos.rtd", , "ASK_SIZE", ".SPY151219C212.5")</f>
        <v>N/A</v>
      </c>
      <c r="C532" t="str">
        <f>RTD("tos.rtd", , "BID", ".SPY151219C212.5")</f>
        <v>N/A</v>
      </c>
      <c r="D532" t="str">
        <f>RTD("tos.rtd", , "BID_SIZE", ".SPY151219C212.5")</f>
        <v>N/A</v>
      </c>
      <c r="E532" t="str">
        <f>RTD("tos.rtd", , "VOLUME", ".SPY151219C212.5")</f>
        <v>N/A</v>
      </c>
      <c r="F532" t="str">
        <f>RTD("tos.rtd", , "OPEN_INT", ".SPY151219C212.5")</f>
        <v>N/A</v>
      </c>
      <c r="G532" t="str">
        <f>RTD("tos.rtd", , "DELTA", ".SPY151219C212.5")</f>
        <v>N/A</v>
      </c>
      <c r="H532" t="str">
        <f>RTD("tos.rtd", , "THETA", ".SPY151219C212.5")</f>
        <v>N/A</v>
      </c>
      <c r="I532" t="str">
        <f>RTD("tos.rtd", , "GAMMA", ".SPY151219C212.5")</f>
        <v>N/A</v>
      </c>
      <c r="J532" t="str">
        <f>RTD("tos.rtd", , "VEGA", ".SPY151219C212.5")</f>
        <v>N/A</v>
      </c>
      <c r="K532" t="str">
        <f>RTD("tos.rtd", , "RHO", ".SPY151219C212.5")</f>
        <v>N/A</v>
      </c>
      <c r="L532" t="str">
        <f>RTD("tos.rtd", , "ASK", ".SPY151219P212.5")</f>
        <v>N/A</v>
      </c>
      <c r="M532" t="str">
        <f>RTD("tos.rtd", , "ASK_SIZE", ".SPY151219P212.5")</f>
        <v>N/A</v>
      </c>
      <c r="N532" t="str">
        <f>RTD("tos.rtd", , "BID", ".SPY151219P212.5")</f>
        <v>N/A</v>
      </c>
      <c r="O532" t="str">
        <f>RTD("tos.rtd", , "BID_SIZE", ".SPY151219P212.5")</f>
        <v>N/A</v>
      </c>
      <c r="P532" t="str">
        <f>RTD("tos.rtd", , "VOLUME", ".SPY151219P212.5")</f>
        <v>N/A</v>
      </c>
      <c r="Q532" t="str">
        <f>RTD("tos.rtd", , "OPEN_INT", ".SPY151219P212.5")</f>
        <v>N/A</v>
      </c>
      <c r="R532" t="str">
        <f>RTD("tos.rtd", , "DELTA", ".SPY151219P212.5")</f>
        <v>N/A</v>
      </c>
      <c r="S532" t="str">
        <f>RTD("tos.rtd", , "THETA", ".SPY151219P212.5")</f>
        <v>N/A</v>
      </c>
      <c r="T532" t="str">
        <f>RTD("tos.rtd", , "GAMMA", ".SPY151219P212.5")</f>
        <v>N/A</v>
      </c>
      <c r="U532" t="str">
        <f>RTD("tos.rtd", , "VEGA", ".SPY151219P212.5")</f>
        <v>N/A</v>
      </c>
      <c r="V532" t="str">
        <f>RTD("tos.rtd", , "RHO", ".SPY151219P212.5")</f>
        <v>N/A</v>
      </c>
    </row>
    <row r="533" spans="1:22" x14ac:dyDescent="0.25">
      <c r="A533">
        <f>RTD("tos.rtd", , "ASK", ".SPY151219C213")</f>
        <v>8.16</v>
      </c>
      <c r="B533">
        <f>RTD("tos.rtd", , "ASK_SIZE", ".SPY151219C213")</f>
        <v>2545</v>
      </c>
      <c r="C533">
        <f>RTD("tos.rtd", , "BID", ".SPY151219C213")</f>
        <v>7.88</v>
      </c>
      <c r="D533">
        <f>RTD("tos.rtd", , "BID_SIZE", ".SPY151219C213")</f>
        <v>2545</v>
      </c>
      <c r="E533">
        <f>RTD("tos.rtd", , "VOLUME", ".SPY151219C213")</f>
        <v>67</v>
      </c>
      <c r="F533">
        <f>RTD("tos.rtd", , "OPEN_INT", ".SPY151219C213")</f>
        <v>803</v>
      </c>
      <c r="G533">
        <f>RTD("tos.rtd", , "DELTA", ".SPY151219C213")</f>
        <v>0.46689999999999998</v>
      </c>
      <c r="H533">
        <f>RTD("tos.rtd", , "THETA", ".SPY151219C213")</f>
        <v>-1.702E-2</v>
      </c>
      <c r="I533">
        <f>RTD("tos.rtd", , "GAMMA", ".SPY151219C213")</f>
        <v>1.6930000000000001E-2</v>
      </c>
      <c r="J533">
        <f>RTD("tos.rtd", , "VEGA", ".SPY151219C213")</f>
        <v>0.65964999999999996</v>
      </c>
      <c r="K533">
        <f>RTD("tos.rtd", , "RHO", ".SPY151219C213")</f>
        <v>0.51146999999999998</v>
      </c>
      <c r="L533">
        <f>RTD("tos.rtd", , "ASK", ".SPY151219P213")</f>
        <v>11.78</v>
      </c>
      <c r="M533">
        <f>RTD("tos.rtd", , "ASK_SIZE", ".SPY151219P213")</f>
        <v>365</v>
      </c>
      <c r="N533">
        <f>RTD("tos.rtd", , "BID", ".SPY151219P213")</f>
        <v>11.53</v>
      </c>
      <c r="O533">
        <f>RTD("tos.rtd", , "BID_SIZE", ".SPY151219P213")</f>
        <v>158</v>
      </c>
      <c r="P533">
        <f>RTD("tos.rtd", , "VOLUME", ".SPY151219P213")</f>
        <v>0</v>
      </c>
      <c r="Q533">
        <f>RTD("tos.rtd", , "OPEN_INT", ".SPY151219P213")</f>
        <v>519</v>
      </c>
      <c r="R533">
        <f>RTD("tos.rtd", , "DELTA", ".SPY151219P213")</f>
        <v>-0.52829999999999999</v>
      </c>
      <c r="S533">
        <f>RTD("tos.rtd", , "THETA", ".SPY151219P213")</f>
        <v>-2.555E-2</v>
      </c>
      <c r="T533">
        <f>RTD("tos.rtd", , "GAMMA", ".SPY151219P213")</f>
        <v>1.5970000000000002E-2</v>
      </c>
      <c r="U533">
        <f>RTD("tos.rtd", , "VEGA", ".SPY151219P213")</f>
        <v>0.65964999999999996</v>
      </c>
      <c r="V533">
        <f>RTD("tos.rtd", , "RHO", ".SPY151219P213")</f>
        <v>-0.77532999999999996</v>
      </c>
    </row>
    <row r="534" spans="1:22" x14ac:dyDescent="0.25">
      <c r="A534" t="str">
        <f>RTD("tos.rtd", , "ASK", ".SPY151219C213.5")</f>
        <v>N/A</v>
      </c>
      <c r="B534" t="str">
        <f>RTD("tos.rtd", , "ASK_SIZE", ".SPY151219C213.5")</f>
        <v>N/A</v>
      </c>
      <c r="C534" t="str">
        <f>RTD("tos.rtd", , "BID", ".SPY151219C213.5")</f>
        <v>N/A</v>
      </c>
      <c r="D534" t="str">
        <f>RTD("tos.rtd", , "BID_SIZE", ".SPY151219C213.5")</f>
        <v>N/A</v>
      </c>
      <c r="E534" t="str">
        <f>RTD("tos.rtd", , "VOLUME", ".SPY151219C213.5")</f>
        <v>N/A</v>
      </c>
      <c r="F534" t="str">
        <f>RTD("tos.rtd", , "OPEN_INT", ".SPY151219C213.5")</f>
        <v>N/A</v>
      </c>
      <c r="G534" t="str">
        <f>RTD("tos.rtd", , "DELTA", ".SPY151219C213.5")</f>
        <v>N/A</v>
      </c>
      <c r="H534" t="str">
        <f>RTD("tos.rtd", , "THETA", ".SPY151219C213.5")</f>
        <v>N/A</v>
      </c>
      <c r="I534" t="str">
        <f>RTD("tos.rtd", , "GAMMA", ".SPY151219C213.5")</f>
        <v>N/A</v>
      </c>
      <c r="J534" t="str">
        <f>RTD("tos.rtd", , "VEGA", ".SPY151219C213.5")</f>
        <v>N/A</v>
      </c>
      <c r="K534" t="str">
        <f>RTD("tos.rtd", , "RHO", ".SPY151219C213.5")</f>
        <v>N/A</v>
      </c>
      <c r="L534" t="str">
        <f>RTD("tos.rtd", , "ASK", ".SPY151219P213.5")</f>
        <v>N/A</v>
      </c>
      <c r="M534" t="str">
        <f>RTD("tos.rtd", , "ASK_SIZE", ".SPY151219P213.5")</f>
        <v>N/A</v>
      </c>
      <c r="N534" t="str">
        <f>RTD("tos.rtd", , "BID", ".SPY151219P213.5")</f>
        <v>N/A</v>
      </c>
      <c r="O534" t="str">
        <f>RTD("tos.rtd", , "BID_SIZE", ".SPY151219P213.5")</f>
        <v>N/A</v>
      </c>
      <c r="P534" t="str">
        <f>RTD("tos.rtd", , "VOLUME", ".SPY151219P213.5")</f>
        <v>N/A</v>
      </c>
      <c r="Q534" t="str">
        <f>RTD("tos.rtd", , "OPEN_INT", ".SPY151219P213.5")</f>
        <v>N/A</v>
      </c>
      <c r="R534" t="str">
        <f>RTD("tos.rtd", , "DELTA", ".SPY151219P213.5")</f>
        <v>N/A</v>
      </c>
      <c r="S534" t="str">
        <f>RTD("tos.rtd", , "THETA", ".SPY151219P213.5")</f>
        <v>N/A</v>
      </c>
      <c r="T534" t="str">
        <f>RTD("tos.rtd", , "GAMMA", ".SPY151219P213.5")</f>
        <v>N/A</v>
      </c>
      <c r="U534" t="str">
        <f>RTD("tos.rtd", , "VEGA", ".SPY151219P213.5")</f>
        <v>N/A</v>
      </c>
      <c r="V534" t="str">
        <f>RTD("tos.rtd", , "RHO", ".SPY151219P213.5")</f>
        <v>N/A</v>
      </c>
    </row>
    <row r="535" spans="1:22" x14ac:dyDescent="0.25">
      <c r="A535">
        <f>RTD("tos.rtd", , "ASK", ".SPY151219C214")</f>
        <v>7.54</v>
      </c>
      <c r="B535">
        <f>RTD("tos.rtd", , "ASK_SIZE", ".SPY151219C214")</f>
        <v>129</v>
      </c>
      <c r="C535">
        <f>RTD("tos.rtd", , "BID", ".SPY151219C214")</f>
        <v>7.33</v>
      </c>
      <c r="D535">
        <f>RTD("tos.rtd", , "BID_SIZE", ".SPY151219C214")</f>
        <v>2545</v>
      </c>
      <c r="E535">
        <f>RTD("tos.rtd", , "VOLUME", ".SPY151219C214")</f>
        <v>23</v>
      </c>
      <c r="F535">
        <f>RTD("tos.rtd", , "OPEN_INT", ".SPY151219C214")</f>
        <v>327</v>
      </c>
      <c r="G535">
        <f>RTD("tos.rtd", , "DELTA", ".SPY151219C214")</f>
        <v>0.44857999999999998</v>
      </c>
      <c r="H535">
        <f>RTD("tos.rtd", , "THETA", ".SPY151219C214")</f>
        <v>-1.669E-2</v>
      </c>
      <c r="I535">
        <f>RTD("tos.rtd", , "GAMMA", ".SPY151219C214")</f>
        <v>1.712E-2</v>
      </c>
      <c r="J535">
        <f>RTD("tos.rtd", , "VEGA", ".SPY151219C214")</f>
        <v>0.65676999999999996</v>
      </c>
      <c r="K535">
        <f>RTD("tos.rtd", , "RHO", ".SPY151219C214")</f>
        <v>0.49617</v>
      </c>
      <c r="L535">
        <f>RTD("tos.rtd", , "ASK", ".SPY151219P214")</f>
        <v>12.32</v>
      </c>
      <c r="M535">
        <f>RTD("tos.rtd", , "ASK_SIZE", ".SPY151219P214")</f>
        <v>1101</v>
      </c>
      <c r="N535">
        <f>RTD("tos.rtd", , "BID", ".SPY151219P214")</f>
        <v>11.93</v>
      </c>
      <c r="O535">
        <f>RTD("tos.rtd", , "BID_SIZE", ".SPY151219P214")</f>
        <v>740</v>
      </c>
      <c r="P535">
        <f>RTD("tos.rtd", , "VOLUME", ".SPY151219P214")</f>
        <v>25</v>
      </c>
      <c r="Q535">
        <f>RTD("tos.rtd", , "OPEN_INT", ".SPY151219P214")</f>
        <v>677</v>
      </c>
      <c r="R535">
        <f>RTD("tos.rtd", , "DELTA", ".SPY151219P214")</f>
        <v>-0.54525000000000001</v>
      </c>
      <c r="S535">
        <f>RTD("tos.rtd", , "THETA", ".SPY151219P214")</f>
        <v>-2.5340000000000001E-2</v>
      </c>
      <c r="T535">
        <f>RTD("tos.rtd", , "GAMMA", ".SPY151219P214")</f>
        <v>1.609E-2</v>
      </c>
      <c r="U535">
        <f>RTD("tos.rtd", , "VEGA", ".SPY151219P214")</f>
        <v>0.65661999999999998</v>
      </c>
      <c r="V535">
        <f>RTD("tos.rtd", , "RHO", ".SPY151219P214")</f>
        <v>-0.80084</v>
      </c>
    </row>
    <row r="536" spans="1:22" x14ac:dyDescent="0.25">
      <c r="A536" t="str">
        <f>RTD("tos.rtd", , "ASK", ".SPY151219C214.5")</f>
        <v>N/A</v>
      </c>
      <c r="B536" t="str">
        <f>RTD("tos.rtd", , "ASK_SIZE", ".SPY151219C214.5")</f>
        <v>N/A</v>
      </c>
      <c r="C536" t="str">
        <f>RTD("tos.rtd", , "BID", ".SPY151219C214.5")</f>
        <v>N/A</v>
      </c>
      <c r="D536" t="str">
        <f>RTD("tos.rtd", , "BID_SIZE", ".SPY151219C214.5")</f>
        <v>N/A</v>
      </c>
      <c r="E536" t="str">
        <f>RTD("tos.rtd", , "VOLUME", ".SPY151219C214.5")</f>
        <v>N/A</v>
      </c>
      <c r="F536" t="str">
        <f>RTD("tos.rtd", , "OPEN_INT", ".SPY151219C214.5")</f>
        <v>N/A</v>
      </c>
      <c r="G536" t="str">
        <f>RTD("tos.rtd", , "DELTA", ".SPY151219C214.5")</f>
        <v>N/A</v>
      </c>
      <c r="H536" t="str">
        <f>RTD("tos.rtd", , "THETA", ".SPY151219C214.5")</f>
        <v>N/A</v>
      </c>
      <c r="I536" t="str">
        <f>RTD("tos.rtd", , "GAMMA", ".SPY151219C214.5")</f>
        <v>N/A</v>
      </c>
      <c r="J536" t="str">
        <f>RTD("tos.rtd", , "VEGA", ".SPY151219C214.5")</f>
        <v>N/A</v>
      </c>
      <c r="K536" t="str">
        <f>RTD("tos.rtd", , "RHO", ".SPY151219C214.5")</f>
        <v>N/A</v>
      </c>
      <c r="L536" t="str">
        <f>RTD("tos.rtd", , "ASK", ".SPY151219P214.5")</f>
        <v>N/A</v>
      </c>
      <c r="M536" t="str">
        <f>RTD("tos.rtd", , "ASK_SIZE", ".SPY151219P214.5")</f>
        <v>N/A</v>
      </c>
      <c r="N536" t="str">
        <f>RTD("tos.rtd", , "BID", ".SPY151219P214.5")</f>
        <v>N/A</v>
      </c>
      <c r="O536" t="str">
        <f>RTD("tos.rtd", , "BID_SIZE", ".SPY151219P214.5")</f>
        <v>N/A</v>
      </c>
      <c r="P536" t="str">
        <f>RTD("tos.rtd", , "VOLUME", ".SPY151219P214.5")</f>
        <v>N/A</v>
      </c>
      <c r="Q536" t="str">
        <f>RTD("tos.rtd", , "OPEN_INT", ".SPY151219P214.5")</f>
        <v>N/A</v>
      </c>
      <c r="R536" t="str">
        <f>RTD("tos.rtd", , "DELTA", ".SPY151219P214.5")</f>
        <v>N/A</v>
      </c>
      <c r="S536" t="str">
        <f>RTD("tos.rtd", , "THETA", ".SPY151219P214.5")</f>
        <v>N/A</v>
      </c>
      <c r="T536" t="str">
        <f>RTD("tos.rtd", , "GAMMA", ".SPY151219P214.5")</f>
        <v>N/A</v>
      </c>
      <c r="U536" t="str">
        <f>RTD("tos.rtd", , "VEGA", ".SPY151219P214.5")</f>
        <v>N/A</v>
      </c>
      <c r="V536" t="str">
        <f>RTD("tos.rtd", , "RHO", ".SPY151219P214.5")</f>
        <v>N/A</v>
      </c>
    </row>
    <row r="537" spans="1:22" x14ac:dyDescent="0.25">
      <c r="A537">
        <f>RTD("tos.rtd", , "ASK", ".SPY151219C215")</f>
        <v>7.1</v>
      </c>
      <c r="B537">
        <f>RTD("tos.rtd", , "ASK_SIZE", ".SPY151219C215")</f>
        <v>2545</v>
      </c>
      <c r="C537">
        <f>RTD("tos.rtd", , "BID", ".SPY151219C215")</f>
        <v>6.81</v>
      </c>
      <c r="D537">
        <f>RTD("tos.rtd", , "BID_SIZE", ".SPY151219C215")</f>
        <v>2545</v>
      </c>
      <c r="E537">
        <f>RTD("tos.rtd", , "VOLUME", ".SPY151219C215")</f>
        <v>51</v>
      </c>
      <c r="F537">
        <f>RTD("tos.rtd", , "OPEN_INT", ".SPY151219C215")</f>
        <v>20694</v>
      </c>
      <c r="G537">
        <f>RTD("tos.rtd", , "DELTA", ".SPY151219C215")</f>
        <v>0.43080000000000002</v>
      </c>
      <c r="H537">
        <f>RTD("tos.rtd", , "THETA", ".SPY151219C215")</f>
        <v>-1.6490000000000001E-2</v>
      </c>
      <c r="I537">
        <f>RTD("tos.rtd", , "GAMMA", ".SPY151219C215")</f>
        <v>1.712E-2</v>
      </c>
      <c r="J537">
        <f>RTD("tos.rtd", , "VEGA", ".SPY151219C215")</f>
        <v>0.65266999999999997</v>
      </c>
      <c r="K537">
        <f>RTD("tos.rtd", , "RHO", ".SPY151219C215")</f>
        <v>0.48083999999999999</v>
      </c>
      <c r="L537">
        <f>RTD("tos.rtd", , "ASK", ".SPY151219P215")</f>
        <v>12.82</v>
      </c>
      <c r="M537">
        <f>RTD("tos.rtd", , "ASK_SIZE", ".SPY151219P215")</f>
        <v>1631</v>
      </c>
      <c r="N537">
        <f>RTD("tos.rtd", , "BID", ".SPY151219P215")</f>
        <v>12.55</v>
      </c>
      <c r="O537">
        <f>RTD("tos.rtd", , "BID_SIZE", ".SPY151219P215")</f>
        <v>256</v>
      </c>
      <c r="P537">
        <f>RTD("tos.rtd", , "VOLUME", ".SPY151219P215")</f>
        <v>10</v>
      </c>
      <c r="Q537">
        <f>RTD("tos.rtd", , "OPEN_INT", ".SPY151219P215")</f>
        <v>5936</v>
      </c>
      <c r="R537">
        <f>RTD("tos.rtd", , "DELTA", ".SPY151219P215")</f>
        <v>-0.56157999999999997</v>
      </c>
      <c r="S537">
        <f>RTD("tos.rtd", , "THETA", ".SPY151219P215")</f>
        <v>-2.5260000000000001E-2</v>
      </c>
      <c r="T537">
        <f>RTD("tos.rtd", , "GAMMA", ".SPY151219P215")</f>
        <v>1.6070000000000001E-2</v>
      </c>
      <c r="U537">
        <f>RTD("tos.rtd", , "VEGA", ".SPY151219P215")</f>
        <v>0.65254999999999996</v>
      </c>
      <c r="V537">
        <f>RTD("tos.rtd", , "RHO", ".SPY151219P215")</f>
        <v>-0.82609999999999995</v>
      </c>
    </row>
    <row r="538" spans="1:22" x14ac:dyDescent="0.25">
      <c r="A538" t="str">
        <f>RTD("tos.rtd", , "ASK", ".SPY151219C215.5")</f>
        <v>N/A</v>
      </c>
      <c r="B538" t="str">
        <f>RTD("tos.rtd", , "ASK_SIZE", ".SPY151219C215.5")</f>
        <v>N/A</v>
      </c>
      <c r="C538" t="str">
        <f>RTD("tos.rtd", , "BID", ".SPY151219C215.5")</f>
        <v>N/A</v>
      </c>
      <c r="D538" t="str">
        <f>RTD("tos.rtd", , "BID_SIZE", ".SPY151219C215.5")</f>
        <v>N/A</v>
      </c>
      <c r="E538" t="str">
        <f>RTD("tos.rtd", , "VOLUME", ".SPY151219C215.5")</f>
        <v>N/A</v>
      </c>
      <c r="F538" t="str">
        <f>RTD("tos.rtd", , "OPEN_INT", ".SPY151219C215.5")</f>
        <v>N/A</v>
      </c>
      <c r="G538" t="str">
        <f>RTD("tos.rtd", , "DELTA", ".SPY151219C215.5")</f>
        <v>N/A</v>
      </c>
      <c r="H538" t="str">
        <f>RTD("tos.rtd", , "THETA", ".SPY151219C215.5")</f>
        <v>N/A</v>
      </c>
      <c r="I538" t="str">
        <f>RTD("tos.rtd", , "GAMMA", ".SPY151219C215.5")</f>
        <v>N/A</v>
      </c>
      <c r="J538" t="str">
        <f>RTD("tos.rtd", , "VEGA", ".SPY151219C215.5")</f>
        <v>N/A</v>
      </c>
      <c r="K538" t="str">
        <f>RTD("tos.rtd", , "RHO", ".SPY151219C215.5")</f>
        <v>N/A</v>
      </c>
      <c r="L538" t="str">
        <f>RTD("tos.rtd", , "ASK", ".SPY151219P215.5")</f>
        <v>N/A</v>
      </c>
      <c r="M538" t="str">
        <f>RTD("tos.rtd", , "ASK_SIZE", ".SPY151219P215.5")</f>
        <v>N/A</v>
      </c>
      <c r="N538" t="str">
        <f>RTD("tos.rtd", , "BID", ".SPY151219P215.5")</f>
        <v>N/A</v>
      </c>
      <c r="O538" t="str">
        <f>RTD("tos.rtd", , "BID_SIZE", ".SPY151219P215.5")</f>
        <v>N/A</v>
      </c>
      <c r="P538" t="str">
        <f>RTD("tos.rtd", , "VOLUME", ".SPY151219P215.5")</f>
        <v>N/A</v>
      </c>
      <c r="Q538" t="str">
        <f>RTD("tos.rtd", , "OPEN_INT", ".SPY151219P215.5")</f>
        <v>N/A</v>
      </c>
      <c r="R538" t="str">
        <f>RTD("tos.rtd", , "DELTA", ".SPY151219P215.5")</f>
        <v>N/A</v>
      </c>
      <c r="S538" t="str">
        <f>RTD("tos.rtd", , "THETA", ".SPY151219P215.5")</f>
        <v>N/A</v>
      </c>
      <c r="T538" t="str">
        <f>RTD("tos.rtd", , "GAMMA", ".SPY151219P215.5")</f>
        <v>N/A</v>
      </c>
      <c r="U538" t="str">
        <f>RTD("tos.rtd", , "VEGA", ".SPY151219P215.5")</f>
        <v>N/A</v>
      </c>
      <c r="V538" t="str">
        <f>RTD("tos.rtd", , "RHO", ".SPY151219P215.5")</f>
        <v>N/A</v>
      </c>
    </row>
    <row r="539" spans="1:22" x14ac:dyDescent="0.25">
      <c r="A539">
        <f>RTD("tos.rtd", , "ASK", ".SPY151219C216")</f>
        <v>6.46</v>
      </c>
      <c r="B539">
        <f>RTD("tos.rtd", , "ASK_SIZE", ".SPY151219C216")</f>
        <v>256</v>
      </c>
      <c r="C539">
        <f>RTD("tos.rtd", , "BID", ".SPY151219C216")</f>
        <v>6.3</v>
      </c>
      <c r="D539">
        <f>RTD("tos.rtd", , "BID_SIZE", ".SPY151219C216")</f>
        <v>2545</v>
      </c>
      <c r="E539">
        <f>RTD("tos.rtd", , "VOLUME", ".SPY151219C216")</f>
        <v>1</v>
      </c>
      <c r="F539">
        <f>RTD("tos.rtd", , "OPEN_INT", ".SPY151219C216")</f>
        <v>151</v>
      </c>
      <c r="G539">
        <f>RTD("tos.rtd", , "DELTA", ".SPY151219C216")</f>
        <v>0.41143000000000002</v>
      </c>
      <c r="H539">
        <f>RTD("tos.rtd", , "THETA", ".SPY151219C216")</f>
        <v>-1.602E-2</v>
      </c>
      <c r="I539">
        <f>RTD("tos.rtd", , "GAMMA", ".SPY151219C216")</f>
        <v>1.728E-2</v>
      </c>
      <c r="J539">
        <f>RTD("tos.rtd", , "VEGA", ".SPY151219C216")</f>
        <v>0.64659999999999995</v>
      </c>
      <c r="K539">
        <f>RTD("tos.rtd", , "RHO", ".SPY151219C216")</f>
        <v>0.46346999999999999</v>
      </c>
      <c r="L539">
        <f>RTD("tos.rtd", , "ASK", ".SPY151219P216")</f>
        <v>13.31</v>
      </c>
      <c r="M539">
        <f>RTD("tos.rtd", , "ASK_SIZE", ".SPY151219P216")</f>
        <v>286</v>
      </c>
      <c r="N539">
        <f>RTD("tos.rtd", , "BID", ".SPY151219P216")</f>
        <v>12.91</v>
      </c>
      <c r="O539">
        <f>RTD("tos.rtd", , "BID_SIZE", ".SPY151219P216")</f>
        <v>169</v>
      </c>
      <c r="P539">
        <f>RTD("tos.rtd", , "VOLUME", ".SPY151219P216")</f>
        <v>21</v>
      </c>
      <c r="Q539">
        <f>RTD("tos.rtd", , "OPEN_INT", ".SPY151219P216")</f>
        <v>674</v>
      </c>
      <c r="R539">
        <f>RTD("tos.rtd", , "DELTA", ".SPY151219P216")</f>
        <v>-0.57994000000000001</v>
      </c>
      <c r="S539">
        <f>RTD("tos.rtd", , "THETA", ".SPY151219P216")</f>
        <v>-2.4809999999999999E-2</v>
      </c>
      <c r="T539">
        <f>RTD("tos.rtd", , "GAMMA", ".SPY151219P216")</f>
        <v>1.626E-2</v>
      </c>
      <c r="U539">
        <f>RTD("tos.rtd", , "VEGA", ".SPY151219P216")</f>
        <v>0.64659999999999995</v>
      </c>
      <c r="V539">
        <f>RTD("tos.rtd", , "RHO", ".SPY151219P216")</f>
        <v>-0.85321000000000002</v>
      </c>
    </row>
    <row r="540" spans="1:22" x14ac:dyDescent="0.25">
      <c r="A540" t="str">
        <f>RTD("tos.rtd", , "ASK", ".SPY151219C216.5")</f>
        <v>N/A</v>
      </c>
      <c r="B540" t="str">
        <f>RTD("tos.rtd", , "ASK_SIZE", ".SPY151219C216.5")</f>
        <v>N/A</v>
      </c>
      <c r="C540" t="str">
        <f>RTD("tos.rtd", , "BID", ".SPY151219C216.5")</f>
        <v>N/A</v>
      </c>
      <c r="D540" t="str">
        <f>RTD("tos.rtd", , "BID_SIZE", ".SPY151219C216.5")</f>
        <v>N/A</v>
      </c>
      <c r="E540" t="str">
        <f>RTD("tos.rtd", , "VOLUME", ".SPY151219C216.5")</f>
        <v>N/A</v>
      </c>
      <c r="F540" t="str">
        <f>RTD("tos.rtd", , "OPEN_INT", ".SPY151219C216.5")</f>
        <v>N/A</v>
      </c>
      <c r="G540" t="str">
        <f>RTD("tos.rtd", , "DELTA", ".SPY151219C216.5")</f>
        <v>N/A</v>
      </c>
      <c r="H540" t="str">
        <f>RTD("tos.rtd", , "THETA", ".SPY151219C216.5")</f>
        <v>N/A</v>
      </c>
      <c r="I540" t="str">
        <f>RTD("tos.rtd", , "GAMMA", ".SPY151219C216.5")</f>
        <v>N/A</v>
      </c>
      <c r="J540" t="str">
        <f>RTD("tos.rtd", , "VEGA", ".SPY151219C216.5")</f>
        <v>N/A</v>
      </c>
      <c r="K540" t="str">
        <f>RTD("tos.rtd", , "RHO", ".SPY151219C216.5")</f>
        <v>N/A</v>
      </c>
      <c r="L540" t="str">
        <f>RTD("tos.rtd", , "ASK", ".SPY151219P216.5")</f>
        <v>N/A</v>
      </c>
      <c r="M540" t="str">
        <f>RTD("tos.rtd", , "ASK_SIZE", ".SPY151219P216.5")</f>
        <v>N/A</v>
      </c>
      <c r="N540" t="str">
        <f>RTD("tos.rtd", , "BID", ".SPY151219P216.5")</f>
        <v>N/A</v>
      </c>
      <c r="O540" t="str">
        <f>RTD("tos.rtd", , "BID_SIZE", ".SPY151219P216.5")</f>
        <v>N/A</v>
      </c>
      <c r="P540" t="str">
        <f>RTD("tos.rtd", , "VOLUME", ".SPY151219P216.5")</f>
        <v>N/A</v>
      </c>
      <c r="Q540" t="str">
        <f>RTD("tos.rtd", , "OPEN_INT", ".SPY151219P216.5")</f>
        <v>N/A</v>
      </c>
      <c r="R540" t="str">
        <f>RTD("tos.rtd", , "DELTA", ".SPY151219P216.5")</f>
        <v>N/A</v>
      </c>
      <c r="S540" t="str">
        <f>RTD("tos.rtd", , "THETA", ".SPY151219P216.5")</f>
        <v>N/A</v>
      </c>
      <c r="T540" t="str">
        <f>RTD("tos.rtd", , "GAMMA", ".SPY151219P216.5")</f>
        <v>N/A</v>
      </c>
      <c r="U540" t="str">
        <f>RTD("tos.rtd", , "VEGA", ".SPY151219P216.5")</f>
        <v>N/A</v>
      </c>
      <c r="V540" t="str">
        <f>RTD("tos.rtd", , "RHO", ".SPY151219P216.5")</f>
        <v>N/A</v>
      </c>
    </row>
    <row r="541" spans="1:22" x14ac:dyDescent="0.25">
      <c r="A541">
        <f>RTD("tos.rtd", , "ASK", ".SPY151219C217")</f>
        <v>5.97</v>
      </c>
      <c r="B541">
        <f>RTD("tos.rtd", , "ASK_SIZE", ".SPY151219C217")</f>
        <v>257</v>
      </c>
      <c r="C541">
        <f>RTD("tos.rtd", , "BID", ".SPY151219C217")</f>
        <v>5.82</v>
      </c>
      <c r="D541">
        <f>RTD("tos.rtd", , "BID_SIZE", ".SPY151219C217")</f>
        <v>2545</v>
      </c>
      <c r="E541">
        <f>RTD("tos.rtd", , "VOLUME", ".SPY151219C217")</f>
        <v>68</v>
      </c>
      <c r="F541">
        <f>RTD("tos.rtd", , "OPEN_INT", ".SPY151219C217")</f>
        <v>424</v>
      </c>
      <c r="G541">
        <f>RTD("tos.rtd", , "DELTA", ".SPY151219C217")</f>
        <v>0.39276</v>
      </c>
      <c r="H541">
        <f>RTD("tos.rtd", , "THETA", ".SPY151219C217")</f>
        <v>-1.567E-2</v>
      </c>
      <c r="I541">
        <f>RTD("tos.rtd", , "GAMMA", ".SPY151219C217")</f>
        <v>1.7270000000000001E-2</v>
      </c>
      <c r="J541">
        <f>RTD("tos.rtd", , "VEGA", ".SPY151219C217")</f>
        <v>0.63927</v>
      </c>
      <c r="K541">
        <f>RTD("tos.rtd", , "RHO", ".SPY151219C217")</f>
        <v>0.44624999999999998</v>
      </c>
      <c r="L541">
        <f>RTD("tos.rtd", , "ASK", ".SPY151219P217")</f>
        <v>13.83</v>
      </c>
      <c r="M541">
        <f>RTD("tos.rtd", , "ASK_SIZE", ".SPY151219P217")</f>
        <v>181</v>
      </c>
      <c r="N541">
        <f>RTD("tos.rtd", , "BID", ".SPY151219P217")</f>
        <v>13.42</v>
      </c>
      <c r="O541">
        <f>RTD("tos.rtd", , "BID_SIZE", ".SPY151219P217")</f>
        <v>20</v>
      </c>
      <c r="P541">
        <f>RTD("tos.rtd", , "VOLUME", ".SPY151219P217")</f>
        <v>0</v>
      </c>
      <c r="Q541">
        <f>RTD("tos.rtd", , "OPEN_INT", ".SPY151219P217")</f>
        <v>122</v>
      </c>
      <c r="R541">
        <f>RTD("tos.rtd", , "DELTA", ".SPY151219P217")</f>
        <v>-0.59767000000000003</v>
      </c>
      <c r="S541">
        <f>RTD("tos.rtd", , "THETA", ".SPY151219P217")</f>
        <v>-2.4469999999999999E-2</v>
      </c>
      <c r="T541">
        <f>RTD("tos.rtd", , "GAMMA", ".SPY151219P217")</f>
        <v>1.6299999999999999E-2</v>
      </c>
      <c r="U541">
        <f>RTD("tos.rtd", , "VEGA", ".SPY151219P217")</f>
        <v>0.63946999999999998</v>
      </c>
      <c r="V541">
        <f>RTD("tos.rtd", , "RHO", ".SPY151219P217")</f>
        <v>-0.88005</v>
      </c>
    </row>
    <row r="542" spans="1:22" x14ac:dyDescent="0.25">
      <c r="A542" t="str">
        <f>RTD("tos.rtd", , "ASK", ".SPY151219C217.5")</f>
        <v>N/A</v>
      </c>
      <c r="B542" t="str">
        <f>RTD("tos.rtd", , "ASK_SIZE", ".SPY151219C217.5")</f>
        <v>N/A</v>
      </c>
      <c r="C542" t="str">
        <f>RTD("tos.rtd", , "BID", ".SPY151219C217.5")</f>
        <v>N/A</v>
      </c>
      <c r="D542" t="str">
        <f>RTD("tos.rtd", , "BID_SIZE", ".SPY151219C217.5")</f>
        <v>N/A</v>
      </c>
      <c r="E542" t="str">
        <f>RTD("tos.rtd", , "VOLUME", ".SPY151219C217.5")</f>
        <v>N/A</v>
      </c>
      <c r="F542" t="str">
        <f>RTD("tos.rtd", , "OPEN_INT", ".SPY151219C217.5")</f>
        <v>N/A</v>
      </c>
      <c r="G542" t="str">
        <f>RTD("tos.rtd", , "DELTA", ".SPY151219C217.5")</f>
        <v>N/A</v>
      </c>
      <c r="H542" t="str">
        <f>RTD("tos.rtd", , "THETA", ".SPY151219C217.5")</f>
        <v>N/A</v>
      </c>
      <c r="I542" t="str">
        <f>RTD("tos.rtd", , "GAMMA", ".SPY151219C217.5")</f>
        <v>N/A</v>
      </c>
      <c r="J542" t="str">
        <f>RTD("tos.rtd", , "VEGA", ".SPY151219C217.5")</f>
        <v>N/A</v>
      </c>
      <c r="K542" t="str">
        <f>RTD("tos.rtd", , "RHO", ".SPY151219C217.5")</f>
        <v>N/A</v>
      </c>
      <c r="L542" t="str">
        <f>RTD("tos.rtd", , "ASK", ".SPY151219P217.5")</f>
        <v>N/A</v>
      </c>
      <c r="M542" t="str">
        <f>RTD("tos.rtd", , "ASK_SIZE", ".SPY151219P217.5")</f>
        <v>N/A</v>
      </c>
      <c r="N542" t="str">
        <f>RTD("tos.rtd", , "BID", ".SPY151219P217.5")</f>
        <v>N/A</v>
      </c>
      <c r="O542" t="str">
        <f>RTD("tos.rtd", , "BID_SIZE", ".SPY151219P217.5")</f>
        <v>N/A</v>
      </c>
      <c r="P542" t="str">
        <f>RTD("tos.rtd", , "VOLUME", ".SPY151219P217.5")</f>
        <v>N/A</v>
      </c>
      <c r="Q542" t="str">
        <f>RTD("tos.rtd", , "OPEN_INT", ".SPY151219P217.5")</f>
        <v>N/A</v>
      </c>
      <c r="R542" t="str">
        <f>RTD("tos.rtd", , "DELTA", ".SPY151219P217.5")</f>
        <v>N/A</v>
      </c>
      <c r="S542" t="str">
        <f>RTD("tos.rtd", , "THETA", ".SPY151219P217.5")</f>
        <v>N/A</v>
      </c>
      <c r="T542" t="str">
        <f>RTD("tos.rtd", , "GAMMA", ".SPY151219P217.5")</f>
        <v>N/A</v>
      </c>
      <c r="U542" t="str">
        <f>RTD("tos.rtd", , "VEGA", ".SPY151219P217.5")</f>
        <v>N/A</v>
      </c>
      <c r="V542" t="str">
        <f>RTD("tos.rtd", , "RHO", ".SPY151219P217.5")</f>
        <v>N/A</v>
      </c>
    </row>
    <row r="543" spans="1:22" x14ac:dyDescent="0.25">
      <c r="A543">
        <f>RTD("tos.rtd", , "ASK", ".SPY151219C218")</f>
        <v>5.49</v>
      </c>
      <c r="B543">
        <f>RTD("tos.rtd", , "ASK_SIZE", ".SPY151219C218")</f>
        <v>151</v>
      </c>
      <c r="C543">
        <f>RTD("tos.rtd", , "BID", ".SPY151219C218")</f>
        <v>5.37</v>
      </c>
      <c r="D543">
        <f>RTD("tos.rtd", , "BID_SIZE", ".SPY151219C218")</f>
        <v>173</v>
      </c>
      <c r="E543">
        <f>RTD("tos.rtd", , "VOLUME", ".SPY151219C218")</f>
        <v>0</v>
      </c>
      <c r="F543">
        <f>RTD("tos.rtd", , "OPEN_INT", ".SPY151219C218")</f>
        <v>497</v>
      </c>
      <c r="G543">
        <f>RTD("tos.rtd", , "DELTA", ".SPY151219C218")</f>
        <v>0.37389</v>
      </c>
      <c r="H543">
        <f>RTD("tos.rtd", , "THETA", ".SPY151219C218")</f>
        <v>-1.528E-2</v>
      </c>
      <c r="I543">
        <f>RTD("tos.rtd", , "GAMMA", ".SPY151219C218")</f>
        <v>1.7229999999999999E-2</v>
      </c>
      <c r="J543">
        <f>RTD("tos.rtd", , "VEGA", ".SPY151219C218")</f>
        <v>0.63032999999999995</v>
      </c>
      <c r="K543">
        <f>RTD("tos.rtd", , "RHO", ".SPY151219C218")</f>
        <v>0.42835000000000001</v>
      </c>
      <c r="L543">
        <f>RTD("tos.rtd", , "ASK", ".SPY151219P218")</f>
        <v>14.36</v>
      </c>
      <c r="M543">
        <f>RTD("tos.rtd", , "ASK_SIZE", ".SPY151219P218")</f>
        <v>182</v>
      </c>
      <c r="N543">
        <f>RTD("tos.rtd", , "BID", ".SPY151219P218")</f>
        <v>14.08</v>
      </c>
      <c r="O543">
        <f>RTD("tos.rtd", , "BID_SIZE", ".SPY151219P218")</f>
        <v>146</v>
      </c>
      <c r="P543">
        <f>RTD("tos.rtd", , "VOLUME", ".SPY151219P218")</f>
        <v>0</v>
      </c>
      <c r="Q543">
        <f>RTD("tos.rtd", , "OPEN_INT", ".SPY151219P218")</f>
        <v>105</v>
      </c>
      <c r="R543">
        <f>RTD("tos.rtd", , "DELTA", ".SPY151219P218")</f>
        <v>-0.61446999999999996</v>
      </c>
      <c r="S543">
        <f>RTD("tos.rtd", , "THETA", ".SPY151219P218")</f>
        <v>-2.4250000000000001E-2</v>
      </c>
      <c r="T543">
        <f>RTD("tos.rtd", , "GAMMA", ".SPY151219P218")</f>
        <v>1.6199999999999999E-2</v>
      </c>
      <c r="U543">
        <f>RTD("tos.rtd", , "VEGA", ".SPY151219P218")</f>
        <v>0.63144999999999996</v>
      </c>
      <c r="V543">
        <f>RTD("tos.rtd", , "RHO", ".SPY151219P218")</f>
        <v>-0.90615999999999997</v>
      </c>
    </row>
    <row r="544" spans="1:22" x14ac:dyDescent="0.25">
      <c r="A544" t="str">
        <f>RTD("tos.rtd", , "ASK", ".SPY151219C218.5")</f>
        <v>N/A</v>
      </c>
      <c r="B544" t="str">
        <f>RTD("tos.rtd", , "ASK_SIZE", ".SPY151219C218.5")</f>
        <v>N/A</v>
      </c>
      <c r="C544" t="str">
        <f>RTD("tos.rtd", , "BID", ".SPY151219C218.5")</f>
        <v>N/A</v>
      </c>
      <c r="D544" t="str">
        <f>RTD("tos.rtd", , "BID_SIZE", ".SPY151219C218.5")</f>
        <v>N/A</v>
      </c>
      <c r="E544" t="str">
        <f>RTD("tos.rtd", , "VOLUME", ".SPY151219C218.5")</f>
        <v>N/A</v>
      </c>
      <c r="F544" t="str">
        <f>RTD("tos.rtd", , "OPEN_INT", ".SPY151219C218.5")</f>
        <v>N/A</v>
      </c>
      <c r="G544" t="str">
        <f>RTD("tos.rtd", , "DELTA", ".SPY151219C218.5")</f>
        <v>N/A</v>
      </c>
      <c r="H544" t="str">
        <f>RTD("tos.rtd", , "THETA", ".SPY151219C218.5")</f>
        <v>N/A</v>
      </c>
      <c r="I544" t="str">
        <f>RTD("tos.rtd", , "GAMMA", ".SPY151219C218.5")</f>
        <v>N/A</v>
      </c>
      <c r="J544" t="str">
        <f>RTD("tos.rtd", , "VEGA", ".SPY151219C218.5")</f>
        <v>N/A</v>
      </c>
      <c r="K544" t="str">
        <f>RTD("tos.rtd", , "RHO", ".SPY151219C218.5")</f>
        <v>N/A</v>
      </c>
      <c r="L544" t="str">
        <f>RTD("tos.rtd", , "ASK", ".SPY151219P218.5")</f>
        <v>N/A</v>
      </c>
      <c r="M544" t="str">
        <f>RTD("tos.rtd", , "ASK_SIZE", ".SPY151219P218.5")</f>
        <v>N/A</v>
      </c>
      <c r="N544" t="str">
        <f>RTD("tos.rtd", , "BID", ".SPY151219P218.5")</f>
        <v>N/A</v>
      </c>
      <c r="O544" t="str">
        <f>RTD("tos.rtd", , "BID_SIZE", ".SPY151219P218.5")</f>
        <v>N/A</v>
      </c>
      <c r="P544" t="str">
        <f>RTD("tos.rtd", , "VOLUME", ".SPY151219P218.5")</f>
        <v>N/A</v>
      </c>
      <c r="Q544" t="str">
        <f>RTD("tos.rtd", , "OPEN_INT", ".SPY151219P218.5")</f>
        <v>N/A</v>
      </c>
      <c r="R544" t="str">
        <f>RTD("tos.rtd", , "DELTA", ".SPY151219P218.5")</f>
        <v>N/A</v>
      </c>
      <c r="S544" t="str">
        <f>RTD("tos.rtd", , "THETA", ".SPY151219P218.5")</f>
        <v>N/A</v>
      </c>
      <c r="T544" t="str">
        <f>RTD("tos.rtd", , "GAMMA", ".SPY151219P218.5")</f>
        <v>N/A</v>
      </c>
      <c r="U544" t="str">
        <f>RTD("tos.rtd", , "VEGA", ".SPY151219P218.5")</f>
        <v>N/A</v>
      </c>
      <c r="V544" t="str">
        <f>RTD("tos.rtd", , "RHO", ".SPY151219P218.5")</f>
        <v>N/A</v>
      </c>
    </row>
    <row r="545" spans="1:22" x14ac:dyDescent="0.25">
      <c r="A545">
        <f>RTD("tos.rtd", , "ASK", ".SPY151219C219")</f>
        <v>5.12</v>
      </c>
      <c r="B545">
        <f>RTD("tos.rtd", , "ASK_SIZE", ".SPY151219C219")</f>
        <v>2545</v>
      </c>
      <c r="C545">
        <f>RTD("tos.rtd", , "BID", ".SPY151219C219")</f>
        <v>4.91</v>
      </c>
      <c r="D545">
        <f>RTD("tos.rtd", , "BID_SIZE", ".SPY151219C219")</f>
        <v>2545</v>
      </c>
      <c r="E545">
        <f>RTD("tos.rtd", , "VOLUME", ".SPY151219C219")</f>
        <v>0</v>
      </c>
      <c r="F545">
        <f>RTD("tos.rtd", , "OPEN_INT", ".SPY151219C219")</f>
        <v>158</v>
      </c>
      <c r="G545">
        <f>RTD("tos.rtd", , "DELTA", ".SPY151219C219")</f>
        <v>0.35555999999999999</v>
      </c>
      <c r="H545">
        <f>RTD("tos.rtd", , "THETA", ".SPY151219C219")</f>
        <v>-1.4930000000000001E-2</v>
      </c>
      <c r="I545">
        <f>RTD("tos.rtd", , "GAMMA", ".SPY151219C219")</f>
        <v>1.7090000000000001E-2</v>
      </c>
      <c r="J545">
        <f>RTD("tos.rtd", , "VEGA", ".SPY151219C219")</f>
        <v>0.62014000000000002</v>
      </c>
      <c r="K545">
        <f>RTD("tos.rtd", , "RHO", ".SPY151219C219")</f>
        <v>0.41052</v>
      </c>
      <c r="L545">
        <f>RTD("tos.rtd", , "ASK", ".SPY151219P219")</f>
        <v>14.94</v>
      </c>
      <c r="M545">
        <f>RTD("tos.rtd", , "ASK_SIZE", ".SPY151219P219")</f>
        <v>217</v>
      </c>
      <c r="N545">
        <f>RTD("tos.rtd", , "BID", ".SPY151219P219")</f>
        <v>14.64</v>
      </c>
      <c r="O545">
        <f>RTD("tos.rtd", , "BID_SIZE", ".SPY151219P219")</f>
        <v>141</v>
      </c>
      <c r="P545">
        <f>RTD("tos.rtd", , "VOLUME", ".SPY151219P219")</f>
        <v>0</v>
      </c>
      <c r="Q545">
        <f>RTD("tos.rtd", , "OPEN_INT", ".SPY151219P219")</f>
        <v>77</v>
      </c>
      <c r="R545">
        <f>RTD("tos.rtd", , "DELTA", ".SPY151219P219")</f>
        <v>-0.63202000000000003</v>
      </c>
      <c r="S545">
        <f>RTD("tos.rtd", , "THETA", ".SPY151219P219")</f>
        <v>-2.3890000000000002E-2</v>
      </c>
      <c r="T545">
        <f>RTD("tos.rtd", , "GAMMA", ".SPY151219P219")</f>
        <v>1.6129999999999999E-2</v>
      </c>
      <c r="U545">
        <f>RTD("tos.rtd", , "VEGA", ".SPY151219P219")</f>
        <v>0.62173</v>
      </c>
      <c r="V545">
        <f>RTD("tos.rtd", , "RHO", ".SPY151219P219")</f>
        <v>-0.93311999999999995</v>
      </c>
    </row>
    <row r="546" spans="1:22" x14ac:dyDescent="0.25">
      <c r="A546" t="str">
        <f>RTD("tos.rtd", , "ASK", ".SPY151219C219.5")</f>
        <v>N/A</v>
      </c>
      <c r="B546" t="str">
        <f>RTD("tos.rtd", , "ASK_SIZE", ".SPY151219C219.5")</f>
        <v>N/A</v>
      </c>
      <c r="C546" t="str">
        <f>RTD("tos.rtd", , "BID", ".SPY151219C219.5")</f>
        <v>N/A</v>
      </c>
      <c r="D546" t="str">
        <f>RTD("tos.rtd", , "BID_SIZE", ".SPY151219C219.5")</f>
        <v>N/A</v>
      </c>
      <c r="E546" t="str">
        <f>RTD("tos.rtd", , "VOLUME", ".SPY151219C219.5")</f>
        <v>N/A</v>
      </c>
      <c r="F546" t="str">
        <f>RTD("tos.rtd", , "OPEN_INT", ".SPY151219C219.5")</f>
        <v>N/A</v>
      </c>
      <c r="G546" t="str">
        <f>RTD("tos.rtd", , "DELTA", ".SPY151219C219.5")</f>
        <v>N/A</v>
      </c>
      <c r="H546" t="str">
        <f>RTD("tos.rtd", , "THETA", ".SPY151219C219.5")</f>
        <v>N/A</v>
      </c>
      <c r="I546" t="str">
        <f>RTD("tos.rtd", , "GAMMA", ".SPY151219C219.5")</f>
        <v>N/A</v>
      </c>
      <c r="J546" t="str">
        <f>RTD("tos.rtd", , "VEGA", ".SPY151219C219.5")</f>
        <v>N/A</v>
      </c>
      <c r="K546" t="str">
        <f>RTD("tos.rtd", , "RHO", ".SPY151219C219.5")</f>
        <v>N/A</v>
      </c>
      <c r="L546" t="str">
        <f>RTD("tos.rtd", , "ASK", ".SPY151219P219.5")</f>
        <v>N/A</v>
      </c>
      <c r="M546" t="str">
        <f>RTD("tos.rtd", , "ASK_SIZE", ".SPY151219P219.5")</f>
        <v>N/A</v>
      </c>
      <c r="N546" t="str">
        <f>RTD("tos.rtd", , "BID", ".SPY151219P219.5")</f>
        <v>N/A</v>
      </c>
      <c r="O546" t="str">
        <f>RTD("tos.rtd", , "BID_SIZE", ".SPY151219P219.5")</f>
        <v>N/A</v>
      </c>
      <c r="P546" t="str">
        <f>RTD("tos.rtd", , "VOLUME", ".SPY151219P219.5")</f>
        <v>N/A</v>
      </c>
      <c r="Q546" t="str">
        <f>RTD("tos.rtd", , "OPEN_INT", ".SPY151219P219.5")</f>
        <v>N/A</v>
      </c>
      <c r="R546" t="str">
        <f>RTD("tos.rtd", , "DELTA", ".SPY151219P219.5")</f>
        <v>N/A</v>
      </c>
      <c r="S546" t="str">
        <f>RTD("tos.rtd", , "THETA", ".SPY151219P219.5")</f>
        <v>N/A</v>
      </c>
      <c r="T546" t="str">
        <f>RTD("tos.rtd", , "GAMMA", ".SPY151219P219.5")</f>
        <v>N/A</v>
      </c>
      <c r="U546" t="str">
        <f>RTD("tos.rtd", , "VEGA", ".SPY151219P219.5")</f>
        <v>N/A</v>
      </c>
      <c r="V546" t="str">
        <f>RTD("tos.rtd", , "RHO", ".SPY151219P219.5")</f>
        <v>N/A</v>
      </c>
    </row>
    <row r="547" spans="1:22" x14ac:dyDescent="0.25">
      <c r="A547" t="s">
        <v>13</v>
      </c>
      <c r="B547">
        <v>40</v>
      </c>
    </row>
    <row r="548" spans="1:22" x14ac:dyDescent="0.25">
      <c r="A548">
        <f>RTD("tos.rtd", ,"LAST", "SPY")</f>
        <v>211.32</v>
      </c>
    </row>
    <row r="549" spans="1:22" x14ac:dyDescent="0.25">
      <c r="A549">
        <f>RTD("tos.rtd", , "ASK", ".SPY151231C200")</f>
        <v>17.05</v>
      </c>
      <c r="B549">
        <f>RTD("tos.rtd", , "ASK_SIZE", ".SPY151231C200")</f>
        <v>151</v>
      </c>
      <c r="C549">
        <f>RTD("tos.rtd", , "BID", ".SPY151231C200")</f>
        <v>16.71</v>
      </c>
      <c r="D549">
        <f>RTD("tos.rtd", , "BID_SIZE", ".SPY151231C200")</f>
        <v>182</v>
      </c>
      <c r="E549">
        <f>RTD("tos.rtd", , "VOLUME", ".SPY151231C200")</f>
        <v>42</v>
      </c>
      <c r="F549">
        <f>RTD("tos.rtd", , "OPEN_INT", ".SPY151231C200")</f>
        <v>1182</v>
      </c>
      <c r="G549">
        <f>RTD("tos.rtd", , "DELTA", ".SPY151231C200")</f>
        <v>0.66288000000000002</v>
      </c>
      <c r="H549">
        <f>RTD("tos.rtd", , "THETA", ".SPY151231C200")</f>
        <v>-1.7340000000000001E-2</v>
      </c>
      <c r="I549">
        <f>RTD("tos.rtd", , "GAMMA", ".SPY151231C200")</f>
        <v>1.3259999999999999E-2</v>
      </c>
      <c r="J549">
        <f>RTD("tos.rtd", , "VEGA", ".SPY151231C200")</f>
        <v>0.61636000000000002</v>
      </c>
      <c r="K549">
        <f>RTD("tos.rtd", , "RHO", ".SPY151231C200")</f>
        <v>0.65192000000000005</v>
      </c>
      <c r="L549">
        <f>RTD("tos.rtd", , "ASK", ".SPY151231P200")</f>
        <v>7.46</v>
      </c>
      <c r="M549">
        <f>RTD("tos.rtd", , "ASK_SIZE", ".SPY151231P200")</f>
        <v>2078</v>
      </c>
      <c r="N549">
        <f>RTD("tos.rtd", , "BID", ".SPY151231P200")</f>
        <v>7.3</v>
      </c>
      <c r="O549">
        <f>RTD("tos.rtd", , "BID_SIZE", ".SPY151231P200")</f>
        <v>232</v>
      </c>
      <c r="P549">
        <f>RTD("tos.rtd", , "VOLUME", ".SPY151231P200")</f>
        <v>5</v>
      </c>
      <c r="Q549">
        <f>RTD("tos.rtd", , "OPEN_INT", ".SPY151231P200")</f>
        <v>1408</v>
      </c>
      <c r="R549">
        <f>RTD("tos.rtd", , "DELTA", ".SPY151231P200")</f>
        <v>-0.3422</v>
      </c>
      <c r="S549">
        <f>RTD("tos.rtd", , "THETA", ".SPY151231P200")</f>
        <v>-2.5319999999999999E-2</v>
      </c>
      <c r="T549">
        <f>RTD("tos.rtd", , "GAMMA", ".SPY151231P200")</f>
        <v>1.227E-2</v>
      </c>
      <c r="U549">
        <f>RTD("tos.rtd", , "VEGA", ".SPY151231P200")</f>
        <v>0.62787000000000004</v>
      </c>
      <c r="V549">
        <f>RTD("tos.rtd", , "RHO", ".SPY151231P200")</f>
        <v>-0.52705999999999997</v>
      </c>
    </row>
    <row r="550" spans="1:22" x14ac:dyDescent="0.25">
      <c r="A550" t="str">
        <f>RTD("tos.rtd", , "ASK", ".SPY151231C200.5")</f>
        <v>N/A</v>
      </c>
      <c r="B550" t="str">
        <f>RTD("tos.rtd", , "ASK_SIZE", ".SPY151231C200.5")</f>
        <v>N/A</v>
      </c>
      <c r="C550" t="str">
        <f>RTD("tos.rtd", , "BID", ".SPY151231C200.5")</f>
        <v>N/A</v>
      </c>
      <c r="D550" t="str">
        <f>RTD("tos.rtd", , "BID_SIZE", ".SPY151231C200.5")</f>
        <v>N/A</v>
      </c>
      <c r="E550" t="str">
        <f>RTD("tos.rtd", , "VOLUME", ".SPY151231C200.5")</f>
        <v>N/A</v>
      </c>
      <c r="F550" t="str">
        <f>RTD("tos.rtd", , "OPEN_INT", ".SPY151231C200.5")</f>
        <v>N/A</v>
      </c>
      <c r="G550" t="str">
        <f>RTD("tos.rtd", , "DELTA", ".SPY151231C200.5")</f>
        <v>N/A</v>
      </c>
      <c r="H550" t="str">
        <f>RTD("tos.rtd", , "THETA", ".SPY151231C200.5")</f>
        <v>N/A</v>
      </c>
      <c r="I550" t="str">
        <f>RTD("tos.rtd", , "GAMMA", ".SPY151231C200.5")</f>
        <v>N/A</v>
      </c>
      <c r="J550" t="str">
        <f>RTD("tos.rtd", , "VEGA", ".SPY151231C200.5")</f>
        <v>N/A</v>
      </c>
      <c r="K550" t="str">
        <f>RTD("tos.rtd", , "RHO", ".SPY151231C200.5")</f>
        <v>N/A</v>
      </c>
      <c r="L550" t="str">
        <f>RTD("tos.rtd", , "ASK", ".SPY151231P200.5")</f>
        <v>N/A</v>
      </c>
      <c r="M550" t="str">
        <f>RTD("tos.rtd", , "ASK_SIZE", ".SPY151231P200.5")</f>
        <v>N/A</v>
      </c>
      <c r="N550" t="str">
        <f>RTD("tos.rtd", , "BID", ".SPY151231P200.5")</f>
        <v>N/A</v>
      </c>
      <c r="O550" t="str">
        <f>RTD("tos.rtd", , "BID_SIZE", ".SPY151231P200.5")</f>
        <v>N/A</v>
      </c>
      <c r="P550" t="str">
        <f>RTD("tos.rtd", , "VOLUME", ".SPY151231P200.5")</f>
        <v>N/A</v>
      </c>
      <c r="Q550" t="str">
        <f>RTD("tos.rtd", , "OPEN_INT", ".SPY151231P200.5")</f>
        <v>N/A</v>
      </c>
      <c r="R550" t="str">
        <f>RTD("tos.rtd", , "DELTA", ".SPY151231P200.5")</f>
        <v>N/A</v>
      </c>
      <c r="S550" t="str">
        <f>RTD("tos.rtd", , "THETA", ".SPY151231P200.5")</f>
        <v>N/A</v>
      </c>
      <c r="T550" t="str">
        <f>RTD("tos.rtd", , "GAMMA", ".SPY151231P200.5")</f>
        <v>N/A</v>
      </c>
      <c r="U550" t="str">
        <f>RTD("tos.rtd", , "VEGA", ".SPY151231P200.5")</f>
        <v>N/A</v>
      </c>
      <c r="V550" t="str">
        <f>RTD("tos.rtd", , "RHO", ".SPY151231P200.5")</f>
        <v>N/A</v>
      </c>
    </row>
    <row r="551" spans="1:22" x14ac:dyDescent="0.25">
      <c r="A551">
        <f>RTD("tos.rtd", , "ASK", ".SPY151231C201")</f>
        <v>16.309999999999999</v>
      </c>
      <c r="B551">
        <f>RTD("tos.rtd", , "ASK_SIZE", ".SPY151231C201")</f>
        <v>148</v>
      </c>
      <c r="C551">
        <f>RTD("tos.rtd", , "BID", ".SPY151231C201")</f>
        <v>16</v>
      </c>
      <c r="D551">
        <f>RTD("tos.rtd", , "BID_SIZE", ".SPY151231C201")</f>
        <v>160</v>
      </c>
      <c r="E551">
        <f>RTD("tos.rtd", , "VOLUME", ".SPY151231C201")</f>
        <v>0</v>
      </c>
      <c r="F551">
        <f>RTD("tos.rtd", , "OPEN_INT", ".SPY151231C201")</f>
        <v>1</v>
      </c>
      <c r="G551">
        <f>RTD("tos.rtd", , "DELTA", ".SPY151231C201")</f>
        <v>0.65000999999999998</v>
      </c>
      <c r="H551">
        <f>RTD("tos.rtd", , "THETA", ".SPY151231C201")</f>
        <v>-1.746E-2</v>
      </c>
      <c r="I551">
        <f>RTD("tos.rtd", , "GAMMA", ".SPY151231C201")</f>
        <v>1.354E-2</v>
      </c>
      <c r="J551">
        <f>RTD("tos.rtd", , "VEGA", ".SPY151231C201")</f>
        <v>0.62556999999999996</v>
      </c>
      <c r="K551">
        <f>RTD("tos.rtd", , "RHO", ".SPY151231C201")</f>
        <v>0.64834000000000003</v>
      </c>
      <c r="L551">
        <f>RTD("tos.rtd", , "ASK", ".SPY151231P201")</f>
        <v>7.73</v>
      </c>
      <c r="M551">
        <f>RTD("tos.rtd", , "ASK_SIZE", ".SPY151231P201")</f>
        <v>148</v>
      </c>
      <c r="N551">
        <f>RTD("tos.rtd", , "BID", ".SPY151231P201")</f>
        <v>7.59</v>
      </c>
      <c r="O551">
        <f>RTD("tos.rtd", , "BID_SIZE", ".SPY151231P201")</f>
        <v>219</v>
      </c>
      <c r="P551">
        <f>RTD("tos.rtd", , "VOLUME", ".SPY151231P201")</f>
        <v>0</v>
      </c>
      <c r="Q551">
        <f>RTD("tos.rtd", , "OPEN_INT", ".SPY151231P201")</f>
        <v>66</v>
      </c>
      <c r="R551">
        <f>RTD("tos.rtd", , "DELTA", ".SPY151231P201")</f>
        <v>-0.35428999999999999</v>
      </c>
      <c r="S551">
        <f>RTD("tos.rtd", , "THETA", ".SPY151231P201")</f>
        <v>-2.545E-2</v>
      </c>
      <c r="T551">
        <f>RTD("tos.rtd", , "GAMMA", ".SPY151231P201")</f>
        <v>1.256E-2</v>
      </c>
      <c r="U551">
        <f>RTD("tos.rtd", , "VEGA", ".SPY151231P201")</f>
        <v>0.63571</v>
      </c>
      <c r="V551">
        <f>RTD("tos.rtd", , "RHO", ".SPY151231P201")</f>
        <v>-0.54581000000000002</v>
      </c>
    </row>
    <row r="552" spans="1:22" x14ac:dyDescent="0.25">
      <c r="A552" t="str">
        <f>RTD("tos.rtd", , "ASK", ".SPY151231C201.5")</f>
        <v>N/A</v>
      </c>
      <c r="B552" t="str">
        <f>RTD("tos.rtd", , "ASK_SIZE", ".SPY151231C201.5")</f>
        <v>N/A</v>
      </c>
      <c r="C552" t="str">
        <f>RTD("tos.rtd", , "BID", ".SPY151231C201.5")</f>
        <v>N/A</v>
      </c>
      <c r="D552" t="str">
        <f>RTD("tos.rtd", , "BID_SIZE", ".SPY151231C201.5")</f>
        <v>N/A</v>
      </c>
      <c r="E552" t="str">
        <f>RTD("tos.rtd", , "VOLUME", ".SPY151231C201.5")</f>
        <v>N/A</v>
      </c>
      <c r="F552" t="str">
        <f>RTD("tos.rtd", , "OPEN_INT", ".SPY151231C201.5")</f>
        <v>N/A</v>
      </c>
      <c r="G552" t="str">
        <f>RTD("tos.rtd", , "DELTA", ".SPY151231C201.5")</f>
        <v>N/A</v>
      </c>
      <c r="H552" t="str">
        <f>RTD("tos.rtd", , "THETA", ".SPY151231C201.5")</f>
        <v>N/A</v>
      </c>
      <c r="I552" t="str">
        <f>RTD("tos.rtd", , "GAMMA", ".SPY151231C201.5")</f>
        <v>N/A</v>
      </c>
      <c r="J552" t="str">
        <f>RTD("tos.rtd", , "VEGA", ".SPY151231C201.5")</f>
        <v>N/A</v>
      </c>
      <c r="K552" t="str">
        <f>RTD("tos.rtd", , "RHO", ".SPY151231C201.5")</f>
        <v>N/A</v>
      </c>
      <c r="L552" t="str">
        <f>RTD("tos.rtd", , "ASK", ".SPY151231P201.5")</f>
        <v>N/A</v>
      </c>
      <c r="M552" t="str">
        <f>RTD("tos.rtd", , "ASK_SIZE", ".SPY151231P201.5")</f>
        <v>N/A</v>
      </c>
      <c r="N552" t="str">
        <f>RTD("tos.rtd", , "BID", ".SPY151231P201.5")</f>
        <v>N/A</v>
      </c>
      <c r="O552" t="str">
        <f>RTD("tos.rtd", , "BID_SIZE", ".SPY151231P201.5")</f>
        <v>N/A</v>
      </c>
      <c r="P552" t="str">
        <f>RTD("tos.rtd", , "VOLUME", ".SPY151231P201.5")</f>
        <v>N/A</v>
      </c>
      <c r="Q552" t="str">
        <f>RTD("tos.rtd", , "OPEN_INT", ".SPY151231P201.5")</f>
        <v>N/A</v>
      </c>
      <c r="R552" t="str">
        <f>RTD("tos.rtd", , "DELTA", ".SPY151231P201.5")</f>
        <v>N/A</v>
      </c>
      <c r="S552" t="str">
        <f>RTD("tos.rtd", , "THETA", ".SPY151231P201.5")</f>
        <v>N/A</v>
      </c>
      <c r="T552" t="str">
        <f>RTD("tos.rtd", , "GAMMA", ".SPY151231P201.5")</f>
        <v>N/A</v>
      </c>
      <c r="U552" t="str">
        <f>RTD("tos.rtd", , "VEGA", ".SPY151231P201.5")</f>
        <v>N/A</v>
      </c>
      <c r="V552" t="str">
        <f>RTD("tos.rtd", , "RHO", ".SPY151231P201.5")</f>
        <v>N/A</v>
      </c>
    </row>
    <row r="553" spans="1:22" x14ac:dyDescent="0.25">
      <c r="A553">
        <f>RTD("tos.rtd", , "ASK", ".SPY151231C202")</f>
        <v>15.58</v>
      </c>
      <c r="B553">
        <f>RTD("tos.rtd", , "ASK_SIZE", ".SPY151231C202")</f>
        <v>192</v>
      </c>
      <c r="C553">
        <f>RTD("tos.rtd", , "BID", ".SPY151231C202")</f>
        <v>15.26</v>
      </c>
      <c r="D553">
        <f>RTD("tos.rtd", , "BID_SIZE", ".SPY151231C202")</f>
        <v>189</v>
      </c>
      <c r="E553" t="str">
        <f>RTD("tos.rtd", , "VOLUME", ".SPY151231C202")</f>
        <v>N/A</v>
      </c>
      <c r="F553">
        <f>RTD("tos.rtd", , "OPEN_INT", ".SPY151231C202")</f>
        <v>0</v>
      </c>
      <c r="G553">
        <f>RTD("tos.rtd", , "DELTA", ".SPY151231C202")</f>
        <v>0.63698999999999995</v>
      </c>
      <c r="H553">
        <f>RTD("tos.rtd", , "THETA", ".SPY151231C202")</f>
        <v>-1.7520000000000001E-2</v>
      </c>
      <c r="I553">
        <f>RTD("tos.rtd", , "GAMMA", ".SPY151231C202")</f>
        <v>1.384E-2</v>
      </c>
      <c r="J553">
        <f>RTD("tos.rtd", , "VEGA", ".SPY151231C202")</f>
        <v>0.63407000000000002</v>
      </c>
      <c r="K553">
        <f>RTD("tos.rtd", , "RHO", ".SPY151231C202")</f>
        <v>0.64393</v>
      </c>
      <c r="L553">
        <f>RTD("tos.rtd", , "ASK", ".SPY151231P202")</f>
        <v>8.0299999999999994</v>
      </c>
      <c r="M553">
        <f>RTD("tos.rtd", , "ASK_SIZE", ".SPY151231P202")</f>
        <v>2210</v>
      </c>
      <c r="N553">
        <f>RTD("tos.rtd", , "BID", ".SPY151231P202")</f>
        <v>7.79</v>
      </c>
      <c r="O553">
        <f>RTD("tos.rtd", , "BID_SIZE", ".SPY151231P202")</f>
        <v>2295</v>
      </c>
      <c r="P553">
        <f>RTD("tos.rtd", , "VOLUME", ".SPY151231P202")</f>
        <v>0</v>
      </c>
      <c r="Q553">
        <f>RTD("tos.rtd", , "OPEN_INT", ".SPY151231P202")</f>
        <v>44</v>
      </c>
      <c r="R553">
        <f>RTD("tos.rtd", , "DELTA", ".SPY151231P202")</f>
        <v>-0.36646000000000001</v>
      </c>
      <c r="S553">
        <f>RTD("tos.rtd", , "THETA", ".SPY151231P202")</f>
        <v>-2.546E-2</v>
      </c>
      <c r="T553">
        <f>RTD("tos.rtd", , "GAMMA", ".SPY151231P202")</f>
        <v>1.29E-2</v>
      </c>
      <c r="U553">
        <f>RTD("tos.rtd", , "VEGA", ".SPY151231P202")</f>
        <v>0.64293999999999996</v>
      </c>
      <c r="V553">
        <f>RTD("tos.rtd", , "RHO", ".SPY151231P202")</f>
        <v>-0.56447999999999998</v>
      </c>
    </row>
    <row r="554" spans="1:22" x14ac:dyDescent="0.25">
      <c r="A554" t="str">
        <f>RTD("tos.rtd", , "ASK", ".SPY151231C202.5")</f>
        <v>N/A</v>
      </c>
      <c r="B554" t="str">
        <f>RTD("tos.rtd", , "ASK_SIZE", ".SPY151231C202.5")</f>
        <v>N/A</v>
      </c>
      <c r="C554" t="str">
        <f>RTD("tos.rtd", , "BID", ".SPY151231C202.5")</f>
        <v>N/A</v>
      </c>
      <c r="D554" t="str">
        <f>RTD("tos.rtd", , "BID_SIZE", ".SPY151231C202.5")</f>
        <v>N/A</v>
      </c>
      <c r="E554" t="str">
        <f>RTD("tos.rtd", , "VOLUME", ".SPY151231C202.5")</f>
        <v>N/A</v>
      </c>
      <c r="F554" t="str">
        <f>RTD("tos.rtd", , "OPEN_INT", ".SPY151231C202.5")</f>
        <v>N/A</v>
      </c>
      <c r="G554" t="str">
        <f>RTD("tos.rtd", , "DELTA", ".SPY151231C202.5")</f>
        <v>N/A</v>
      </c>
      <c r="H554" t="str">
        <f>RTD("tos.rtd", , "THETA", ".SPY151231C202.5")</f>
        <v>N/A</v>
      </c>
      <c r="I554" t="str">
        <f>RTD("tos.rtd", , "GAMMA", ".SPY151231C202.5")</f>
        <v>N/A</v>
      </c>
      <c r="J554" t="str">
        <f>RTD("tos.rtd", , "VEGA", ".SPY151231C202.5")</f>
        <v>N/A</v>
      </c>
      <c r="K554" t="str">
        <f>RTD("tos.rtd", , "RHO", ".SPY151231C202.5")</f>
        <v>N/A</v>
      </c>
      <c r="L554" t="str">
        <f>RTD("tos.rtd", , "ASK", ".SPY151231P202.5")</f>
        <v>N/A</v>
      </c>
      <c r="M554" t="str">
        <f>RTD("tos.rtd", , "ASK_SIZE", ".SPY151231P202.5")</f>
        <v>N/A</v>
      </c>
      <c r="N554" t="str">
        <f>RTD("tos.rtd", , "BID", ".SPY151231P202.5")</f>
        <v>N/A</v>
      </c>
      <c r="O554" t="str">
        <f>RTD("tos.rtd", , "BID_SIZE", ".SPY151231P202.5")</f>
        <v>N/A</v>
      </c>
      <c r="P554" t="str">
        <f>RTD("tos.rtd", , "VOLUME", ".SPY151231P202.5")</f>
        <v>N/A</v>
      </c>
      <c r="Q554" t="str">
        <f>RTD("tos.rtd", , "OPEN_INT", ".SPY151231P202.5")</f>
        <v>N/A</v>
      </c>
      <c r="R554" t="str">
        <f>RTD("tos.rtd", , "DELTA", ".SPY151231P202.5")</f>
        <v>N/A</v>
      </c>
      <c r="S554" t="str">
        <f>RTD("tos.rtd", , "THETA", ".SPY151231P202.5")</f>
        <v>N/A</v>
      </c>
      <c r="T554" t="str">
        <f>RTD("tos.rtd", , "GAMMA", ".SPY151231P202.5")</f>
        <v>N/A</v>
      </c>
      <c r="U554" t="str">
        <f>RTD("tos.rtd", , "VEGA", ".SPY151231P202.5")</f>
        <v>N/A</v>
      </c>
      <c r="V554" t="str">
        <f>RTD("tos.rtd", , "RHO", ".SPY151231P202.5")</f>
        <v>N/A</v>
      </c>
    </row>
    <row r="555" spans="1:22" x14ac:dyDescent="0.25">
      <c r="A555">
        <f>RTD("tos.rtd", , "ASK", ".SPY151231C203")</f>
        <v>14.87</v>
      </c>
      <c r="B555">
        <f>RTD("tos.rtd", , "ASK_SIZE", ".SPY151231C203")</f>
        <v>213</v>
      </c>
      <c r="C555">
        <f>RTD("tos.rtd", , "BID", ".SPY151231C203")</f>
        <v>14.55</v>
      </c>
      <c r="D555">
        <f>RTD("tos.rtd", , "BID_SIZE", ".SPY151231C203")</f>
        <v>185</v>
      </c>
      <c r="E555">
        <f>RTD("tos.rtd", , "VOLUME", ".SPY151231C203")</f>
        <v>3</v>
      </c>
      <c r="F555">
        <f>RTD("tos.rtd", , "OPEN_INT", ".SPY151231C203")</f>
        <v>2</v>
      </c>
      <c r="G555">
        <f>RTD("tos.rtd", , "DELTA", ".SPY151231C203")</f>
        <v>0.62346000000000001</v>
      </c>
      <c r="H555">
        <f>RTD("tos.rtd", , "THETA", ".SPY151231C203")</f>
        <v>-1.7579999999999998E-2</v>
      </c>
      <c r="I555">
        <f>RTD("tos.rtd", , "GAMMA", ".SPY151231C203")</f>
        <v>1.4120000000000001E-2</v>
      </c>
      <c r="J555">
        <f>RTD("tos.rtd", , "VEGA", ".SPY151231C203")</f>
        <v>0.6421</v>
      </c>
      <c r="K555">
        <f>RTD("tos.rtd", , "RHO", ".SPY151231C203")</f>
        <v>0.63863000000000003</v>
      </c>
      <c r="L555">
        <f>RTD("tos.rtd", , "ASK", ".SPY151231P203")</f>
        <v>8.32</v>
      </c>
      <c r="M555">
        <f>RTD("tos.rtd", , "ASK_SIZE", ".SPY151231P203")</f>
        <v>325</v>
      </c>
      <c r="N555">
        <f>RTD("tos.rtd", , "BID", ".SPY151231P203")</f>
        <v>8.0500000000000007</v>
      </c>
      <c r="O555">
        <f>RTD("tos.rtd", , "BID_SIZE", ".SPY151231P203")</f>
        <v>2367</v>
      </c>
      <c r="P555">
        <f>RTD("tos.rtd", , "VOLUME", ".SPY151231P203")</f>
        <v>0</v>
      </c>
      <c r="Q555">
        <f>RTD("tos.rtd", , "OPEN_INT", ".SPY151231P203")</f>
        <v>10</v>
      </c>
      <c r="R555">
        <f>RTD("tos.rtd", , "DELTA", ".SPY151231P203")</f>
        <v>-0.37914999999999999</v>
      </c>
      <c r="S555">
        <f>RTD("tos.rtd", , "THETA", ".SPY151231P203")</f>
        <v>-2.5489999999999999E-2</v>
      </c>
      <c r="T555">
        <f>RTD("tos.rtd", , "GAMMA", ".SPY151231P203")</f>
        <v>1.323E-2</v>
      </c>
      <c r="U555">
        <f>RTD("tos.rtd", , "VEGA", ".SPY151231P203")</f>
        <v>0.64973999999999998</v>
      </c>
      <c r="V555">
        <f>RTD("tos.rtd", , "RHO", ".SPY151231P203")</f>
        <v>-0.58406000000000002</v>
      </c>
    </row>
    <row r="556" spans="1:22" x14ac:dyDescent="0.25">
      <c r="A556" t="str">
        <f>RTD("tos.rtd", , "ASK", ".SPY151231C203.5")</f>
        <v>N/A</v>
      </c>
      <c r="B556" t="str">
        <f>RTD("tos.rtd", , "ASK_SIZE", ".SPY151231C203.5")</f>
        <v>N/A</v>
      </c>
      <c r="C556" t="str">
        <f>RTD("tos.rtd", , "BID", ".SPY151231C203.5")</f>
        <v>N/A</v>
      </c>
      <c r="D556" t="str">
        <f>RTD("tos.rtd", , "BID_SIZE", ".SPY151231C203.5")</f>
        <v>N/A</v>
      </c>
      <c r="E556" t="str">
        <f>RTD("tos.rtd", , "VOLUME", ".SPY151231C203.5")</f>
        <v>N/A</v>
      </c>
      <c r="F556" t="str">
        <f>RTD("tos.rtd", , "OPEN_INT", ".SPY151231C203.5")</f>
        <v>N/A</v>
      </c>
      <c r="G556" t="str">
        <f>RTD("tos.rtd", , "DELTA", ".SPY151231C203.5")</f>
        <v>N/A</v>
      </c>
      <c r="H556" t="str">
        <f>RTD("tos.rtd", , "THETA", ".SPY151231C203.5")</f>
        <v>N/A</v>
      </c>
      <c r="I556" t="str">
        <f>RTD("tos.rtd", , "GAMMA", ".SPY151231C203.5")</f>
        <v>N/A</v>
      </c>
      <c r="J556" t="str">
        <f>RTD("tos.rtd", , "VEGA", ".SPY151231C203.5")</f>
        <v>N/A</v>
      </c>
      <c r="K556" t="str">
        <f>RTD("tos.rtd", , "RHO", ".SPY151231C203.5")</f>
        <v>N/A</v>
      </c>
      <c r="L556" t="str">
        <f>RTD("tos.rtd", , "ASK", ".SPY151231P203.5")</f>
        <v>N/A</v>
      </c>
      <c r="M556" t="str">
        <f>RTD("tos.rtd", , "ASK_SIZE", ".SPY151231P203.5")</f>
        <v>N/A</v>
      </c>
      <c r="N556" t="str">
        <f>RTD("tos.rtd", , "BID", ".SPY151231P203.5")</f>
        <v>N/A</v>
      </c>
      <c r="O556" t="str">
        <f>RTD("tos.rtd", , "BID_SIZE", ".SPY151231P203.5")</f>
        <v>N/A</v>
      </c>
      <c r="P556" t="str">
        <f>RTD("tos.rtd", , "VOLUME", ".SPY151231P203.5")</f>
        <v>N/A</v>
      </c>
      <c r="Q556" t="str">
        <f>RTD("tos.rtd", , "OPEN_INT", ".SPY151231P203.5")</f>
        <v>N/A</v>
      </c>
      <c r="R556" t="str">
        <f>RTD("tos.rtd", , "DELTA", ".SPY151231P203.5")</f>
        <v>N/A</v>
      </c>
      <c r="S556" t="str">
        <f>RTD("tos.rtd", , "THETA", ".SPY151231P203.5")</f>
        <v>N/A</v>
      </c>
      <c r="T556" t="str">
        <f>RTD("tos.rtd", , "GAMMA", ".SPY151231P203.5")</f>
        <v>N/A</v>
      </c>
      <c r="U556" t="str">
        <f>RTD("tos.rtd", , "VEGA", ".SPY151231P203.5")</f>
        <v>N/A</v>
      </c>
      <c r="V556" t="str">
        <f>RTD("tos.rtd", , "RHO", ".SPY151231P203.5")</f>
        <v>N/A</v>
      </c>
    </row>
    <row r="557" spans="1:22" x14ac:dyDescent="0.25">
      <c r="A557">
        <f>RTD("tos.rtd", , "ASK", ".SPY151231C204")</f>
        <v>14.16</v>
      </c>
      <c r="B557">
        <f>RTD("tos.rtd", , "ASK_SIZE", ".SPY151231C204")</f>
        <v>236</v>
      </c>
      <c r="C557">
        <f>RTD("tos.rtd", , "BID", ".SPY151231C204")</f>
        <v>13.84</v>
      </c>
      <c r="D557">
        <f>RTD("tos.rtd", , "BID_SIZE", ".SPY151231C204")</f>
        <v>189</v>
      </c>
      <c r="E557" t="str">
        <f>RTD("tos.rtd", , "VOLUME", ".SPY151231C204")</f>
        <v>N/A</v>
      </c>
      <c r="F557">
        <f>RTD("tos.rtd", , "OPEN_INT", ".SPY151231C204")</f>
        <v>0</v>
      </c>
      <c r="G557">
        <f>RTD("tos.rtd", , "DELTA", ".SPY151231C204")</f>
        <v>0.60965000000000003</v>
      </c>
      <c r="H557">
        <f>RTD("tos.rtd", , "THETA", ".SPY151231C204")</f>
        <v>-1.7590000000000001E-2</v>
      </c>
      <c r="I557">
        <f>RTD("tos.rtd", , "GAMMA", ".SPY151231C204")</f>
        <v>1.4420000000000001E-2</v>
      </c>
      <c r="J557">
        <f>RTD("tos.rtd", , "VEGA", ".SPY151231C204")</f>
        <v>0.64942999999999995</v>
      </c>
      <c r="K557">
        <f>RTD("tos.rtd", , "RHO", ".SPY151231C204")</f>
        <v>0.63246000000000002</v>
      </c>
      <c r="L557">
        <f>RTD("tos.rtd", , "ASK", ".SPY151231P204")</f>
        <v>8.65</v>
      </c>
      <c r="M557">
        <f>RTD("tos.rtd", , "ASK_SIZE", ".SPY151231P204")</f>
        <v>2203</v>
      </c>
      <c r="N557">
        <f>RTD("tos.rtd", , "BID", ".SPY151231P204")</f>
        <v>8.43</v>
      </c>
      <c r="O557">
        <f>RTD("tos.rtd", , "BID_SIZE", ".SPY151231P204")</f>
        <v>2295</v>
      </c>
      <c r="P557">
        <f>RTD("tos.rtd", , "VOLUME", ".SPY151231P204")</f>
        <v>0</v>
      </c>
      <c r="Q557">
        <f>RTD("tos.rtd", , "OPEN_INT", ".SPY151231P204")</f>
        <v>18</v>
      </c>
      <c r="R557">
        <f>RTD("tos.rtd", , "DELTA", ".SPY151231P204")</f>
        <v>-0.39256000000000002</v>
      </c>
      <c r="S557">
        <f>RTD("tos.rtd", , "THETA", ".SPY151231P204")</f>
        <v>-2.563E-2</v>
      </c>
      <c r="T557">
        <f>RTD("tos.rtd", , "GAMMA", ".SPY151231P204")</f>
        <v>1.3469999999999999E-2</v>
      </c>
      <c r="U557">
        <f>RTD("tos.rtd", , "VEGA", ".SPY151231P204")</f>
        <v>0.65613999999999995</v>
      </c>
      <c r="V557">
        <f>RTD("tos.rtd", , "RHO", ".SPY151231P204")</f>
        <v>-0.60512999999999995</v>
      </c>
    </row>
    <row r="558" spans="1:22" x14ac:dyDescent="0.25">
      <c r="A558" t="str">
        <f>RTD("tos.rtd", , "ASK", ".SPY151231C204.5")</f>
        <v>N/A</v>
      </c>
      <c r="B558" t="str">
        <f>RTD("tos.rtd", , "ASK_SIZE", ".SPY151231C204.5")</f>
        <v>N/A</v>
      </c>
      <c r="C558" t="str">
        <f>RTD("tos.rtd", , "BID", ".SPY151231C204.5")</f>
        <v>N/A</v>
      </c>
      <c r="D558" t="str">
        <f>RTD("tos.rtd", , "BID_SIZE", ".SPY151231C204.5")</f>
        <v>N/A</v>
      </c>
      <c r="E558" t="str">
        <f>RTD("tos.rtd", , "VOLUME", ".SPY151231C204.5")</f>
        <v>N/A</v>
      </c>
      <c r="F558" t="str">
        <f>RTD("tos.rtd", , "OPEN_INT", ".SPY151231C204.5")</f>
        <v>N/A</v>
      </c>
      <c r="G558" t="str">
        <f>RTD("tos.rtd", , "DELTA", ".SPY151231C204.5")</f>
        <v>N/A</v>
      </c>
      <c r="H558" t="str">
        <f>RTD("tos.rtd", , "THETA", ".SPY151231C204.5")</f>
        <v>N/A</v>
      </c>
      <c r="I558" t="str">
        <f>RTD("tos.rtd", , "GAMMA", ".SPY151231C204.5")</f>
        <v>N/A</v>
      </c>
      <c r="J558" t="str">
        <f>RTD("tos.rtd", , "VEGA", ".SPY151231C204.5")</f>
        <v>N/A</v>
      </c>
      <c r="K558" t="str">
        <f>RTD("tos.rtd", , "RHO", ".SPY151231C204.5")</f>
        <v>N/A</v>
      </c>
      <c r="L558" t="str">
        <f>RTD("tos.rtd", , "ASK", ".SPY151231P204.5")</f>
        <v>N/A</v>
      </c>
      <c r="M558" t="str">
        <f>RTD("tos.rtd", , "ASK_SIZE", ".SPY151231P204.5")</f>
        <v>N/A</v>
      </c>
      <c r="N558" t="str">
        <f>RTD("tos.rtd", , "BID", ".SPY151231P204.5")</f>
        <v>N/A</v>
      </c>
      <c r="O558" t="str">
        <f>RTD("tos.rtd", , "BID_SIZE", ".SPY151231P204.5")</f>
        <v>N/A</v>
      </c>
      <c r="P558" t="str">
        <f>RTD("tos.rtd", , "VOLUME", ".SPY151231P204.5")</f>
        <v>N/A</v>
      </c>
      <c r="Q558" t="str">
        <f>RTD("tos.rtd", , "OPEN_INT", ".SPY151231P204.5")</f>
        <v>N/A</v>
      </c>
      <c r="R558" t="str">
        <f>RTD("tos.rtd", , "DELTA", ".SPY151231P204.5")</f>
        <v>N/A</v>
      </c>
      <c r="S558" t="str">
        <f>RTD("tos.rtd", , "THETA", ".SPY151231P204.5")</f>
        <v>N/A</v>
      </c>
      <c r="T558" t="str">
        <f>RTD("tos.rtd", , "GAMMA", ".SPY151231P204.5")</f>
        <v>N/A</v>
      </c>
      <c r="U558" t="str">
        <f>RTD("tos.rtd", , "VEGA", ".SPY151231P204.5")</f>
        <v>N/A</v>
      </c>
      <c r="V558" t="str">
        <f>RTD("tos.rtd", , "RHO", ".SPY151231P204.5")</f>
        <v>N/A</v>
      </c>
    </row>
    <row r="559" spans="1:22" x14ac:dyDescent="0.25">
      <c r="A559">
        <f>RTD("tos.rtd", , "ASK", ".SPY151231C205")</f>
        <v>13.47</v>
      </c>
      <c r="B559">
        <f>RTD("tos.rtd", , "ASK_SIZE", ".SPY151231C205")</f>
        <v>231</v>
      </c>
      <c r="C559">
        <f>RTD("tos.rtd", , "BID", ".SPY151231C205")</f>
        <v>13.17</v>
      </c>
      <c r="D559">
        <f>RTD("tos.rtd", , "BID_SIZE", ".SPY151231C205")</f>
        <v>160</v>
      </c>
      <c r="E559">
        <f>RTD("tos.rtd", , "VOLUME", ".SPY151231C205")</f>
        <v>1</v>
      </c>
      <c r="F559">
        <f>RTD("tos.rtd", , "OPEN_INT", ".SPY151231C205")</f>
        <v>445</v>
      </c>
      <c r="G559">
        <f>RTD("tos.rtd", , "DELTA", ".SPY151231C205")</f>
        <v>0.59535000000000005</v>
      </c>
      <c r="H559">
        <f>RTD("tos.rtd", , "THETA", ".SPY151231C205")</f>
        <v>-1.762E-2</v>
      </c>
      <c r="I559">
        <f>RTD("tos.rtd", , "GAMMA", ".SPY151231C205")</f>
        <v>1.4670000000000001E-2</v>
      </c>
      <c r="J559">
        <f>RTD("tos.rtd", , "VEGA", ".SPY151231C205")</f>
        <v>0.65612999999999999</v>
      </c>
      <c r="K559">
        <f>RTD("tos.rtd", , "RHO", ".SPY151231C205")</f>
        <v>0.62538000000000005</v>
      </c>
      <c r="L559">
        <f>RTD("tos.rtd", , "ASK", ".SPY151231P205")</f>
        <v>8.9700000000000006</v>
      </c>
      <c r="M559">
        <f>RTD("tos.rtd", , "ASK_SIZE", ".SPY151231P205")</f>
        <v>2100</v>
      </c>
      <c r="N559">
        <f>RTD("tos.rtd", , "BID", ".SPY151231P205")</f>
        <v>8.75</v>
      </c>
      <c r="O559">
        <f>RTD("tos.rtd", , "BID_SIZE", ".SPY151231P205")</f>
        <v>2295</v>
      </c>
      <c r="P559">
        <f>RTD("tos.rtd", , "VOLUME", ".SPY151231P205")</f>
        <v>31</v>
      </c>
      <c r="Q559">
        <f>RTD("tos.rtd", , "OPEN_INT", ".SPY151231P205")</f>
        <v>5389</v>
      </c>
      <c r="R559">
        <f>RTD("tos.rtd", , "DELTA", ".SPY151231P205")</f>
        <v>-0.40611000000000003</v>
      </c>
      <c r="S559">
        <f>RTD("tos.rtd", , "THETA", ".SPY151231P205")</f>
        <v>-2.5659999999999999E-2</v>
      </c>
      <c r="T559">
        <f>RTD("tos.rtd", , "GAMMA", ".SPY151231P205")</f>
        <v>1.376E-2</v>
      </c>
      <c r="U559">
        <f>RTD("tos.rtd", , "VEGA", ".SPY151231P205")</f>
        <v>0.66176999999999997</v>
      </c>
      <c r="V559">
        <f>RTD("tos.rtd", , "RHO", ".SPY151231P205")</f>
        <v>-0.62619999999999998</v>
      </c>
    </row>
    <row r="560" spans="1:22" x14ac:dyDescent="0.25">
      <c r="A560" t="str">
        <f>RTD("tos.rtd", , "ASK", ".SPY151231C205.5")</f>
        <v>N/A</v>
      </c>
      <c r="B560" t="str">
        <f>RTD("tos.rtd", , "ASK_SIZE", ".SPY151231C205.5")</f>
        <v>N/A</v>
      </c>
      <c r="C560" t="str">
        <f>RTD("tos.rtd", , "BID", ".SPY151231C205.5")</f>
        <v>N/A</v>
      </c>
      <c r="D560" t="str">
        <f>RTD("tos.rtd", , "BID_SIZE", ".SPY151231C205.5")</f>
        <v>N/A</v>
      </c>
      <c r="E560" t="str">
        <f>RTD("tos.rtd", , "VOLUME", ".SPY151231C205.5")</f>
        <v>N/A</v>
      </c>
      <c r="F560" t="str">
        <f>RTD("tos.rtd", , "OPEN_INT", ".SPY151231C205.5")</f>
        <v>N/A</v>
      </c>
      <c r="G560" t="str">
        <f>RTD("tos.rtd", , "DELTA", ".SPY151231C205.5")</f>
        <v>N/A</v>
      </c>
      <c r="H560" t="str">
        <f>RTD("tos.rtd", , "THETA", ".SPY151231C205.5")</f>
        <v>N/A</v>
      </c>
      <c r="I560" t="str">
        <f>RTD("tos.rtd", , "GAMMA", ".SPY151231C205.5")</f>
        <v>N/A</v>
      </c>
      <c r="J560" t="str">
        <f>RTD("tos.rtd", , "VEGA", ".SPY151231C205.5")</f>
        <v>N/A</v>
      </c>
      <c r="K560" t="str">
        <f>RTD("tos.rtd", , "RHO", ".SPY151231C205.5")</f>
        <v>N/A</v>
      </c>
      <c r="L560" t="str">
        <f>RTD("tos.rtd", , "ASK", ".SPY151231P205.5")</f>
        <v>N/A</v>
      </c>
      <c r="M560" t="str">
        <f>RTD("tos.rtd", , "ASK_SIZE", ".SPY151231P205.5")</f>
        <v>N/A</v>
      </c>
      <c r="N560" t="str">
        <f>RTD("tos.rtd", , "BID", ".SPY151231P205.5")</f>
        <v>N/A</v>
      </c>
      <c r="O560" t="str">
        <f>RTD("tos.rtd", , "BID_SIZE", ".SPY151231P205.5")</f>
        <v>N/A</v>
      </c>
      <c r="P560" t="str">
        <f>RTD("tos.rtd", , "VOLUME", ".SPY151231P205.5")</f>
        <v>N/A</v>
      </c>
      <c r="Q560" t="str">
        <f>RTD("tos.rtd", , "OPEN_INT", ".SPY151231P205.5")</f>
        <v>N/A</v>
      </c>
      <c r="R560" t="str">
        <f>RTD("tos.rtd", , "DELTA", ".SPY151231P205.5")</f>
        <v>N/A</v>
      </c>
      <c r="S560" t="str">
        <f>RTD("tos.rtd", , "THETA", ".SPY151231P205.5")</f>
        <v>N/A</v>
      </c>
      <c r="T560" t="str">
        <f>RTD("tos.rtd", , "GAMMA", ".SPY151231P205.5")</f>
        <v>N/A</v>
      </c>
      <c r="U560" t="str">
        <f>RTD("tos.rtd", , "VEGA", ".SPY151231P205.5")</f>
        <v>N/A</v>
      </c>
      <c r="V560" t="str">
        <f>RTD("tos.rtd", , "RHO", ".SPY151231P205.5")</f>
        <v>N/A</v>
      </c>
    </row>
    <row r="561" spans="1:22" x14ac:dyDescent="0.25">
      <c r="A561">
        <f>RTD("tos.rtd", , "ASK", ".SPY151231C206")</f>
        <v>12.7</v>
      </c>
      <c r="B561">
        <f>RTD("tos.rtd", , "ASK_SIZE", ".SPY151231C206")</f>
        <v>154</v>
      </c>
      <c r="C561">
        <f>RTD("tos.rtd", , "BID", ".SPY151231C206")</f>
        <v>12.53</v>
      </c>
      <c r="D561">
        <f>RTD("tos.rtd", , "BID_SIZE", ".SPY151231C206")</f>
        <v>140</v>
      </c>
      <c r="E561">
        <f>RTD("tos.rtd", , "VOLUME", ".SPY151231C206")</f>
        <v>0</v>
      </c>
      <c r="F561">
        <f>RTD("tos.rtd", , "OPEN_INT", ".SPY151231C206")</f>
        <v>100</v>
      </c>
      <c r="G561">
        <f>RTD("tos.rtd", , "DELTA", ".SPY151231C206")</f>
        <v>0.58084000000000002</v>
      </c>
      <c r="H561">
        <f>RTD("tos.rtd", , "THETA", ".SPY151231C206")</f>
        <v>-1.754E-2</v>
      </c>
      <c r="I561">
        <f>RTD("tos.rtd", , "GAMMA", ".SPY151231C206")</f>
        <v>1.498E-2</v>
      </c>
      <c r="J561">
        <f>RTD("tos.rtd", , "VEGA", ".SPY151231C206")</f>
        <v>0.66198000000000001</v>
      </c>
      <c r="K561">
        <f>RTD("tos.rtd", , "RHO", ".SPY151231C206")</f>
        <v>0.61743000000000003</v>
      </c>
      <c r="L561">
        <f>RTD("tos.rtd", , "ASK", ".SPY151231P206")</f>
        <v>9.31</v>
      </c>
      <c r="M561">
        <f>RTD("tos.rtd", , "ASK_SIZE", ".SPY151231P206")</f>
        <v>2202</v>
      </c>
      <c r="N561">
        <f>RTD("tos.rtd", , "BID", ".SPY151231P206")</f>
        <v>9.09</v>
      </c>
      <c r="O561">
        <f>RTD("tos.rtd", , "BID_SIZE", ".SPY151231P206")</f>
        <v>2295</v>
      </c>
      <c r="P561">
        <f>RTD("tos.rtd", , "VOLUME", ".SPY151231P206")</f>
        <v>0</v>
      </c>
      <c r="Q561">
        <f>RTD("tos.rtd", , "OPEN_INT", ".SPY151231P206")</f>
        <v>40</v>
      </c>
      <c r="R561">
        <f>RTD("tos.rtd", , "DELTA", ".SPY151231P206")</f>
        <v>-0.42004999999999998</v>
      </c>
      <c r="S561">
        <f>RTD("tos.rtd", , "THETA", ".SPY151231P206")</f>
        <v>-2.5680000000000001E-2</v>
      </c>
      <c r="T561">
        <f>RTD("tos.rtd", , "GAMMA", ".SPY151231P206")</f>
        <v>1.4030000000000001E-2</v>
      </c>
      <c r="U561">
        <f>RTD("tos.rtd", , "VEGA", ".SPY151231P206")</f>
        <v>0.66671999999999998</v>
      </c>
      <c r="V561">
        <f>RTD("tos.rtd", , "RHO", ".SPY151231P206")</f>
        <v>-0.64795999999999998</v>
      </c>
    </row>
    <row r="562" spans="1:22" x14ac:dyDescent="0.25">
      <c r="A562" t="str">
        <f>RTD("tos.rtd", , "ASK", ".SPY151231C206.5")</f>
        <v>N/A</v>
      </c>
      <c r="B562" t="str">
        <f>RTD("tos.rtd", , "ASK_SIZE", ".SPY151231C206.5")</f>
        <v>N/A</v>
      </c>
      <c r="C562" t="str">
        <f>RTD("tos.rtd", , "BID", ".SPY151231C206.5")</f>
        <v>N/A</v>
      </c>
      <c r="D562" t="str">
        <f>RTD("tos.rtd", , "BID_SIZE", ".SPY151231C206.5")</f>
        <v>N/A</v>
      </c>
      <c r="E562" t="str">
        <f>RTD("tos.rtd", , "VOLUME", ".SPY151231C206.5")</f>
        <v>N/A</v>
      </c>
      <c r="F562" t="str">
        <f>RTD("tos.rtd", , "OPEN_INT", ".SPY151231C206.5")</f>
        <v>N/A</v>
      </c>
      <c r="G562" t="str">
        <f>RTD("tos.rtd", , "DELTA", ".SPY151231C206.5")</f>
        <v>N/A</v>
      </c>
      <c r="H562" t="str">
        <f>RTD("tos.rtd", , "THETA", ".SPY151231C206.5")</f>
        <v>N/A</v>
      </c>
      <c r="I562" t="str">
        <f>RTD("tos.rtd", , "GAMMA", ".SPY151231C206.5")</f>
        <v>N/A</v>
      </c>
      <c r="J562" t="str">
        <f>RTD("tos.rtd", , "VEGA", ".SPY151231C206.5")</f>
        <v>N/A</v>
      </c>
      <c r="K562" t="str">
        <f>RTD("tos.rtd", , "RHO", ".SPY151231C206.5")</f>
        <v>N/A</v>
      </c>
      <c r="L562" t="str">
        <f>RTD("tos.rtd", , "ASK", ".SPY151231P206.5")</f>
        <v>N/A</v>
      </c>
      <c r="M562" t="str">
        <f>RTD("tos.rtd", , "ASK_SIZE", ".SPY151231P206.5")</f>
        <v>N/A</v>
      </c>
      <c r="N562" t="str">
        <f>RTD("tos.rtd", , "BID", ".SPY151231P206.5")</f>
        <v>N/A</v>
      </c>
      <c r="O562" t="str">
        <f>RTD("tos.rtd", , "BID_SIZE", ".SPY151231P206.5")</f>
        <v>N/A</v>
      </c>
      <c r="P562" t="str">
        <f>RTD("tos.rtd", , "VOLUME", ".SPY151231P206.5")</f>
        <v>N/A</v>
      </c>
      <c r="Q562" t="str">
        <f>RTD("tos.rtd", , "OPEN_INT", ".SPY151231P206.5")</f>
        <v>N/A</v>
      </c>
      <c r="R562" t="str">
        <f>RTD("tos.rtd", , "DELTA", ".SPY151231P206.5")</f>
        <v>N/A</v>
      </c>
      <c r="S562" t="str">
        <f>RTD("tos.rtd", , "THETA", ".SPY151231P206.5")</f>
        <v>N/A</v>
      </c>
      <c r="T562" t="str">
        <f>RTD("tos.rtd", , "GAMMA", ".SPY151231P206.5")</f>
        <v>N/A</v>
      </c>
      <c r="U562" t="str">
        <f>RTD("tos.rtd", , "VEGA", ".SPY151231P206.5")</f>
        <v>N/A</v>
      </c>
      <c r="V562" t="str">
        <f>RTD("tos.rtd", , "RHO", ".SPY151231P206.5")</f>
        <v>N/A</v>
      </c>
    </row>
    <row r="563" spans="1:22" x14ac:dyDescent="0.25">
      <c r="A563">
        <f>RTD("tos.rtd", , "ASK", ".SPY151231C207")</f>
        <v>12.08</v>
      </c>
      <c r="B563">
        <f>RTD("tos.rtd", , "ASK_SIZE", ".SPY151231C207")</f>
        <v>263</v>
      </c>
      <c r="C563">
        <f>RTD("tos.rtd", , "BID", ".SPY151231C207")</f>
        <v>11.86</v>
      </c>
      <c r="D563">
        <f>RTD("tos.rtd", , "BID_SIZE", ".SPY151231C207")</f>
        <v>150</v>
      </c>
      <c r="E563">
        <f>RTD("tos.rtd", , "VOLUME", ".SPY151231C207")</f>
        <v>31</v>
      </c>
      <c r="F563">
        <f>RTD("tos.rtd", , "OPEN_INT", ".SPY151231C207")</f>
        <v>0</v>
      </c>
      <c r="G563">
        <f>RTD("tos.rtd", , "DELTA", ".SPY151231C207")</f>
        <v>0.56577</v>
      </c>
      <c r="H563">
        <f>RTD("tos.rtd", , "THETA", ".SPY151231C207")</f>
        <v>-1.753E-2</v>
      </c>
      <c r="I563">
        <f>RTD("tos.rtd", , "GAMMA", ".SPY151231C207")</f>
        <v>1.521E-2</v>
      </c>
      <c r="J563">
        <f>RTD("tos.rtd", , "VEGA", ".SPY151231C207")</f>
        <v>0.66710000000000003</v>
      </c>
      <c r="K563">
        <f>RTD("tos.rtd", , "RHO", ".SPY151231C207")</f>
        <v>0.60855000000000004</v>
      </c>
      <c r="L563">
        <f>RTD("tos.rtd", , "ASK", ".SPY151231P207")</f>
        <v>9.66</v>
      </c>
      <c r="M563">
        <f>RTD("tos.rtd", , "ASK_SIZE", ".SPY151231P207")</f>
        <v>2440</v>
      </c>
      <c r="N563">
        <f>RTD("tos.rtd", , "BID", ".SPY151231P207")</f>
        <v>9.51</v>
      </c>
      <c r="O563">
        <f>RTD("tos.rtd", , "BID_SIZE", ".SPY151231P207")</f>
        <v>141</v>
      </c>
      <c r="P563">
        <f>RTD("tos.rtd", , "VOLUME", ".SPY151231P207")</f>
        <v>0</v>
      </c>
      <c r="Q563">
        <f>RTD("tos.rtd", , "OPEN_INT", ".SPY151231P207")</f>
        <v>5</v>
      </c>
      <c r="R563">
        <f>RTD("tos.rtd", , "DELTA", ".SPY151231P207")</f>
        <v>-0.43437999999999999</v>
      </c>
      <c r="S563">
        <f>RTD("tos.rtd", , "THETA", ".SPY151231P207")</f>
        <v>-2.5739999999999999E-2</v>
      </c>
      <c r="T563">
        <f>RTD("tos.rtd", , "GAMMA", ".SPY151231P207")</f>
        <v>1.4239999999999999E-2</v>
      </c>
      <c r="U563">
        <f>RTD("tos.rtd", , "VEGA", ".SPY151231P207")</f>
        <v>0.67091999999999996</v>
      </c>
      <c r="V563">
        <f>RTD("tos.rtd", , "RHO", ".SPY151231P207")</f>
        <v>-0.67059000000000002</v>
      </c>
    </row>
    <row r="564" spans="1:22" x14ac:dyDescent="0.25">
      <c r="A564" t="str">
        <f>RTD("tos.rtd", , "ASK", ".SPY151231C207.5")</f>
        <v>N/A</v>
      </c>
      <c r="B564" t="str">
        <f>RTD("tos.rtd", , "ASK_SIZE", ".SPY151231C207.5")</f>
        <v>N/A</v>
      </c>
      <c r="C564" t="str">
        <f>RTD("tos.rtd", , "BID", ".SPY151231C207.5")</f>
        <v>N/A</v>
      </c>
      <c r="D564" t="str">
        <f>RTD("tos.rtd", , "BID_SIZE", ".SPY151231C207.5")</f>
        <v>N/A</v>
      </c>
      <c r="E564" t="str">
        <f>RTD("tos.rtd", , "VOLUME", ".SPY151231C207.5")</f>
        <v>N/A</v>
      </c>
      <c r="F564" t="str">
        <f>RTD("tos.rtd", , "OPEN_INT", ".SPY151231C207.5")</f>
        <v>N/A</v>
      </c>
      <c r="G564" t="str">
        <f>RTD("tos.rtd", , "DELTA", ".SPY151231C207.5")</f>
        <v>N/A</v>
      </c>
      <c r="H564" t="str">
        <f>RTD("tos.rtd", , "THETA", ".SPY151231C207.5")</f>
        <v>N/A</v>
      </c>
      <c r="I564" t="str">
        <f>RTD("tos.rtd", , "GAMMA", ".SPY151231C207.5")</f>
        <v>N/A</v>
      </c>
      <c r="J564" t="str">
        <f>RTD("tos.rtd", , "VEGA", ".SPY151231C207.5")</f>
        <v>N/A</v>
      </c>
      <c r="K564" t="str">
        <f>RTD("tos.rtd", , "RHO", ".SPY151231C207.5")</f>
        <v>N/A</v>
      </c>
      <c r="L564" t="str">
        <f>RTD("tos.rtd", , "ASK", ".SPY151231P207.5")</f>
        <v>N/A</v>
      </c>
      <c r="M564" t="str">
        <f>RTD("tos.rtd", , "ASK_SIZE", ".SPY151231P207.5")</f>
        <v>N/A</v>
      </c>
      <c r="N564" t="str">
        <f>RTD("tos.rtd", , "BID", ".SPY151231P207.5")</f>
        <v>N/A</v>
      </c>
      <c r="O564" t="str">
        <f>RTD("tos.rtd", , "BID_SIZE", ".SPY151231P207.5")</f>
        <v>N/A</v>
      </c>
      <c r="P564" t="str">
        <f>RTD("tos.rtd", , "VOLUME", ".SPY151231P207.5")</f>
        <v>N/A</v>
      </c>
      <c r="Q564" t="str">
        <f>RTD("tos.rtd", , "OPEN_INT", ".SPY151231P207.5")</f>
        <v>N/A</v>
      </c>
      <c r="R564" t="str">
        <f>RTD("tos.rtd", , "DELTA", ".SPY151231P207.5")</f>
        <v>N/A</v>
      </c>
      <c r="S564" t="str">
        <f>RTD("tos.rtd", , "THETA", ".SPY151231P207.5")</f>
        <v>N/A</v>
      </c>
      <c r="T564" t="str">
        <f>RTD("tos.rtd", , "GAMMA", ".SPY151231P207.5")</f>
        <v>N/A</v>
      </c>
      <c r="U564" t="str">
        <f>RTD("tos.rtd", , "VEGA", ".SPY151231P207.5")</f>
        <v>N/A</v>
      </c>
      <c r="V564" t="str">
        <f>RTD("tos.rtd", , "RHO", ".SPY151231P207.5")</f>
        <v>N/A</v>
      </c>
    </row>
    <row r="565" spans="1:22" x14ac:dyDescent="0.25">
      <c r="A565">
        <f>RTD("tos.rtd", , "ASK", ".SPY151231C208")</f>
        <v>11.38</v>
      </c>
      <c r="B565">
        <f>RTD("tos.rtd", , "ASK_SIZE", ".SPY151231C208")</f>
        <v>140</v>
      </c>
      <c r="C565">
        <f>RTD("tos.rtd", , "BID", ".SPY151231C208")</f>
        <v>11.2</v>
      </c>
      <c r="D565">
        <f>RTD("tos.rtd", , "BID_SIZE", ".SPY151231C208")</f>
        <v>2323</v>
      </c>
      <c r="E565">
        <f>RTD("tos.rtd", , "VOLUME", ".SPY151231C208")</f>
        <v>13</v>
      </c>
      <c r="F565">
        <f>RTD("tos.rtd", , "OPEN_INT", ".SPY151231C208")</f>
        <v>14</v>
      </c>
      <c r="G565">
        <f>RTD("tos.rtd", , "DELTA", ".SPY151231C208")</f>
        <v>0.5504</v>
      </c>
      <c r="H565">
        <f>RTD("tos.rtd", , "THETA", ".SPY151231C208")</f>
        <v>-1.7399999999999999E-2</v>
      </c>
      <c r="I565">
        <f>RTD("tos.rtd", , "GAMMA", ".SPY151231C208")</f>
        <v>1.553E-2</v>
      </c>
      <c r="J565">
        <f>RTD("tos.rtd", , "VEGA", ".SPY151231C208")</f>
        <v>0.67127000000000003</v>
      </c>
      <c r="K565">
        <f>RTD("tos.rtd", , "RHO", ".SPY151231C208")</f>
        <v>0.59872999999999998</v>
      </c>
      <c r="L565">
        <f>RTD("tos.rtd", , "ASK", ".SPY151231P208")</f>
        <v>10.029999999999999</v>
      </c>
      <c r="M565">
        <f>RTD("tos.rtd", , "ASK_SIZE", ".SPY151231P208")</f>
        <v>2368</v>
      </c>
      <c r="N565">
        <f>RTD("tos.rtd", , "BID", ".SPY151231P208")</f>
        <v>9.8000000000000007</v>
      </c>
      <c r="O565">
        <f>RTD("tos.rtd", , "BID_SIZE", ".SPY151231P208")</f>
        <v>2295</v>
      </c>
      <c r="P565">
        <f>RTD("tos.rtd", , "VOLUME", ".SPY151231P208")</f>
        <v>5</v>
      </c>
      <c r="Q565">
        <f>RTD("tos.rtd", , "OPEN_INT", ".SPY151231P208")</f>
        <v>60</v>
      </c>
      <c r="R565">
        <f>RTD("tos.rtd", , "DELTA", ".SPY151231P208")</f>
        <v>-0.44901999999999997</v>
      </c>
      <c r="S565">
        <f>RTD("tos.rtd", , "THETA", ".SPY151231P208")</f>
        <v>-2.563E-2</v>
      </c>
      <c r="T565">
        <f>RTD("tos.rtd", , "GAMMA", ".SPY151231P208")</f>
        <v>1.457E-2</v>
      </c>
      <c r="U565">
        <f>RTD("tos.rtd", , "VEGA", ".SPY151231P208")</f>
        <v>0.67427000000000004</v>
      </c>
      <c r="V565">
        <f>RTD("tos.rtd", , "RHO", ".SPY151231P208")</f>
        <v>-0.69325000000000003</v>
      </c>
    </row>
    <row r="566" spans="1:22" x14ac:dyDescent="0.25">
      <c r="A566" t="str">
        <f>RTD("tos.rtd", , "ASK", ".SPY151231C208.5")</f>
        <v>N/A</v>
      </c>
      <c r="B566" t="str">
        <f>RTD("tos.rtd", , "ASK_SIZE", ".SPY151231C208.5")</f>
        <v>N/A</v>
      </c>
      <c r="C566" t="str">
        <f>RTD("tos.rtd", , "BID", ".SPY151231C208.5")</f>
        <v>N/A</v>
      </c>
      <c r="D566" t="str">
        <f>RTD("tos.rtd", , "BID_SIZE", ".SPY151231C208.5")</f>
        <v>N/A</v>
      </c>
      <c r="E566" t="str">
        <f>RTD("tos.rtd", , "VOLUME", ".SPY151231C208.5")</f>
        <v>N/A</v>
      </c>
      <c r="F566" t="str">
        <f>RTD("tos.rtd", , "OPEN_INT", ".SPY151231C208.5")</f>
        <v>N/A</v>
      </c>
      <c r="G566" t="str">
        <f>RTD("tos.rtd", , "DELTA", ".SPY151231C208.5")</f>
        <v>N/A</v>
      </c>
      <c r="H566" t="str">
        <f>RTD("tos.rtd", , "THETA", ".SPY151231C208.5")</f>
        <v>N/A</v>
      </c>
      <c r="I566" t="str">
        <f>RTD("tos.rtd", , "GAMMA", ".SPY151231C208.5")</f>
        <v>N/A</v>
      </c>
      <c r="J566" t="str">
        <f>RTD("tos.rtd", , "VEGA", ".SPY151231C208.5")</f>
        <v>N/A</v>
      </c>
      <c r="K566" t="str">
        <f>RTD("tos.rtd", , "RHO", ".SPY151231C208.5")</f>
        <v>N/A</v>
      </c>
      <c r="L566" t="str">
        <f>RTD("tos.rtd", , "ASK", ".SPY151231P208.5")</f>
        <v>N/A</v>
      </c>
      <c r="M566" t="str">
        <f>RTD("tos.rtd", , "ASK_SIZE", ".SPY151231P208.5")</f>
        <v>N/A</v>
      </c>
      <c r="N566" t="str">
        <f>RTD("tos.rtd", , "BID", ".SPY151231P208.5")</f>
        <v>N/A</v>
      </c>
      <c r="O566" t="str">
        <f>RTD("tos.rtd", , "BID_SIZE", ".SPY151231P208.5")</f>
        <v>N/A</v>
      </c>
      <c r="P566" t="str">
        <f>RTD("tos.rtd", , "VOLUME", ".SPY151231P208.5")</f>
        <v>N/A</v>
      </c>
      <c r="Q566" t="str">
        <f>RTD("tos.rtd", , "OPEN_INT", ".SPY151231P208.5")</f>
        <v>N/A</v>
      </c>
      <c r="R566" t="str">
        <f>RTD("tos.rtd", , "DELTA", ".SPY151231P208.5")</f>
        <v>N/A</v>
      </c>
      <c r="S566" t="str">
        <f>RTD("tos.rtd", , "THETA", ".SPY151231P208.5")</f>
        <v>N/A</v>
      </c>
      <c r="T566" t="str">
        <f>RTD("tos.rtd", , "GAMMA", ".SPY151231P208.5")</f>
        <v>N/A</v>
      </c>
      <c r="U566" t="str">
        <f>RTD("tos.rtd", , "VEGA", ".SPY151231P208.5")</f>
        <v>N/A</v>
      </c>
      <c r="V566" t="str">
        <f>RTD("tos.rtd", , "RHO", ".SPY151231P208.5")</f>
        <v>N/A</v>
      </c>
    </row>
    <row r="567" spans="1:22" x14ac:dyDescent="0.25">
      <c r="A567">
        <f>RTD("tos.rtd", , "ASK", ".SPY151231C209")</f>
        <v>10.73</v>
      </c>
      <c r="B567">
        <f>RTD("tos.rtd", , "ASK_SIZE", ".SPY151231C209")</f>
        <v>99</v>
      </c>
      <c r="C567">
        <f>RTD("tos.rtd", , "BID", ".SPY151231C209")</f>
        <v>10.57</v>
      </c>
      <c r="D567">
        <f>RTD("tos.rtd", , "BID_SIZE", ".SPY151231C209")</f>
        <v>149</v>
      </c>
      <c r="E567">
        <f>RTD("tos.rtd", , "VOLUME", ".SPY151231C209")</f>
        <v>58</v>
      </c>
      <c r="F567">
        <f>RTD("tos.rtd", , "OPEN_INT", ".SPY151231C209")</f>
        <v>961</v>
      </c>
      <c r="G567">
        <f>RTD("tos.rtd", , "DELTA", ".SPY151231C209")</f>
        <v>0.53454999999999997</v>
      </c>
      <c r="H567">
        <f>RTD("tos.rtd", , "THETA", ".SPY151231C209")</f>
        <v>-1.729E-2</v>
      </c>
      <c r="I567">
        <f>RTD("tos.rtd", , "GAMMA", ".SPY151231C209")</f>
        <v>1.5769999999999999E-2</v>
      </c>
      <c r="J567">
        <f>RTD("tos.rtd", , "VEGA", ".SPY151231C209")</f>
        <v>0.67452000000000001</v>
      </c>
      <c r="K567">
        <f>RTD("tos.rtd", , "RHO", ".SPY151231C209")</f>
        <v>0.58796000000000004</v>
      </c>
      <c r="L567">
        <f>RTD("tos.rtd", , "ASK", ".SPY151231P209")</f>
        <v>10.41</v>
      </c>
      <c r="M567">
        <f>RTD("tos.rtd", , "ASK_SIZE", ".SPY151231P209")</f>
        <v>2368</v>
      </c>
      <c r="N567">
        <f>RTD("tos.rtd", , "BID", ".SPY151231P209")</f>
        <v>10.18</v>
      </c>
      <c r="O567">
        <f>RTD("tos.rtd", , "BID_SIZE", ".SPY151231P209")</f>
        <v>2295</v>
      </c>
      <c r="P567">
        <f>RTD("tos.rtd", , "VOLUME", ".SPY151231P209")</f>
        <v>0</v>
      </c>
      <c r="Q567">
        <f>RTD("tos.rtd", , "OPEN_INT", ".SPY151231P209")</f>
        <v>21</v>
      </c>
      <c r="R567">
        <f>RTD("tos.rtd", , "DELTA", ".SPY151231P209")</f>
        <v>-0.46406999999999998</v>
      </c>
      <c r="S567">
        <f>RTD("tos.rtd", , "THETA", ".SPY151231P209")</f>
        <v>-2.5569999999999999E-2</v>
      </c>
      <c r="T567">
        <f>RTD("tos.rtd", , "GAMMA", ".SPY151231P209")</f>
        <v>1.4800000000000001E-2</v>
      </c>
      <c r="U567">
        <f>RTD("tos.rtd", , "VEGA", ".SPY151231P209")</f>
        <v>0.67673000000000005</v>
      </c>
      <c r="V567">
        <f>RTD("tos.rtd", , "RHO", ".SPY151231P209")</f>
        <v>-0.71682999999999997</v>
      </c>
    </row>
    <row r="568" spans="1:22" x14ac:dyDescent="0.25">
      <c r="A568" t="str">
        <f>RTD("tos.rtd", , "ASK", ".SPY151231C209.5")</f>
        <v>N/A</v>
      </c>
      <c r="B568" t="str">
        <f>RTD("tos.rtd", , "ASK_SIZE", ".SPY151231C209.5")</f>
        <v>N/A</v>
      </c>
      <c r="C568" t="str">
        <f>RTD("tos.rtd", , "BID", ".SPY151231C209.5")</f>
        <v>N/A</v>
      </c>
      <c r="D568" t="str">
        <f>RTD("tos.rtd", , "BID_SIZE", ".SPY151231C209.5")</f>
        <v>N/A</v>
      </c>
      <c r="E568" t="str">
        <f>RTD("tos.rtd", , "VOLUME", ".SPY151231C209.5")</f>
        <v>N/A</v>
      </c>
      <c r="F568" t="str">
        <f>RTD("tos.rtd", , "OPEN_INT", ".SPY151231C209.5")</f>
        <v>N/A</v>
      </c>
      <c r="G568" t="str">
        <f>RTD("tos.rtd", , "DELTA", ".SPY151231C209.5")</f>
        <v>N/A</v>
      </c>
      <c r="H568" t="str">
        <f>RTD("tos.rtd", , "THETA", ".SPY151231C209.5")</f>
        <v>N/A</v>
      </c>
      <c r="I568" t="str">
        <f>RTD("tos.rtd", , "GAMMA", ".SPY151231C209.5")</f>
        <v>N/A</v>
      </c>
      <c r="J568" t="str">
        <f>RTD("tos.rtd", , "VEGA", ".SPY151231C209.5")</f>
        <v>N/A</v>
      </c>
      <c r="K568" t="str">
        <f>RTD("tos.rtd", , "RHO", ".SPY151231C209.5")</f>
        <v>N/A</v>
      </c>
      <c r="L568" t="str">
        <f>RTD("tos.rtd", , "ASK", ".SPY151231P209.5")</f>
        <v>N/A</v>
      </c>
      <c r="M568" t="str">
        <f>RTD("tos.rtd", , "ASK_SIZE", ".SPY151231P209.5")</f>
        <v>N/A</v>
      </c>
      <c r="N568" t="str">
        <f>RTD("tos.rtd", , "BID", ".SPY151231P209.5")</f>
        <v>N/A</v>
      </c>
      <c r="O568" t="str">
        <f>RTD("tos.rtd", , "BID_SIZE", ".SPY151231P209.5")</f>
        <v>N/A</v>
      </c>
      <c r="P568" t="str">
        <f>RTD("tos.rtd", , "VOLUME", ".SPY151231P209.5")</f>
        <v>N/A</v>
      </c>
      <c r="Q568" t="str">
        <f>RTD("tos.rtd", , "OPEN_INT", ".SPY151231P209.5")</f>
        <v>N/A</v>
      </c>
      <c r="R568" t="str">
        <f>RTD("tos.rtd", , "DELTA", ".SPY151231P209.5")</f>
        <v>N/A</v>
      </c>
      <c r="S568" t="str">
        <f>RTD("tos.rtd", , "THETA", ".SPY151231P209.5")</f>
        <v>N/A</v>
      </c>
      <c r="T568" t="str">
        <f>RTD("tos.rtd", , "GAMMA", ".SPY151231P209.5")</f>
        <v>N/A</v>
      </c>
      <c r="U568" t="str">
        <f>RTD("tos.rtd", , "VEGA", ".SPY151231P209.5")</f>
        <v>N/A</v>
      </c>
      <c r="V568" t="str">
        <f>RTD("tos.rtd", , "RHO", ".SPY151231P209.5")</f>
        <v>N/A</v>
      </c>
    </row>
    <row r="569" spans="1:22" x14ac:dyDescent="0.25">
      <c r="A569">
        <f>RTD("tos.rtd", , "ASK", ".SPY151231C210")</f>
        <v>10.11</v>
      </c>
      <c r="B569">
        <f>RTD("tos.rtd", , "ASK_SIZE", ".SPY151231C210")</f>
        <v>152</v>
      </c>
      <c r="C569">
        <f>RTD("tos.rtd", , "BID", ".SPY151231C210")</f>
        <v>9.94</v>
      </c>
      <c r="D569">
        <f>RTD("tos.rtd", , "BID_SIZE", ".SPY151231C210")</f>
        <v>2449</v>
      </c>
      <c r="E569">
        <f>RTD("tos.rtd", , "VOLUME", ".SPY151231C210")</f>
        <v>12</v>
      </c>
      <c r="F569">
        <f>RTD("tos.rtd", , "OPEN_INT", ".SPY151231C210")</f>
        <v>5321</v>
      </c>
      <c r="G569">
        <f>RTD("tos.rtd", , "DELTA", ".SPY151231C210")</f>
        <v>0.51832999999999996</v>
      </c>
      <c r="H569">
        <f>RTD("tos.rtd", , "THETA", ".SPY151231C210")</f>
        <v>-1.7149999999999999E-2</v>
      </c>
      <c r="I569">
        <f>RTD("tos.rtd", , "GAMMA", ".SPY151231C210")</f>
        <v>1.5990000000000001E-2</v>
      </c>
      <c r="J569">
        <f>RTD("tos.rtd", , "VEGA", ".SPY151231C210")</f>
        <v>0.67671999999999999</v>
      </c>
      <c r="K569">
        <f>RTD("tos.rtd", , "RHO", ".SPY151231C210")</f>
        <v>0.57625999999999999</v>
      </c>
      <c r="L569">
        <f>RTD("tos.rtd", , "ASK", ".SPY151231P210")</f>
        <v>10.81</v>
      </c>
      <c r="M569">
        <f>RTD("tos.rtd", , "ASK_SIZE", ".SPY151231P210")</f>
        <v>2498</v>
      </c>
      <c r="N569">
        <f>RTD("tos.rtd", , "BID", ".SPY151231P210")</f>
        <v>10.64</v>
      </c>
      <c r="O569">
        <f>RTD("tos.rtd", , "BID_SIZE", ".SPY151231P210")</f>
        <v>143</v>
      </c>
      <c r="P569">
        <f>RTD("tos.rtd", , "VOLUME", ".SPY151231P210")</f>
        <v>20</v>
      </c>
      <c r="Q569">
        <f>RTD("tos.rtd", , "OPEN_INT", ".SPY151231P210")</f>
        <v>808</v>
      </c>
      <c r="R569">
        <f>RTD("tos.rtd", , "DELTA", ".SPY151231P210")</f>
        <v>-0.47935</v>
      </c>
      <c r="S569">
        <f>RTD("tos.rtd", , "THETA", ".SPY151231P210")</f>
        <v>-2.555E-2</v>
      </c>
      <c r="T569">
        <f>RTD("tos.rtd", , "GAMMA", ".SPY151231P210")</f>
        <v>1.498E-2</v>
      </c>
      <c r="U569">
        <f>RTD("tos.rtd", , "VEGA", ".SPY151231P210")</f>
        <v>0.67823</v>
      </c>
      <c r="V569">
        <f>RTD("tos.rtd", , "RHO", ".SPY151231P210")</f>
        <v>-0.74106000000000005</v>
      </c>
    </row>
    <row r="570" spans="1:22" x14ac:dyDescent="0.25">
      <c r="A570" t="str">
        <f>RTD("tos.rtd", , "ASK", ".SPY151231C210.5")</f>
        <v>N/A</v>
      </c>
      <c r="B570" t="str">
        <f>RTD("tos.rtd", , "ASK_SIZE", ".SPY151231C210.5")</f>
        <v>N/A</v>
      </c>
      <c r="C570" t="str">
        <f>RTD("tos.rtd", , "BID", ".SPY151231C210.5")</f>
        <v>N/A</v>
      </c>
      <c r="D570" t="str">
        <f>RTD("tos.rtd", , "BID_SIZE", ".SPY151231C210.5")</f>
        <v>N/A</v>
      </c>
      <c r="E570" t="str">
        <f>RTD("tos.rtd", , "VOLUME", ".SPY151231C210.5")</f>
        <v>N/A</v>
      </c>
      <c r="F570" t="str">
        <f>RTD("tos.rtd", , "OPEN_INT", ".SPY151231C210.5")</f>
        <v>N/A</v>
      </c>
      <c r="G570" t="str">
        <f>RTD("tos.rtd", , "DELTA", ".SPY151231C210.5")</f>
        <v>N/A</v>
      </c>
      <c r="H570" t="str">
        <f>RTD("tos.rtd", , "THETA", ".SPY151231C210.5")</f>
        <v>N/A</v>
      </c>
      <c r="I570" t="str">
        <f>RTD("tos.rtd", , "GAMMA", ".SPY151231C210.5")</f>
        <v>N/A</v>
      </c>
      <c r="J570" t="str">
        <f>RTD("tos.rtd", , "VEGA", ".SPY151231C210.5")</f>
        <v>N/A</v>
      </c>
      <c r="K570" t="str">
        <f>RTD("tos.rtd", , "RHO", ".SPY151231C210.5")</f>
        <v>N/A</v>
      </c>
      <c r="L570" t="str">
        <f>RTD("tos.rtd", , "ASK", ".SPY151231P210.5")</f>
        <v>N/A</v>
      </c>
      <c r="M570" t="str">
        <f>RTD("tos.rtd", , "ASK_SIZE", ".SPY151231P210.5")</f>
        <v>N/A</v>
      </c>
      <c r="N570" t="str">
        <f>RTD("tos.rtd", , "BID", ".SPY151231P210.5")</f>
        <v>N/A</v>
      </c>
      <c r="O570" t="str">
        <f>RTD("tos.rtd", , "BID_SIZE", ".SPY151231P210.5")</f>
        <v>N/A</v>
      </c>
      <c r="P570" t="str">
        <f>RTD("tos.rtd", , "VOLUME", ".SPY151231P210.5")</f>
        <v>N/A</v>
      </c>
      <c r="Q570" t="str">
        <f>RTD("tos.rtd", , "OPEN_INT", ".SPY151231P210.5")</f>
        <v>N/A</v>
      </c>
      <c r="R570" t="str">
        <f>RTD("tos.rtd", , "DELTA", ".SPY151231P210.5")</f>
        <v>N/A</v>
      </c>
      <c r="S570" t="str">
        <f>RTD("tos.rtd", , "THETA", ".SPY151231P210.5")</f>
        <v>N/A</v>
      </c>
      <c r="T570" t="str">
        <f>RTD("tos.rtd", , "GAMMA", ".SPY151231P210.5")</f>
        <v>N/A</v>
      </c>
      <c r="U570" t="str">
        <f>RTD("tos.rtd", , "VEGA", ".SPY151231P210.5")</f>
        <v>N/A</v>
      </c>
      <c r="V570" t="str">
        <f>RTD("tos.rtd", , "RHO", ".SPY151231P210.5")</f>
        <v>N/A</v>
      </c>
    </row>
    <row r="571" spans="1:22" x14ac:dyDescent="0.25">
      <c r="A571">
        <f>RTD("tos.rtd", , "ASK", ".SPY151231C211")</f>
        <v>9.5500000000000007</v>
      </c>
      <c r="B571">
        <f>RTD("tos.rtd", , "ASK_SIZE", ".SPY151231C211")</f>
        <v>220</v>
      </c>
      <c r="C571">
        <f>RTD("tos.rtd", , "BID", ".SPY151231C211")</f>
        <v>9.33</v>
      </c>
      <c r="D571">
        <f>RTD("tos.rtd", , "BID_SIZE", ".SPY151231C211")</f>
        <v>2474</v>
      </c>
      <c r="E571">
        <f>RTD("tos.rtd", , "VOLUME", ".SPY151231C211")</f>
        <v>10</v>
      </c>
      <c r="F571">
        <f>RTD("tos.rtd", , "OPEN_INT", ".SPY151231C211")</f>
        <v>203</v>
      </c>
      <c r="G571">
        <f>RTD("tos.rtd", , "DELTA", ".SPY151231C211")</f>
        <v>0.50183</v>
      </c>
      <c r="H571">
        <f>RTD("tos.rtd", , "THETA", ".SPY151231C211")</f>
        <v>-1.703E-2</v>
      </c>
      <c r="I571">
        <f>RTD("tos.rtd", , "GAMMA", ".SPY151231C211")</f>
        <v>1.6119999999999999E-2</v>
      </c>
      <c r="J571">
        <f>RTD("tos.rtd", , "VEGA", ".SPY151231C211")</f>
        <v>0.67781999999999998</v>
      </c>
      <c r="K571">
        <f>RTD("tos.rtd", , "RHO", ".SPY151231C211")</f>
        <v>0.56376000000000004</v>
      </c>
      <c r="L571">
        <f>RTD("tos.rtd", , "ASK", ".SPY151231P211")</f>
        <v>11.21</v>
      </c>
      <c r="M571">
        <f>RTD("tos.rtd", , "ASK_SIZE", ".SPY151231P211")</f>
        <v>2110</v>
      </c>
      <c r="N571">
        <f>RTD("tos.rtd", , "BID", ".SPY151231P211")</f>
        <v>10.95</v>
      </c>
      <c r="O571">
        <f>RTD("tos.rtd", , "BID_SIZE", ".SPY151231P211")</f>
        <v>2295</v>
      </c>
      <c r="P571">
        <f>RTD("tos.rtd", , "VOLUME", ".SPY151231P211")</f>
        <v>1</v>
      </c>
      <c r="Q571">
        <f>RTD("tos.rtd", , "OPEN_INT", ".SPY151231P211")</f>
        <v>33</v>
      </c>
      <c r="R571">
        <f>RTD("tos.rtd", , "DELTA", ".SPY151231P211")</f>
        <v>-0.49529000000000001</v>
      </c>
      <c r="S571">
        <f>RTD("tos.rtd", , "THETA", ".SPY151231P211")</f>
        <v>-2.5319999999999999E-2</v>
      </c>
      <c r="T571">
        <f>RTD("tos.rtd", , "GAMMA", ".SPY151231P211")</f>
        <v>1.523E-2</v>
      </c>
      <c r="U571">
        <f>RTD("tos.rtd", , "VEGA", ".SPY151231P211")</f>
        <v>0.67869999999999997</v>
      </c>
      <c r="V571">
        <f>RTD("tos.rtd", , "RHO", ".SPY151231P211")</f>
        <v>-0.76571999999999996</v>
      </c>
    </row>
    <row r="572" spans="1:22" x14ac:dyDescent="0.25">
      <c r="A572" t="str">
        <f>RTD("tos.rtd", , "ASK", ".SPY151231C211.5")</f>
        <v>N/A</v>
      </c>
      <c r="B572" t="str">
        <f>RTD("tos.rtd", , "ASK_SIZE", ".SPY151231C211.5")</f>
        <v>N/A</v>
      </c>
      <c r="C572" t="str">
        <f>RTD("tos.rtd", , "BID", ".SPY151231C211.5")</f>
        <v>N/A</v>
      </c>
      <c r="D572" t="str">
        <f>RTD("tos.rtd", , "BID_SIZE", ".SPY151231C211.5")</f>
        <v>N/A</v>
      </c>
      <c r="E572" t="str">
        <f>RTD("tos.rtd", , "VOLUME", ".SPY151231C211.5")</f>
        <v>N/A</v>
      </c>
      <c r="F572" t="str">
        <f>RTD("tos.rtd", , "OPEN_INT", ".SPY151231C211.5")</f>
        <v>N/A</v>
      </c>
      <c r="G572" t="str">
        <f>RTD("tos.rtd", , "DELTA", ".SPY151231C211.5")</f>
        <v>N/A</v>
      </c>
      <c r="H572" t="str">
        <f>RTD("tos.rtd", , "THETA", ".SPY151231C211.5")</f>
        <v>N/A</v>
      </c>
      <c r="I572" t="str">
        <f>RTD("tos.rtd", , "GAMMA", ".SPY151231C211.5")</f>
        <v>N/A</v>
      </c>
      <c r="J572" t="str">
        <f>RTD("tos.rtd", , "VEGA", ".SPY151231C211.5")</f>
        <v>N/A</v>
      </c>
      <c r="K572" t="str">
        <f>RTD("tos.rtd", , "RHO", ".SPY151231C211.5")</f>
        <v>N/A</v>
      </c>
      <c r="L572" t="str">
        <f>RTD("tos.rtd", , "ASK", ".SPY151231P211.5")</f>
        <v>N/A</v>
      </c>
      <c r="M572" t="str">
        <f>RTD("tos.rtd", , "ASK_SIZE", ".SPY151231P211.5")</f>
        <v>N/A</v>
      </c>
      <c r="N572" t="str">
        <f>RTD("tos.rtd", , "BID", ".SPY151231P211.5")</f>
        <v>N/A</v>
      </c>
      <c r="O572" t="str">
        <f>RTD("tos.rtd", , "BID_SIZE", ".SPY151231P211.5")</f>
        <v>N/A</v>
      </c>
      <c r="P572" t="str">
        <f>RTD("tos.rtd", , "VOLUME", ".SPY151231P211.5")</f>
        <v>N/A</v>
      </c>
      <c r="Q572" t="str">
        <f>RTD("tos.rtd", , "OPEN_INT", ".SPY151231P211.5")</f>
        <v>N/A</v>
      </c>
      <c r="R572" t="str">
        <f>RTD("tos.rtd", , "DELTA", ".SPY151231P211.5")</f>
        <v>N/A</v>
      </c>
      <c r="S572" t="str">
        <f>RTD("tos.rtd", , "THETA", ".SPY151231P211.5")</f>
        <v>N/A</v>
      </c>
      <c r="T572" t="str">
        <f>RTD("tos.rtd", , "GAMMA", ".SPY151231P211.5")</f>
        <v>N/A</v>
      </c>
      <c r="U572" t="str">
        <f>RTD("tos.rtd", , "VEGA", ".SPY151231P211.5")</f>
        <v>N/A</v>
      </c>
      <c r="V572" t="str">
        <f>RTD("tos.rtd", , "RHO", ".SPY151231P211.5")</f>
        <v>N/A</v>
      </c>
    </row>
    <row r="573" spans="1:22" x14ac:dyDescent="0.25">
      <c r="A573">
        <f>RTD("tos.rtd", , "ASK", ".SPY151231C212")</f>
        <v>8.94</v>
      </c>
      <c r="B573">
        <f>RTD("tos.rtd", , "ASK_SIZE", ".SPY151231C212")</f>
        <v>234</v>
      </c>
      <c r="C573">
        <f>RTD("tos.rtd", , "BID", ".SPY151231C212")</f>
        <v>8.74</v>
      </c>
      <c r="D573">
        <f>RTD("tos.rtd", , "BID_SIZE", ".SPY151231C212")</f>
        <v>2475</v>
      </c>
      <c r="E573">
        <f>RTD("tos.rtd", , "VOLUME", ".SPY151231C212")</f>
        <v>0</v>
      </c>
      <c r="F573">
        <f>RTD("tos.rtd", , "OPEN_INT", ".SPY151231C212")</f>
        <v>203</v>
      </c>
      <c r="G573">
        <f>RTD("tos.rtd", , "DELTA", ".SPY151231C212")</f>
        <v>0.48491000000000001</v>
      </c>
      <c r="H573">
        <f>RTD("tos.rtd", , "THETA", ".SPY151231C212")</f>
        <v>-1.6820000000000002E-2</v>
      </c>
      <c r="I573">
        <f>RTD("tos.rtd", , "GAMMA", ".SPY151231C212")</f>
        <v>1.6310000000000002E-2</v>
      </c>
      <c r="J573">
        <f>RTD("tos.rtd", , "VEGA", ".SPY151231C212")</f>
        <v>0.67771999999999999</v>
      </c>
      <c r="K573">
        <f>RTD("tos.rtd", , "RHO", ".SPY151231C212")</f>
        <v>0.55028999999999995</v>
      </c>
      <c r="L573">
        <f>RTD("tos.rtd", , "ASK", ".SPY151231P212")</f>
        <v>11.66</v>
      </c>
      <c r="M573">
        <f>RTD("tos.rtd", , "ASK_SIZE", ".SPY151231P212")</f>
        <v>137</v>
      </c>
      <c r="N573">
        <f>RTD("tos.rtd", , "BID", ".SPY151231P212")</f>
        <v>11.37</v>
      </c>
      <c r="O573">
        <f>RTD("tos.rtd", , "BID_SIZE", ".SPY151231P212")</f>
        <v>139</v>
      </c>
      <c r="P573">
        <f>RTD("tos.rtd", , "VOLUME", ".SPY151231P212")</f>
        <v>1</v>
      </c>
      <c r="Q573">
        <f>RTD("tos.rtd", , "OPEN_INT", ".SPY151231P212")</f>
        <v>18</v>
      </c>
      <c r="R573">
        <f>RTD("tos.rtd", , "DELTA", ".SPY151231P212")</f>
        <v>-0.51129000000000002</v>
      </c>
      <c r="S573">
        <f>RTD("tos.rtd", , "THETA", ".SPY151231P212")</f>
        <v>-2.5180000000000001E-2</v>
      </c>
      <c r="T573">
        <f>RTD("tos.rtd", , "GAMMA", ".SPY151231P212")</f>
        <v>1.54E-2</v>
      </c>
      <c r="U573">
        <f>RTD("tos.rtd", , "VEGA", ".SPY151231P212")</f>
        <v>0.67808000000000002</v>
      </c>
      <c r="V573">
        <f>RTD("tos.rtd", , "RHO", ".SPY151231P212")</f>
        <v>-0.79098000000000002</v>
      </c>
    </row>
    <row r="574" spans="1:22" x14ac:dyDescent="0.25">
      <c r="A574" t="str">
        <f>RTD("tos.rtd", , "ASK", ".SPY151231C212.5")</f>
        <v>N/A</v>
      </c>
      <c r="B574" t="str">
        <f>RTD("tos.rtd", , "ASK_SIZE", ".SPY151231C212.5")</f>
        <v>N/A</v>
      </c>
      <c r="C574" t="str">
        <f>RTD("tos.rtd", , "BID", ".SPY151231C212.5")</f>
        <v>N/A</v>
      </c>
      <c r="D574" t="str">
        <f>RTD("tos.rtd", , "BID_SIZE", ".SPY151231C212.5")</f>
        <v>N/A</v>
      </c>
      <c r="E574" t="str">
        <f>RTD("tos.rtd", , "VOLUME", ".SPY151231C212.5")</f>
        <v>N/A</v>
      </c>
      <c r="F574" t="str">
        <f>RTD("tos.rtd", , "OPEN_INT", ".SPY151231C212.5")</f>
        <v>N/A</v>
      </c>
      <c r="G574" t="str">
        <f>RTD("tos.rtd", , "DELTA", ".SPY151231C212.5")</f>
        <v>N/A</v>
      </c>
      <c r="H574" t="str">
        <f>RTD("tos.rtd", , "THETA", ".SPY151231C212.5")</f>
        <v>N/A</v>
      </c>
      <c r="I574" t="str">
        <f>RTD("tos.rtd", , "GAMMA", ".SPY151231C212.5")</f>
        <v>N/A</v>
      </c>
      <c r="J574" t="str">
        <f>RTD("tos.rtd", , "VEGA", ".SPY151231C212.5")</f>
        <v>N/A</v>
      </c>
      <c r="K574" t="str">
        <f>RTD("tos.rtd", , "RHO", ".SPY151231C212.5")</f>
        <v>N/A</v>
      </c>
      <c r="L574" t="str">
        <f>RTD("tos.rtd", , "ASK", ".SPY151231P212.5")</f>
        <v>N/A</v>
      </c>
      <c r="M574" t="str">
        <f>RTD("tos.rtd", , "ASK_SIZE", ".SPY151231P212.5")</f>
        <v>N/A</v>
      </c>
      <c r="N574" t="str">
        <f>RTD("tos.rtd", , "BID", ".SPY151231P212.5")</f>
        <v>N/A</v>
      </c>
      <c r="O574" t="str">
        <f>RTD("tos.rtd", , "BID_SIZE", ".SPY151231P212.5")</f>
        <v>N/A</v>
      </c>
      <c r="P574" t="str">
        <f>RTD("tos.rtd", , "VOLUME", ".SPY151231P212.5")</f>
        <v>N/A</v>
      </c>
      <c r="Q574" t="str">
        <f>RTD("tos.rtd", , "OPEN_INT", ".SPY151231P212.5")</f>
        <v>N/A</v>
      </c>
      <c r="R574" t="str">
        <f>RTD("tos.rtd", , "DELTA", ".SPY151231P212.5")</f>
        <v>N/A</v>
      </c>
      <c r="S574" t="str">
        <f>RTD("tos.rtd", , "THETA", ".SPY151231P212.5")</f>
        <v>N/A</v>
      </c>
      <c r="T574" t="str">
        <f>RTD("tos.rtd", , "GAMMA", ".SPY151231P212.5")</f>
        <v>N/A</v>
      </c>
      <c r="U574" t="str">
        <f>RTD("tos.rtd", , "VEGA", ".SPY151231P212.5")</f>
        <v>N/A</v>
      </c>
      <c r="V574" t="str">
        <f>RTD("tos.rtd", , "RHO", ".SPY151231P212.5")</f>
        <v>N/A</v>
      </c>
    </row>
    <row r="575" spans="1:22" x14ac:dyDescent="0.25">
      <c r="A575">
        <f>RTD("tos.rtd", , "ASK", ".SPY151231C213")</f>
        <v>8.43</v>
      </c>
      <c r="B575">
        <f>RTD("tos.rtd", , "ASK_SIZE", ".SPY151231C213")</f>
        <v>2306</v>
      </c>
      <c r="C575">
        <f>RTD("tos.rtd", , "BID", ".SPY151231C213")</f>
        <v>8.16</v>
      </c>
      <c r="D575">
        <f>RTD("tos.rtd", , "BID_SIZE", ".SPY151231C213")</f>
        <v>2295</v>
      </c>
      <c r="E575">
        <f>RTD("tos.rtd", , "VOLUME", ".SPY151231C213")</f>
        <v>0</v>
      </c>
      <c r="F575">
        <f>RTD("tos.rtd", , "OPEN_INT", ".SPY151231C213")</f>
        <v>4</v>
      </c>
      <c r="G575">
        <f>RTD("tos.rtd", , "DELTA", ".SPY151231C213")</f>
        <v>0.46793000000000001</v>
      </c>
      <c r="H575">
        <f>RTD("tos.rtd", , "THETA", ".SPY151231C213")</f>
        <v>-1.6660000000000001E-2</v>
      </c>
      <c r="I575">
        <f>RTD("tos.rtd", , "GAMMA", ".SPY151231C213")</f>
        <v>1.6400000000000001E-2</v>
      </c>
      <c r="J575">
        <f>RTD("tos.rtd", , "VEGA", ".SPY151231C213")</f>
        <v>0.6764</v>
      </c>
      <c r="K575">
        <f>RTD("tos.rtd", , "RHO", ".SPY151231C213")</f>
        <v>0.53622000000000003</v>
      </c>
      <c r="L575">
        <f>RTD("tos.rtd", , "ASK", ".SPY151231P213")</f>
        <v>12.09</v>
      </c>
      <c r="M575">
        <f>RTD("tos.rtd", , "ASK_SIZE", ".SPY151231P213")</f>
        <v>230</v>
      </c>
      <c r="N575">
        <f>RTD("tos.rtd", , "BID", ".SPY151231P213")</f>
        <v>11.92</v>
      </c>
      <c r="O575">
        <f>RTD("tos.rtd", , "BID_SIZE", ".SPY151231P213")</f>
        <v>128</v>
      </c>
      <c r="P575" t="str">
        <f>RTD("tos.rtd", , "VOLUME", ".SPY151231P213")</f>
        <v>N/A</v>
      </c>
      <c r="Q575">
        <f>RTD("tos.rtd", , "OPEN_INT", ".SPY151231P213")</f>
        <v>0</v>
      </c>
      <c r="R575">
        <f>RTD("tos.rtd", , "DELTA", ".SPY151231P213")</f>
        <v>-0.52725</v>
      </c>
      <c r="S575">
        <f>RTD("tos.rtd", , "THETA", ".SPY151231P213")</f>
        <v>-2.5100000000000001E-2</v>
      </c>
      <c r="T575">
        <f>RTD("tos.rtd", , "GAMMA", ".SPY151231P213")</f>
        <v>1.549E-2</v>
      </c>
      <c r="U575">
        <f>RTD("tos.rtd", , "VEGA", ".SPY151231P213")</f>
        <v>0.67635000000000001</v>
      </c>
      <c r="V575">
        <f>RTD("tos.rtd", , "RHO", ".SPY151231P213")</f>
        <v>-0.81657999999999997</v>
      </c>
    </row>
    <row r="576" spans="1:22" x14ac:dyDescent="0.25">
      <c r="A576" t="str">
        <f>RTD("tos.rtd", , "ASK", ".SPY151231C213.5")</f>
        <v>N/A</v>
      </c>
      <c r="B576" t="str">
        <f>RTD("tos.rtd", , "ASK_SIZE", ".SPY151231C213.5")</f>
        <v>N/A</v>
      </c>
      <c r="C576" t="str">
        <f>RTD("tos.rtd", , "BID", ".SPY151231C213.5")</f>
        <v>N/A</v>
      </c>
      <c r="D576" t="str">
        <f>RTD("tos.rtd", , "BID_SIZE", ".SPY151231C213.5")</f>
        <v>N/A</v>
      </c>
      <c r="E576" t="str">
        <f>RTD("tos.rtd", , "VOLUME", ".SPY151231C213.5")</f>
        <v>N/A</v>
      </c>
      <c r="F576" t="str">
        <f>RTD("tos.rtd", , "OPEN_INT", ".SPY151231C213.5")</f>
        <v>N/A</v>
      </c>
      <c r="G576" t="str">
        <f>RTD("tos.rtd", , "DELTA", ".SPY151231C213.5")</f>
        <v>N/A</v>
      </c>
      <c r="H576" t="str">
        <f>RTD("tos.rtd", , "THETA", ".SPY151231C213.5")</f>
        <v>N/A</v>
      </c>
      <c r="I576" t="str">
        <f>RTD("tos.rtd", , "GAMMA", ".SPY151231C213.5")</f>
        <v>N/A</v>
      </c>
      <c r="J576" t="str">
        <f>RTD("tos.rtd", , "VEGA", ".SPY151231C213.5")</f>
        <v>N/A</v>
      </c>
      <c r="K576" t="str">
        <f>RTD("tos.rtd", , "RHO", ".SPY151231C213.5")</f>
        <v>N/A</v>
      </c>
      <c r="L576" t="str">
        <f>RTD("tos.rtd", , "ASK", ".SPY151231P213.5")</f>
        <v>N/A</v>
      </c>
      <c r="M576" t="str">
        <f>RTD("tos.rtd", , "ASK_SIZE", ".SPY151231P213.5")</f>
        <v>N/A</v>
      </c>
      <c r="N576" t="str">
        <f>RTD("tos.rtd", , "BID", ".SPY151231P213.5")</f>
        <v>N/A</v>
      </c>
      <c r="O576" t="str">
        <f>RTD("tos.rtd", , "BID_SIZE", ".SPY151231P213.5")</f>
        <v>N/A</v>
      </c>
      <c r="P576" t="str">
        <f>RTD("tos.rtd", , "VOLUME", ".SPY151231P213.5")</f>
        <v>N/A</v>
      </c>
      <c r="Q576" t="str">
        <f>RTD("tos.rtd", , "OPEN_INT", ".SPY151231P213.5")</f>
        <v>N/A</v>
      </c>
      <c r="R576" t="str">
        <f>RTD("tos.rtd", , "DELTA", ".SPY151231P213.5")</f>
        <v>N/A</v>
      </c>
      <c r="S576" t="str">
        <f>RTD("tos.rtd", , "THETA", ".SPY151231P213.5")</f>
        <v>N/A</v>
      </c>
      <c r="T576" t="str">
        <f>RTD("tos.rtd", , "GAMMA", ".SPY151231P213.5")</f>
        <v>N/A</v>
      </c>
      <c r="U576" t="str">
        <f>RTD("tos.rtd", , "VEGA", ".SPY151231P213.5")</f>
        <v>N/A</v>
      </c>
      <c r="V576" t="str">
        <f>RTD("tos.rtd", , "RHO", ".SPY151231P213.5")</f>
        <v>N/A</v>
      </c>
    </row>
    <row r="577" spans="1:22" x14ac:dyDescent="0.25">
      <c r="A577">
        <f>RTD("tos.rtd", , "ASK", ".SPY151231C214")</f>
        <v>7.8</v>
      </c>
      <c r="B577">
        <f>RTD("tos.rtd", , "ASK_SIZE", ".SPY151231C214")</f>
        <v>129</v>
      </c>
      <c r="C577">
        <f>RTD("tos.rtd", , "BID", ".SPY151231C214")</f>
        <v>7.6</v>
      </c>
      <c r="D577">
        <f>RTD("tos.rtd", , "BID_SIZE", ".SPY151231C214")</f>
        <v>2459</v>
      </c>
      <c r="E577" t="str">
        <f>RTD("tos.rtd", , "VOLUME", ".SPY151231C214")</f>
        <v>N/A</v>
      </c>
      <c r="F577">
        <f>RTD("tos.rtd", , "OPEN_INT", ".SPY151231C214")</f>
        <v>0</v>
      </c>
      <c r="G577">
        <f>RTD("tos.rtd", , "DELTA", ".SPY151231C214")</f>
        <v>0.45008999999999999</v>
      </c>
      <c r="H577">
        <f>RTD("tos.rtd", , "THETA", ".SPY151231C214")</f>
        <v>-1.6320000000000001E-2</v>
      </c>
      <c r="I577">
        <f>RTD("tos.rtd", , "GAMMA", ".SPY151231C214")</f>
        <v>1.66E-2</v>
      </c>
      <c r="J577">
        <f>RTD("tos.rtd", , "VEGA", ".SPY151231C214")</f>
        <v>0.67362999999999995</v>
      </c>
      <c r="K577">
        <f>RTD("tos.rtd", , "RHO", ".SPY151231C214")</f>
        <v>0.52076</v>
      </c>
      <c r="L577">
        <f>RTD("tos.rtd", , "ASK", ".SPY151231P214")</f>
        <v>12.64</v>
      </c>
      <c r="M577">
        <f>RTD("tos.rtd", , "ASK_SIZE", ".SPY151231P214")</f>
        <v>249</v>
      </c>
      <c r="N577">
        <f>RTD("tos.rtd", , "BID", ".SPY151231P214")</f>
        <v>12.22</v>
      </c>
      <c r="O577">
        <f>RTD("tos.rtd", , "BID_SIZE", ".SPY151231P214")</f>
        <v>653</v>
      </c>
      <c r="P577" t="str">
        <f>RTD("tos.rtd", , "VOLUME", ".SPY151231P214")</f>
        <v>N/A</v>
      </c>
      <c r="Q577">
        <f>RTD("tos.rtd", , "OPEN_INT", ".SPY151231P214")</f>
        <v>0</v>
      </c>
      <c r="R577">
        <f>RTD("tos.rtd", , "DELTA", ".SPY151231P214")</f>
        <v>-0.54413999999999996</v>
      </c>
      <c r="S577">
        <f>RTD("tos.rtd", , "THETA", ".SPY151231P214")</f>
        <v>-2.4809999999999999E-2</v>
      </c>
      <c r="T577">
        <f>RTD("tos.rtd", , "GAMMA", ".SPY151231P214")</f>
        <v>1.5679999999999999E-2</v>
      </c>
      <c r="U577">
        <f>RTD("tos.rtd", , "VEGA", ".SPY151231P214")</f>
        <v>0.67332000000000003</v>
      </c>
      <c r="V577">
        <f>RTD("tos.rtd", , "RHO", ".SPY151231P214")</f>
        <v>-0.84302999999999995</v>
      </c>
    </row>
    <row r="578" spans="1:22" x14ac:dyDescent="0.25">
      <c r="A578" t="str">
        <f>RTD("tos.rtd", , "ASK", ".SPY151231C214.5")</f>
        <v>N/A</v>
      </c>
      <c r="B578" t="str">
        <f>RTD("tos.rtd", , "ASK_SIZE", ".SPY151231C214.5")</f>
        <v>N/A</v>
      </c>
      <c r="C578" t="str">
        <f>RTD("tos.rtd", , "BID", ".SPY151231C214.5")</f>
        <v>N/A</v>
      </c>
      <c r="D578" t="str">
        <f>RTD("tos.rtd", , "BID_SIZE", ".SPY151231C214.5")</f>
        <v>N/A</v>
      </c>
      <c r="E578" t="str">
        <f>RTD("tos.rtd", , "VOLUME", ".SPY151231C214.5")</f>
        <v>N/A</v>
      </c>
      <c r="F578" t="str">
        <f>RTD("tos.rtd", , "OPEN_INT", ".SPY151231C214.5")</f>
        <v>N/A</v>
      </c>
      <c r="G578" t="str">
        <f>RTD("tos.rtd", , "DELTA", ".SPY151231C214.5")</f>
        <v>N/A</v>
      </c>
      <c r="H578" t="str">
        <f>RTD("tos.rtd", , "THETA", ".SPY151231C214.5")</f>
        <v>N/A</v>
      </c>
      <c r="I578" t="str">
        <f>RTD("tos.rtd", , "GAMMA", ".SPY151231C214.5")</f>
        <v>N/A</v>
      </c>
      <c r="J578" t="str">
        <f>RTD("tos.rtd", , "VEGA", ".SPY151231C214.5")</f>
        <v>N/A</v>
      </c>
      <c r="K578" t="str">
        <f>RTD("tos.rtd", , "RHO", ".SPY151231C214.5")</f>
        <v>N/A</v>
      </c>
      <c r="L578" t="str">
        <f>RTD("tos.rtd", , "ASK", ".SPY151231P214.5")</f>
        <v>N/A</v>
      </c>
      <c r="M578" t="str">
        <f>RTD("tos.rtd", , "ASK_SIZE", ".SPY151231P214.5")</f>
        <v>N/A</v>
      </c>
      <c r="N578" t="str">
        <f>RTD("tos.rtd", , "BID", ".SPY151231P214.5")</f>
        <v>N/A</v>
      </c>
      <c r="O578" t="str">
        <f>RTD("tos.rtd", , "BID_SIZE", ".SPY151231P214.5")</f>
        <v>N/A</v>
      </c>
      <c r="P578" t="str">
        <f>RTD("tos.rtd", , "VOLUME", ".SPY151231P214.5")</f>
        <v>N/A</v>
      </c>
      <c r="Q578" t="str">
        <f>RTD("tos.rtd", , "OPEN_INT", ".SPY151231P214.5")</f>
        <v>N/A</v>
      </c>
      <c r="R578" t="str">
        <f>RTD("tos.rtd", , "DELTA", ".SPY151231P214.5")</f>
        <v>N/A</v>
      </c>
      <c r="S578" t="str">
        <f>RTD("tos.rtd", , "THETA", ".SPY151231P214.5")</f>
        <v>N/A</v>
      </c>
      <c r="T578" t="str">
        <f>RTD("tos.rtd", , "GAMMA", ".SPY151231P214.5")</f>
        <v>N/A</v>
      </c>
      <c r="U578" t="str">
        <f>RTD("tos.rtd", , "VEGA", ".SPY151231P214.5")</f>
        <v>N/A</v>
      </c>
      <c r="V578" t="str">
        <f>RTD("tos.rtd", , "RHO", ".SPY151231P214.5")</f>
        <v>N/A</v>
      </c>
    </row>
    <row r="579" spans="1:22" x14ac:dyDescent="0.25">
      <c r="A579">
        <f>RTD("tos.rtd", , "ASK", ".SPY151231C215")</f>
        <v>7.25</v>
      </c>
      <c r="B579">
        <f>RTD("tos.rtd", , "ASK_SIZE", ".SPY151231C215")</f>
        <v>142</v>
      </c>
      <c r="C579">
        <f>RTD("tos.rtd", , "BID", ".SPY151231C215")</f>
        <v>7.07</v>
      </c>
      <c r="D579">
        <f>RTD("tos.rtd", , "BID_SIZE", ".SPY151231C215")</f>
        <v>2463</v>
      </c>
      <c r="E579">
        <f>RTD("tos.rtd", , "VOLUME", ".SPY151231C215")</f>
        <v>4</v>
      </c>
      <c r="F579">
        <f>RTD("tos.rtd", , "OPEN_INT", ".SPY151231C215")</f>
        <v>1066</v>
      </c>
      <c r="G579">
        <f>RTD("tos.rtd", , "DELTA", ".SPY151231C215")</f>
        <v>0.43219000000000002</v>
      </c>
      <c r="H579">
        <f>RTD("tos.rtd", , "THETA", ".SPY151231C215")</f>
        <v>-1.602E-2</v>
      </c>
      <c r="I579">
        <f>RTD("tos.rtd", , "GAMMA", ".SPY151231C215")</f>
        <v>1.67E-2</v>
      </c>
      <c r="J579">
        <f>RTD("tos.rtd", , "VEGA", ".SPY151231C215")</f>
        <v>0.66949000000000003</v>
      </c>
      <c r="K579">
        <f>RTD("tos.rtd", , "RHO", ".SPY151231C215")</f>
        <v>0.50468999999999997</v>
      </c>
      <c r="L579">
        <f>RTD("tos.rtd", , "ASK", ".SPY151231P215")</f>
        <v>13.13</v>
      </c>
      <c r="M579">
        <f>RTD("tos.rtd", , "ASK_SIZE", ".SPY151231P215")</f>
        <v>241</v>
      </c>
      <c r="N579">
        <f>RTD("tos.rtd", , "BID", ".SPY151231P215")</f>
        <v>12.7</v>
      </c>
      <c r="O579">
        <f>RTD("tos.rtd", , "BID_SIZE", ".SPY151231P215")</f>
        <v>1</v>
      </c>
      <c r="P579">
        <f>RTD("tos.rtd", , "VOLUME", ".SPY151231P215")</f>
        <v>10</v>
      </c>
      <c r="Q579">
        <f>RTD("tos.rtd", , "OPEN_INT", ".SPY151231P215")</f>
        <v>107</v>
      </c>
      <c r="R579">
        <f>RTD("tos.rtd", , "DELTA", ".SPY151231P215")</f>
        <v>-0.56091000000000002</v>
      </c>
      <c r="S579">
        <f>RTD("tos.rtd", , "THETA", ".SPY151231P215")</f>
        <v>-2.4580000000000001E-2</v>
      </c>
      <c r="T579">
        <f>RTD("tos.rtd", , "GAMMA", ".SPY151231P215")</f>
        <v>1.5769999999999999E-2</v>
      </c>
      <c r="U579">
        <f>RTD("tos.rtd", , "VEGA", ".SPY151231P215")</f>
        <v>0.66907000000000005</v>
      </c>
      <c r="V579">
        <f>RTD("tos.rtd", , "RHO", ".SPY151231P215")</f>
        <v>-0.86973</v>
      </c>
    </row>
    <row r="580" spans="1:22" x14ac:dyDescent="0.25">
      <c r="A580" t="str">
        <f>RTD("tos.rtd", , "ASK", ".SPY151231C215.5")</f>
        <v>N/A</v>
      </c>
      <c r="B580" t="str">
        <f>RTD("tos.rtd", , "ASK_SIZE", ".SPY151231C215.5")</f>
        <v>N/A</v>
      </c>
      <c r="C580" t="str">
        <f>RTD("tos.rtd", , "BID", ".SPY151231C215.5")</f>
        <v>N/A</v>
      </c>
      <c r="D580" t="str">
        <f>RTD("tos.rtd", , "BID_SIZE", ".SPY151231C215.5")</f>
        <v>N/A</v>
      </c>
      <c r="E580" t="str">
        <f>RTD("tos.rtd", , "VOLUME", ".SPY151231C215.5")</f>
        <v>N/A</v>
      </c>
      <c r="F580" t="str">
        <f>RTD("tos.rtd", , "OPEN_INT", ".SPY151231C215.5")</f>
        <v>N/A</v>
      </c>
      <c r="G580" t="str">
        <f>RTD("tos.rtd", , "DELTA", ".SPY151231C215.5")</f>
        <v>N/A</v>
      </c>
      <c r="H580" t="str">
        <f>RTD("tos.rtd", , "THETA", ".SPY151231C215.5")</f>
        <v>N/A</v>
      </c>
      <c r="I580" t="str">
        <f>RTD("tos.rtd", , "GAMMA", ".SPY151231C215.5")</f>
        <v>N/A</v>
      </c>
      <c r="J580" t="str">
        <f>RTD("tos.rtd", , "VEGA", ".SPY151231C215.5")</f>
        <v>N/A</v>
      </c>
      <c r="K580" t="str">
        <f>RTD("tos.rtd", , "RHO", ".SPY151231C215.5")</f>
        <v>N/A</v>
      </c>
      <c r="L580" t="str">
        <f>RTD("tos.rtd", , "ASK", ".SPY151231P215.5")</f>
        <v>N/A</v>
      </c>
      <c r="M580" t="str">
        <f>RTD("tos.rtd", , "ASK_SIZE", ".SPY151231P215.5")</f>
        <v>N/A</v>
      </c>
      <c r="N580" t="str">
        <f>RTD("tos.rtd", , "BID", ".SPY151231P215.5")</f>
        <v>N/A</v>
      </c>
      <c r="O580" t="str">
        <f>RTD("tos.rtd", , "BID_SIZE", ".SPY151231P215.5")</f>
        <v>N/A</v>
      </c>
      <c r="P580" t="str">
        <f>RTD("tos.rtd", , "VOLUME", ".SPY151231P215.5")</f>
        <v>N/A</v>
      </c>
      <c r="Q580" t="str">
        <f>RTD("tos.rtd", , "OPEN_INT", ".SPY151231P215.5")</f>
        <v>N/A</v>
      </c>
      <c r="R580" t="str">
        <f>RTD("tos.rtd", , "DELTA", ".SPY151231P215.5")</f>
        <v>N/A</v>
      </c>
      <c r="S580" t="str">
        <f>RTD("tos.rtd", , "THETA", ".SPY151231P215.5")</f>
        <v>N/A</v>
      </c>
      <c r="T580" t="str">
        <f>RTD("tos.rtd", , "GAMMA", ".SPY151231P215.5")</f>
        <v>N/A</v>
      </c>
      <c r="U580" t="str">
        <f>RTD("tos.rtd", , "VEGA", ".SPY151231P215.5")</f>
        <v>N/A</v>
      </c>
      <c r="V580" t="str">
        <f>RTD("tos.rtd", , "RHO", ".SPY151231P215.5")</f>
        <v>N/A</v>
      </c>
    </row>
    <row r="581" spans="1:22" x14ac:dyDescent="0.25">
      <c r="A581">
        <f>RTD("tos.rtd", , "ASK", ".SPY151231C216")</f>
        <v>6.74</v>
      </c>
      <c r="B581">
        <f>RTD("tos.rtd", , "ASK_SIZE", ".SPY151231C216")</f>
        <v>237</v>
      </c>
      <c r="C581">
        <f>RTD("tos.rtd", , "BID", ".SPY151231C216")</f>
        <v>6.53</v>
      </c>
      <c r="D581">
        <f>RTD("tos.rtd", , "BID_SIZE", ".SPY151231C216")</f>
        <v>2501</v>
      </c>
      <c r="E581">
        <f>RTD("tos.rtd", , "VOLUME", ".SPY151231C216")</f>
        <v>0</v>
      </c>
      <c r="F581">
        <f>RTD("tos.rtd", , "OPEN_INT", ".SPY151231C216")</f>
        <v>17</v>
      </c>
      <c r="G581">
        <f>RTD("tos.rtd", , "DELTA", ".SPY151231C216")</f>
        <v>0.41399000000000002</v>
      </c>
      <c r="H581">
        <f>RTD("tos.rtd", , "THETA", ".SPY151231C216")</f>
        <v>-1.5679999999999999E-2</v>
      </c>
      <c r="I581">
        <f>RTD("tos.rtd", , "GAMMA", ".SPY151231C216")</f>
        <v>1.677E-2</v>
      </c>
      <c r="J581">
        <f>RTD("tos.rtd", , "VEGA", ".SPY151231C216")</f>
        <v>0.66385000000000005</v>
      </c>
      <c r="K581">
        <f>RTD("tos.rtd", , "RHO", ".SPY151231C216")</f>
        <v>0.48779</v>
      </c>
      <c r="L581">
        <f>RTD("tos.rtd", , "ASK", ".SPY151231P216")</f>
        <v>13.57</v>
      </c>
      <c r="M581">
        <f>RTD("tos.rtd", , "ASK_SIZE", ".SPY151231P216")</f>
        <v>163</v>
      </c>
      <c r="N581">
        <f>RTD("tos.rtd", , "BID", ".SPY151231P216")</f>
        <v>13.19</v>
      </c>
      <c r="O581">
        <f>RTD("tos.rtd", , "BID_SIZE", ".SPY151231P216")</f>
        <v>229</v>
      </c>
      <c r="P581">
        <f>RTD("tos.rtd", , "VOLUME", ".SPY151231P216")</f>
        <v>0</v>
      </c>
      <c r="Q581">
        <f>RTD("tos.rtd", , "OPEN_INT", ".SPY151231P216")</f>
        <v>2</v>
      </c>
      <c r="R581">
        <f>RTD("tos.rtd", , "DELTA", ".SPY151231P216")</f>
        <v>-0.57840000000000003</v>
      </c>
      <c r="S581">
        <f>RTD("tos.rtd", , "THETA", ".SPY151231P216")</f>
        <v>-2.4240000000000001E-2</v>
      </c>
      <c r="T581">
        <f>RTD("tos.rtd", , "GAMMA", ".SPY151231P216")</f>
        <v>1.5890000000000001E-2</v>
      </c>
      <c r="U581">
        <f>RTD("tos.rtd", , "VEGA", ".SPY151231P216")</f>
        <v>0.66332000000000002</v>
      </c>
      <c r="V581">
        <f>RTD("tos.rtd", , "RHO", ".SPY151231P216")</f>
        <v>-0.89729000000000003</v>
      </c>
    </row>
    <row r="582" spans="1:22" x14ac:dyDescent="0.25">
      <c r="A582" t="str">
        <f>RTD("tos.rtd", , "ASK", ".SPY151231C216.5")</f>
        <v>N/A</v>
      </c>
      <c r="B582" t="str">
        <f>RTD("tos.rtd", , "ASK_SIZE", ".SPY151231C216.5")</f>
        <v>N/A</v>
      </c>
      <c r="C582" t="str">
        <f>RTD("tos.rtd", , "BID", ".SPY151231C216.5")</f>
        <v>N/A</v>
      </c>
      <c r="D582" t="str">
        <f>RTD("tos.rtd", , "BID_SIZE", ".SPY151231C216.5")</f>
        <v>N/A</v>
      </c>
      <c r="E582" t="str">
        <f>RTD("tos.rtd", , "VOLUME", ".SPY151231C216.5")</f>
        <v>N/A</v>
      </c>
      <c r="F582" t="str">
        <f>RTD("tos.rtd", , "OPEN_INT", ".SPY151231C216.5")</f>
        <v>N/A</v>
      </c>
      <c r="G582" t="str">
        <f>RTD("tos.rtd", , "DELTA", ".SPY151231C216.5")</f>
        <v>N/A</v>
      </c>
      <c r="H582" t="str">
        <f>RTD("tos.rtd", , "THETA", ".SPY151231C216.5")</f>
        <v>N/A</v>
      </c>
      <c r="I582" t="str">
        <f>RTD("tos.rtd", , "GAMMA", ".SPY151231C216.5")</f>
        <v>N/A</v>
      </c>
      <c r="J582" t="str">
        <f>RTD("tos.rtd", , "VEGA", ".SPY151231C216.5")</f>
        <v>N/A</v>
      </c>
      <c r="K582" t="str">
        <f>RTD("tos.rtd", , "RHO", ".SPY151231C216.5")</f>
        <v>N/A</v>
      </c>
      <c r="L582" t="str">
        <f>RTD("tos.rtd", , "ASK", ".SPY151231P216.5")</f>
        <v>N/A</v>
      </c>
      <c r="M582" t="str">
        <f>RTD("tos.rtd", , "ASK_SIZE", ".SPY151231P216.5")</f>
        <v>N/A</v>
      </c>
      <c r="N582" t="str">
        <f>RTD("tos.rtd", , "BID", ".SPY151231P216.5")</f>
        <v>N/A</v>
      </c>
      <c r="O582" t="str">
        <f>RTD("tos.rtd", , "BID_SIZE", ".SPY151231P216.5")</f>
        <v>N/A</v>
      </c>
      <c r="P582" t="str">
        <f>RTD("tos.rtd", , "VOLUME", ".SPY151231P216.5")</f>
        <v>N/A</v>
      </c>
      <c r="Q582" t="str">
        <f>RTD("tos.rtd", , "OPEN_INT", ".SPY151231P216.5")</f>
        <v>N/A</v>
      </c>
      <c r="R582" t="str">
        <f>RTD("tos.rtd", , "DELTA", ".SPY151231P216.5")</f>
        <v>N/A</v>
      </c>
      <c r="S582" t="str">
        <f>RTD("tos.rtd", , "THETA", ".SPY151231P216.5")</f>
        <v>N/A</v>
      </c>
      <c r="T582" t="str">
        <f>RTD("tos.rtd", , "GAMMA", ".SPY151231P216.5")</f>
        <v>N/A</v>
      </c>
      <c r="U582" t="str">
        <f>RTD("tos.rtd", , "VEGA", ".SPY151231P216.5")</f>
        <v>N/A</v>
      </c>
      <c r="V582" t="str">
        <f>RTD("tos.rtd", , "RHO", ".SPY151231P216.5")</f>
        <v>N/A</v>
      </c>
    </row>
    <row r="583" spans="1:22" x14ac:dyDescent="0.25">
      <c r="A583">
        <f>RTD("tos.rtd", , "ASK", ".SPY151231C217")</f>
        <v>6.24</v>
      </c>
      <c r="B583">
        <f>RTD("tos.rtd", , "ASK_SIZE", ".SPY151231C217")</f>
        <v>235</v>
      </c>
      <c r="C583">
        <f>RTD("tos.rtd", , "BID", ".SPY151231C217")</f>
        <v>6.02</v>
      </c>
      <c r="D583">
        <f>RTD("tos.rtd", , "BID_SIZE", ".SPY151231C217")</f>
        <v>2510</v>
      </c>
      <c r="E583">
        <f>RTD("tos.rtd", , "VOLUME", ".SPY151231C217")</f>
        <v>0</v>
      </c>
      <c r="F583">
        <f>RTD("tos.rtd", , "OPEN_INT", ".SPY151231C217")</f>
        <v>101</v>
      </c>
      <c r="G583">
        <f>RTD("tos.rtd", , "DELTA", ".SPY151231C217")</f>
        <v>0.39561000000000002</v>
      </c>
      <c r="H583">
        <f>RTD("tos.rtd", , "THETA", ".SPY151231C217")</f>
        <v>-1.532E-2</v>
      </c>
      <c r="I583">
        <f>RTD("tos.rtd", , "GAMMA", ".SPY151231C217")</f>
        <v>1.6799999999999999E-2</v>
      </c>
      <c r="J583">
        <f>RTD("tos.rtd", , "VEGA", ".SPY151231C217")</f>
        <v>0.65668000000000004</v>
      </c>
      <c r="K583">
        <f>RTD("tos.rtd", , "RHO", ".SPY151231C217")</f>
        <v>0.47019</v>
      </c>
      <c r="L583">
        <f>RTD("tos.rtd", , "ASK", ".SPY151231P217")</f>
        <v>14.13</v>
      </c>
      <c r="M583">
        <f>RTD("tos.rtd", , "ASK_SIZE", ".SPY151231P217")</f>
        <v>214</v>
      </c>
      <c r="N583">
        <f>RTD("tos.rtd", , "BID", ".SPY151231P217")</f>
        <v>13.7</v>
      </c>
      <c r="O583">
        <f>RTD("tos.rtd", , "BID_SIZE", ".SPY151231P217")</f>
        <v>230</v>
      </c>
      <c r="P583" t="str">
        <f>RTD("tos.rtd", , "VOLUME", ".SPY151231P217")</f>
        <v>N/A</v>
      </c>
      <c r="Q583">
        <f>RTD("tos.rtd", , "OPEN_INT", ".SPY151231P217")</f>
        <v>0</v>
      </c>
      <c r="R583">
        <f>RTD("tos.rtd", , "DELTA", ".SPY151231P217")</f>
        <v>-0.59540999999999999</v>
      </c>
      <c r="S583">
        <f>RTD("tos.rtd", , "THETA", ".SPY151231P217")</f>
        <v>-2.3980000000000001E-2</v>
      </c>
      <c r="T583">
        <f>RTD("tos.rtd", , "GAMMA", ".SPY151231P217")</f>
        <v>1.5900000000000001E-2</v>
      </c>
      <c r="U583">
        <f>RTD("tos.rtd", , "VEGA", ".SPY151231P217")</f>
        <v>0.65642</v>
      </c>
      <c r="V583">
        <f>RTD("tos.rtd", , "RHO", ".SPY151231P217")</f>
        <v>-0.92466000000000004</v>
      </c>
    </row>
    <row r="584" spans="1:22" x14ac:dyDescent="0.25">
      <c r="A584" t="str">
        <f>RTD("tos.rtd", , "ASK", ".SPY151231C217.5")</f>
        <v>N/A</v>
      </c>
      <c r="B584" t="str">
        <f>RTD("tos.rtd", , "ASK_SIZE", ".SPY151231C217.5")</f>
        <v>N/A</v>
      </c>
      <c r="C584" t="str">
        <f>RTD("tos.rtd", , "BID", ".SPY151231C217.5")</f>
        <v>N/A</v>
      </c>
      <c r="D584" t="str">
        <f>RTD("tos.rtd", , "BID_SIZE", ".SPY151231C217.5")</f>
        <v>N/A</v>
      </c>
      <c r="E584" t="str">
        <f>RTD("tos.rtd", , "VOLUME", ".SPY151231C217.5")</f>
        <v>N/A</v>
      </c>
      <c r="F584" t="str">
        <f>RTD("tos.rtd", , "OPEN_INT", ".SPY151231C217.5")</f>
        <v>N/A</v>
      </c>
      <c r="G584" t="str">
        <f>RTD("tos.rtd", , "DELTA", ".SPY151231C217.5")</f>
        <v>N/A</v>
      </c>
      <c r="H584" t="str">
        <f>RTD("tos.rtd", , "THETA", ".SPY151231C217.5")</f>
        <v>N/A</v>
      </c>
      <c r="I584" t="str">
        <f>RTD("tos.rtd", , "GAMMA", ".SPY151231C217.5")</f>
        <v>N/A</v>
      </c>
      <c r="J584" t="str">
        <f>RTD("tos.rtd", , "VEGA", ".SPY151231C217.5")</f>
        <v>N/A</v>
      </c>
      <c r="K584" t="str">
        <f>RTD("tos.rtd", , "RHO", ".SPY151231C217.5")</f>
        <v>N/A</v>
      </c>
      <c r="L584" t="str">
        <f>RTD("tos.rtd", , "ASK", ".SPY151231P217.5")</f>
        <v>N/A</v>
      </c>
      <c r="M584" t="str">
        <f>RTD("tos.rtd", , "ASK_SIZE", ".SPY151231P217.5")</f>
        <v>N/A</v>
      </c>
      <c r="N584" t="str">
        <f>RTD("tos.rtd", , "BID", ".SPY151231P217.5")</f>
        <v>N/A</v>
      </c>
      <c r="O584" t="str">
        <f>RTD("tos.rtd", , "BID_SIZE", ".SPY151231P217.5")</f>
        <v>N/A</v>
      </c>
      <c r="P584" t="str">
        <f>RTD("tos.rtd", , "VOLUME", ".SPY151231P217.5")</f>
        <v>N/A</v>
      </c>
      <c r="Q584" t="str">
        <f>RTD("tos.rtd", , "OPEN_INT", ".SPY151231P217.5")</f>
        <v>N/A</v>
      </c>
      <c r="R584" t="str">
        <f>RTD("tos.rtd", , "DELTA", ".SPY151231P217.5")</f>
        <v>N/A</v>
      </c>
      <c r="S584" t="str">
        <f>RTD("tos.rtd", , "THETA", ".SPY151231P217.5")</f>
        <v>N/A</v>
      </c>
      <c r="T584" t="str">
        <f>RTD("tos.rtd", , "GAMMA", ".SPY151231P217.5")</f>
        <v>N/A</v>
      </c>
      <c r="U584" t="str">
        <f>RTD("tos.rtd", , "VEGA", ".SPY151231P217.5")</f>
        <v>N/A</v>
      </c>
      <c r="V584" t="str">
        <f>RTD("tos.rtd", , "RHO", ".SPY151231P217.5")</f>
        <v>N/A</v>
      </c>
    </row>
    <row r="585" spans="1:22" x14ac:dyDescent="0.25">
      <c r="A585">
        <f>RTD("tos.rtd", , "ASK", ".SPY151231C218")</f>
        <v>5.8</v>
      </c>
      <c r="B585">
        <f>RTD("tos.rtd", , "ASK_SIZE", ".SPY151231C218")</f>
        <v>1839</v>
      </c>
      <c r="C585">
        <f>RTD("tos.rtd", , "BID", ".SPY151231C218")</f>
        <v>5.57</v>
      </c>
      <c r="D585">
        <f>RTD("tos.rtd", , "BID_SIZE", ".SPY151231C218")</f>
        <v>1788</v>
      </c>
      <c r="E585" t="str">
        <f>RTD("tos.rtd", , "VOLUME", ".SPY151231C218")</f>
        <v>N/A</v>
      </c>
      <c r="F585">
        <f>RTD("tos.rtd", , "OPEN_INT", ".SPY151231C218")</f>
        <v>0</v>
      </c>
      <c r="G585">
        <f>RTD("tos.rtd", , "DELTA", ".SPY151231C218")</f>
        <v>0.37769000000000003</v>
      </c>
      <c r="H585">
        <f>RTD("tos.rtd", , "THETA", ".SPY151231C218")</f>
        <v>-1.5010000000000001E-2</v>
      </c>
      <c r="I585">
        <f>RTD("tos.rtd", , "GAMMA", ".SPY151231C218")</f>
        <v>1.6719999999999999E-2</v>
      </c>
      <c r="J585">
        <f>RTD("tos.rtd", , "VEGA", ".SPY151231C218")</f>
        <v>0.64825999999999995</v>
      </c>
      <c r="K585">
        <f>RTD("tos.rtd", , "RHO", ".SPY151231C218")</f>
        <v>0.45256000000000002</v>
      </c>
      <c r="L585">
        <f>RTD("tos.rtd", , "ASK", ".SPY151231P218")</f>
        <v>14.66</v>
      </c>
      <c r="M585">
        <f>RTD("tos.rtd", , "ASK_SIZE", ".SPY151231P218")</f>
        <v>194</v>
      </c>
      <c r="N585">
        <f>RTD("tos.rtd", , "BID", ".SPY151231P218")</f>
        <v>14.35</v>
      </c>
      <c r="O585">
        <f>RTD("tos.rtd", , "BID_SIZE", ".SPY151231P218")</f>
        <v>150</v>
      </c>
      <c r="P585">
        <f>RTD("tos.rtd", , "VOLUME", ".SPY151231P218")</f>
        <v>0</v>
      </c>
      <c r="Q585">
        <f>RTD("tos.rtd", , "OPEN_INT", ".SPY151231P218")</f>
        <v>1</v>
      </c>
      <c r="R585">
        <f>RTD("tos.rtd", , "DELTA", ".SPY151231P218")</f>
        <v>-0.61185999999999996</v>
      </c>
      <c r="S585">
        <f>RTD("tos.rtd", , "THETA", ".SPY151231P218")</f>
        <v>-2.376E-2</v>
      </c>
      <c r="T585">
        <f>RTD("tos.rtd", , "GAMMA", ".SPY151231P218")</f>
        <v>1.5820000000000001E-2</v>
      </c>
      <c r="U585">
        <f>RTD("tos.rtd", , "VEGA", ".SPY151231P218")</f>
        <v>0.64851999999999999</v>
      </c>
      <c r="V585">
        <f>RTD("tos.rtd", , "RHO", ".SPY151231P218")</f>
        <v>-0.95160999999999996</v>
      </c>
    </row>
    <row r="586" spans="1:22" x14ac:dyDescent="0.25">
      <c r="A586" t="str">
        <f>RTD("tos.rtd", , "ASK", ".SPY151231C218.5")</f>
        <v>N/A</v>
      </c>
      <c r="B586" t="str">
        <f>RTD("tos.rtd", , "ASK_SIZE", ".SPY151231C218.5")</f>
        <v>N/A</v>
      </c>
      <c r="C586" t="str">
        <f>RTD("tos.rtd", , "BID", ".SPY151231C218.5")</f>
        <v>N/A</v>
      </c>
      <c r="D586" t="str">
        <f>RTD("tos.rtd", , "BID_SIZE", ".SPY151231C218.5")</f>
        <v>N/A</v>
      </c>
      <c r="E586" t="str">
        <f>RTD("tos.rtd", , "VOLUME", ".SPY151231C218.5")</f>
        <v>N/A</v>
      </c>
      <c r="F586" t="str">
        <f>RTD("tos.rtd", , "OPEN_INT", ".SPY151231C218.5")</f>
        <v>N/A</v>
      </c>
      <c r="G586" t="str">
        <f>RTD("tos.rtd", , "DELTA", ".SPY151231C218.5")</f>
        <v>N/A</v>
      </c>
      <c r="H586" t="str">
        <f>RTD("tos.rtd", , "THETA", ".SPY151231C218.5")</f>
        <v>N/A</v>
      </c>
      <c r="I586" t="str">
        <f>RTD("tos.rtd", , "GAMMA", ".SPY151231C218.5")</f>
        <v>N/A</v>
      </c>
      <c r="J586" t="str">
        <f>RTD("tos.rtd", , "VEGA", ".SPY151231C218.5")</f>
        <v>N/A</v>
      </c>
      <c r="K586" t="str">
        <f>RTD("tos.rtd", , "RHO", ".SPY151231C218.5")</f>
        <v>N/A</v>
      </c>
      <c r="L586" t="str">
        <f>RTD("tos.rtd", , "ASK", ".SPY151231P218.5")</f>
        <v>N/A</v>
      </c>
      <c r="M586" t="str">
        <f>RTD("tos.rtd", , "ASK_SIZE", ".SPY151231P218.5")</f>
        <v>N/A</v>
      </c>
      <c r="N586" t="str">
        <f>RTD("tos.rtd", , "BID", ".SPY151231P218.5")</f>
        <v>N/A</v>
      </c>
      <c r="O586" t="str">
        <f>RTD("tos.rtd", , "BID_SIZE", ".SPY151231P218.5")</f>
        <v>N/A</v>
      </c>
      <c r="P586" t="str">
        <f>RTD("tos.rtd", , "VOLUME", ".SPY151231P218.5")</f>
        <v>N/A</v>
      </c>
      <c r="Q586" t="str">
        <f>RTD("tos.rtd", , "OPEN_INT", ".SPY151231P218.5")</f>
        <v>N/A</v>
      </c>
      <c r="R586" t="str">
        <f>RTD("tos.rtd", , "DELTA", ".SPY151231P218.5")</f>
        <v>N/A</v>
      </c>
      <c r="S586" t="str">
        <f>RTD("tos.rtd", , "THETA", ".SPY151231P218.5")</f>
        <v>N/A</v>
      </c>
      <c r="T586" t="str">
        <f>RTD("tos.rtd", , "GAMMA", ".SPY151231P218.5")</f>
        <v>N/A</v>
      </c>
      <c r="U586" t="str">
        <f>RTD("tos.rtd", , "VEGA", ".SPY151231P218.5")</f>
        <v>N/A</v>
      </c>
      <c r="V586" t="str">
        <f>RTD("tos.rtd", , "RHO", ".SPY151231P218.5")</f>
        <v>N/A</v>
      </c>
    </row>
    <row r="587" spans="1:22" x14ac:dyDescent="0.25">
      <c r="A587">
        <f>RTD("tos.rtd", , "ASK", ".SPY151231C219")</f>
        <v>5.38</v>
      </c>
      <c r="B587">
        <f>RTD("tos.rtd", , "ASK_SIZE", ".SPY151231C219")</f>
        <v>150</v>
      </c>
      <c r="C587">
        <f>RTD("tos.rtd", , "BID", ".SPY151231C219")</f>
        <v>5.09</v>
      </c>
      <c r="D587">
        <f>RTD("tos.rtd", , "BID_SIZE", ".SPY151231C219")</f>
        <v>168</v>
      </c>
      <c r="E587" t="str">
        <f>RTD("tos.rtd", , "VOLUME", ".SPY151231C219")</f>
        <v>N/A</v>
      </c>
      <c r="F587">
        <f>RTD("tos.rtd", , "OPEN_INT", ".SPY151231C219")</f>
        <v>0</v>
      </c>
      <c r="G587">
        <f>RTD("tos.rtd", , "DELTA", ".SPY151231C219")</f>
        <v>0.35927999999999999</v>
      </c>
      <c r="H587">
        <f>RTD("tos.rtd", , "THETA", ".SPY151231C219")</f>
        <v>-1.461E-2</v>
      </c>
      <c r="I587">
        <f>RTD("tos.rtd", , "GAMMA", ".SPY151231C219")</f>
        <v>1.6650000000000002E-2</v>
      </c>
      <c r="J587">
        <f>RTD("tos.rtd", , "VEGA", ".SPY151231C219")</f>
        <v>0.63807999999999998</v>
      </c>
      <c r="K587">
        <f>RTD("tos.rtd", , "RHO", ".SPY151231C219")</f>
        <v>0.43395</v>
      </c>
      <c r="L587">
        <f>RTD("tos.rtd", , "ASK", ".SPY151231P219")</f>
        <v>15.23</v>
      </c>
      <c r="M587">
        <f>RTD("tos.rtd", , "ASK_SIZE", ".SPY151231P219")</f>
        <v>216</v>
      </c>
      <c r="N587">
        <f>RTD("tos.rtd", , "BID", ".SPY151231P219")</f>
        <v>14.9</v>
      </c>
      <c r="O587">
        <f>RTD("tos.rtd", , "BID_SIZE", ".SPY151231P219")</f>
        <v>1</v>
      </c>
      <c r="P587" t="str">
        <f>RTD("tos.rtd", , "VOLUME", ".SPY151231P219")</f>
        <v>N/A</v>
      </c>
      <c r="Q587">
        <f>RTD("tos.rtd", , "OPEN_INT", ".SPY151231P219")</f>
        <v>0</v>
      </c>
      <c r="R587">
        <f>RTD("tos.rtd", , "DELTA", ".SPY151231P219")</f>
        <v>-0.62914999999999999</v>
      </c>
      <c r="S587">
        <f>RTD("tos.rtd", , "THETA", ".SPY151231P219")</f>
        <v>-2.341E-2</v>
      </c>
      <c r="T587">
        <f>RTD("tos.rtd", , "GAMMA", ".SPY151231P219")</f>
        <v>1.5769999999999999E-2</v>
      </c>
      <c r="U587">
        <f>RTD("tos.rtd", , "VEGA", ".SPY151231P219")</f>
        <v>0.63888999999999996</v>
      </c>
      <c r="V587">
        <f>RTD("tos.rtd", , "RHO", ".SPY151231P219")</f>
        <v>-0.97955000000000003</v>
      </c>
    </row>
    <row r="588" spans="1:22" x14ac:dyDescent="0.25">
      <c r="A588" t="str">
        <f>RTD("tos.rtd", , "ASK", ".SPY151231C219.5")</f>
        <v>N/A</v>
      </c>
      <c r="B588" t="str">
        <f>RTD("tos.rtd", , "ASK_SIZE", ".SPY151231C219.5")</f>
        <v>N/A</v>
      </c>
      <c r="C588" t="str">
        <f>RTD("tos.rtd", , "BID", ".SPY151231C219.5")</f>
        <v>N/A</v>
      </c>
      <c r="D588" t="str">
        <f>RTD("tos.rtd", , "BID_SIZE", ".SPY151231C219.5")</f>
        <v>N/A</v>
      </c>
      <c r="E588" t="str">
        <f>RTD("tos.rtd", , "VOLUME", ".SPY151231C219.5")</f>
        <v>N/A</v>
      </c>
      <c r="F588" t="str">
        <f>RTD("tos.rtd", , "OPEN_INT", ".SPY151231C219.5")</f>
        <v>N/A</v>
      </c>
      <c r="G588" t="str">
        <f>RTD("tos.rtd", , "DELTA", ".SPY151231C219.5")</f>
        <v>N/A</v>
      </c>
      <c r="H588" t="str">
        <f>RTD("tos.rtd", , "THETA", ".SPY151231C219.5")</f>
        <v>N/A</v>
      </c>
      <c r="I588" t="str">
        <f>RTD("tos.rtd", , "GAMMA", ".SPY151231C219.5")</f>
        <v>N/A</v>
      </c>
      <c r="J588" t="str">
        <f>RTD("tos.rtd", , "VEGA", ".SPY151231C219.5")</f>
        <v>N/A</v>
      </c>
      <c r="K588" t="str">
        <f>RTD("tos.rtd", , "RHO", ".SPY151231C219.5")</f>
        <v>N/A</v>
      </c>
      <c r="L588" t="str">
        <f>RTD("tos.rtd", , "ASK", ".SPY151231P219.5")</f>
        <v>N/A</v>
      </c>
      <c r="M588" t="str">
        <f>RTD("tos.rtd", , "ASK_SIZE", ".SPY151231P219.5")</f>
        <v>N/A</v>
      </c>
      <c r="N588" t="str">
        <f>RTD("tos.rtd", , "BID", ".SPY151231P219.5")</f>
        <v>N/A</v>
      </c>
      <c r="O588" t="str">
        <f>RTD("tos.rtd", , "BID_SIZE", ".SPY151231P219.5")</f>
        <v>N/A</v>
      </c>
      <c r="P588" t="str">
        <f>RTD("tos.rtd", , "VOLUME", ".SPY151231P219.5")</f>
        <v>N/A</v>
      </c>
      <c r="Q588" t="str">
        <f>RTD("tos.rtd", , "OPEN_INT", ".SPY151231P219.5")</f>
        <v>N/A</v>
      </c>
      <c r="R588" t="str">
        <f>RTD("tos.rtd", , "DELTA", ".SPY151231P219.5")</f>
        <v>N/A</v>
      </c>
      <c r="S588" t="str">
        <f>RTD("tos.rtd", , "THETA", ".SPY151231P219.5")</f>
        <v>N/A</v>
      </c>
      <c r="T588" t="str">
        <f>RTD("tos.rtd", , "GAMMA", ".SPY151231P219.5")</f>
        <v>N/A</v>
      </c>
      <c r="U588" t="str">
        <f>RTD("tos.rtd", , "VEGA", ".SPY151231P219.5")</f>
        <v>N/A</v>
      </c>
      <c r="V588" t="str">
        <f>RTD("tos.rtd", , "RHO", ".SPY151231P219.5")</f>
        <v>N/A</v>
      </c>
    </row>
    <row r="589" spans="1:22" x14ac:dyDescent="0.25">
      <c r="A589" t="s">
        <v>14</v>
      </c>
      <c r="B589">
        <v>40</v>
      </c>
    </row>
    <row r="590" spans="1:22" x14ac:dyDescent="0.25">
      <c r="A590">
        <f>RTD("tos.rtd", ,"LAST", "SPY")</f>
        <v>211.32</v>
      </c>
    </row>
    <row r="591" spans="1:22" x14ac:dyDescent="0.25">
      <c r="A591">
        <f>RTD("tos.rtd", , "ASK", ".SPY160115C200")</f>
        <v>17.36</v>
      </c>
      <c r="B591">
        <f>RTD("tos.rtd", , "ASK_SIZE", ".SPY160115C200")</f>
        <v>199</v>
      </c>
      <c r="C591">
        <f>RTD("tos.rtd", , "BID", ".SPY160115C200")</f>
        <v>17</v>
      </c>
      <c r="D591">
        <f>RTD("tos.rtd", , "BID_SIZE", ".SPY160115C200")</f>
        <v>171</v>
      </c>
      <c r="E591">
        <f>RTD("tos.rtd", , "VOLUME", ".SPY160115C200")</f>
        <v>53</v>
      </c>
      <c r="F591">
        <f>RTD("tos.rtd", , "OPEN_INT", ".SPY160115C200")</f>
        <v>23065</v>
      </c>
      <c r="G591">
        <f>RTD("tos.rtd", , "DELTA", ".SPY160115C200")</f>
        <v>0.65812000000000004</v>
      </c>
      <c r="H591">
        <f>RTD("tos.rtd", , "THETA", ".SPY160115C200")</f>
        <v>-1.6910000000000001E-2</v>
      </c>
      <c r="I591">
        <f>RTD("tos.rtd", , "GAMMA", ".SPY160115C200")</f>
        <v>1.289E-2</v>
      </c>
      <c r="J591">
        <f>RTD("tos.rtd", , "VEGA", ".SPY160115C200")</f>
        <v>0.63810999999999996</v>
      </c>
      <c r="K591">
        <f>RTD("tos.rtd", , "RHO", ".SPY160115C200")</f>
        <v>0.68442999999999998</v>
      </c>
      <c r="L591">
        <f>RTD("tos.rtd", , "ASK", ".SPY160115P200")</f>
        <v>7.75</v>
      </c>
      <c r="M591">
        <f>RTD("tos.rtd", , "ASK_SIZE", ".SPY160115P200")</f>
        <v>304</v>
      </c>
      <c r="N591">
        <f>RTD("tos.rtd", , "BID", ".SPY160115P200")</f>
        <v>7.62</v>
      </c>
      <c r="O591">
        <f>RTD("tos.rtd", , "BID_SIZE", ".SPY160115P200")</f>
        <v>128</v>
      </c>
      <c r="P591">
        <f>RTD("tos.rtd", , "VOLUME", ".SPY160115P200")</f>
        <v>147</v>
      </c>
      <c r="Q591">
        <f>RTD("tos.rtd", , "OPEN_INT", ".SPY160115P200")</f>
        <v>38903</v>
      </c>
      <c r="R591">
        <f>RTD("tos.rtd", , "DELTA", ".SPY160115P200")</f>
        <v>-0.34570000000000001</v>
      </c>
      <c r="S591">
        <f>RTD("tos.rtd", , "THETA", ".SPY160115P200")</f>
        <v>-2.462E-2</v>
      </c>
      <c r="T591">
        <f>RTD("tos.rtd", , "GAMMA", ".SPY160115P200")</f>
        <v>1.2019999999999999E-2</v>
      </c>
      <c r="U591">
        <f>RTD("tos.rtd", , "VEGA", ".SPY160115P200")</f>
        <v>0.64914000000000005</v>
      </c>
      <c r="V591">
        <f>RTD("tos.rtd", , "RHO", ".SPY160115P200")</f>
        <v>-0.56701000000000001</v>
      </c>
    </row>
    <row r="592" spans="1:22" x14ac:dyDescent="0.25">
      <c r="A592" t="str">
        <f>RTD("tos.rtd", , "ASK", ".SPY160115C200.5")</f>
        <v>N/A</v>
      </c>
      <c r="B592" t="str">
        <f>RTD("tos.rtd", , "ASK_SIZE", ".SPY160115C200.5")</f>
        <v>N/A</v>
      </c>
      <c r="C592" t="str">
        <f>RTD("tos.rtd", , "BID", ".SPY160115C200.5")</f>
        <v>N/A</v>
      </c>
      <c r="D592" t="str">
        <f>RTD("tos.rtd", , "BID_SIZE", ".SPY160115C200.5")</f>
        <v>N/A</v>
      </c>
      <c r="E592" t="str">
        <f>RTD("tos.rtd", , "VOLUME", ".SPY160115C200.5")</f>
        <v>N/A</v>
      </c>
      <c r="F592" t="str">
        <f>RTD("tos.rtd", , "OPEN_INT", ".SPY160115C200.5")</f>
        <v>N/A</v>
      </c>
      <c r="G592" t="str">
        <f>RTD("tos.rtd", , "DELTA", ".SPY160115C200.5")</f>
        <v>N/A</v>
      </c>
      <c r="H592" t="str">
        <f>RTD("tos.rtd", , "THETA", ".SPY160115C200.5")</f>
        <v>N/A</v>
      </c>
      <c r="I592" t="str">
        <f>RTD("tos.rtd", , "GAMMA", ".SPY160115C200.5")</f>
        <v>N/A</v>
      </c>
      <c r="J592" t="str">
        <f>RTD("tos.rtd", , "VEGA", ".SPY160115C200.5")</f>
        <v>N/A</v>
      </c>
      <c r="K592" t="str">
        <f>RTD("tos.rtd", , "RHO", ".SPY160115C200.5")</f>
        <v>N/A</v>
      </c>
      <c r="L592" t="str">
        <f>RTD("tos.rtd", , "ASK", ".SPY160115P200.5")</f>
        <v>N/A</v>
      </c>
      <c r="M592" t="str">
        <f>RTD("tos.rtd", , "ASK_SIZE", ".SPY160115P200.5")</f>
        <v>N/A</v>
      </c>
      <c r="N592" t="str">
        <f>RTD("tos.rtd", , "BID", ".SPY160115P200.5")</f>
        <v>N/A</v>
      </c>
      <c r="O592" t="str">
        <f>RTD("tos.rtd", , "BID_SIZE", ".SPY160115P200.5")</f>
        <v>N/A</v>
      </c>
      <c r="P592" t="str">
        <f>RTD("tos.rtd", , "VOLUME", ".SPY160115P200.5")</f>
        <v>N/A</v>
      </c>
      <c r="Q592" t="str">
        <f>RTD("tos.rtd", , "OPEN_INT", ".SPY160115P200.5")</f>
        <v>N/A</v>
      </c>
      <c r="R592" t="str">
        <f>RTD("tos.rtd", , "DELTA", ".SPY160115P200.5")</f>
        <v>N/A</v>
      </c>
      <c r="S592" t="str">
        <f>RTD("tos.rtd", , "THETA", ".SPY160115P200.5")</f>
        <v>N/A</v>
      </c>
      <c r="T592" t="str">
        <f>RTD("tos.rtd", , "GAMMA", ".SPY160115P200.5")</f>
        <v>N/A</v>
      </c>
      <c r="U592" t="str">
        <f>RTD("tos.rtd", , "VEGA", ".SPY160115P200.5")</f>
        <v>N/A</v>
      </c>
      <c r="V592" t="str">
        <f>RTD("tos.rtd", , "RHO", ".SPY160115P200.5")</f>
        <v>N/A</v>
      </c>
    </row>
    <row r="593" spans="1:22" x14ac:dyDescent="0.25">
      <c r="A593">
        <f>RTD("tos.rtd", , "ASK", ".SPY160115C201")</f>
        <v>16.62</v>
      </c>
      <c r="B593">
        <f>RTD("tos.rtd", , "ASK_SIZE", ".SPY160115C201")</f>
        <v>199</v>
      </c>
      <c r="C593">
        <f>RTD("tos.rtd", , "BID", ".SPY160115C201")</f>
        <v>16.27</v>
      </c>
      <c r="D593">
        <f>RTD("tos.rtd", , "BID_SIZE", ".SPY160115C201")</f>
        <v>169</v>
      </c>
      <c r="E593">
        <f>RTD("tos.rtd", , "VOLUME", ".SPY160115C201")</f>
        <v>0</v>
      </c>
      <c r="F593">
        <f>RTD("tos.rtd", , "OPEN_INT", ".SPY160115C201")</f>
        <v>96</v>
      </c>
      <c r="G593">
        <f>RTD("tos.rtd", , "DELTA", ".SPY160115C201")</f>
        <v>0.64570000000000005</v>
      </c>
      <c r="H593">
        <f>RTD("tos.rtd", , "THETA", ".SPY160115C201")</f>
        <v>-1.6990000000000002E-2</v>
      </c>
      <c r="I593">
        <f>RTD("tos.rtd", , "GAMMA", ".SPY160115C201")</f>
        <v>1.3169999999999999E-2</v>
      </c>
      <c r="J593">
        <f>RTD("tos.rtd", , "VEGA", ".SPY160115C201")</f>
        <v>0.64698999999999995</v>
      </c>
      <c r="K593">
        <f>RTD("tos.rtd", , "RHO", ".SPY160115C201")</f>
        <v>0.68067999999999995</v>
      </c>
      <c r="L593">
        <f>RTD("tos.rtd", , "ASK", ".SPY160115P201")</f>
        <v>8.06</v>
      </c>
      <c r="M593">
        <f>RTD("tos.rtd", , "ASK_SIZE", ".SPY160115P201")</f>
        <v>144</v>
      </c>
      <c r="N593">
        <f>RTD("tos.rtd", , "BID", ".SPY160115P201")</f>
        <v>7.87</v>
      </c>
      <c r="O593">
        <f>RTD("tos.rtd", , "BID_SIZE", ".SPY160115P201")</f>
        <v>2522</v>
      </c>
      <c r="P593">
        <f>RTD("tos.rtd", , "VOLUME", ".SPY160115P201")</f>
        <v>93</v>
      </c>
      <c r="Q593">
        <f>RTD("tos.rtd", , "OPEN_INT", ".SPY160115P201")</f>
        <v>3406</v>
      </c>
      <c r="R593">
        <f>RTD("tos.rtd", , "DELTA", ".SPY160115P201")</f>
        <v>-0.35754999999999998</v>
      </c>
      <c r="S593">
        <f>RTD("tos.rtd", , "THETA", ".SPY160115P201")</f>
        <v>-2.4729999999999999E-2</v>
      </c>
      <c r="T593">
        <f>RTD("tos.rtd", , "GAMMA", ".SPY160115P201")</f>
        <v>1.23E-2</v>
      </c>
      <c r="U593">
        <f>RTD("tos.rtd", , "VEGA", ".SPY160115P201")</f>
        <v>0.65686999999999995</v>
      </c>
      <c r="V593">
        <f>RTD("tos.rtd", , "RHO", ".SPY160115P201")</f>
        <v>-0.58657999999999999</v>
      </c>
    </row>
    <row r="594" spans="1:22" x14ac:dyDescent="0.25">
      <c r="A594" t="str">
        <f>RTD("tos.rtd", , "ASK", ".SPY160115C201.5")</f>
        <v>N/A</v>
      </c>
      <c r="B594" t="str">
        <f>RTD("tos.rtd", , "ASK_SIZE", ".SPY160115C201.5")</f>
        <v>N/A</v>
      </c>
      <c r="C594" t="str">
        <f>RTD("tos.rtd", , "BID", ".SPY160115C201.5")</f>
        <v>N/A</v>
      </c>
      <c r="D594" t="str">
        <f>RTD("tos.rtd", , "BID_SIZE", ".SPY160115C201.5")</f>
        <v>N/A</v>
      </c>
      <c r="E594" t="str">
        <f>RTD("tos.rtd", , "VOLUME", ".SPY160115C201.5")</f>
        <v>N/A</v>
      </c>
      <c r="F594" t="str">
        <f>RTD("tos.rtd", , "OPEN_INT", ".SPY160115C201.5")</f>
        <v>N/A</v>
      </c>
      <c r="G594" t="str">
        <f>RTD("tos.rtd", , "DELTA", ".SPY160115C201.5")</f>
        <v>N/A</v>
      </c>
      <c r="H594" t="str">
        <f>RTD("tos.rtd", , "THETA", ".SPY160115C201.5")</f>
        <v>N/A</v>
      </c>
      <c r="I594" t="str">
        <f>RTD("tos.rtd", , "GAMMA", ".SPY160115C201.5")</f>
        <v>N/A</v>
      </c>
      <c r="J594" t="str">
        <f>RTD("tos.rtd", , "VEGA", ".SPY160115C201.5")</f>
        <v>N/A</v>
      </c>
      <c r="K594" t="str">
        <f>RTD("tos.rtd", , "RHO", ".SPY160115C201.5")</f>
        <v>N/A</v>
      </c>
      <c r="L594" t="str">
        <f>RTD("tos.rtd", , "ASK", ".SPY160115P201.5")</f>
        <v>N/A</v>
      </c>
      <c r="M594" t="str">
        <f>RTD("tos.rtd", , "ASK_SIZE", ".SPY160115P201.5")</f>
        <v>N/A</v>
      </c>
      <c r="N594" t="str">
        <f>RTD("tos.rtd", , "BID", ".SPY160115P201.5")</f>
        <v>N/A</v>
      </c>
      <c r="O594" t="str">
        <f>RTD("tos.rtd", , "BID_SIZE", ".SPY160115P201.5")</f>
        <v>N/A</v>
      </c>
      <c r="P594" t="str">
        <f>RTD("tos.rtd", , "VOLUME", ".SPY160115P201.5")</f>
        <v>N/A</v>
      </c>
      <c r="Q594" t="str">
        <f>RTD("tos.rtd", , "OPEN_INT", ".SPY160115P201.5")</f>
        <v>N/A</v>
      </c>
      <c r="R594" t="str">
        <f>RTD("tos.rtd", , "DELTA", ".SPY160115P201.5")</f>
        <v>N/A</v>
      </c>
      <c r="S594" t="str">
        <f>RTD("tos.rtd", , "THETA", ".SPY160115P201.5")</f>
        <v>N/A</v>
      </c>
      <c r="T594" t="str">
        <f>RTD("tos.rtd", , "GAMMA", ".SPY160115P201.5")</f>
        <v>N/A</v>
      </c>
      <c r="U594" t="str">
        <f>RTD("tos.rtd", , "VEGA", ".SPY160115P201.5")</f>
        <v>N/A</v>
      </c>
      <c r="V594" t="str">
        <f>RTD("tos.rtd", , "RHO", ".SPY160115P201.5")</f>
        <v>N/A</v>
      </c>
    </row>
    <row r="595" spans="1:22" x14ac:dyDescent="0.25">
      <c r="A595">
        <f>RTD("tos.rtd", , "ASK", ".SPY160115C202")</f>
        <v>15.88</v>
      </c>
      <c r="B595">
        <f>RTD("tos.rtd", , "ASK_SIZE", ".SPY160115C202")</f>
        <v>175</v>
      </c>
      <c r="C595">
        <f>RTD("tos.rtd", , "BID", ".SPY160115C202")</f>
        <v>15.54</v>
      </c>
      <c r="D595">
        <f>RTD("tos.rtd", , "BID_SIZE", ".SPY160115C202")</f>
        <v>183</v>
      </c>
      <c r="E595">
        <f>RTD("tos.rtd", , "VOLUME", ".SPY160115C202")</f>
        <v>10</v>
      </c>
      <c r="F595">
        <f>RTD("tos.rtd", , "OPEN_INT", ".SPY160115C202")</f>
        <v>603</v>
      </c>
      <c r="G595">
        <f>RTD("tos.rtd", , "DELTA", ".SPY160115C202")</f>
        <v>0.63302000000000003</v>
      </c>
      <c r="H595">
        <f>RTD("tos.rtd", , "THETA", ".SPY160115C202")</f>
        <v>-1.703E-2</v>
      </c>
      <c r="I595">
        <f>RTD("tos.rtd", , "GAMMA", ".SPY160115C202")</f>
        <v>1.345E-2</v>
      </c>
      <c r="J595">
        <f>RTD("tos.rtd", , "VEGA", ".SPY160115C202")</f>
        <v>0.65529000000000004</v>
      </c>
      <c r="K595">
        <f>RTD("tos.rtd", , "RHO", ".SPY160115C202")</f>
        <v>0.67608999999999997</v>
      </c>
      <c r="L595">
        <f>RTD("tos.rtd", , "ASK", ".SPY160115P202")</f>
        <v>8.34</v>
      </c>
      <c r="M595">
        <f>RTD("tos.rtd", , "ASK_SIZE", ".SPY160115P202")</f>
        <v>325</v>
      </c>
      <c r="N595">
        <f>RTD("tos.rtd", , "BID", ".SPY160115P202")</f>
        <v>8.15</v>
      </c>
      <c r="O595">
        <f>RTD("tos.rtd", , "BID_SIZE", ".SPY160115P202")</f>
        <v>2552</v>
      </c>
      <c r="P595">
        <f>RTD("tos.rtd", , "VOLUME", ".SPY160115P202")</f>
        <v>58</v>
      </c>
      <c r="Q595">
        <f>RTD("tos.rtd", , "OPEN_INT", ".SPY160115P202")</f>
        <v>4712</v>
      </c>
      <c r="R595">
        <f>RTD("tos.rtd", , "DELTA", ".SPY160115P202")</f>
        <v>-0.36969000000000002</v>
      </c>
      <c r="S595">
        <f>RTD("tos.rtd", , "THETA", ".SPY160115P202")</f>
        <v>-2.479E-2</v>
      </c>
      <c r="T595">
        <f>RTD("tos.rtd", , "GAMMA", ".SPY160115P202")</f>
        <v>1.26E-2</v>
      </c>
      <c r="U595">
        <f>RTD("tos.rtd", , "VEGA", ".SPY160115P202")</f>
        <v>0.66408999999999996</v>
      </c>
      <c r="V595">
        <f>RTD("tos.rtd", , "RHO", ".SPY160115P202")</f>
        <v>-0.60658000000000001</v>
      </c>
    </row>
    <row r="596" spans="1:22" x14ac:dyDescent="0.25">
      <c r="A596" t="str">
        <f>RTD("tos.rtd", , "ASK", ".SPY160115C202.5")</f>
        <v>N/A</v>
      </c>
      <c r="B596" t="str">
        <f>RTD("tos.rtd", , "ASK_SIZE", ".SPY160115C202.5")</f>
        <v>N/A</v>
      </c>
      <c r="C596" t="str">
        <f>RTD("tos.rtd", , "BID", ".SPY160115C202.5")</f>
        <v>N/A</v>
      </c>
      <c r="D596" t="str">
        <f>RTD("tos.rtd", , "BID_SIZE", ".SPY160115C202.5")</f>
        <v>N/A</v>
      </c>
      <c r="E596" t="str">
        <f>RTD("tos.rtd", , "VOLUME", ".SPY160115C202.5")</f>
        <v>N/A</v>
      </c>
      <c r="F596" t="str">
        <f>RTD("tos.rtd", , "OPEN_INT", ".SPY160115C202.5")</f>
        <v>N/A</v>
      </c>
      <c r="G596" t="str">
        <f>RTD("tos.rtd", , "DELTA", ".SPY160115C202.5")</f>
        <v>N/A</v>
      </c>
      <c r="H596" t="str">
        <f>RTD("tos.rtd", , "THETA", ".SPY160115C202.5")</f>
        <v>N/A</v>
      </c>
      <c r="I596" t="str">
        <f>RTD("tos.rtd", , "GAMMA", ".SPY160115C202.5")</f>
        <v>N/A</v>
      </c>
      <c r="J596" t="str">
        <f>RTD("tos.rtd", , "VEGA", ".SPY160115C202.5")</f>
        <v>N/A</v>
      </c>
      <c r="K596" t="str">
        <f>RTD("tos.rtd", , "RHO", ".SPY160115C202.5")</f>
        <v>N/A</v>
      </c>
      <c r="L596" t="str">
        <f>RTD("tos.rtd", , "ASK", ".SPY160115P202.5")</f>
        <v>N/A</v>
      </c>
      <c r="M596" t="str">
        <f>RTD("tos.rtd", , "ASK_SIZE", ".SPY160115P202.5")</f>
        <v>N/A</v>
      </c>
      <c r="N596" t="str">
        <f>RTD("tos.rtd", , "BID", ".SPY160115P202.5")</f>
        <v>N/A</v>
      </c>
      <c r="O596" t="str">
        <f>RTD("tos.rtd", , "BID_SIZE", ".SPY160115P202.5")</f>
        <v>N/A</v>
      </c>
      <c r="P596" t="str">
        <f>RTD("tos.rtd", , "VOLUME", ".SPY160115P202.5")</f>
        <v>N/A</v>
      </c>
      <c r="Q596" t="str">
        <f>RTD("tos.rtd", , "OPEN_INT", ".SPY160115P202.5")</f>
        <v>N/A</v>
      </c>
      <c r="R596" t="str">
        <f>RTD("tos.rtd", , "DELTA", ".SPY160115P202.5")</f>
        <v>N/A</v>
      </c>
      <c r="S596" t="str">
        <f>RTD("tos.rtd", , "THETA", ".SPY160115P202.5")</f>
        <v>N/A</v>
      </c>
      <c r="T596" t="str">
        <f>RTD("tos.rtd", , "GAMMA", ".SPY160115P202.5")</f>
        <v>N/A</v>
      </c>
      <c r="U596" t="str">
        <f>RTD("tos.rtd", , "VEGA", ".SPY160115P202.5")</f>
        <v>N/A</v>
      </c>
      <c r="V596" t="str">
        <f>RTD("tos.rtd", , "RHO", ".SPY160115P202.5")</f>
        <v>N/A</v>
      </c>
    </row>
    <row r="597" spans="1:22" x14ac:dyDescent="0.25">
      <c r="A597">
        <f>RTD("tos.rtd", , "ASK", ".SPY160115C203")</f>
        <v>15.19</v>
      </c>
      <c r="B597">
        <f>RTD("tos.rtd", , "ASK_SIZE", ".SPY160115C203")</f>
        <v>201</v>
      </c>
      <c r="C597">
        <f>RTD("tos.rtd", , "BID", ".SPY160115C203")</f>
        <v>14.83</v>
      </c>
      <c r="D597">
        <f>RTD("tos.rtd", , "BID_SIZE", ".SPY160115C203")</f>
        <v>167</v>
      </c>
      <c r="E597">
        <f>RTD("tos.rtd", , "VOLUME", ".SPY160115C203")</f>
        <v>0</v>
      </c>
      <c r="F597">
        <f>RTD("tos.rtd", , "OPEN_INT", ".SPY160115C203")</f>
        <v>278</v>
      </c>
      <c r="G597">
        <f>RTD("tos.rtd", , "DELTA", ".SPY160115C203")</f>
        <v>0.61978</v>
      </c>
      <c r="H597">
        <f>RTD("tos.rtd", , "THETA", ".SPY160115C203")</f>
        <v>-1.7090000000000001E-2</v>
      </c>
      <c r="I597">
        <f>RTD("tos.rtd", , "GAMMA", ".SPY160115C203")</f>
        <v>1.371E-2</v>
      </c>
      <c r="J597">
        <f>RTD("tos.rtd", , "VEGA", ".SPY160115C203")</f>
        <v>0.66317000000000004</v>
      </c>
      <c r="K597">
        <f>RTD("tos.rtd", , "RHO", ".SPY160115C203")</f>
        <v>0.67059999999999997</v>
      </c>
      <c r="L597">
        <f>RTD("tos.rtd", , "ASK", ".SPY160115P203")</f>
        <v>8.68</v>
      </c>
      <c r="M597">
        <f>RTD("tos.rtd", , "ASK_SIZE", ".SPY160115P203")</f>
        <v>2356</v>
      </c>
      <c r="N597">
        <f>RTD("tos.rtd", , "BID", ".SPY160115P203")</f>
        <v>8.4499999999999993</v>
      </c>
      <c r="O597">
        <f>RTD("tos.rtd", , "BID_SIZE", ".SPY160115P203")</f>
        <v>2356</v>
      </c>
      <c r="P597">
        <f>RTD("tos.rtd", , "VOLUME", ".SPY160115P203")</f>
        <v>58</v>
      </c>
      <c r="Q597">
        <f>RTD("tos.rtd", , "OPEN_INT", ".SPY160115P203")</f>
        <v>2334</v>
      </c>
      <c r="R597">
        <f>RTD("tos.rtd", , "DELTA", ".SPY160115P203")</f>
        <v>-0.38233</v>
      </c>
      <c r="S597">
        <f>RTD("tos.rtd", , "THETA", ".SPY160115P203")</f>
        <v>-2.4889999999999999E-2</v>
      </c>
      <c r="T597">
        <f>RTD("tos.rtd", , "GAMMA", ".SPY160115P203")</f>
        <v>1.286E-2</v>
      </c>
      <c r="U597">
        <f>RTD("tos.rtd", , "VEGA", ".SPY160115P203")</f>
        <v>0.67086000000000001</v>
      </c>
      <c r="V597">
        <f>RTD("tos.rtd", , "RHO", ".SPY160115P203")</f>
        <v>-0.62756000000000001</v>
      </c>
    </row>
    <row r="598" spans="1:22" x14ac:dyDescent="0.25">
      <c r="A598" t="str">
        <f>RTD("tos.rtd", , "ASK", ".SPY160115C203.5")</f>
        <v>N/A</v>
      </c>
      <c r="B598" t="str">
        <f>RTD("tos.rtd", , "ASK_SIZE", ".SPY160115C203.5")</f>
        <v>N/A</v>
      </c>
      <c r="C598" t="str">
        <f>RTD("tos.rtd", , "BID", ".SPY160115C203.5")</f>
        <v>N/A</v>
      </c>
      <c r="D598" t="str">
        <f>RTD("tos.rtd", , "BID_SIZE", ".SPY160115C203.5")</f>
        <v>N/A</v>
      </c>
      <c r="E598" t="str">
        <f>RTD("tos.rtd", , "VOLUME", ".SPY160115C203.5")</f>
        <v>N/A</v>
      </c>
      <c r="F598" t="str">
        <f>RTD("tos.rtd", , "OPEN_INT", ".SPY160115C203.5")</f>
        <v>N/A</v>
      </c>
      <c r="G598" t="str">
        <f>RTD("tos.rtd", , "DELTA", ".SPY160115C203.5")</f>
        <v>N/A</v>
      </c>
      <c r="H598" t="str">
        <f>RTD("tos.rtd", , "THETA", ".SPY160115C203.5")</f>
        <v>N/A</v>
      </c>
      <c r="I598" t="str">
        <f>RTD("tos.rtd", , "GAMMA", ".SPY160115C203.5")</f>
        <v>N/A</v>
      </c>
      <c r="J598" t="str">
        <f>RTD("tos.rtd", , "VEGA", ".SPY160115C203.5")</f>
        <v>N/A</v>
      </c>
      <c r="K598" t="str">
        <f>RTD("tos.rtd", , "RHO", ".SPY160115C203.5")</f>
        <v>N/A</v>
      </c>
      <c r="L598" t="str">
        <f>RTD("tos.rtd", , "ASK", ".SPY160115P203.5")</f>
        <v>N/A</v>
      </c>
      <c r="M598" t="str">
        <f>RTD("tos.rtd", , "ASK_SIZE", ".SPY160115P203.5")</f>
        <v>N/A</v>
      </c>
      <c r="N598" t="str">
        <f>RTD("tos.rtd", , "BID", ".SPY160115P203.5")</f>
        <v>N/A</v>
      </c>
      <c r="O598" t="str">
        <f>RTD("tos.rtd", , "BID_SIZE", ".SPY160115P203.5")</f>
        <v>N/A</v>
      </c>
      <c r="P598" t="str">
        <f>RTD("tos.rtd", , "VOLUME", ".SPY160115P203.5")</f>
        <v>N/A</v>
      </c>
      <c r="Q598" t="str">
        <f>RTD("tos.rtd", , "OPEN_INT", ".SPY160115P203.5")</f>
        <v>N/A</v>
      </c>
      <c r="R598" t="str">
        <f>RTD("tos.rtd", , "DELTA", ".SPY160115P203.5")</f>
        <v>N/A</v>
      </c>
      <c r="S598" t="str">
        <f>RTD("tos.rtd", , "THETA", ".SPY160115P203.5")</f>
        <v>N/A</v>
      </c>
      <c r="T598" t="str">
        <f>RTD("tos.rtd", , "GAMMA", ".SPY160115P203.5")</f>
        <v>N/A</v>
      </c>
      <c r="U598" t="str">
        <f>RTD("tos.rtd", , "VEGA", ".SPY160115P203.5")</f>
        <v>N/A</v>
      </c>
      <c r="V598" t="str">
        <f>RTD("tos.rtd", , "RHO", ".SPY160115P203.5")</f>
        <v>N/A</v>
      </c>
    </row>
    <row r="599" spans="1:22" x14ac:dyDescent="0.25">
      <c r="A599">
        <f>RTD("tos.rtd", , "ASK", ".SPY160115C204")</f>
        <v>14.49</v>
      </c>
      <c r="B599">
        <f>RTD("tos.rtd", , "ASK_SIZE", ".SPY160115C204")</f>
        <v>207</v>
      </c>
      <c r="C599">
        <f>RTD("tos.rtd", , "BID", ".SPY160115C204")</f>
        <v>14.12</v>
      </c>
      <c r="D599">
        <f>RTD("tos.rtd", , "BID_SIZE", ".SPY160115C204")</f>
        <v>199</v>
      </c>
      <c r="E599">
        <f>RTD("tos.rtd", , "VOLUME", ".SPY160115C204")</f>
        <v>0</v>
      </c>
      <c r="F599">
        <f>RTD("tos.rtd", , "OPEN_INT", ".SPY160115C204")</f>
        <v>628</v>
      </c>
      <c r="G599">
        <f>RTD("tos.rtd", , "DELTA", ".SPY160115C204")</f>
        <v>0.60631999999999997</v>
      </c>
      <c r="H599">
        <f>RTD("tos.rtd", , "THETA", ".SPY160115C204")</f>
        <v>-1.7100000000000001E-2</v>
      </c>
      <c r="I599">
        <f>RTD("tos.rtd", , "GAMMA", ".SPY160115C204")</f>
        <v>1.3979999999999999E-2</v>
      </c>
      <c r="J599">
        <f>RTD("tos.rtd", , "VEGA", ".SPY160115C204")</f>
        <v>0.67032999999999998</v>
      </c>
      <c r="K599">
        <f>RTD("tos.rtd", , "RHO", ".SPY160115C204")</f>
        <v>0.66425999999999996</v>
      </c>
      <c r="L599">
        <f>RTD("tos.rtd", , "ASK", ".SPY160115P204")</f>
        <v>9</v>
      </c>
      <c r="M599">
        <f>RTD("tos.rtd", , "ASK_SIZE", ".SPY160115P204")</f>
        <v>2356</v>
      </c>
      <c r="N599">
        <f>RTD("tos.rtd", , "BID", ".SPY160115P204")</f>
        <v>8.76</v>
      </c>
      <c r="O599">
        <f>RTD("tos.rtd", , "BID_SIZE", ".SPY160115P204")</f>
        <v>2356</v>
      </c>
      <c r="P599">
        <f>RTD("tos.rtd", , "VOLUME", ".SPY160115P204")</f>
        <v>58</v>
      </c>
      <c r="Q599">
        <f>RTD("tos.rtd", , "OPEN_INT", ".SPY160115P204")</f>
        <v>2341</v>
      </c>
      <c r="R599">
        <f>RTD("tos.rtd", , "DELTA", ".SPY160115P204")</f>
        <v>-0.39523999999999998</v>
      </c>
      <c r="S599">
        <f>RTD("tos.rtd", , "THETA", ".SPY160115P204")</f>
        <v>-2.494E-2</v>
      </c>
      <c r="T599">
        <f>RTD("tos.rtd", , "GAMMA", ".SPY160115P204")</f>
        <v>1.3140000000000001E-2</v>
      </c>
      <c r="U599">
        <f>RTD("tos.rtd", , "VEGA", ".SPY160115P204")</f>
        <v>0.67701999999999996</v>
      </c>
      <c r="V599">
        <f>RTD("tos.rtd", , "RHO", ".SPY160115P204")</f>
        <v>-0.64895999999999998</v>
      </c>
    </row>
    <row r="600" spans="1:22" x14ac:dyDescent="0.25">
      <c r="A600" t="str">
        <f>RTD("tos.rtd", , "ASK", ".SPY160115C204.5")</f>
        <v>N/A</v>
      </c>
      <c r="B600" t="str">
        <f>RTD("tos.rtd", , "ASK_SIZE", ".SPY160115C204.5")</f>
        <v>N/A</v>
      </c>
      <c r="C600" t="str">
        <f>RTD("tos.rtd", , "BID", ".SPY160115C204.5")</f>
        <v>N/A</v>
      </c>
      <c r="D600" t="str">
        <f>RTD("tos.rtd", , "BID_SIZE", ".SPY160115C204.5")</f>
        <v>N/A</v>
      </c>
      <c r="E600" t="str">
        <f>RTD("tos.rtd", , "VOLUME", ".SPY160115C204.5")</f>
        <v>N/A</v>
      </c>
      <c r="F600" t="str">
        <f>RTD("tos.rtd", , "OPEN_INT", ".SPY160115C204.5")</f>
        <v>N/A</v>
      </c>
      <c r="G600" t="str">
        <f>RTD("tos.rtd", , "DELTA", ".SPY160115C204.5")</f>
        <v>N/A</v>
      </c>
      <c r="H600" t="str">
        <f>RTD("tos.rtd", , "THETA", ".SPY160115C204.5")</f>
        <v>N/A</v>
      </c>
      <c r="I600" t="str">
        <f>RTD("tos.rtd", , "GAMMA", ".SPY160115C204.5")</f>
        <v>N/A</v>
      </c>
      <c r="J600" t="str">
        <f>RTD("tos.rtd", , "VEGA", ".SPY160115C204.5")</f>
        <v>N/A</v>
      </c>
      <c r="K600" t="str">
        <f>RTD("tos.rtd", , "RHO", ".SPY160115C204.5")</f>
        <v>N/A</v>
      </c>
      <c r="L600" t="str">
        <f>RTD("tos.rtd", , "ASK", ".SPY160115P204.5")</f>
        <v>N/A</v>
      </c>
      <c r="M600" t="str">
        <f>RTD("tos.rtd", , "ASK_SIZE", ".SPY160115P204.5")</f>
        <v>N/A</v>
      </c>
      <c r="N600" t="str">
        <f>RTD("tos.rtd", , "BID", ".SPY160115P204.5")</f>
        <v>N/A</v>
      </c>
      <c r="O600" t="str">
        <f>RTD("tos.rtd", , "BID_SIZE", ".SPY160115P204.5")</f>
        <v>N/A</v>
      </c>
      <c r="P600" t="str">
        <f>RTD("tos.rtd", , "VOLUME", ".SPY160115P204.5")</f>
        <v>N/A</v>
      </c>
      <c r="Q600" t="str">
        <f>RTD("tos.rtd", , "OPEN_INT", ".SPY160115P204.5")</f>
        <v>N/A</v>
      </c>
      <c r="R600" t="str">
        <f>RTD("tos.rtd", , "DELTA", ".SPY160115P204.5")</f>
        <v>N/A</v>
      </c>
      <c r="S600" t="str">
        <f>RTD("tos.rtd", , "THETA", ".SPY160115P204.5")</f>
        <v>N/A</v>
      </c>
      <c r="T600" t="str">
        <f>RTD("tos.rtd", , "GAMMA", ".SPY160115P204.5")</f>
        <v>N/A</v>
      </c>
      <c r="U600" t="str">
        <f>RTD("tos.rtd", , "VEGA", ".SPY160115P204.5")</f>
        <v>N/A</v>
      </c>
      <c r="V600" t="str">
        <f>RTD("tos.rtd", , "RHO", ".SPY160115P204.5")</f>
        <v>N/A</v>
      </c>
    </row>
    <row r="601" spans="1:22" x14ac:dyDescent="0.25">
      <c r="A601">
        <f>RTD("tos.rtd", , "ASK", ".SPY160115C205")</f>
        <v>13.79</v>
      </c>
      <c r="B601">
        <f>RTD("tos.rtd", , "ASK_SIZE", ".SPY160115C205")</f>
        <v>210</v>
      </c>
      <c r="C601">
        <f>RTD("tos.rtd", , "BID", ".SPY160115C205")</f>
        <v>13.5</v>
      </c>
      <c r="D601">
        <f>RTD("tos.rtd", , "BID_SIZE", ".SPY160115C205")</f>
        <v>146</v>
      </c>
      <c r="E601">
        <f>RTD("tos.rtd", , "VOLUME", ".SPY160115C205")</f>
        <v>30</v>
      </c>
      <c r="F601">
        <f>RTD("tos.rtd", , "OPEN_INT", ".SPY160115C205")</f>
        <v>21514</v>
      </c>
      <c r="G601">
        <f>RTD("tos.rtd", , "DELTA", ".SPY160115C205")</f>
        <v>0.59233000000000002</v>
      </c>
      <c r="H601">
        <f>RTD("tos.rtd", , "THETA", ".SPY160115C205")</f>
        <v>-1.7160000000000002E-2</v>
      </c>
      <c r="I601">
        <f>RTD("tos.rtd", , "GAMMA", ".SPY160115C205")</f>
        <v>1.4189999999999999E-2</v>
      </c>
      <c r="J601">
        <f>RTD("tos.rtd", , "VEGA", ".SPY160115C205")</f>
        <v>0.67691000000000001</v>
      </c>
      <c r="K601">
        <f>RTD("tos.rtd", , "RHO", ".SPY160115C205")</f>
        <v>0.65698999999999996</v>
      </c>
      <c r="L601">
        <f>RTD("tos.rtd", , "ASK", ".SPY160115P205")</f>
        <v>9.33</v>
      </c>
      <c r="M601">
        <f>RTD("tos.rtd", , "ASK_SIZE", ".SPY160115P205")</f>
        <v>2356</v>
      </c>
      <c r="N601">
        <f>RTD("tos.rtd", , "BID", ".SPY160115P205")</f>
        <v>9.09</v>
      </c>
      <c r="O601">
        <f>RTD("tos.rtd", , "BID_SIZE", ".SPY160115P205")</f>
        <v>2356</v>
      </c>
      <c r="P601">
        <f>RTD("tos.rtd", , "VOLUME", ".SPY160115P205")</f>
        <v>63</v>
      </c>
      <c r="Q601">
        <f>RTD("tos.rtd", , "OPEN_INT", ".SPY160115P205")</f>
        <v>23433</v>
      </c>
      <c r="R601">
        <f>RTD("tos.rtd", , "DELTA", ".SPY160115P205")</f>
        <v>-0.40851999999999999</v>
      </c>
      <c r="S601">
        <f>RTD("tos.rtd", , "THETA", ".SPY160115P205")</f>
        <v>-2.4979999999999999E-2</v>
      </c>
      <c r="T601">
        <f>RTD("tos.rtd", , "GAMMA", ".SPY160115P205")</f>
        <v>1.34E-2</v>
      </c>
      <c r="U601">
        <f>RTD("tos.rtd", , "VEGA", ".SPY160115P205")</f>
        <v>0.68254000000000004</v>
      </c>
      <c r="V601">
        <f>RTD("tos.rtd", , "RHO", ".SPY160115P205")</f>
        <v>-0.67098999999999998</v>
      </c>
    </row>
    <row r="602" spans="1:22" x14ac:dyDescent="0.25">
      <c r="A602" t="str">
        <f>RTD("tos.rtd", , "ASK", ".SPY160115C205.5")</f>
        <v>N/A</v>
      </c>
      <c r="B602" t="str">
        <f>RTD("tos.rtd", , "ASK_SIZE", ".SPY160115C205.5")</f>
        <v>N/A</v>
      </c>
      <c r="C602" t="str">
        <f>RTD("tos.rtd", , "BID", ".SPY160115C205.5")</f>
        <v>N/A</v>
      </c>
      <c r="D602" t="str">
        <f>RTD("tos.rtd", , "BID_SIZE", ".SPY160115C205.5")</f>
        <v>N/A</v>
      </c>
      <c r="E602" t="str">
        <f>RTD("tos.rtd", , "VOLUME", ".SPY160115C205.5")</f>
        <v>N/A</v>
      </c>
      <c r="F602" t="str">
        <f>RTD("tos.rtd", , "OPEN_INT", ".SPY160115C205.5")</f>
        <v>N/A</v>
      </c>
      <c r="G602" t="str">
        <f>RTD("tos.rtd", , "DELTA", ".SPY160115C205.5")</f>
        <v>N/A</v>
      </c>
      <c r="H602" t="str">
        <f>RTD("tos.rtd", , "THETA", ".SPY160115C205.5")</f>
        <v>N/A</v>
      </c>
      <c r="I602" t="str">
        <f>RTD("tos.rtd", , "GAMMA", ".SPY160115C205.5")</f>
        <v>N/A</v>
      </c>
      <c r="J602" t="str">
        <f>RTD("tos.rtd", , "VEGA", ".SPY160115C205.5")</f>
        <v>N/A</v>
      </c>
      <c r="K602" t="str">
        <f>RTD("tos.rtd", , "RHO", ".SPY160115C205.5")</f>
        <v>N/A</v>
      </c>
      <c r="L602" t="str">
        <f>RTD("tos.rtd", , "ASK", ".SPY160115P205.5")</f>
        <v>N/A</v>
      </c>
      <c r="M602" t="str">
        <f>RTD("tos.rtd", , "ASK_SIZE", ".SPY160115P205.5")</f>
        <v>N/A</v>
      </c>
      <c r="N602" t="str">
        <f>RTD("tos.rtd", , "BID", ".SPY160115P205.5")</f>
        <v>N/A</v>
      </c>
      <c r="O602" t="str">
        <f>RTD("tos.rtd", , "BID_SIZE", ".SPY160115P205.5")</f>
        <v>N/A</v>
      </c>
      <c r="P602" t="str">
        <f>RTD("tos.rtd", , "VOLUME", ".SPY160115P205.5")</f>
        <v>N/A</v>
      </c>
      <c r="Q602" t="str">
        <f>RTD("tos.rtd", , "OPEN_INT", ".SPY160115P205.5")</f>
        <v>N/A</v>
      </c>
      <c r="R602" t="str">
        <f>RTD("tos.rtd", , "DELTA", ".SPY160115P205.5")</f>
        <v>N/A</v>
      </c>
      <c r="S602" t="str">
        <f>RTD("tos.rtd", , "THETA", ".SPY160115P205.5")</f>
        <v>N/A</v>
      </c>
      <c r="T602" t="str">
        <f>RTD("tos.rtd", , "GAMMA", ".SPY160115P205.5")</f>
        <v>N/A</v>
      </c>
      <c r="U602" t="str">
        <f>RTD("tos.rtd", , "VEGA", ".SPY160115P205.5")</f>
        <v>N/A</v>
      </c>
      <c r="V602" t="str">
        <f>RTD("tos.rtd", , "RHO", ".SPY160115P205.5")</f>
        <v>N/A</v>
      </c>
    </row>
    <row r="603" spans="1:22" x14ac:dyDescent="0.25">
      <c r="A603">
        <f>RTD("tos.rtd", , "ASK", ".SPY160115C206")</f>
        <v>13.06</v>
      </c>
      <c r="B603">
        <f>RTD("tos.rtd", , "ASK_SIZE", ".SPY160115C206")</f>
        <v>138</v>
      </c>
      <c r="C603">
        <f>RTD("tos.rtd", , "BID", ".SPY160115C206")</f>
        <v>12.8</v>
      </c>
      <c r="D603">
        <f>RTD("tos.rtd", , "BID_SIZE", ".SPY160115C206")</f>
        <v>321</v>
      </c>
      <c r="E603">
        <f>RTD("tos.rtd", , "VOLUME", ".SPY160115C206")</f>
        <v>20</v>
      </c>
      <c r="F603">
        <f>RTD("tos.rtd", , "OPEN_INT", ".SPY160115C206")</f>
        <v>1139</v>
      </c>
      <c r="G603">
        <f>RTD("tos.rtd", , "DELTA", ".SPY160115C206")</f>
        <v>0.57828000000000002</v>
      </c>
      <c r="H603">
        <f>RTD("tos.rtd", , "THETA", ".SPY160115C206")</f>
        <v>-1.7049999999999999E-2</v>
      </c>
      <c r="I603">
        <f>RTD("tos.rtd", , "GAMMA", ".SPY160115C206")</f>
        <v>1.4489999999999999E-2</v>
      </c>
      <c r="J603">
        <f>RTD("tos.rtd", , "VEGA", ".SPY160115C206")</f>
        <v>0.68255999999999994</v>
      </c>
      <c r="K603">
        <f>RTD("tos.rtd", , "RHO", ".SPY160115C206")</f>
        <v>0.64890000000000003</v>
      </c>
      <c r="L603">
        <f>RTD("tos.rtd", , "ASK", ".SPY160115P206")</f>
        <v>9.66</v>
      </c>
      <c r="M603">
        <f>RTD("tos.rtd", , "ASK_SIZE", ".SPY160115P206")</f>
        <v>2356</v>
      </c>
      <c r="N603">
        <f>RTD("tos.rtd", , "BID", ".SPY160115P206")</f>
        <v>9.42</v>
      </c>
      <c r="O603">
        <f>RTD("tos.rtd", , "BID_SIZE", ".SPY160115P206")</f>
        <v>2356</v>
      </c>
      <c r="P603">
        <f>RTD("tos.rtd", , "VOLUME", ".SPY160115P206")</f>
        <v>56</v>
      </c>
      <c r="Q603">
        <f>RTD("tos.rtd", , "OPEN_INT", ".SPY160115P206")</f>
        <v>2944</v>
      </c>
      <c r="R603">
        <f>RTD("tos.rtd", , "DELTA", ".SPY160115P206")</f>
        <v>-0.42210999999999999</v>
      </c>
      <c r="S603">
        <f>RTD("tos.rtd", , "THETA", ".SPY160115P206")</f>
        <v>-2.4969999999999999E-2</v>
      </c>
      <c r="T603">
        <f>RTD("tos.rtd", , "GAMMA", ".SPY160115P206")</f>
        <v>1.367E-2</v>
      </c>
      <c r="U603">
        <f>RTD("tos.rtd", , "VEGA", ".SPY160115P206")</f>
        <v>0.68735000000000002</v>
      </c>
      <c r="V603">
        <f>RTD("tos.rtd", , "RHO", ".SPY160115P206")</f>
        <v>-0.69350999999999996</v>
      </c>
    </row>
    <row r="604" spans="1:22" x14ac:dyDescent="0.25">
      <c r="A604" t="str">
        <f>RTD("tos.rtd", , "ASK", ".SPY160115C206.5")</f>
        <v>N/A</v>
      </c>
      <c r="B604" t="str">
        <f>RTD("tos.rtd", , "ASK_SIZE", ".SPY160115C206.5")</f>
        <v>N/A</v>
      </c>
      <c r="C604" t="str">
        <f>RTD("tos.rtd", , "BID", ".SPY160115C206.5")</f>
        <v>N/A</v>
      </c>
      <c r="D604" t="str">
        <f>RTD("tos.rtd", , "BID_SIZE", ".SPY160115C206.5")</f>
        <v>N/A</v>
      </c>
      <c r="E604" t="str">
        <f>RTD("tos.rtd", , "VOLUME", ".SPY160115C206.5")</f>
        <v>N/A</v>
      </c>
      <c r="F604" t="str">
        <f>RTD("tos.rtd", , "OPEN_INT", ".SPY160115C206.5")</f>
        <v>N/A</v>
      </c>
      <c r="G604" t="str">
        <f>RTD("tos.rtd", , "DELTA", ".SPY160115C206.5")</f>
        <v>N/A</v>
      </c>
      <c r="H604" t="str">
        <f>RTD("tos.rtd", , "THETA", ".SPY160115C206.5")</f>
        <v>N/A</v>
      </c>
      <c r="I604" t="str">
        <f>RTD("tos.rtd", , "GAMMA", ".SPY160115C206.5")</f>
        <v>N/A</v>
      </c>
      <c r="J604" t="str">
        <f>RTD("tos.rtd", , "VEGA", ".SPY160115C206.5")</f>
        <v>N/A</v>
      </c>
      <c r="K604" t="str">
        <f>RTD("tos.rtd", , "RHO", ".SPY160115C206.5")</f>
        <v>N/A</v>
      </c>
      <c r="L604" t="str">
        <f>RTD("tos.rtd", , "ASK", ".SPY160115P206.5")</f>
        <v>N/A</v>
      </c>
      <c r="M604" t="str">
        <f>RTD("tos.rtd", , "ASK_SIZE", ".SPY160115P206.5")</f>
        <v>N/A</v>
      </c>
      <c r="N604" t="str">
        <f>RTD("tos.rtd", , "BID", ".SPY160115P206.5")</f>
        <v>N/A</v>
      </c>
      <c r="O604" t="str">
        <f>RTD("tos.rtd", , "BID_SIZE", ".SPY160115P206.5")</f>
        <v>N/A</v>
      </c>
      <c r="P604" t="str">
        <f>RTD("tos.rtd", , "VOLUME", ".SPY160115P206.5")</f>
        <v>N/A</v>
      </c>
      <c r="Q604" t="str">
        <f>RTD("tos.rtd", , "OPEN_INT", ".SPY160115P206.5")</f>
        <v>N/A</v>
      </c>
      <c r="R604" t="str">
        <f>RTD("tos.rtd", , "DELTA", ".SPY160115P206.5")</f>
        <v>N/A</v>
      </c>
      <c r="S604" t="str">
        <f>RTD("tos.rtd", , "THETA", ".SPY160115P206.5")</f>
        <v>N/A</v>
      </c>
      <c r="T604" t="str">
        <f>RTD("tos.rtd", , "GAMMA", ".SPY160115P206.5")</f>
        <v>N/A</v>
      </c>
      <c r="U604" t="str">
        <f>RTD("tos.rtd", , "VEGA", ".SPY160115P206.5")</f>
        <v>N/A</v>
      </c>
      <c r="V604" t="str">
        <f>RTD("tos.rtd", , "RHO", ".SPY160115P206.5")</f>
        <v>N/A</v>
      </c>
    </row>
    <row r="605" spans="1:22" x14ac:dyDescent="0.25">
      <c r="A605">
        <f>RTD("tos.rtd", , "ASK", ".SPY160115C207")</f>
        <v>12.35</v>
      </c>
      <c r="B605">
        <f>RTD("tos.rtd", , "ASK_SIZE", ".SPY160115C207")</f>
        <v>304</v>
      </c>
      <c r="C605">
        <f>RTD("tos.rtd", , "BID", ".SPY160115C207")</f>
        <v>12.14</v>
      </c>
      <c r="D605">
        <f>RTD("tos.rtd", , "BID_SIZE", ".SPY160115C207")</f>
        <v>2560</v>
      </c>
      <c r="E605">
        <f>RTD("tos.rtd", , "VOLUME", ".SPY160115C207")</f>
        <v>260</v>
      </c>
      <c r="F605">
        <f>RTD("tos.rtd", , "OPEN_INT", ".SPY160115C207")</f>
        <v>605</v>
      </c>
      <c r="G605">
        <f>RTD("tos.rtd", , "DELTA", ".SPY160115C207")</f>
        <v>0.56376000000000004</v>
      </c>
      <c r="H605">
        <f>RTD("tos.rtd", , "THETA", ".SPY160115C207")</f>
        <v>-1.695E-2</v>
      </c>
      <c r="I605">
        <f>RTD("tos.rtd", , "GAMMA", ".SPY160115C207")</f>
        <v>1.477E-2</v>
      </c>
      <c r="J605">
        <f>RTD("tos.rtd", , "VEGA", ".SPY160115C207")</f>
        <v>0.68749000000000005</v>
      </c>
      <c r="K605">
        <f>RTD("tos.rtd", , "RHO", ".SPY160115C207")</f>
        <v>0.63985000000000003</v>
      </c>
      <c r="L605">
        <f>RTD("tos.rtd", , "ASK", ".SPY160115P207")</f>
        <v>10.029999999999999</v>
      </c>
      <c r="M605">
        <f>RTD("tos.rtd", , "ASK_SIZE", ".SPY160115P207")</f>
        <v>2356</v>
      </c>
      <c r="N605">
        <f>RTD("tos.rtd", , "BID", ".SPY160115P207")</f>
        <v>9.77</v>
      </c>
      <c r="O605">
        <f>RTD("tos.rtd", , "BID_SIZE", ".SPY160115P207")</f>
        <v>2356</v>
      </c>
      <c r="P605">
        <f>RTD("tos.rtd", , "VOLUME", ".SPY160115P207")</f>
        <v>306</v>
      </c>
      <c r="Q605">
        <f>RTD("tos.rtd", , "OPEN_INT", ".SPY160115P207")</f>
        <v>3533</v>
      </c>
      <c r="R605">
        <f>RTD("tos.rtd", , "DELTA", ".SPY160115P207")</f>
        <v>-0.43608999999999998</v>
      </c>
      <c r="S605">
        <f>RTD("tos.rtd", , "THETA", ".SPY160115P207")</f>
        <v>-2.4979999999999999E-2</v>
      </c>
      <c r="T605">
        <f>RTD("tos.rtd", , "GAMMA", ".SPY160115P207")</f>
        <v>1.3899999999999999E-2</v>
      </c>
      <c r="U605">
        <f>RTD("tos.rtd", , "VEGA", ".SPY160115P207")</f>
        <v>0.69142999999999999</v>
      </c>
      <c r="V605">
        <f>RTD("tos.rtd", , "RHO", ".SPY160115P207")</f>
        <v>-0.71684000000000003</v>
      </c>
    </row>
    <row r="606" spans="1:22" x14ac:dyDescent="0.25">
      <c r="A606" t="str">
        <f>RTD("tos.rtd", , "ASK", ".SPY160115C207.5")</f>
        <v>N/A</v>
      </c>
      <c r="B606" t="str">
        <f>RTD("tos.rtd", , "ASK_SIZE", ".SPY160115C207.5")</f>
        <v>N/A</v>
      </c>
      <c r="C606" t="str">
        <f>RTD("tos.rtd", , "BID", ".SPY160115C207.5")</f>
        <v>N/A</v>
      </c>
      <c r="D606" t="str">
        <f>RTD("tos.rtd", , "BID_SIZE", ".SPY160115C207.5")</f>
        <v>N/A</v>
      </c>
      <c r="E606" t="str">
        <f>RTD("tos.rtd", , "VOLUME", ".SPY160115C207.5")</f>
        <v>N/A</v>
      </c>
      <c r="F606" t="str">
        <f>RTD("tos.rtd", , "OPEN_INT", ".SPY160115C207.5")</f>
        <v>N/A</v>
      </c>
      <c r="G606" t="str">
        <f>RTD("tos.rtd", , "DELTA", ".SPY160115C207.5")</f>
        <v>N/A</v>
      </c>
      <c r="H606" t="str">
        <f>RTD("tos.rtd", , "THETA", ".SPY160115C207.5")</f>
        <v>N/A</v>
      </c>
      <c r="I606" t="str">
        <f>RTD("tos.rtd", , "GAMMA", ".SPY160115C207.5")</f>
        <v>N/A</v>
      </c>
      <c r="J606" t="str">
        <f>RTD("tos.rtd", , "VEGA", ".SPY160115C207.5")</f>
        <v>N/A</v>
      </c>
      <c r="K606" t="str">
        <f>RTD("tos.rtd", , "RHO", ".SPY160115C207.5")</f>
        <v>N/A</v>
      </c>
      <c r="L606" t="str">
        <f>RTD("tos.rtd", , "ASK", ".SPY160115P207.5")</f>
        <v>N/A</v>
      </c>
      <c r="M606" t="str">
        <f>RTD("tos.rtd", , "ASK_SIZE", ".SPY160115P207.5")</f>
        <v>N/A</v>
      </c>
      <c r="N606" t="str">
        <f>RTD("tos.rtd", , "BID", ".SPY160115P207.5")</f>
        <v>N/A</v>
      </c>
      <c r="O606" t="str">
        <f>RTD("tos.rtd", , "BID_SIZE", ".SPY160115P207.5")</f>
        <v>N/A</v>
      </c>
      <c r="P606" t="str">
        <f>RTD("tos.rtd", , "VOLUME", ".SPY160115P207.5")</f>
        <v>N/A</v>
      </c>
      <c r="Q606" t="str">
        <f>RTD("tos.rtd", , "OPEN_INT", ".SPY160115P207.5")</f>
        <v>N/A</v>
      </c>
      <c r="R606" t="str">
        <f>RTD("tos.rtd", , "DELTA", ".SPY160115P207.5")</f>
        <v>N/A</v>
      </c>
      <c r="S606" t="str">
        <f>RTD("tos.rtd", , "THETA", ".SPY160115P207.5")</f>
        <v>N/A</v>
      </c>
      <c r="T606" t="str">
        <f>RTD("tos.rtd", , "GAMMA", ".SPY160115P207.5")</f>
        <v>N/A</v>
      </c>
      <c r="U606" t="str">
        <f>RTD("tos.rtd", , "VEGA", ".SPY160115P207.5")</f>
        <v>N/A</v>
      </c>
      <c r="V606" t="str">
        <f>RTD("tos.rtd", , "RHO", ".SPY160115P207.5")</f>
        <v>N/A</v>
      </c>
    </row>
    <row r="607" spans="1:22" x14ac:dyDescent="0.25">
      <c r="A607">
        <f>RTD("tos.rtd", , "ASK", ".SPY160115C208")</f>
        <v>11.71</v>
      </c>
      <c r="B607">
        <f>RTD("tos.rtd", , "ASK_SIZE", ".SPY160115C208")</f>
        <v>137</v>
      </c>
      <c r="C607">
        <f>RTD("tos.rtd", , "BID", ".SPY160115C208")</f>
        <v>11.49</v>
      </c>
      <c r="D607">
        <f>RTD("tos.rtd", , "BID_SIZE", ".SPY160115C208")</f>
        <v>2576</v>
      </c>
      <c r="E607">
        <f>RTD("tos.rtd", , "VOLUME", ".SPY160115C208")</f>
        <v>26</v>
      </c>
      <c r="F607">
        <f>RTD("tos.rtd", , "OPEN_INT", ".SPY160115C208")</f>
        <v>1521</v>
      </c>
      <c r="G607">
        <f>RTD("tos.rtd", , "DELTA", ".SPY160115C208")</f>
        <v>0.54876000000000003</v>
      </c>
      <c r="H607">
        <f>RTD("tos.rtd", , "THETA", ".SPY160115C208")</f>
        <v>-1.6889999999999999E-2</v>
      </c>
      <c r="I607">
        <f>RTD("tos.rtd", , "GAMMA", ".SPY160115C208")</f>
        <v>1.502E-2</v>
      </c>
      <c r="J607">
        <f>RTD("tos.rtd", , "VEGA", ".SPY160115C208")</f>
        <v>0.69159999999999999</v>
      </c>
      <c r="K607">
        <f>RTD("tos.rtd", , "RHO", ".SPY160115C208")</f>
        <v>0.62988</v>
      </c>
      <c r="L607">
        <f>RTD("tos.rtd", , "ASK", ".SPY160115P208")</f>
        <v>10.39</v>
      </c>
      <c r="M607">
        <f>RTD("tos.rtd", , "ASK_SIZE", ".SPY160115P208")</f>
        <v>2356</v>
      </c>
      <c r="N607">
        <f>RTD("tos.rtd", , "BID", ".SPY160115P208")</f>
        <v>10.14</v>
      </c>
      <c r="O607">
        <f>RTD("tos.rtd", , "BID_SIZE", ".SPY160115P208")</f>
        <v>2356</v>
      </c>
      <c r="P607">
        <f>RTD("tos.rtd", , "VOLUME", ".SPY160115P208")</f>
        <v>28</v>
      </c>
      <c r="Q607">
        <f>RTD("tos.rtd", , "OPEN_INT", ".SPY160115P208")</f>
        <v>1771</v>
      </c>
      <c r="R607">
        <f>RTD("tos.rtd", , "DELTA", ".SPY160115P208")</f>
        <v>-0.45040999999999998</v>
      </c>
      <c r="S607">
        <f>RTD("tos.rtd", , "THETA", ".SPY160115P208")</f>
        <v>-2.494E-2</v>
      </c>
      <c r="T607">
        <f>RTD("tos.rtd", , "GAMMA", ".SPY160115P208")</f>
        <v>1.417E-2</v>
      </c>
      <c r="U607">
        <f>RTD("tos.rtd", , "VEGA", ".SPY160115P208")</f>
        <v>0.69467999999999996</v>
      </c>
      <c r="V607">
        <f>RTD("tos.rtd", , "RHO", ".SPY160115P208")</f>
        <v>-0.74068000000000001</v>
      </c>
    </row>
    <row r="608" spans="1:22" x14ac:dyDescent="0.25">
      <c r="A608" t="str">
        <f>RTD("tos.rtd", , "ASK", ".SPY160115C208.5")</f>
        <v>N/A</v>
      </c>
      <c r="B608" t="str">
        <f>RTD("tos.rtd", , "ASK_SIZE", ".SPY160115C208.5")</f>
        <v>N/A</v>
      </c>
      <c r="C608" t="str">
        <f>RTD("tos.rtd", , "BID", ".SPY160115C208.5")</f>
        <v>N/A</v>
      </c>
      <c r="D608" t="str">
        <f>RTD("tos.rtd", , "BID_SIZE", ".SPY160115C208.5")</f>
        <v>N/A</v>
      </c>
      <c r="E608" t="str">
        <f>RTD("tos.rtd", , "VOLUME", ".SPY160115C208.5")</f>
        <v>N/A</v>
      </c>
      <c r="F608" t="str">
        <f>RTD("tos.rtd", , "OPEN_INT", ".SPY160115C208.5")</f>
        <v>N/A</v>
      </c>
      <c r="G608" t="str">
        <f>RTD("tos.rtd", , "DELTA", ".SPY160115C208.5")</f>
        <v>N/A</v>
      </c>
      <c r="H608" t="str">
        <f>RTD("tos.rtd", , "THETA", ".SPY160115C208.5")</f>
        <v>N/A</v>
      </c>
      <c r="I608" t="str">
        <f>RTD("tos.rtd", , "GAMMA", ".SPY160115C208.5")</f>
        <v>N/A</v>
      </c>
      <c r="J608" t="str">
        <f>RTD("tos.rtd", , "VEGA", ".SPY160115C208.5")</f>
        <v>N/A</v>
      </c>
      <c r="K608" t="str">
        <f>RTD("tos.rtd", , "RHO", ".SPY160115C208.5")</f>
        <v>N/A</v>
      </c>
      <c r="L608" t="str">
        <f>RTD("tos.rtd", , "ASK", ".SPY160115P208.5")</f>
        <v>N/A</v>
      </c>
      <c r="M608" t="str">
        <f>RTD("tos.rtd", , "ASK_SIZE", ".SPY160115P208.5")</f>
        <v>N/A</v>
      </c>
      <c r="N608" t="str">
        <f>RTD("tos.rtd", , "BID", ".SPY160115P208.5")</f>
        <v>N/A</v>
      </c>
      <c r="O608" t="str">
        <f>RTD("tos.rtd", , "BID_SIZE", ".SPY160115P208.5")</f>
        <v>N/A</v>
      </c>
      <c r="P608" t="str">
        <f>RTD("tos.rtd", , "VOLUME", ".SPY160115P208.5")</f>
        <v>N/A</v>
      </c>
      <c r="Q608" t="str">
        <f>RTD("tos.rtd", , "OPEN_INT", ".SPY160115P208.5")</f>
        <v>N/A</v>
      </c>
      <c r="R608" t="str">
        <f>RTD("tos.rtd", , "DELTA", ".SPY160115P208.5")</f>
        <v>N/A</v>
      </c>
      <c r="S608" t="str">
        <f>RTD("tos.rtd", , "THETA", ".SPY160115P208.5")</f>
        <v>N/A</v>
      </c>
      <c r="T608" t="str">
        <f>RTD("tos.rtd", , "GAMMA", ".SPY160115P208.5")</f>
        <v>N/A</v>
      </c>
      <c r="U608" t="str">
        <f>RTD("tos.rtd", , "VEGA", ".SPY160115P208.5")</f>
        <v>N/A</v>
      </c>
      <c r="V608" t="str">
        <f>RTD("tos.rtd", , "RHO", ".SPY160115P208.5")</f>
        <v>N/A</v>
      </c>
    </row>
    <row r="609" spans="1:22" x14ac:dyDescent="0.25">
      <c r="A609">
        <f>RTD("tos.rtd", , "ASK", ".SPY160115C209")</f>
        <v>11.06</v>
      </c>
      <c r="B609">
        <f>RTD("tos.rtd", , "ASK_SIZE", ".SPY160115C209")</f>
        <v>304</v>
      </c>
      <c r="C609">
        <f>RTD("tos.rtd", , "BID", ".SPY160115C209")</f>
        <v>10.86</v>
      </c>
      <c r="D609">
        <f>RTD("tos.rtd", , "BID_SIZE", ".SPY160115C209")</f>
        <v>2565</v>
      </c>
      <c r="E609">
        <f>RTD("tos.rtd", , "VOLUME", ".SPY160115C209")</f>
        <v>202</v>
      </c>
      <c r="F609">
        <f>RTD("tos.rtd", , "OPEN_INT", ".SPY160115C209")</f>
        <v>887</v>
      </c>
      <c r="G609">
        <f>RTD("tos.rtd", , "DELTA", ".SPY160115C209")</f>
        <v>0.53341000000000005</v>
      </c>
      <c r="H609">
        <f>RTD("tos.rtd", , "THETA", ".SPY160115C209")</f>
        <v>-1.678E-2</v>
      </c>
      <c r="I609">
        <f>RTD("tos.rtd", , "GAMMA", ".SPY160115C209")</f>
        <v>1.525E-2</v>
      </c>
      <c r="J609">
        <f>RTD("tos.rtd", , "VEGA", ".SPY160115C209")</f>
        <v>0.69476000000000004</v>
      </c>
      <c r="K609">
        <f>RTD("tos.rtd", , "RHO", ".SPY160115C209")</f>
        <v>0.61895999999999995</v>
      </c>
      <c r="L609">
        <f>RTD("tos.rtd", , "ASK", ".SPY160115P209")</f>
        <v>10.75</v>
      </c>
      <c r="M609">
        <f>RTD("tos.rtd", , "ASK_SIZE", ".SPY160115P209")</f>
        <v>129</v>
      </c>
      <c r="N609">
        <f>RTD("tos.rtd", , "BID", ".SPY160115P209")</f>
        <v>10.58</v>
      </c>
      <c r="O609">
        <f>RTD("tos.rtd", , "BID_SIZE", ".SPY160115P209")</f>
        <v>325</v>
      </c>
      <c r="P609">
        <f>RTD("tos.rtd", , "VOLUME", ".SPY160115P209")</f>
        <v>27</v>
      </c>
      <c r="Q609">
        <f>RTD("tos.rtd", , "OPEN_INT", ".SPY160115P209")</f>
        <v>1106</v>
      </c>
      <c r="R609">
        <f>RTD("tos.rtd", , "DELTA", ".SPY160115P209")</f>
        <v>-0.46504000000000001</v>
      </c>
      <c r="S609">
        <f>RTD("tos.rtd", , "THETA", ".SPY160115P209")</f>
        <v>-2.4910000000000002E-2</v>
      </c>
      <c r="T609">
        <f>RTD("tos.rtd", , "GAMMA", ".SPY160115P209")</f>
        <v>1.4370000000000001E-2</v>
      </c>
      <c r="U609">
        <f>RTD("tos.rtd", , "VEGA", ".SPY160115P209")</f>
        <v>0.69706000000000001</v>
      </c>
      <c r="V609">
        <f>RTD("tos.rtd", , "RHO", ".SPY160115P209")</f>
        <v>-0.76524000000000003</v>
      </c>
    </row>
    <row r="610" spans="1:22" x14ac:dyDescent="0.25">
      <c r="A610" t="str">
        <f>RTD("tos.rtd", , "ASK", ".SPY160115C209.5")</f>
        <v>N/A</v>
      </c>
      <c r="B610" t="str">
        <f>RTD("tos.rtd", , "ASK_SIZE", ".SPY160115C209.5")</f>
        <v>N/A</v>
      </c>
      <c r="C610" t="str">
        <f>RTD("tos.rtd", , "BID", ".SPY160115C209.5")</f>
        <v>N/A</v>
      </c>
      <c r="D610" t="str">
        <f>RTD("tos.rtd", , "BID_SIZE", ".SPY160115C209.5")</f>
        <v>N/A</v>
      </c>
      <c r="E610" t="str">
        <f>RTD("tos.rtd", , "VOLUME", ".SPY160115C209.5")</f>
        <v>N/A</v>
      </c>
      <c r="F610" t="str">
        <f>RTD("tos.rtd", , "OPEN_INT", ".SPY160115C209.5")</f>
        <v>N/A</v>
      </c>
      <c r="G610" t="str">
        <f>RTD("tos.rtd", , "DELTA", ".SPY160115C209.5")</f>
        <v>N/A</v>
      </c>
      <c r="H610" t="str">
        <f>RTD("tos.rtd", , "THETA", ".SPY160115C209.5")</f>
        <v>N/A</v>
      </c>
      <c r="I610" t="str">
        <f>RTD("tos.rtd", , "GAMMA", ".SPY160115C209.5")</f>
        <v>N/A</v>
      </c>
      <c r="J610" t="str">
        <f>RTD("tos.rtd", , "VEGA", ".SPY160115C209.5")</f>
        <v>N/A</v>
      </c>
      <c r="K610" t="str">
        <f>RTD("tos.rtd", , "RHO", ".SPY160115C209.5")</f>
        <v>N/A</v>
      </c>
      <c r="L610" t="str">
        <f>RTD("tos.rtd", , "ASK", ".SPY160115P209.5")</f>
        <v>N/A</v>
      </c>
      <c r="M610" t="str">
        <f>RTD("tos.rtd", , "ASK_SIZE", ".SPY160115P209.5")</f>
        <v>N/A</v>
      </c>
      <c r="N610" t="str">
        <f>RTD("tos.rtd", , "BID", ".SPY160115P209.5")</f>
        <v>N/A</v>
      </c>
      <c r="O610" t="str">
        <f>RTD("tos.rtd", , "BID_SIZE", ".SPY160115P209.5")</f>
        <v>N/A</v>
      </c>
      <c r="P610" t="str">
        <f>RTD("tos.rtd", , "VOLUME", ".SPY160115P209.5")</f>
        <v>N/A</v>
      </c>
      <c r="Q610" t="str">
        <f>RTD("tos.rtd", , "OPEN_INT", ".SPY160115P209.5")</f>
        <v>N/A</v>
      </c>
      <c r="R610" t="str">
        <f>RTD("tos.rtd", , "DELTA", ".SPY160115P209.5")</f>
        <v>N/A</v>
      </c>
      <c r="S610" t="str">
        <f>RTD("tos.rtd", , "THETA", ".SPY160115P209.5")</f>
        <v>N/A</v>
      </c>
      <c r="T610" t="str">
        <f>RTD("tos.rtd", , "GAMMA", ".SPY160115P209.5")</f>
        <v>N/A</v>
      </c>
      <c r="U610" t="str">
        <f>RTD("tos.rtd", , "VEGA", ".SPY160115P209.5")</f>
        <v>N/A</v>
      </c>
      <c r="V610" t="str">
        <f>RTD("tos.rtd", , "RHO", ".SPY160115P209.5")</f>
        <v>N/A</v>
      </c>
    </row>
    <row r="611" spans="1:22" x14ac:dyDescent="0.25">
      <c r="A611">
        <f>RTD("tos.rtd", , "ASK", ".SPY160115C210")</f>
        <v>10.5</v>
      </c>
      <c r="B611">
        <f>RTD("tos.rtd", , "ASK_SIZE", ".SPY160115C210")</f>
        <v>138</v>
      </c>
      <c r="C611">
        <f>RTD("tos.rtd", , "BID", ".SPY160115C210")</f>
        <v>10.23</v>
      </c>
      <c r="D611">
        <f>RTD("tos.rtd", , "BID_SIZE", ".SPY160115C210")</f>
        <v>2587</v>
      </c>
      <c r="E611">
        <f>RTD("tos.rtd", , "VOLUME", ".SPY160115C210")</f>
        <v>315</v>
      </c>
      <c r="F611">
        <f>RTD("tos.rtd", , "OPEN_INT", ".SPY160115C210")</f>
        <v>21915</v>
      </c>
      <c r="G611">
        <f>RTD("tos.rtd", , "DELTA", ".SPY160115C210")</f>
        <v>0.51776</v>
      </c>
      <c r="H611">
        <f>RTD("tos.rtd", , "THETA", ".SPY160115C210")</f>
        <v>-1.67E-2</v>
      </c>
      <c r="I611">
        <f>RTD("tos.rtd", , "GAMMA", ".SPY160115C210")</f>
        <v>1.541E-2</v>
      </c>
      <c r="J611">
        <f>RTD("tos.rtd", , "VEGA", ".SPY160115C210")</f>
        <v>0.69693000000000005</v>
      </c>
      <c r="K611">
        <f>RTD("tos.rtd", , "RHO", ".SPY160115C210")</f>
        <v>0.60721999999999998</v>
      </c>
      <c r="L611">
        <f>RTD("tos.rtd", , "ASK", ".SPY160115P210")</f>
        <v>11.14</v>
      </c>
      <c r="M611">
        <f>RTD("tos.rtd", , "ASK_SIZE", ".SPY160115P210")</f>
        <v>319</v>
      </c>
      <c r="N611">
        <f>RTD("tos.rtd", , "BID", ".SPY160115P210")</f>
        <v>10.99</v>
      </c>
      <c r="O611">
        <f>RTD("tos.rtd", , "BID_SIZE", ".SPY160115P210")</f>
        <v>323</v>
      </c>
      <c r="P611">
        <f>RTD("tos.rtd", , "VOLUME", ".SPY160115P210")</f>
        <v>183</v>
      </c>
      <c r="Q611">
        <f>RTD("tos.rtd", , "OPEN_INT", ".SPY160115P210")</f>
        <v>26066</v>
      </c>
      <c r="R611">
        <f>RTD("tos.rtd", , "DELTA", ".SPY160115P210")</f>
        <v>-0.48000999999999999</v>
      </c>
      <c r="S611">
        <f>RTD("tos.rtd", , "THETA", ".SPY160115P210")</f>
        <v>-2.4830000000000001E-2</v>
      </c>
      <c r="T611">
        <f>RTD("tos.rtd", , "GAMMA", ".SPY160115P210")</f>
        <v>1.457E-2</v>
      </c>
      <c r="U611">
        <f>RTD("tos.rtd", , "VEGA", ".SPY160115P210")</f>
        <v>0.69849000000000006</v>
      </c>
      <c r="V611">
        <f>RTD("tos.rtd", , "RHO", ".SPY160115P210")</f>
        <v>-0.79029000000000005</v>
      </c>
    </row>
    <row r="612" spans="1:22" x14ac:dyDescent="0.25">
      <c r="A612" t="str">
        <f>RTD("tos.rtd", , "ASK", ".SPY160115C210.5")</f>
        <v>N/A</v>
      </c>
      <c r="B612" t="str">
        <f>RTD("tos.rtd", , "ASK_SIZE", ".SPY160115C210.5")</f>
        <v>N/A</v>
      </c>
      <c r="C612" t="str">
        <f>RTD("tos.rtd", , "BID", ".SPY160115C210.5")</f>
        <v>N/A</v>
      </c>
      <c r="D612" t="str">
        <f>RTD("tos.rtd", , "BID_SIZE", ".SPY160115C210.5")</f>
        <v>N/A</v>
      </c>
      <c r="E612" t="str">
        <f>RTD("tos.rtd", , "VOLUME", ".SPY160115C210.5")</f>
        <v>N/A</v>
      </c>
      <c r="F612" t="str">
        <f>RTD("tos.rtd", , "OPEN_INT", ".SPY160115C210.5")</f>
        <v>N/A</v>
      </c>
      <c r="G612" t="str">
        <f>RTD("tos.rtd", , "DELTA", ".SPY160115C210.5")</f>
        <v>N/A</v>
      </c>
      <c r="H612" t="str">
        <f>RTD("tos.rtd", , "THETA", ".SPY160115C210.5")</f>
        <v>N/A</v>
      </c>
      <c r="I612" t="str">
        <f>RTD("tos.rtd", , "GAMMA", ".SPY160115C210.5")</f>
        <v>N/A</v>
      </c>
      <c r="J612" t="str">
        <f>RTD("tos.rtd", , "VEGA", ".SPY160115C210.5")</f>
        <v>N/A</v>
      </c>
      <c r="K612" t="str">
        <f>RTD("tos.rtd", , "RHO", ".SPY160115C210.5")</f>
        <v>N/A</v>
      </c>
      <c r="L612" t="str">
        <f>RTD("tos.rtd", , "ASK", ".SPY160115P210.5")</f>
        <v>N/A</v>
      </c>
      <c r="M612" t="str">
        <f>RTD("tos.rtd", , "ASK_SIZE", ".SPY160115P210.5")</f>
        <v>N/A</v>
      </c>
      <c r="N612" t="str">
        <f>RTD("tos.rtd", , "BID", ".SPY160115P210.5")</f>
        <v>N/A</v>
      </c>
      <c r="O612" t="str">
        <f>RTD("tos.rtd", , "BID_SIZE", ".SPY160115P210.5")</f>
        <v>N/A</v>
      </c>
      <c r="P612" t="str">
        <f>RTD("tos.rtd", , "VOLUME", ".SPY160115P210.5")</f>
        <v>N/A</v>
      </c>
      <c r="Q612" t="str">
        <f>RTD("tos.rtd", , "OPEN_INT", ".SPY160115P210.5")</f>
        <v>N/A</v>
      </c>
      <c r="R612" t="str">
        <f>RTD("tos.rtd", , "DELTA", ".SPY160115P210.5")</f>
        <v>N/A</v>
      </c>
      <c r="S612" t="str">
        <f>RTD("tos.rtd", , "THETA", ".SPY160115P210.5")</f>
        <v>N/A</v>
      </c>
      <c r="T612" t="str">
        <f>RTD("tos.rtd", , "GAMMA", ".SPY160115P210.5")</f>
        <v>N/A</v>
      </c>
      <c r="U612" t="str">
        <f>RTD("tos.rtd", , "VEGA", ".SPY160115P210.5")</f>
        <v>N/A</v>
      </c>
      <c r="V612" t="str">
        <f>RTD("tos.rtd", , "RHO", ".SPY160115P210.5")</f>
        <v>N/A</v>
      </c>
    </row>
    <row r="613" spans="1:22" x14ac:dyDescent="0.25">
      <c r="A613">
        <f>RTD("tos.rtd", , "ASK", ".SPY160115C211")</f>
        <v>9.83</v>
      </c>
      <c r="B613">
        <f>RTD("tos.rtd", , "ASK_SIZE", ".SPY160115C211")</f>
        <v>131</v>
      </c>
      <c r="C613">
        <f>RTD("tos.rtd", , "BID", ".SPY160115C211")</f>
        <v>9.6199999999999992</v>
      </c>
      <c r="D613">
        <f>RTD("tos.rtd", , "BID_SIZE", ".SPY160115C211")</f>
        <v>2569</v>
      </c>
      <c r="E613">
        <f>RTD("tos.rtd", , "VOLUME", ".SPY160115C211")</f>
        <v>818</v>
      </c>
      <c r="F613">
        <f>RTD("tos.rtd", , "OPEN_INT", ".SPY160115C211")</f>
        <v>910</v>
      </c>
      <c r="G613">
        <f>RTD("tos.rtd", , "DELTA", ".SPY160115C211")</f>
        <v>0.50161999999999995</v>
      </c>
      <c r="H613">
        <f>RTD("tos.rtd", , "THETA", ".SPY160115C211")</f>
        <v>-1.6480000000000002E-2</v>
      </c>
      <c r="I613">
        <f>RTD("tos.rtd", , "GAMMA", ".SPY160115C211")</f>
        <v>1.5610000000000001E-2</v>
      </c>
      <c r="J613">
        <f>RTD("tos.rtd", , "VEGA", ".SPY160115C211")</f>
        <v>0.69799</v>
      </c>
      <c r="K613">
        <f>RTD("tos.rtd", , "RHO", ".SPY160115C211")</f>
        <v>0.59438000000000002</v>
      </c>
      <c r="L613">
        <f>RTD("tos.rtd", , "ASK", ".SPY160115P211")</f>
        <v>11.56</v>
      </c>
      <c r="M613">
        <f>RTD("tos.rtd", , "ASK_SIZE", ".SPY160115P211")</f>
        <v>441</v>
      </c>
      <c r="N613">
        <f>RTD("tos.rtd", , "BID", ".SPY160115P211")</f>
        <v>11.38</v>
      </c>
      <c r="O613">
        <f>RTD("tos.rtd", , "BID_SIZE", ".SPY160115P211")</f>
        <v>327</v>
      </c>
      <c r="P613">
        <f>RTD("tos.rtd", , "VOLUME", ".SPY160115P211")</f>
        <v>561</v>
      </c>
      <c r="Q613">
        <f>RTD("tos.rtd", , "OPEN_INT", ".SPY160115P211")</f>
        <v>205</v>
      </c>
      <c r="R613">
        <f>RTD("tos.rtd", , "DELTA", ".SPY160115P211")</f>
        <v>-0.49531999999999998</v>
      </c>
      <c r="S613">
        <f>RTD("tos.rtd", , "THETA", ".SPY160115P211")</f>
        <v>-2.4709999999999999E-2</v>
      </c>
      <c r="T613">
        <f>RTD("tos.rtd", , "GAMMA", ".SPY160115P211")</f>
        <v>1.474E-2</v>
      </c>
      <c r="U613">
        <f>RTD("tos.rtd", , "VEGA", ".SPY160115P211")</f>
        <v>0.69891000000000003</v>
      </c>
      <c r="V613">
        <f>RTD("tos.rtd", , "RHO", ".SPY160115P211")</f>
        <v>-0.81589999999999996</v>
      </c>
    </row>
    <row r="614" spans="1:22" x14ac:dyDescent="0.25">
      <c r="A614" t="str">
        <f>RTD("tos.rtd", , "ASK", ".SPY160115C211.5")</f>
        <v>N/A</v>
      </c>
      <c r="B614" t="str">
        <f>RTD("tos.rtd", , "ASK_SIZE", ".SPY160115C211.5")</f>
        <v>N/A</v>
      </c>
      <c r="C614" t="str">
        <f>RTD("tos.rtd", , "BID", ".SPY160115C211.5")</f>
        <v>N/A</v>
      </c>
      <c r="D614" t="str">
        <f>RTD("tos.rtd", , "BID_SIZE", ".SPY160115C211.5")</f>
        <v>N/A</v>
      </c>
      <c r="E614" t="str">
        <f>RTD("tos.rtd", , "VOLUME", ".SPY160115C211.5")</f>
        <v>N/A</v>
      </c>
      <c r="F614" t="str">
        <f>RTD("tos.rtd", , "OPEN_INT", ".SPY160115C211.5")</f>
        <v>N/A</v>
      </c>
      <c r="G614" t="str">
        <f>RTD("tos.rtd", , "DELTA", ".SPY160115C211.5")</f>
        <v>N/A</v>
      </c>
      <c r="H614" t="str">
        <f>RTD("tos.rtd", , "THETA", ".SPY160115C211.5")</f>
        <v>N/A</v>
      </c>
      <c r="I614" t="str">
        <f>RTD("tos.rtd", , "GAMMA", ".SPY160115C211.5")</f>
        <v>N/A</v>
      </c>
      <c r="J614" t="str">
        <f>RTD("tos.rtd", , "VEGA", ".SPY160115C211.5")</f>
        <v>N/A</v>
      </c>
      <c r="K614" t="str">
        <f>RTD("tos.rtd", , "RHO", ".SPY160115C211.5")</f>
        <v>N/A</v>
      </c>
      <c r="L614" t="str">
        <f>RTD("tos.rtd", , "ASK", ".SPY160115P211.5")</f>
        <v>N/A</v>
      </c>
      <c r="M614" t="str">
        <f>RTD("tos.rtd", , "ASK_SIZE", ".SPY160115P211.5")</f>
        <v>N/A</v>
      </c>
      <c r="N614" t="str">
        <f>RTD("tos.rtd", , "BID", ".SPY160115P211.5")</f>
        <v>N/A</v>
      </c>
      <c r="O614" t="str">
        <f>RTD("tos.rtd", , "BID_SIZE", ".SPY160115P211.5")</f>
        <v>N/A</v>
      </c>
      <c r="P614" t="str">
        <f>RTD("tos.rtd", , "VOLUME", ".SPY160115P211.5")</f>
        <v>N/A</v>
      </c>
      <c r="Q614" t="str">
        <f>RTD("tos.rtd", , "OPEN_INT", ".SPY160115P211.5")</f>
        <v>N/A</v>
      </c>
      <c r="R614" t="str">
        <f>RTD("tos.rtd", , "DELTA", ".SPY160115P211.5")</f>
        <v>N/A</v>
      </c>
      <c r="S614" t="str">
        <f>RTD("tos.rtd", , "THETA", ".SPY160115P211.5")</f>
        <v>N/A</v>
      </c>
      <c r="T614" t="str">
        <f>RTD("tos.rtd", , "GAMMA", ".SPY160115P211.5")</f>
        <v>N/A</v>
      </c>
      <c r="U614" t="str">
        <f>RTD("tos.rtd", , "VEGA", ".SPY160115P211.5")</f>
        <v>N/A</v>
      </c>
      <c r="V614" t="str">
        <f>RTD("tos.rtd", , "RHO", ".SPY160115P211.5")</f>
        <v>N/A</v>
      </c>
    </row>
    <row r="615" spans="1:22" x14ac:dyDescent="0.25">
      <c r="A615">
        <f>RTD("tos.rtd", , "ASK", ".SPY160115C212")</f>
        <v>9.23</v>
      </c>
      <c r="B615">
        <f>RTD("tos.rtd", , "ASK_SIZE", ".SPY160115C212")</f>
        <v>128</v>
      </c>
      <c r="C615">
        <f>RTD("tos.rtd", , "BID", ".SPY160115C212")</f>
        <v>9.0399999999999991</v>
      </c>
      <c r="D615">
        <f>RTD("tos.rtd", , "BID_SIZE", ".SPY160115C212")</f>
        <v>2576</v>
      </c>
      <c r="E615">
        <f>RTD("tos.rtd", , "VOLUME", ".SPY160115C212")</f>
        <v>141</v>
      </c>
      <c r="F615">
        <f>RTD("tos.rtd", , "OPEN_INT", ".SPY160115C212")</f>
        <v>1029</v>
      </c>
      <c r="G615">
        <f>RTD("tos.rtd", , "DELTA", ".SPY160115C212")</f>
        <v>0.48526999999999998</v>
      </c>
      <c r="H615">
        <f>RTD("tos.rtd", , "THETA", ".SPY160115C212")</f>
        <v>-1.6299999999999999E-2</v>
      </c>
      <c r="I615">
        <f>RTD("tos.rtd", , "GAMMA", ".SPY160115C212")</f>
        <v>1.5779999999999999E-2</v>
      </c>
      <c r="J615">
        <f>RTD("tos.rtd", , "VEGA", ".SPY160115C212")</f>
        <v>0.69791000000000003</v>
      </c>
      <c r="K615">
        <f>RTD("tos.rtd", , "RHO", ".SPY160115C212")</f>
        <v>0.58079999999999998</v>
      </c>
      <c r="L615">
        <f>RTD("tos.rtd", , "ASK", ".SPY160115P212")</f>
        <v>11.99</v>
      </c>
      <c r="M615">
        <f>RTD("tos.rtd", , "ASK_SIZE", ".SPY160115P212")</f>
        <v>627</v>
      </c>
      <c r="N615">
        <f>RTD("tos.rtd", , "BID", ".SPY160115P212")</f>
        <v>11.75</v>
      </c>
      <c r="O615">
        <f>RTD("tos.rtd", , "BID_SIZE", ".SPY160115P212")</f>
        <v>135</v>
      </c>
      <c r="P615">
        <f>RTD("tos.rtd", , "VOLUME", ".SPY160115P212")</f>
        <v>372</v>
      </c>
      <c r="Q615">
        <f>RTD("tos.rtd", , "OPEN_INT", ".SPY160115P212")</f>
        <v>106</v>
      </c>
      <c r="R615">
        <f>RTD("tos.rtd", , "DELTA", ".SPY160115P212")</f>
        <v>-0.51105999999999996</v>
      </c>
      <c r="S615">
        <f>RTD("tos.rtd", , "THETA", ".SPY160115P212")</f>
        <v>-2.4510000000000001E-2</v>
      </c>
      <c r="T615">
        <f>RTD("tos.rtd", , "GAMMA", ".SPY160115P212")</f>
        <v>1.4959999999999999E-2</v>
      </c>
      <c r="U615">
        <f>RTD("tos.rtd", , "VEGA", ".SPY160115P212")</f>
        <v>0.69826999999999995</v>
      </c>
      <c r="V615">
        <f>RTD("tos.rtd", , "RHO", ".SPY160115P212")</f>
        <v>-0.84209999999999996</v>
      </c>
    </row>
    <row r="616" spans="1:22" x14ac:dyDescent="0.25">
      <c r="A616" t="str">
        <f>RTD("tos.rtd", , "ASK", ".SPY160115C212.5")</f>
        <v>N/A</v>
      </c>
      <c r="B616" t="str">
        <f>RTD("tos.rtd", , "ASK_SIZE", ".SPY160115C212.5")</f>
        <v>N/A</v>
      </c>
      <c r="C616" t="str">
        <f>RTD("tos.rtd", , "BID", ".SPY160115C212.5")</f>
        <v>N/A</v>
      </c>
      <c r="D616" t="str">
        <f>RTD("tos.rtd", , "BID_SIZE", ".SPY160115C212.5")</f>
        <v>N/A</v>
      </c>
      <c r="E616" t="str">
        <f>RTD("tos.rtd", , "VOLUME", ".SPY160115C212.5")</f>
        <v>N/A</v>
      </c>
      <c r="F616" t="str">
        <f>RTD("tos.rtd", , "OPEN_INT", ".SPY160115C212.5")</f>
        <v>N/A</v>
      </c>
      <c r="G616" t="str">
        <f>RTD("tos.rtd", , "DELTA", ".SPY160115C212.5")</f>
        <v>N/A</v>
      </c>
      <c r="H616" t="str">
        <f>RTD("tos.rtd", , "THETA", ".SPY160115C212.5")</f>
        <v>N/A</v>
      </c>
      <c r="I616" t="str">
        <f>RTD("tos.rtd", , "GAMMA", ".SPY160115C212.5")</f>
        <v>N/A</v>
      </c>
      <c r="J616" t="str">
        <f>RTD("tos.rtd", , "VEGA", ".SPY160115C212.5")</f>
        <v>N/A</v>
      </c>
      <c r="K616" t="str">
        <f>RTD("tos.rtd", , "RHO", ".SPY160115C212.5")</f>
        <v>N/A</v>
      </c>
      <c r="L616" t="str">
        <f>RTD("tos.rtd", , "ASK", ".SPY160115P212.5")</f>
        <v>N/A</v>
      </c>
      <c r="M616" t="str">
        <f>RTD("tos.rtd", , "ASK_SIZE", ".SPY160115P212.5")</f>
        <v>N/A</v>
      </c>
      <c r="N616" t="str">
        <f>RTD("tos.rtd", , "BID", ".SPY160115P212.5")</f>
        <v>N/A</v>
      </c>
      <c r="O616" t="str">
        <f>RTD("tos.rtd", , "BID_SIZE", ".SPY160115P212.5")</f>
        <v>N/A</v>
      </c>
      <c r="P616" t="str">
        <f>RTD("tos.rtd", , "VOLUME", ".SPY160115P212.5")</f>
        <v>N/A</v>
      </c>
      <c r="Q616" t="str">
        <f>RTD("tos.rtd", , "OPEN_INT", ".SPY160115P212.5")</f>
        <v>N/A</v>
      </c>
      <c r="R616" t="str">
        <f>RTD("tos.rtd", , "DELTA", ".SPY160115P212.5")</f>
        <v>N/A</v>
      </c>
      <c r="S616" t="str">
        <f>RTD("tos.rtd", , "THETA", ".SPY160115P212.5")</f>
        <v>N/A</v>
      </c>
      <c r="T616" t="str">
        <f>RTD("tos.rtd", , "GAMMA", ".SPY160115P212.5")</f>
        <v>N/A</v>
      </c>
      <c r="U616" t="str">
        <f>RTD("tos.rtd", , "VEGA", ".SPY160115P212.5")</f>
        <v>N/A</v>
      </c>
      <c r="V616" t="str">
        <f>RTD("tos.rtd", , "RHO", ".SPY160115P212.5")</f>
        <v>N/A</v>
      </c>
    </row>
    <row r="617" spans="1:22" x14ac:dyDescent="0.25">
      <c r="A617">
        <f>RTD("tos.rtd", , "ASK", ".SPY160115C213")</f>
        <v>8.7200000000000006</v>
      </c>
      <c r="B617">
        <f>RTD("tos.rtd", , "ASK_SIZE", ".SPY160115C213")</f>
        <v>144</v>
      </c>
      <c r="C617">
        <f>RTD("tos.rtd", , "BID", ".SPY160115C213")</f>
        <v>8.4700000000000006</v>
      </c>
      <c r="D617">
        <f>RTD("tos.rtd", , "BID_SIZE", ".SPY160115C213")</f>
        <v>2577</v>
      </c>
      <c r="E617">
        <f>RTD("tos.rtd", , "VOLUME", ".SPY160115C213")</f>
        <v>1024</v>
      </c>
      <c r="F617">
        <f>RTD("tos.rtd", , "OPEN_INT", ".SPY160115C213")</f>
        <v>537</v>
      </c>
      <c r="G617">
        <f>RTD("tos.rtd", , "DELTA", ".SPY160115C213")</f>
        <v>0.46887000000000001</v>
      </c>
      <c r="H617">
        <f>RTD("tos.rtd", , "THETA", ".SPY160115C213")</f>
        <v>-1.6160000000000001E-2</v>
      </c>
      <c r="I617">
        <f>RTD("tos.rtd", , "GAMMA", ".SPY160115C213")</f>
        <v>1.5859999999999999E-2</v>
      </c>
      <c r="J617">
        <f>RTD("tos.rtd", , "VEGA", ".SPY160115C213")</f>
        <v>0.69667999999999997</v>
      </c>
      <c r="K617">
        <f>RTD("tos.rtd", , "RHO", ".SPY160115C213")</f>
        <v>0.56662999999999997</v>
      </c>
      <c r="L617">
        <f>RTD("tos.rtd", , "ASK", ".SPY160115P213")</f>
        <v>12.43</v>
      </c>
      <c r="M617">
        <f>RTD("tos.rtd", , "ASK_SIZE", ".SPY160115P213")</f>
        <v>361</v>
      </c>
      <c r="N617">
        <f>RTD("tos.rtd", , "BID", ".SPY160115P213")</f>
        <v>12.23</v>
      </c>
      <c r="O617">
        <f>RTD("tos.rtd", , "BID_SIZE", ".SPY160115P213")</f>
        <v>329</v>
      </c>
      <c r="P617">
        <f>RTD("tos.rtd", , "VOLUME", ".SPY160115P213")</f>
        <v>0</v>
      </c>
      <c r="Q617">
        <f>RTD("tos.rtd", , "OPEN_INT", ".SPY160115P213")</f>
        <v>197</v>
      </c>
      <c r="R617">
        <f>RTD("tos.rtd", , "DELTA", ".SPY160115P213")</f>
        <v>-0.52681999999999995</v>
      </c>
      <c r="S617">
        <f>RTD("tos.rtd", , "THETA", ".SPY160115P213")</f>
        <v>-2.4379999999999999E-2</v>
      </c>
      <c r="T617">
        <f>RTD("tos.rtd", , "GAMMA", ".SPY160115P213")</f>
        <v>1.5089999999999999E-2</v>
      </c>
      <c r="U617">
        <f>RTD("tos.rtd", , "VEGA", ".SPY160115P213")</f>
        <v>0.69650000000000001</v>
      </c>
      <c r="V617">
        <f>RTD("tos.rtd", , "RHO", ".SPY160115P213")</f>
        <v>-0.86875999999999998</v>
      </c>
    </row>
    <row r="618" spans="1:22" x14ac:dyDescent="0.25">
      <c r="A618" t="str">
        <f>RTD("tos.rtd", , "ASK", ".SPY160115C213.5")</f>
        <v>N/A</v>
      </c>
      <c r="B618" t="str">
        <f>RTD("tos.rtd", , "ASK_SIZE", ".SPY160115C213.5")</f>
        <v>N/A</v>
      </c>
      <c r="C618" t="str">
        <f>RTD("tos.rtd", , "BID", ".SPY160115C213.5")</f>
        <v>N/A</v>
      </c>
      <c r="D618" t="str">
        <f>RTD("tos.rtd", , "BID_SIZE", ".SPY160115C213.5")</f>
        <v>N/A</v>
      </c>
      <c r="E618" t="str">
        <f>RTD("tos.rtd", , "VOLUME", ".SPY160115C213.5")</f>
        <v>N/A</v>
      </c>
      <c r="F618" t="str">
        <f>RTD("tos.rtd", , "OPEN_INT", ".SPY160115C213.5")</f>
        <v>N/A</v>
      </c>
      <c r="G618" t="str">
        <f>RTD("tos.rtd", , "DELTA", ".SPY160115C213.5")</f>
        <v>N/A</v>
      </c>
      <c r="H618" t="str">
        <f>RTD("tos.rtd", , "THETA", ".SPY160115C213.5")</f>
        <v>N/A</v>
      </c>
      <c r="I618" t="str">
        <f>RTD("tos.rtd", , "GAMMA", ".SPY160115C213.5")</f>
        <v>N/A</v>
      </c>
      <c r="J618" t="str">
        <f>RTD("tos.rtd", , "VEGA", ".SPY160115C213.5")</f>
        <v>N/A</v>
      </c>
      <c r="K618" t="str">
        <f>RTD("tos.rtd", , "RHO", ".SPY160115C213.5")</f>
        <v>N/A</v>
      </c>
      <c r="L618" t="str">
        <f>RTD("tos.rtd", , "ASK", ".SPY160115P213.5")</f>
        <v>N/A</v>
      </c>
      <c r="M618" t="str">
        <f>RTD("tos.rtd", , "ASK_SIZE", ".SPY160115P213.5")</f>
        <v>N/A</v>
      </c>
      <c r="N618" t="str">
        <f>RTD("tos.rtd", , "BID", ".SPY160115P213.5")</f>
        <v>N/A</v>
      </c>
      <c r="O618" t="str">
        <f>RTD("tos.rtd", , "BID_SIZE", ".SPY160115P213.5")</f>
        <v>N/A</v>
      </c>
      <c r="P618" t="str">
        <f>RTD("tos.rtd", , "VOLUME", ".SPY160115P213.5")</f>
        <v>N/A</v>
      </c>
      <c r="Q618" t="str">
        <f>RTD("tos.rtd", , "OPEN_INT", ".SPY160115P213.5")</f>
        <v>N/A</v>
      </c>
      <c r="R618" t="str">
        <f>RTD("tos.rtd", , "DELTA", ".SPY160115P213.5")</f>
        <v>N/A</v>
      </c>
      <c r="S618" t="str">
        <f>RTD("tos.rtd", , "THETA", ".SPY160115P213.5")</f>
        <v>N/A</v>
      </c>
      <c r="T618" t="str">
        <f>RTD("tos.rtd", , "GAMMA", ".SPY160115P213.5")</f>
        <v>N/A</v>
      </c>
      <c r="U618" t="str">
        <f>RTD("tos.rtd", , "VEGA", ".SPY160115P213.5")</f>
        <v>N/A</v>
      </c>
      <c r="V618" t="str">
        <f>RTD("tos.rtd", , "RHO", ".SPY160115P213.5")</f>
        <v>N/A</v>
      </c>
    </row>
    <row r="619" spans="1:22" x14ac:dyDescent="0.25">
      <c r="A619">
        <f>RTD("tos.rtd", , "ASK", ".SPY160115C214")</f>
        <v>8.16</v>
      </c>
      <c r="B619">
        <f>RTD("tos.rtd", , "ASK_SIZE", ".SPY160115C214")</f>
        <v>151</v>
      </c>
      <c r="C619">
        <f>RTD("tos.rtd", , "BID", ".SPY160115C214")</f>
        <v>7.88</v>
      </c>
      <c r="D619">
        <f>RTD("tos.rtd", , "BID_SIZE", ".SPY160115C214")</f>
        <v>2590</v>
      </c>
      <c r="E619">
        <f>RTD("tos.rtd", , "VOLUME", ".SPY160115C214")</f>
        <v>52</v>
      </c>
      <c r="F619">
        <f>RTD("tos.rtd", , "OPEN_INT", ".SPY160115C214")</f>
        <v>801</v>
      </c>
      <c r="G619">
        <f>RTD("tos.rtd", , "DELTA", ".SPY160115C214")</f>
        <v>0.45180999999999999</v>
      </c>
      <c r="H619">
        <f>RTD("tos.rtd", , "THETA", ".SPY160115C214")</f>
        <v>-1.5890000000000001E-2</v>
      </c>
      <c r="I619">
        <f>RTD("tos.rtd", , "GAMMA", ".SPY160115C214")</f>
        <v>1.601E-2</v>
      </c>
      <c r="J619">
        <f>RTD("tos.rtd", , "VEGA", ".SPY160115C214")</f>
        <v>0.69408000000000003</v>
      </c>
      <c r="K619">
        <f>RTD("tos.rtd", , "RHO", ".SPY160115C214")</f>
        <v>0.55120999999999998</v>
      </c>
      <c r="L619">
        <f>RTD("tos.rtd", , "ASK", ".SPY160115P214")</f>
        <v>12.99</v>
      </c>
      <c r="M619">
        <f>RTD("tos.rtd", , "ASK_SIZE", ".SPY160115P214")</f>
        <v>230</v>
      </c>
      <c r="N619">
        <f>RTD("tos.rtd", , "BID", ".SPY160115P214")</f>
        <v>12.56</v>
      </c>
      <c r="O619">
        <f>RTD("tos.rtd", , "BID_SIZE", ".SPY160115P214")</f>
        <v>237</v>
      </c>
      <c r="P619">
        <f>RTD("tos.rtd", , "VOLUME", ".SPY160115P214")</f>
        <v>0</v>
      </c>
      <c r="Q619">
        <f>RTD("tos.rtd", , "OPEN_INT", ".SPY160115P214")</f>
        <v>158</v>
      </c>
      <c r="R619">
        <f>RTD("tos.rtd", , "DELTA", ".SPY160115P214")</f>
        <v>-0.54310000000000003</v>
      </c>
      <c r="S619">
        <f>RTD("tos.rtd", , "THETA", ".SPY160115P214")</f>
        <v>-2.4150000000000001E-2</v>
      </c>
      <c r="T619">
        <f>RTD("tos.rtd", , "GAMMA", ".SPY160115P214")</f>
        <v>1.524E-2</v>
      </c>
      <c r="U619">
        <f>RTD("tos.rtd", , "VEGA", ".SPY160115P214")</f>
        <v>0.69350999999999996</v>
      </c>
      <c r="V619">
        <f>RTD("tos.rtd", , "RHO", ".SPY160115P214")</f>
        <v>-0.89609000000000005</v>
      </c>
    </row>
    <row r="620" spans="1:22" x14ac:dyDescent="0.25">
      <c r="A620" t="str">
        <f>RTD("tos.rtd", , "ASK", ".SPY160115C214.5")</f>
        <v>N/A</v>
      </c>
      <c r="B620" t="str">
        <f>RTD("tos.rtd", , "ASK_SIZE", ".SPY160115C214.5")</f>
        <v>N/A</v>
      </c>
      <c r="C620" t="str">
        <f>RTD("tos.rtd", , "BID", ".SPY160115C214.5")</f>
        <v>N/A</v>
      </c>
      <c r="D620" t="str">
        <f>RTD("tos.rtd", , "BID_SIZE", ".SPY160115C214.5")</f>
        <v>N/A</v>
      </c>
      <c r="E620" t="str">
        <f>RTD("tos.rtd", , "VOLUME", ".SPY160115C214.5")</f>
        <v>N/A</v>
      </c>
      <c r="F620" t="str">
        <f>RTD("tos.rtd", , "OPEN_INT", ".SPY160115C214.5")</f>
        <v>N/A</v>
      </c>
      <c r="G620" t="str">
        <f>RTD("tos.rtd", , "DELTA", ".SPY160115C214.5")</f>
        <v>N/A</v>
      </c>
      <c r="H620" t="str">
        <f>RTD("tos.rtd", , "THETA", ".SPY160115C214.5")</f>
        <v>N/A</v>
      </c>
      <c r="I620" t="str">
        <f>RTD("tos.rtd", , "GAMMA", ".SPY160115C214.5")</f>
        <v>N/A</v>
      </c>
      <c r="J620" t="str">
        <f>RTD("tos.rtd", , "VEGA", ".SPY160115C214.5")</f>
        <v>N/A</v>
      </c>
      <c r="K620" t="str">
        <f>RTD("tos.rtd", , "RHO", ".SPY160115C214.5")</f>
        <v>N/A</v>
      </c>
      <c r="L620" t="str">
        <f>RTD("tos.rtd", , "ASK", ".SPY160115P214.5")</f>
        <v>N/A</v>
      </c>
      <c r="M620" t="str">
        <f>RTD("tos.rtd", , "ASK_SIZE", ".SPY160115P214.5")</f>
        <v>N/A</v>
      </c>
      <c r="N620" t="str">
        <f>RTD("tos.rtd", , "BID", ".SPY160115P214.5")</f>
        <v>N/A</v>
      </c>
      <c r="O620" t="str">
        <f>RTD("tos.rtd", , "BID_SIZE", ".SPY160115P214.5")</f>
        <v>N/A</v>
      </c>
      <c r="P620" t="str">
        <f>RTD("tos.rtd", , "VOLUME", ".SPY160115P214.5")</f>
        <v>N/A</v>
      </c>
      <c r="Q620" t="str">
        <f>RTD("tos.rtd", , "OPEN_INT", ".SPY160115P214.5")</f>
        <v>N/A</v>
      </c>
      <c r="R620" t="str">
        <f>RTD("tos.rtd", , "DELTA", ".SPY160115P214.5")</f>
        <v>N/A</v>
      </c>
      <c r="S620" t="str">
        <f>RTD("tos.rtd", , "THETA", ".SPY160115P214.5")</f>
        <v>N/A</v>
      </c>
      <c r="T620" t="str">
        <f>RTD("tos.rtd", , "GAMMA", ".SPY160115P214.5")</f>
        <v>N/A</v>
      </c>
      <c r="U620" t="str">
        <f>RTD("tos.rtd", , "VEGA", ".SPY160115P214.5")</f>
        <v>N/A</v>
      </c>
      <c r="V620" t="str">
        <f>RTD("tos.rtd", , "RHO", ".SPY160115P214.5")</f>
        <v>N/A</v>
      </c>
    </row>
    <row r="621" spans="1:22" x14ac:dyDescent="0.25">
      <c r="A621">
        <f>RTD("tos.rtd", , "ASK", ".SPY160115C215")</f>
        <v>7.55</v>
      </c>
      <c r="B621">
        <f>RTD("tos.rtd", , "ASK_SIZE", ".SPY160115C215")</f>
        <v>304</v>
      </c>
      <c r="C621">
        <f>RTD("tos.rtd", , "BID", ".SPY160115C215")</f>
        <v>7.37</v>
      </c>
      <c r="D621">
        <f>RTD("tos.rtd", , "BID_SIZE", ".SPY160115C215")</f>
        <v>2356</v>
      </c>
      <c r="E621">
        <f>RTD("tos.rtd", , "VOLUME", ".SPY160115C215")</f>
        <v>182</v>
      </c>
      <c r="F621">
        <f>RTD("tos.rtd", , "OPEN_INT", ".SPY160115C215")</f>
        <v>23334</v>
      </c>
      <c r="G621">
        <f>RTD("tos.rtd", , "DELTA", ".SPY160115C215")</f>
        <v>0.43434</v>
      </c>
      <c r="H621">
        <f>RTD("tos.rtd", , "THETA", ".SPY160115C215")</f>
        <v>-1.5570000000000001E-2</v>
      </c>
      <c r="I621">
        <f>RTD("tos.rtd", , "GAMMA", ".SPY160115C215")</f>
        <v>1.6140000000000002E-2</v>
      </c>
      <c r="J621">
        <f>RTD("tos.rtd", , "VEGA", ".SPY160115C215")</f>
        <v>0.69008000000000003</v>
      </c>
      <c r="K621">
        <f>RTD("tos.rtd", , "RHO", ".SPY160115C215")</f>
        <v>0.53481999999999996</v>
      </c>
      <c r="L621">
        <f>RTD("tos.rtd", , "ASK", ".SPY160115P215")</f>
        <v>13.48</v>
      </c>
      <c r="M621">
        <f>RTD("tos.rtd", , "ASK_SIZE", ".SPY160115P215")</f>
        <v>221</v>
      </c>
      <c r="N621">
        <f>RTD("tos.rtd", , "BID", ".SPY160115P215")</f>
        <v>13.18</v>
      </c>
      <c r="O621">
        <f>RTD("tos.rtd", , "BID_SIZE", ".SPY160115P215")</f>
        <v>304</v>
      </c>
      <c r="P621">
        <f>RTD("tos.rtd", , "VOLUME", ".SPY160115P215")</f>
        <v>2</v>
      </c>
      <c r="Q621">
        <f>RTD("tos.rtd", , "OPEN_INT", ".SPY160115P215")</f>
        <v>2387</v>
      </c>
      <c r="R621">
        <f>RTD("tos.rtd", , "DELTA", ".SPY160115P215")</f>
        <v>-0.55862999999999996</v>
      </c>
      <c r="S621">
        <f>RTD("tos.rtd", , "THETA", ".SPY160115P215")</f>
        <v>-2.4080000000000001E-2</v>
      </c>
      <c r="T621">
        <f>RTD("tos.rtd", , "GAMMA", ".SPY160115P215")</f>
        <v>1.523E-2</v>
      </c>
      <c r="U621">
        <f>RTD("tos.rtd", , "VEGA", ".SPY160115P215")</f>
        <v>0.68955</v>
      </c>
      <c r="V621">
        <f>RTD("tos.rtd", , "RHO", ".SPY160115P215")</f>
        <v>-0.92308999999999997</v>
      </c>
    </row>
    <row r="622" spans="1:22" x14ac:dyDescent="0.25">
      <c r="A622" t="str">
        <f>RTD("tos.rtd", , "ASK", ".SPY160115C215.5")</f>
        <v>N/A</v>
      </c>
      <c r="B622" t="str">
        <f>RTD("tos.rtd", , "ASK_SIZE", ".SPY160115C215.5")</f>
        <v>N/A</v>
      </c>
      <c r="C622" t="str">
        <f>RTD("tos.rtd", , "BID", ".SPY160115C215.5")</f>
        <v>N/A</v>
      </c>
      <c r="D622" t="str">
        <f>RTD("tos.rtd", , "BID_SIZE", ".SPY160115C215.5")</f>
        <v>N/A</v>
      </c>
      <c r="E622" t="str">
        <f>RTD("tos.rtd", , "VOLUME", ".SPY160115C215.5")</f>
        <v>N/A</v>
      </c>
      <c r="F622" t="str">
        <f>RTD("tos.rtd", , "OPEN_INT", ".SPY160115C215.5")</f>
        <v>N/A</v>
      </c>
      <c r="G622" t="str">
        <f>RTD("tos.rtd", , "DELTA", ".SPY160115C215.5")</f>
        <v>N/A</v>
      </c>
      <c r="H622" t="str">
        <f>RTD("tos.rtd", , "THETA", ".SPY160115C215.5")</f>
        <v>N/A</v>
      </c>
      <c r="I622" t="str">
        <f>RTD("tos.rtd", , "GAMMA", ".SPY160115C215.5")</f>
        <v>N/A</v>
      </c>
      <c r="J622" t="str">
        <f>RTD("tos.rtd", , "VEGA", ".SPY160115C215.5")</f>
        <v>N/A</v>
      </c>
      <c r="K622" t="str">
        <f>RTD("tos.rtd", , "RHO", ".SPY160115C215.5")</f>
        <v>N/A</v>
      </c>
      <c r="L622" t="str">
        <f>RTD("tos.rtd", , "ASK", ".SPY160115P215.5")</f>
        <v>N/A</v>
      </c>
      <c r="M622" t="str">
        <f>RTD("tos.rtd", , "ASK_SIZE", ".SPY160115P215.5")</f>
        <v>N/A</v>
      </c>
      <c r="N622" t="str">
        <f>RTD("tos.rtd", , "BID", ".SPY160115P215.5")</f>
        <v>N/A</v>
      </c>
      <c r="O622" t="str">
        <f>RTD("tos.rtd", , "BID_SIZE", ".SPY160115P215.5")</f>
        <v>N/A</v>
      </c>
      <c r="P622" t="str">
        <f>RTD("tos.rtd", , "VOLUME", ".SPY160115P215.5")</f>
        <v>N/A</v>
      </c>
      <c r="Q622" t="str">
        <f>RTD("tos.rtd", , "OPEN_INT", ".SPY160115P215.5")</f>
        <v>N/A</v>
      </c>
      <c r="R622" t="str">
        <f>RTD("tos.rtd", , "DELTA", ".SPY160115P215.5")</f>
        <v>N/A</v>
      </c>
      <c r="S622" t="str">
        <f>RTD("tos.rtd", , "THETA", ".SPY160115P215.5")</f>
        <v>N/A</v>
      </c>
      <c r="T622" t="str">
        <f>RTD("tos.rtd", , "GAMMA", ".SPY160115P215.5")</f>
        <v>N/A</v>
      </c>
      <c r="U622" t="str">
        <f>RTD("tos.rtd", , "VEGA", ".SPY160115P215.5")</f>
        <v>N/A</v>
      </c>
      <c r="V622" t="str">
        <f>RTD("tos.rtd", , "RHO", ".SPY160115P215.5")</f>
        <v>N/A</v>
      </c>
    </row>
    <row r="623" spans="1:22" x14ac:dyDescent="0.25">
      <c r="A623">
        <f>RTD("tos.rtd", , "ASK", ".SPY160115C216")</f>
        <v>7.12</v>
      </c>
      <c r="B623">
        <f>RTD("tos.rtd", , "ASK_SIZE", ".SPY160115C216")</f>
        <v>2356</v>
      </c>
      <c r="C623">
        <f>RTD("tos.rtd", , "BID", ".SPY160115C216")</f>
        <v>6.86</v>
      </c>
      <c r="D623">
        <f>RTD("tos.rtd", , "BID_SIZE", ".SPY160115C216")</f>
        <v>2356</v>
      </c>
      <c r="E623">
        <f>RTD("tos.rtd", , "VOLUME", ".SPY160115C216")</f>
        <v>53</v>
      </c>
      <c r="F623">
        <f>RTD("tos.rtd", , "OPEN_INT", ".SPY160115C216")</f>
        <v>1519</v>
      </c>
      <c r="G623">
        <f>RTD("tos.rtd", , "DELTA", ".SPY160115C216")</f>
        <v>0.41749999999999998</v>
      </c>
      <c r="H623">
        <f>RTD("tos.rtd", , "THETA", ".SPY160115C216")</f>
        <v>-1.537E-2</v>
      </c>
      <c r="I623">
        <f>RTD("tos.rtd", , "GAMMA", ".SPY160115C216")</f>
        <v>1.6119999999999999E-2</v>
      </c>
      <c r="J623">
        <f>RTD("tos.rtd", , "VEGA", ".SPY160115C216")</f>
        <v>0.68496999999999997</v>
      </c>
      <c r="K623">
        <f>RTD("tos.rtd", , "RHO", ".SPY160115C216")</f>
        <v>0.51856000000000002</v>
      </c>
      <c r="L623">
        <f>RTD("tos.rtd", , "ASK", ".SPY160115P216")</f>
        <v>13.93</v>
      </c>
      <c r="M623">
        <f>RTD("tos.rtd", , "ASK_SIZE", ".SPY160115P216")</f>
        <v>256</v>
      </c>
      <c r="N623">
        <f>RTD("tos.rtd", , "BID", ".SPY160115P216")</f>
        <v>13.52</v>
      </c>
      <c r="O623">
        <f>RTD("tos.rtd", , "BID_SIZE", ".SPY160115P216")</f>
        <v>246</v>
      </c>
      <c r="P623">
        <f>RTD("tos.rtd", , "VOLUME", ".SPY160115P216")</f>
        <v>1</v>
      </c>
      <c r="Q623">
        <f>RTD("tos.rtd", , "OPEN_INT", ".SPY160115P216")</f>
        <v>95</v>
      </c>
      <c r="R623">
        <f>RTD("tos.rtd", , "DELTA", ".SPY160115P216")</f>
        <v>-0.57642000000000004</v>
      </c>
      <c r="S623">
        <f>RTD("tos.rtd", , "THETA", ".SPY160115P216")</f>
        <v>-2.3630000000000002E-2</v>
      </c>
      <c r="T623">
        <f>RTD("tos.rtd", , "GAMMA", ".SPY160115P216")</f>
        <v>1.545E-2</v>
      </c>
      <c r="U623">
        <f>RTD("tos.rtd", , "VEGA", ".SPY160115P216")</f>
        <v>0.68366000000000005</v>
      </c>
      <c r="V623">
        <f>RTD("tos.rtd", , "RHO", ".SPY160115P216")</f>
        <v>-0.95230999999999999</v>
      </c>
    </row>
    <row r="624" spans="1:22" x14ac:dyDescent="0.25">
      <c r="A624" t="str">
        <f>RTD("tos.rtd", , "ASK", ".SPY160115C216.5")</f>
        <v>N/A</v>
      </c>
      <c r="B624" t="str">
        <f>RTD("tos.rtd", , "ASK_SIZE", ".SPY160115C216.5")</f>
        <v>N/A</v>
      </c>
      <c r="C624" t="str">
        <f>RTD("tos.rtd", , "BID", ".SPY160115C216.5")</f>
        <v>N/A</v>
      </c>
      <c r="D624" t="str">
        <f>RTD("tos.rtd", , "BID_SIZE", ".SPY160115C216.5")</f>
        <v>N/A</v>
      </c>
      <c r="E624" t="str">
        <f>RTD("tos.rtd", , "VOLUME", ".SPY160115C216.5")</f>
        <v>N/A</v>
      </c>
      <c r="F624" t="str">
        <f>RTD("tos.rtd", , "OPEN_INT", ".SPY160115C216.5")</f>
        <v>N/A</v>
      </c>
      <c r="G624" t="str">
        <f>RTD("tos.rtd", , "DELTA", ".SPY160115C216.5")</f>
        <v>N/A</v>
      </c>
      <c r="H624" t="str">
        <f>RTD("tos.rtd", , "THETA", ".SPY160115C216.5")</f>
        <v>N/A</v>
      </c>
      <c r="I624" t="str">
        <f>RTD("tos.rtd", , "GAMMA", ".SPY160115C216.5")</f>
        <v>N/A</v>
      </c>
      <c r="J624" t="str">
        <f>RTD("tos.rtd", , "VEGA", ".SPY160115C216.5")</f>
        <v>N/A</v>
      </c>
      <c r="K624" t="str">
        <f>RTD("tos.rtd", , "RHO", ".SPY160115C216.5")</f>
        <v>N/A</v>
      </c>
      <c r="L624" t="str">
        <f>RTD("tos.rtd", , "ASK", ".SPY160115P216.5")</f>
        <v>N/A</v>
      </c>
      <c r="M624" t="str">
        <f>RTD("tos.rtd", , "ASK_SIZE", ".SPY160115P216.5")</f>
        <v>N/A</v>
      </c>
      <c r="N624" t="str">
        <f>RTD("tos.rtd", , "BID", ".SPY160115P216.5")</f>
        <v>N/A</v>
      </c>
      <c r="O624" t="str">
        <f>RTD("tos.rtd", , "BID_SIZE", ".SPY160115P216.5")</f>
        <v>N/A</v>
      </c>
      <c r="P624" t="str">
        <f>RTD("tos.rtd", , "VOLUME", ".SPY160115P216.5")</f>
        <v>N/A</v>
      </c>
      <c r="Q624" t="str">
        <f>RTD("tos.rtd", , "OPEN_INT", ".SPY160115P216.5")</f>
        <v>N/A</v>
      </c>
      <c r="R624" t="str">
        <f>RTD("tos.rtd", , "DELTA", ".SPY160115P216.5")</f>
        <v>N/A</v>
      </c>
      <c r="S624" t="str">
        <f>RTD("tos.rtd", , "THETA", ".SPY160115P216.5")</f>
        <v>N/A</v>
      </c>
      <c r="T624" t="str">
        <f>RTD("tos.rtd", , "GAMMA", ".SPY160115P216.5")</f>
        <v>N/A</v>
      </c>
      <c r="U624" t="str">
        <f>RTD("tos.rtd", , "VEGA", ".SPY160115P216.5")</f>
        <v>N/A</v>
      </c>
      <c r="V624" t="str">
        <f>RTD("tos.rtd", , "RHO", ".SPY160115P216.5")</f>
        <v>N/A</v>
      </c>
    </row>
    <row r="625" spans="1:22" x14ac:dyDescent="0.25">
      <c r="A625">
        <f>RTD("tos.rtd", , "ASK", ".SPY160115C217")</f>
        <v>6.54</v>
      </c>
      <c r="B625">
        <f>RTD("tos.rtd", , "ASK_SIZE", ".SPY160115C217")</f>
        <v>131</v>
      </c>
      <c r="C625">
        <f>RTD("tos.rtd", , "BID", ".SPY160115C217")</f>
        <v>6.33</v>
      </c>
      <c r="D625">
        <f>RTD("tos.rtd", , "BID_SIZE", ".SPY160115C217")</f>
        <v>2587</v>
      </c>
      <c r="E625">
        <f>RTD("tos.rtd", , "VOLUME", ".SPY160115C217")</f>
        <v>50</v>
      </c>
      <c r="F625">
        <f>RTD("tos.rtd", , "OPEN_INT", ".SPY160115C217")</f>
        <v>703</v>
      </c>
      <c r="G625">
        <f>RTD("tos.rtd", , "DELTA", ".SPY160115C217")</f>
        <v>0.39917000000000002</v>
      </c>
      <c r="H625">
        <f>RTD("tos.rtd", , "THETA", ".SPY160115C217")</f>
        <v>-1.494E-2</v>
      </c>
      <c r="I625">
        <f>RTD("tos.rtd", , "GAMMA", ".SPY160115C217")</f>
        <v>1.6219999999999998E-2</v>
      </c>
      <c r="J625">
        <f>RTD("tos.rtd", , "VEGA", ".SPY160115C217")</f>
        <v>0.67788000000000004</v>
      </c>
      <c r="K625">
        <f>RTD("tos.rtd", , "RHO", ".SPY160115C217")</f>
        <v>0.50019999999999998</v>
      </c>
      <c r="L625">
        <f>RTD("tos.rtd", , "ASK", ".SPY160115P217")</f>
        <v>14.46</v>
      </c>
      <c r="M625">
        <f>RTD("tos.rtd", , "ASK_SIZE", ".SPY160115P217")</f>
        <v>209</v>
      </c>
      <c r="N625">
        <f>RTD("tos.rtd", , "BID", ".SPY160115P217")</f>
        <v>14.14</v>
      </c>
      <c r="O625">
        <f>RTD("tos.rtd", , "BID_SIZE", ".SPY160115P217")</f>
        <v>162</v>
      </c>
      <c r="P625">
        <f>RTD("tos.rtd", , "VOLUME", ".SPY160115P217")</f>
        <v>0</v>
      </c>
      <c r="Q625">
        <f>RTD("tos.rtd", , "OPEN_INT", ".SPY160115P217")</f>
        <v>8</v>
      </c>
      <c r="R625">
        <f>RTD("tos.rtd", , "DELTA", ".SPY160115P217")</f>
        <v>-0.59233000000000002</v>
      </c>
      <c r="S625">
        <f>RTD("tos.rtd", , "THETA", ".SPY160115P217")</f>
        <v>-2.3470000000000001E-2</v>
      </c>
      <c r="T625">
        <f>RTD("tos.rtd", , "GAMMA", ".SPY160115P217")</f>
        <v>1.54E-2</v>
      </c>
      <c r="U625">
        <f>RTD("tos.rtd", , "VEGA", ".SPY160115P217")</f>
        <v>0.67717000000000005</v>
      </c>
      <c r="V625">
        <f>RTD("tos.rtd", , "RHO", ".SPY160115P217")</f>
        <v>-0.98002999999999996</v>
      </c>
    </row>
    <row r="626" spans="1:22" x14ac:dyDescent="0.25">
      <c r="A626" t="str">
        <f>RTD("tos.rtd", , "ASK", ".SPY160115C217.5")</f>
        <v>N/A</v>
      </c>
      <c r="B626" t="str">
        <f>RTD("tos.rtd", , "ASK_SIZE", ".SPY160115C217.5")</f>
        <v>N/A</v>
      </c>
      <c r="C626" t="str">
        <f>RTD("tos.rtd", , "BID", ".SPY160115C217.5")</f>
        <v>N/A</v>
      </c>
      <c r="D626" t="str">
        <f>RTD("tos.rtd", , "BID_SIZE", ".SPY160115C217.5")</f>
        <v>N/A</v>
      </c>
      <c r="E626" t="str">
        <f>RTD("tos.rtd", , "VOLUME", ".SPY160115C217.5")</f>
        <v>N/A</v>
      </c>
      <c r="F626" t="str">
        <f>RTD("tos.rtd", , "OPEN_INT", ".SPY160115C217.5")</f>
        <v>N/A</v>
      </c>
      <c r="G626" t="str">
        <f>RTD("tos.rtd", , "DELTA", ".SPY160115C217.5")</f>
        <v>N/A</v>
      </c>
      <c r="H626" t="str">
        <f>RTD("tos.rtd", , "THETA", ".SPY160115C217.5")</f>
        <v>N/A</v>
      </c>
      <c r="I626" t="str">
        <f>RTD("tos.rtd", , "GAMMA", ".SPY160115C217.5")</f>
        <v>N/A</v>
      </c>
      <c r="J626" t="str">
        <f>RTD("tos.rtd", , "VEGA", ".SPY160115C217.5")</f>
        <v>N/A</v>
      </c>
      <c r="K626" t="str">
        <f>RTD("tos.rtd", , "RHO", ".SPY160115C217.5")</f>
        <v>N/A</v>
      </c>
      <c r="L626" t="str">
        <f>RTD("tos.rtd", , "ASK", ".SPY160115P217.5")</f>
        <v>N/A</v>
      </c>
      <c r="M626" t="str">
        <f>RTD("tos.rtd", , "ASK_SIZE", ".SPY160115P217.5")</f>
        <v>N/A</v>
      </c>
      <c r="N626" t="str">
        <f>RTD("tos.rtd", , "BID", ".SPY160115P217.5")</f>
        <v>N/A</v>
      </c>
      <c r="O626" t="str">
        <f>RTD("tos.rtd", , "BID_SIZE", ".SPY160115P217.5")</f>
        <v>N/A</v>
      </c>
      <c r="P626" t="str">
        <f>RTD("tos.rtd", , "VOLUME", ".SPY160115P217.5")</f>
        <v>N/A</v>
      </c>
      <c r="Q626" t="str">
        <f>RTD("tos.rtd", , "OPEN_INT", ".SPY160115P217.5")</f>
        <v>N/A</v>
      </c>
      <c r="R626" t="str">
        <f>RTD("tos.rtd", , "DELTA", ".SPY160115P217.5")</f>
        <v>N/A</v>
      </c>
      <c r="S626" t="str">
        <f>RTD("tos.rtd", , "THETA", ".SPY160115P217.5")</f>
        <v>N/A</v>
      </c>
      <c r="T626" t="str">
        <f>RTD("tos.rtd", , "GAMMA", ".SPY160115P217.5")</f>
        <v>N/A</v>
      </c>
      <c r="U626" t="str">
        <f>RTD("tos.rtd", , "VEGA", ".SPY160115P217.5")</f>
        <v>N/A</v>
      </c>
      <c r="V626" t="str">
        <f>RTD("tos.rtd", , "RHO", ".SPY160115P217.5")</f>
        <v>N/A</v>
      </c>
    </row>
    <row r="627" spans="1:22" x14ac:dyDescent="0.25">
      <c r="A627">
        <f>RTD("tos.rtd", , "ASK", ".SPY160115C218")</f>
        <v>6.05</v>
      </c>
      <c r="B627">
        <f>RTD("tos.rtd", , "ASK_SIZE", ".SPY160115C218")</f>
        <v>304</v>
      </c>
      <c r="C627">
        <f>RTD("tos.rtd", , "BID", ".SPY160115C218")</f>
        <v>5.86</v>
      </c>
      <c r="D627">
        <f>RTD("tos.rtd", , "BID_SIZE", ".SPY160115C218")</f>
        <v>2569</v>
      </c>
      <c r="E627">
        <f>RTD("tos.rtd", , "VOLUME", ".SPY160115C218")</f>
        <v>50</v>
      </c>
      <c r="F627">
        <f>RTD("tos.rtd", , "OPEN_INT", ".SPY160115C218")</f>
        <v>1163</v>
      </c>
      <c r="G627">
        <f>RTD("tos.rtd", , "DELTA", ".SPY160115C218")</f>
        <v>0.38134000000000001</v>
      </c>
      <c r="H627">
        <f>RTD("tos.rtd", , "THETA", ".SPY160115C218")</f>
        <v>-1.4590000000000001E-2</v>
      </c>
      <c r="I627">
        <f>RTD("tos.rtd", , "GAMMA", ".SPY160115C218")</f>
        <v>1.6209999999999999E-2</v>
      </c>
      <c r="J627">
        <f>RTD("tos.rtd", , "VEGA", ".SPY160115C218")</f>
        <v>0.66954999999999998</v>
      </c>
      <c r="K627">
        <f>RTD("tos.rtd", , "RHO", ".SPY160115C218")</f>
        <v>0.48186000000000001</v>
      </c>
      <c r="L627">
        <f>RTD("tos.rtd", , "ASK", ".SPY160115P218")</f>
        <v>15.01</v>
      </c>
      <c r="M627">
        <f>RTD("tos.rtd", , "ASK_SIZE", ".SPY160115P218")</f>
        <v>223</v>
      </c>
      <c r="N627">
        <f>RTD("tos.rtd", , "BID", ".SPY160115P218")</f>
        <v>14.67</v>
      </c>
      <c r="O627">
        <f>RTD("tos.rtd", , "BID_SIZE", ".SPY160115P218")</f>
        <v>159</v>
      </c>
      <c r="P627">
        <f>RTD("tos.rtd", , "VOLUME", ".SPY160115P218")</f>
        <v>0</v>
      </c>
      <c r="Q627">
        <f>RTD("tos.rtd", , "OPEN_INT", ".SPY160115P218")</f>
        <v>129</v>
      </c>
      <c r="R627">
        <f>RTD("tos.rtd", , "DELTA", ".SPY160115P218")</f>
        <v>-0.60907</v>
      </c>
      <c r="S627">
        <f>RTD("tos.rtd", , "THETA", ".SPY160115P218")</f>
        <v>-2.3179999999999999E-2</v>
      </c>
      <c r="T627">
        <f>RTD("tos.rtd", , "GAMMA", ".SPY160115P218")</f>
        <v>1.54E-2</v>
      </c>
      <c r="U627">
        <f>RTD("tos.rtd", , "VEGA", ".SPY160115P218")</f>
        <v>0.66908000000000001</v>
      </c>
      <c r="V627">
        <f>RTD("tos.rtd", , "RHO", ".SPY160115P218")</f>
        <v>-1.0087200000000001</v>
      </c>
    </row>
    <row r="628" spans="1:22" x14ac:dyDescent="0.25">
      <c r="A628" t="str">
        <f>RTD("tos.rtd", , "ASK", ".SPY160115C218.5")</f>
        <v>N/A</v>
      </c>
      <c r="B628" t="str">
        <f>RTD("tos.rtd", , "ASK_SIZE", ".SPY160115C218.5")</f>
        <v>N/A</v>
      </c>
      <c r="C628" t="str">
        <f>RTD("tos.rtd", , "BID", ".SPY160115C218.5")</f>
        <v>N/A</v>
      </c>
      <c r="D628" t="str">
        <f>RTD("tos.rtd", , "BID_SIZE", ".SPY160115C218.5")</f>
        <v>N/A</v>
      </c>
      <c r="E628" t="str">
        <f>RTD("tos.rtd", , "VOLUME", ".SPY160115C218.5")</f>
        <v>N/A</v>
      </c>
      <c r="F628" t="str">
        <f>RTD("tos.rtd", , "OPEN_INT", ".SPY160115C218.5")</f>
        <v>N/A</v>
      </c>
      <c r="G628" t="str">
        <f>RTD("tos.rtd", , "DELTA", ".SPY160115C218.5")</f>
        <v>N/A</v>
      </c>
      <c r="H628" t="str">
        <f>RTD("tos.rtd", , "THETA", ".SPY160115C218.5")</f>
        <v>N/A</v>
      </c>
      <c r="I628" t="str">
        <f>RTD("tos.rtd", , "GAMMA", ".SPY160115C218.5")</f>
        <v>N/A</v>
      </c>
      <c r="J628" t="str">
        <f>RTD("tos.rtd", , "VEGA", ".SPY160115C218.5")</f>
        <v>N/A</v>
      </c>
      <c r="K628" t="str">
        <f>RTD("tos.rtd", , "RHO", ".SPY160115C218.5")</f>
        <v>N/A</v>
      </c>
      <c r="L628" t="str">
        <f>RTD("tos.rtd", , "ASK", ".SPY160115P218.5")</f>
        <v>N/A</v>
      </c>
      <c r="M628" t="str">
        <f>RTD("tos.rtd", , "ASK_SIZE", ".SPY160115P218.5")</f>
        <v>N/A</v>
      </c>
      <c r="N628" t="str">
        <f>RTD("tos.rtd", , "BID", ".SPY160115P218.5")</f>
        <v>N/A</v>
      </c>
      <c r="O628" t="str">
        <f>RTD("tos.rtd", , "BID_SIZE", ".SPY160115P218.5")</f>
        <v>N/A</v>
      </c>
      <c r="P628" t="str">
        <f>RTD("tos.rtd", , "VOLUME", ".SPY160115P218.5")</f>
        <v>N/A</v>
      </c>
      <c r="Q628" t="str">
        <f>RTD("tos.rtd", , "OPEN_INT", ".SPY160115P218.5")</f>
        <v>N/A</v>
      </c>
      <c r="R628" t="str">
        <f>RTD("tos.rtd", , "DELTA", ".SPY160115P218.5")</f>
        <v>N/A</v>
      </c>
      <c r="S628" t="str">
        <f>RTD("tos.rtd", , "THETA", ".SPY160115P218.5")</f>
        <v>N/A</v>
      </c>
      <c r="T628" t="str">
        <f>RTD("tos.rtd", , "GAMMA", ".SPY160115P218.5")</f>
        <v>N/A</v>
      </c>
      <c r="U628" t="str">
        <f>RTD("tos.rtd", , "VEGA", ".SPY160115P218.5")</f>
        <v>N/A</v>
      </c>
      <c r="V628" t="str">
        <f>RTD("tos.rtd", , "RHO", ".SPY160115P218.5")</f>
        <v>N/A</v>
      </c>
    </row>
    <row r="629" spans="1:22" x14ac:dyDescent="0.25">
      <c r="A629" t="str">
        <f>RTD("tos.rtd", , "ASK", ".SPY160115C219")</f>
        <v>N/A</v>
      </c>
      <c r="B629" t="str">
        <f>RTD("tos.rtd", , "ASK_SIZE", ".SPY160115C219")</f>
        <v>N/A</v>
      </c>
      <c r="C629" t="str">
        <f>RTD("tos.rtd", , "BID", ".SPY160115C219")</f>
        <v>N/A</v>
      </c>
      <c r="D629" t="str">
        <f>RTD("tos.rtd", , "BID_SIZE", ".SPY160115C219")</f>
        <v>N/A</v>
      </c>
      <c r="E629" t="str">
        <f>RTD("tos.rtd", , "VOLUME", ".SPY160115C219")</f>
        <v>N/A</v>
      </c>
      <c r="F629" t="str">
        <f>RTD("tos.rtd", , "OPEN_INT", ".SPY160115C219")</f>
        <v>N/A</v>
      </c>
      <c r="G629" t="str">
        <f>RTD("tos.rtd", , "DELTA", ".SPY160115C219")</f>
        <v>N/A</v>
      </c>
      <c r="H629" t="str">
        <f>RTD("tos.rtd", , "THETA", ".SPY160115C219")</f>
        <v>N/A</v>
      </c>
      <c r="I629" t="str">
        <f>RTD("tos.rtd", , "GAMMA", ".SPY160115C219")</f>
        <v>N/A</v>
      </c>
      <c r="J629" t="str">
        <f>RTD("tos.rtd", , "VEGA", ".SPY160115C219")</f>
        <v>N/A</v>
      </c>
      <c r="K629" t="str">
        <f>RTD("tos.rtd", , "RHO", ".SPY160115C219")</f>
        <v>N/A</v>
      </c>
      <c r="L629" t="str">
        <f>RTD("tos.rtd", , "ASK", ".SPY160115P219")</f>
        <v>N/A</v>
      </c>
      <c r="M629" t="str">
        <f>RTD("tos.rtd", , "ASK_SIZE", ".SPY160115P219")</f>
        <v>N/A</v>
      </c>
      <c r="N629" t="str">
        <f>RTD("tos.rtd", , "BID", ".SPY160115P219")</f>
        <v>N/A</v>
      </c>
      <c r="O629" t="str">
        <f>RTD("tos.rtd", , "BID_SIZE", ".SPY160115P219")</f>
        <v>N/A</v>
      </c>
      <c r="P629" t="str">
        <f>RTD("tos.rtd", , "VOLUME", ".SPY160115P219")</f>
        <v>N/A</v>
      </c>
      <c r="Q629" t="str">
        <f>RTD("tos.rtd", , "OPEN_INT", ".SPY160115P219")</f>
        <v>N/A</v>
      </c>
      <c r="R629" t="str">
        <f>RTD("tos.rtd", , "DELTA", ".SPY160115P219")</f>
        <v>N/A</v>
      </c>
      <c r="S629" t="str">
        <f>RTD("tos.rtd", , "THETA", ".SPY160115P219")</f>
        <v>N/A</v>
      </c>
      <c r="T629" t="str">
        <f>RTD("tos.rtd", , "GAMMA", ".SPY160115P219")</f>
        <v>N/A</v>
      </c>
      <c r="U629" t="str">
        <f>RTD("tos.rtd", , "VEGA", ".SPY160115P219")</f>
        <v>N/A</v>
      </c>
      <c r="V629" t="str">
        <f>RTD("tos.rtd", , "RHO", ".SPY160115P219")</f>
        <v>N/A</v>
      </c>
    </row>
    <row r="630" spans="1:22" x14ac:dyDescent="0.25">
      <c r="A630" t="str">
        <f>RTD("tos.rtd", , "ASK", ".SPY160115C219.5")</f>
        <v>N/A</v>
      </c>
      <c r="B630" t="str">
        <f>RTD("tos.rtd", , "ASK_SIZE", ".SPY160115C219.5")</f>
        <v>N/A</v>
      </c>
      <c r="C630" t="str">
        <f>RTD("tos.rtd", , "BID", ".SPY160115C219.5")</f>
        <v>N/A</v>
      </c>
      <c r="D630" t="str">
        <f>RTD("tos.rtd", , "BID_SIZE", ".SPY160115C219.5")</f>
        <v>N/A</v>
      </c>
      <c r="E630" t="str">
        <f>RTD("tos.rtd", , "VOLUME", ".SPY160115C219.5")</f>
        <v>N/A</v>
      </c>
      <c r="F630" t="str">
        <f>RTD("tos.rtd", , "OPEN_INT", ".SPY160115C219.5")</f>
        <v>N/A</v>
      </c>
      <c r="G630" t="str">
        <f>RTD("tos.rtd", , "DELTA", ".SPY160115C219.5")</f>
        <v>N/A</v>
      </c>
      <c r="H630" t="str">
        <f>RTD("tos.rtd", , "THETA", ".SPY160115C219.5")</f>
        <v>N/A</v>
      </c>
      <c r="I630" t="str">
        <f>RTD("tos.rtd", , "GAMMA", ".SPY160115C219.5")</f>
        <v>N/A</v>
      </c>
      <c r="J630" t="str">
        <f>RTD("tos.rtd", , "VEGA", ".SPY160115C219.5")</f>
        <v>N/A</v>
      </c>
      <c r="K630" t="str">
        <f>RTD("tos.rtd", , "RHO", ".SPY160115C219.5")</f>
        <v>N/A</v>
      </c>
      <c r="L630" t="str">
        <f>RTD("tos.rtd", , "ASK", ".SPY160115P219.5")</f>
        <v>N/A</v>
      </c>
      <c r="M630" t="str">
        <f>RTD("tos.rtd", , "ASK_SIZE", ".SPY160115P219.5")</f>
        <v>N/A</v>
      </c>
      <c r="N630" t="str">
        <f>RTD("tos.rtd", , "BID", ".SPY160115P219.5")</f>
        <v>N/A</v>
      </c>
      <c r="O630" t="str">
        <f>RTD("tos.rtd", , "BID_SIZE", ".SPY160115P219.5")</f>
        <v>N/A</v>
      </c>
      <c r="P630" t="str">
        <f>RTD("tos.rtd", , "VOLUME", ".SPY160115P219.5")</f>
        <v>N/A</v>
      </c>
      <c r="Q630" t="str">
        <f>RTD("tos.rtd", , "OPEN_INT", ".SPY160115P219.5")</f>
        <v>N/A</v>
      </c>
      <c r="R630" t="str">
        <f>RTD("tos.rtd", , "DELTA", ".SPY160115P219.5")</f>
        <v>N/A</v>
      </c>
      <c r="S630" t="str">
        <f>RTD("tos.rtd", , "THETA", ".SPY160115P219.5")</f>
        <v>N/A</v>
      </c>
      <c r="T630" t="str">
        <f>RTD("tos.rtd", , "GAMMA", ".SPY160115P219.5")</f>
        <v>N/A</v>
      </c>
      <c r="U630" t="str">
        <f>RTD("tos.rtd", , "VEGA", ".SPY160115P219.5")</f>
        <v>N/A</v>
      </c>
      <c r="V630" t="str">
        <f>RTD("tos.rtd", , "RHO", ".SPY160115P219.5")</f>
        <v>N/A</v>
      </c>
    </row>
    <row r="631" spans="1:22" x14ac:dyDescent="0.25">
      <c r="A631" t="s">
        <v>15</v>
      </c>
      <c r="B631">
        <v>40</v>
      </c>
    </row>
    <row r="632" spans="1:22" x14ac:dyDescent="0.25">
      <c r="A632">
        <f>RTD("tos.rtd", ,"LAST", "SPY")</f>
        <v>211.32</v>
      </c>
    </row>
    <row r="633" spans="1:22" x14ac:dyDescent="0.25">
      <c r="A633">
        <f>RTD("tos.rtd", , "ASK", ".SPY160318C200")</f>
        <v>18.829999999999998</v>
      </c>
      <c r="B633">
        <f>RTD("tos.rtd", , "ASK_SIZE", ".SPY160318C200")</f>
        <v>232</v>
      </c>
      <c r="C633">
        <f>RTD("tos.rtd", , "BID", ".SPY160318C200")</f>
        <v>18.38</v>
      </c>
      <c r="D633">
        <f>RTD("tos.rtd", , "BID_SIZE", ".SPY160318C200")</f>
        <v>192</v>
      </c>
      <c r="E633">
        <f>RTD("tos.rtd", , "VOLUME", ".SPY160318C200")</f>
        <v>0</v>
      </c>
      <c r="F633">
        <f>RTD("tos.rtd", , "OPEN_INT", ".SPY160318C200")</f>
        <v>1098</v>
      </c>
      <c r="G633">
        <f>RTD("tos.rtd", , "DELTA", ".SPY160318C200")</f>
        <v>0.64032999999999995</v>
      </c>
      <c r="H633">
        <f>RTD("tos.rtd", , "THETA", ".SPY160318C200")</f>
        <v>-1.5779999999999999E-2</v>
      </c>
      <c r="I633">
        <f>RTD("tos.rtd", , "GAMMA", ".SPY160318C200")</f>
        <v>1.137E-2</v>
      </c>
      <c r="J633">
        <f>RTD("tos.rtd", , "VEGA", ".SPY160318C200")</f>
        <v>0.72326999999999997</v>
      </c>
      <c r="K633">
        <f>RTD("tos.rtd", , "RHO", ".SPY160318C200")</f>
        <v>0.81564999999999999</v>
      </c>
      <c r="L633">
        <f>RTD("tos.rtd", , "ASK", ".SPY160318P200")</f>
        <v>9.7100000000000009</v>
      </c>
      <c r="M633">
        <f>RTD("tos.rtd", , "ASK_SIZE", ".SPY160318P200")</f>
        <v>1856</v>
      </c>
      <c r="N633">
        <f>RTD("tos.rtd", , "BID", ".SPY160318P200")</f>
        <v>9.41</v>
      </c>
      <c r="O633">
        <f>RTD("tos.rtd", , "BID_SIZE", ".SPY160318P200")</f>
        <v>1813</v>
      </c>
      <c r="P633">
        <f>RTD("tos.rtd", , "VOLUME", ".SPY160318P200")</f>
        <v>640</v>
      </c>
      <c r="Q633">
        <f>RTD("tos.rtd", , "OPEN_INT", ".SPY160318P200")</f>
        <v>4125</v>
      </c>
      <c r="R633">
        <f>RTD("tos.rtd", , "DELTA", ".SPY160318P200")</f>
        <v>-0.36151</v>
      </c>
      <c r="S633">
        <f>RTD("tos.rtd", , "THETA", ".SPY160318P200")</f>
        <v>-2.3369999999999998E-2</v>
      </c>
      <c r="T633">
        <f>RTD("tos.rtd", , "GAMMA", ".SPY160318P200")</f>
        <v>1.059E-2</v>
      </c>
      <c r="U633">
        <f>RTD("tos.rtd", , "VEGA", ".SPY160318P200")</f>
        <v>0.73416000000000003</v>
      </c>
      <c r="V633">
        <f>RTD("tos.rtd", , "RHO", ".SPY160318P200")</f>
        <v>-0.75146000000000002</v>
      </c>
    </row>
    <row r="634" spans="1:22" x14ac:dyDescent="0.25">
      <c r="A634" t="str">
        <f>RTD("tos.rtd", , "ASK", ".SPY160318C200.5")</f>
        <v>N/A</v>
      </c>
      <c r="B634" t="str">
        <f>RTD("tos.rtd", , "ASK_SIZE", ".SPY160318C200.5")</f>
        <v>N/A</v>
      </c>
      <c r="C634" t="str">
        <f>RTD("tos.rtd", , "BID", ".SPY160318C200.5")</f>
        <v>N/A</v>
      </c>
      <c r="D634" t="str">
        <f>RTD("tos.rtd", , "BID_SIZE", ".SPY160318C200.5")</f>
        <v>N/A</v>
      </c>
      <c r="E634" t="str">
        <f>RTD("tos.rtd", , "VOLUME", ".SPY160318C200.5")</f>
        <v>N/A</v>
      </c>
      <c r="F634" t="str">
        <f>RTD("tos.rtd", , "OPEN_INT", ".SPY160318C200.5")</f>
        <v>N/A</v>
      </c>
      <c r="G634" t="str">
        <f>RTD("tos.rtd", , "DELTA", ".SPY160318C200.5")</f>
        <v>N/A</v>
      </c>
      <c r="H634" t="str">
        <f>RTD("tos.rtd", , "THETA", ".SPY160318C200.5")</f>
        <v>N/A</v>
      </c>
      <c r="I634" t="str">
        <f>RTD("tos.rtd", , "GAMMA", ".SPY160318C200.5")</f>
        <v>N/A</v>
      </c>
      <c r="J634" t="str">
        <f>RTD("tos.rtd", , "VEGA", ".SPY160318C200.5")</f>
        <v>N/A</v>
      </c>
      <c r="K634" t="str">
        <f>RTD("tos.rtd", , "RHO", ".SPY160318C200.5")</f>
        <v>N/A</v>
      </c>
      <c r="L634" t="str">
        <f>RTD("tos.rtd", , "ASK", ".SPY160318P200.5")</f>
        <v>N/A</v>
      </c>
      <c r="M634" t="str">
        <f>RTD("tos.rtd", , "ASK_SIZE", ".SPY160318P200.5")</f>
        <v>N/A</v>
      </c>
      <c r="N634" t="str">
        <f>RTD("tos.rtd", , "BID", ".SPY160318P200.5")</f>
        <v>N/A</v>
      </c>
      <c r="O634" t="str">
        <f>RTD("tos.rtd", , "BID_SIZE", ".SPY160318P200.5")</f>
        <v>N/A</v>
      </c>
      <c r="P634" t="str">
        <f>RTD("tos.rtd", , "VOLUME", ".SPY160318P200.5")</f>
        <v>N/A</v>
      </c>
      <c r="Q634" t="str">
        <f>RTD("tos.rtd", , "OPEN_INT", ".SPY160318P200.5")</f>
        <v>N/A</v>
      </c>
      <c r="R634" t="str">
        <f>RTD("tos.rtd", , "DELTA", ".SPY160318P200.5")</f>
        <v>N/A</v>
      </c>
      <c r="S634" t="str">
        <f>RTD("tos.rtd", , "THETA", ".SPY160318P200.5")</f>
        <v>N/A</v>
      </c>
      <c r="T634" t="str">
        <f>RTD("tos.rtd", , "GAMMA", ".SPY160318P200.5")</f>
        <v>N/A</v>
      </c>
      <c r="U634" t="str">
        <f>RTD("tos.rtd", , "VEGA", ".SPY160318P200.5")</f>
        <v>N/A</v>
      </c>
      <c r="V634" t="str">
        <f>RTD("tos.rtd", , "RHO", ".SPY160318P200.5")</f>
        <v>N/A</v>
      </c>
    </row>
    <row r="635" spans="1:22" x14ac:dyDescent="0.25">
      <c r="A635" t="str">
        <f>RTD("tos.rtd", , "ASK", ".SPY160318C201")</f>
        <v>N/A</v>
      </c>
      <c r="B635" t="str">
        <f>RTD("tos.rtd", , "ASK_SIZE", ".SPY160318C201")</f>
        <v>N/A</v>
      </c>
      <c r="C635" t="str">
        <f>RTD("tos.rtd", , "BID", ".SPY160318C201")</f>
        <v>N/A</v>
      </c>
      <c r="D635" t="str">
        <f>RTD("tos.rtd", , "BID_SIZE", ".SPY160318C201")</f>
        <v>N/A</v>
      </c>
      <c r="E635" t="str">
        <f>RTD("tos.rtd", , "VOLUME", ".SPY160318C201")</f>
        <v>N/A</v>
      </c>
      <c r="F635" t="str">
        <f>RTD("tos.rtd", , "OPEN_INT", ".SPY160318C201")</f>
        <v>N/A</v>
      </c>
      <c r="G635" t="str">
        <f>RTD("tos.rtd", , "DELTA", ".SPY160318C201")</f>
        <v>N/A</v>
      </c>
      <c r="H635" t="str">
        <f>RTD("tos.rtd", , "THETA", ".SPY160318C201")</f>
        <v>N/A</v>
      </c>
      <c r="I635" t="str">
        <f>RTD("tos.rtd", , "GAMMA", ".SPY160318C201")</f>
        <v>N/A</v>
      </c>
      <c r="J635" t="str">
        <f>RTD("tos.rtd", , "VEGA", ".SPY160318C201")</f>
        <v>N/A</v>
      </c>
      <c r="K635" t="str">
        <f>RTD("tos.rtd", , "RHO", ".SPY160318C201")</f>
        <v>N/A</v>
      </c>
      <c r="L635" t="str">
        <f>RTD("tos.rtd", , "ASK", ".SPY160318P201")</f>
        <v>N/A</v>
      </c>
      <c r="M635" t="str">
        <f>RTD("tos.rtd", , "ASK_SIZE", ".SPY160318P201")</f>
        <v>N/A</v>
      </c>
      <c r="N635" t="str">
        <f>RTD("tos.rtd", , "BID", ".SPY160318P201")</f>
        <v>N/A</v>
      </c>
      <c r="O635" t="str">
        <f>RTD("tos.rtd", , "BID_SIZE", ".SPY160318P201")</f>
        <v>N/A</v>
      </c>
      <c r="P635" t="str">
        <f>RTD("tos.rtd", , "VOLUME", ".SPY160318P201")</f>
        <v>N/A</v>
      </c>
      <c r="Q635" t="str">
        <f>RTD("tos.rtd", , "OPEN_INT", ".SPY160318P201")</f>
        <v>N/A</v>
      </c>
      <c r="R635" t="str">
        <f>RTD("tos.rtd", , "DELTA", ".SPY160318P201")</f>
        <v>N/A</v>
      </c>
      <c r="S635" t="str">
        <f>RTD("tos.rtd", , "THETA", ".SPY160318P201")</f>
        <v>N/A</v>
      </c>
      <c r="T635" t="str">
        <f>RTD("tos.rtd", , "GAMMA", ".SPY160318P201")</f>
        <v>N/A</v>
      </c>
      <c r="U635" t="str">
        <f>RTD("tos.rtd", , "VEGA", ".SPY160318P201")</f>
        <v>N/A</v>
      </c>
      <c r="V635" t="str">
        <f>RTD("tos.rtd", , "RHO", ".SPY160318P201")</f>
        <v>N/A</v>
      </c>
    </row>
    <row r="636" spans="1:22" x14ac:dyDescent="0.25">
      <c r="A636" t="str">
        <f>RTD("tos.rtd", , "ASK", ".SPY160318C201.5")</f>
        <v>N/A</v>
      </c>
      <c r="B636" t="str">
        <f>RTD("tos.rtd", , "ASK_SIZE", ".SPY160318C201.5")</f>
        <v>N/A</v>
      </c>
      <c r="C636" t="str">
        <f>RTD("tos.rtd", , "BID", ".SPY160318C201.5")</f>
        <v>N/A</v>
      </c>
      <c r="D636" t="str">
        <f>RTD("tos.rtd", , "BID_SIZE", ".SPY160318C201.5")</f>
        <v>N/A</v>
      </c>
      <c r="E636" t="str">
        <f>RTD("tos.rtd", , "VOLUME", ".SPY160318C201.5")</f>
        <v>N/A</v>
      </c>
      <c r="F636" t="str">
        <f>RTD("tos.rtd", , "OPEN_INT", ".SPY160318C201.5")</f>
        <v>N/A</v>
      </c>
      <c r="G636" t="str">
        <f>RTD("tos.rtd", , "DELTA", ".SPY160318C201.5")</f>
        <v>N/A</v>
      </c>
      <c r="H636" t="str">
        <f>RTD("tos.rtd", , "THETA", ".SPY160318C201.5")</f>
        <v>N/A</v>
      </c>
      <c r="I636" t="str">
        <f>RTD("tos.rtd", , "GAMMA", ".SPY160318C201.5")</f>
        <v>N/A</v>
      </c>
      <c r="J636" t="str">
        <f>RTD("tos.rtd", , "VEGA", ".SPY160318C201.5")</f>
        <v>N/A</v>
      </c>
      <c r="K636" t="str">
        <f>RTD("tos.rtd", , "RHO", ".SPY160318C201.5")</f>
        <v>N/A</v>
      </c>
      <c r="L636" t="str">
        <f>RTD("tos.rtd", , "ASK", ".SPY160318P201.5")</f>
        <v>N/A</v>
      </c>
      <c r="M636" t="str">
        <f>RTD("tos.rtd", , "ASK_SIZE", ".SPY160318P201.5")</f>
        <v>N/A</v>
      </c>
      <c r="N636" t="str">
        <f>RTD("tos.rtd", , "BID", ".SPY160318P201.5")</f>
        <v>N/A</v>
      </c>
      <c r="O636" t="str">
        <f>RTD("tos.rtd", , "BID_SIZE", ".SPY160318P201.5")</f>
        <v>N/A</v>
      </c>
      <c r="P636" t="str">
        <f>RTD("tos.rtd", , "VOLUME", ".SPY160318P201.5")</f>
        <v>N/A</v>
      </c>
      <c r="Q636" t="str">
        <f>RTD("tos.rtd", , "OPEN_INT", ".SPY160318P201.5")</f>
        <v>N/A</v>
      </c>
      <c r="R636" t="str">
        <f>RTD("tos.rtd", , "DELTA", ".SPY160318P201.5")</f>
        <v>N/A</v>
      </c>
      <c r="S636" t="str">
        <f>RTD("tos.rtd", , "THETA", ".SPY160318P201.5")</f>
        <v>N/A</v>
      </c>
      <c r="T636" t="str">
        <f>RTD("tos.rtd", , "GAMMA", ".SPY160318P201.5")</f>
        <v>N/A</v>
      </c>
      <c r="U636" t="str">
        <f>RTD("tos.rtd", , "VEGA", ".SPY160318P201.5")</f>
        <v>N/A</v>
      </c>
      <c r="V636" t="str">
        <f>RTD("tos.rtd", , "RHO", ".SPY160318P201.5")</f>
        <v>N/A</v>
      </c>
    </row>
    <row r="637" spans="1:22" x14ac:dyDescent="0.25">
      <c r="A637" t="str">
        <f>RTD("tos.rtd", , "ASK", ".SPY160318C202")</f>
        <v>N/A</v>
      </c>
      <c r="B637" t="str">
        <f>RTD("tos.rtd", , "ASK_SIZE", ".SPY160318C202")</f>
        <v>N/A</v>
      </c>
      <c r="C637" t="str">
        <f>RTD("tos.rtd", , "BID", ".SPY160318C202")</f>
        <v>N/A</v>
      </c>
      <c r="D637" t="str">
        <f>RTD("tos.rtd", , "BID_SIZE", ".SPY160318C202")</f>
        <v>N/A</v>
      </c>
      <c r="E637" t="str">
        <f>RTD("tos.rtd", , "VOLUME", ".SPY160318C202")</f>
        <v>N/A</v>
      </c>
      <c r="F637" t="str">
        <f>RTD("tos.rtd", , "OPEN_INT", ".SPY160318C202")</f>
        <v>N/A</v>
      </c>
      <c r="G637" t="str">
        <f>RTD("tos.rtd", , "DELTA", ".SPY160318C202")</f>
        <v>N/A</v>
      </c>
      <c r="H637" t="str">
        <f>RTD("tos.rtd", , "THETA", ".SPY160318C202")</f>
        <v>N/A</v>
      </c>
      <c r="I637" t="str">
        <f>RTD("tos.rtd", , "GAMMA", ".SPY160318C202")</f>
        <v>N/A</v>
      </c>
      <c r="J637" t="str">
        <f>RTD("tos.rtd", , "VEGA", ".SPY160318C202")</f>
        <v>N/A</v>
      </c>
      <c r="K637" t="str">
        <f>RTD("tos.rtd", , "RHO", ".SPY160318C202")</f>
        <v>N/A</v>
      </c>
      <c r="L637" t="str">
        <f>RTD("tos.rtd", , "ASK", ".SPY160318P202")</f>
        <v>N/A</v>
      </c>
      <c r="M637" t="str">
        <f>RTD("tos.rtd", , "ASK_SIZE", ".SPY160318P202")</f>
        <v>N/A</v>
      </c>
      <c r="N637" t="str">
        <f>RTD("tos.rtd", , "BID", ".SPY160318P202")</f>
        <v>N/A</v>
      </c>
      <c r="O637" t="str">
        <f>RTD("tos.rtd", , "BID_SIZE", ".SPY160318P202")</f>
        <v>N/A</v>
      </c>
      <c r="P637" t="str">
        <f>RTD("tos.rtd", , "VOLUME", ".SPY160318P202")</f>
        <v>N/A</v>
      </c>
      <c r="Q637" t="str">
        <f>RTD("tos.rtd", , "OPEN_INT", ".SPY160318P202")</f>
        <v>N/A</v>
      </c>
      <c r="R637" t="str">
        <f>RTD("tos.rtd", , "DELTA", ".SPY160318P202")</f>
        <v>N/A</v>
      </c>
      <c r="S637" t="str">
        <f>RTD("tos.rtd", , "THETA", ".SPY160318P202")</f>
        <v>N/A</v>
      </c>
      <c r="T637" t="str">
        <f>RTD("tos.rtd", , "GAMMA", ".SPY160318P202")</f>
        <v>N/A</v>
      </c>
      <c r="U637" t="str">
        <f>RTD("tos.rtd", , "VEGA", ".SPY160318P202")</f>
        <v>N/A</v>
      </c>
      <c r="V637" t="str">
        <f>RTD("tos.rtd", , "RHO", ".SPY160318P202")</f>
        <v>N/A</v>
      </c>
    </row>
    <row r="638" spans="1:22" x14ac:dyDescent="0.25">
      <c r="A638" t="str">
        <f>RTD("tos.rtd", , "ASK", ".SPY160318C202.5")</f>
        <v>N/A</v>
      </c>
      <c r="B638" t="str">
        <f>RTD("tos.rtd", , "ASK_SIZE", ".SPY160318C202.5")</f>
        <v>N/A</v>
      </c>
      <c r="C638" t="str">
        <f>RTD("tos.rtd", , "BID", ".SPY160318C202.5")</f>
        <v>N/A</v>
      </c>
      <c r="D638" t="str">
        <f>RTD("tos.rtd", , "BID_SIZE", ".SPY160318C202.5")</f>
        <v>N/A</v>
      </c>
      <c r="E638" t="str">
        <f>RTD("tos.rtd", , "VOLUME", ".SPY160318C202.5")</f>
        <v>N/A</v>
      </c>
      <c r="F638" t="str">
        <f>RTD("tos.rtd", , "OPEN_INT", ".SPY160318C202.5")</f>
        <v>N/A</v>
      </c>
      <c r="G638" t="str">
        <f>RTD("tos.rtd", , "DELTA", ".SPY160318C202.5")</f>
        <v>N/A</v>
      </c>
      <c r="H638" t="str">
        <f>RTD("tos.rtd", , "THETA", ".SPY160318C202.5")</f>
        <v>N/A</v>
      </c>
      <c r="I638" t="str">
        <f>RTD("tos.rtd", , "GAMMA", ".SPY160318C202.5")</f>
        <v>N/A</v>
      </c>
      <c r="J638" t="str">
        <f>RTD("tos.rtd", , "VEGA", ".SPY160318C202.5")</f>
        <v>N/A</v>
      </c>
      <c r="K638" t="str">
        <f>RTD("tos.rtd", , "RHO", ".SPY160318C202.5")</f>
        <v>N/A</v>
      </c>
      <c r="L638" t="str">
        <f>RTD("tos.rtd", , "ASK", ".SPY160318P202.5")</f>
        <v>N/A</v>
      </c>
      <c r="M638" t="str">
        <f>RTD("tos.rtd", , "ASK_SIZE", ".SPY160318P202.5")</f>
        <v>N/A</v>
      </c>
      <c r="N638" t="str">
        <f>RTD("tos.rtd", , "BID", ".SPY160318P202.5")</f>
        <v>N/A</v>
      </c>
      <c r="O638" t="str">
        <f>RTD("tos.rtd", , "BID_SIZE", ".SPY160318P202.5")</f>
        <v>N/A</v>
      </c>
      <c r="P638" t="str">
        <f>RTD("tos.rtd", , "VOLUME", ".SPY160318P202.5")</f>
        <v>N/A</v>
      </c>
      <c r="Q638" t="str">
        <f>RTD("tos.rtd", , "OPEN_INT", ".SPY160318P202.5")</f>
        <v>N/A</v>
      </c>
      <c r="R638" t="str">
        <f>RTD("tos.rtd", , "DELTA", ".SPY160318P202.5")</f>
        <v>N/A</v>
      </c>
      <c r="S638" t="str">
        <f>RTD("tos.rtd", , "THETA", ".SPY160318P202.5")</f>
        <v>N/A</v>
      </c>
      <c r="T638" t="str">
        <f>RTD("tos.rtd", , "GAMMA", ".SPY160318P202.5")</f>
        <v>N/A</v>
      </c>
      <c r="U638" t="str">
        <f>RTD("tos.rtd", , "VEGA", ".SPY160318P202.5")</f>
        <v>N/A</v>
      </c>
      <c r="V638" t="str">
        <f>RTD("tos.rtd", , "RHO", ".SPY160318P202.5")</f>
        <v>N/A</v>
      </c>
    </row>
    <row r="639" spans="1:22" x14ac:dyDescent="0.25">
      <c r="A639" t="str">
        <f>RTD("tos.rtd", , "ASK", ".SPY160318C203")</f>
        <v>N/A</v>
      </c>
      <c r="B639" t="str">
        <f>RTD("tos.rtd", , "ASK_SIZE", ".SPY160318C203")</f>
        <v>N/A</v>
      </c>
      <c r="C639" t="str">
        <f>RTD("tos.rtd", , "BID", ".SPY160318C203")</f>
        <v>N/A</v>
      </c>
      <c r="D639" t="str">
        <f>RTD("tos.rtd", , "BID_SIZE", ".SPY160318C203")</f>
        <v>N/A</v>
      </c>
      <c r="E639" t="str">
        <f>RTD("tos.rtd", , "VOLUME", ".SPY160318C203")</f>
        <v>N/A</v>
      </c>
      <c r="F639" t="str">
        <f>RTD("tos.rtd", , "OPEN_INT", ".SPY160318C203")</f>
        <v>N/A</v>
      </c>
      <c r="G639" t="str">
        <f>RTD("tos.rtd", , "DELTA", ".SPY160318C203")</f>
        <v>N/A</v>
      </c>
      <c r="H639" t="str">
        <f>RTD("tos.rtd", , "THETA", ".SPY160318C203")</f>
        <v>N/A</v>
      </c>
      <c r="I639" t="str">
        <f>RTD("tos.rtd", , "GAMMA", ".SPY160318C203")</f>
        <v>N/A</v>
      </c>
      <c r="J639" t="str">
        <f>RTD("tos.rtd", , "VEGA", ".SPY160318C203")</f>
        <v>N/A</v>
      </c>
      <c r="K639" t="str">
        <f>RTD("tos.rtd", , "RHO", ".SPY160318C203")</f>
        <v>N/A</v>
      </c>
      <c r="L639" t="str">
        <f>RTD("tos.rtd", , "ASK", ".SPY160318P203")</f>
        <v>N/A</v>
      </c>
      <c r="M639" t="str">
        <f>RTD("tos.rtd", , "ASK_SIZE", ".SPY160318P203")</f>
        <v>N/A</v>
      </c>
      <c r="N639" t="str">
        <f>RTD("tos.rtd", , "BID", ".SPY160318P203")</f>
        <v>N/A</v>
      </c>
      <c r="O639" t="str">
        <f>RTD("tos.rtd", , "BID_SIZE", ".SPY160318P203")</f>
        <v>N/A</v>
      </c>
      <c r="P639" t="str">
        <f>RTD("tos.rtd", , "VOLUME", ".SPY160318P203")</f>
        <v>N/A</v>
      </c>
      <c r="Q639" t="str">
        <f>RTD("tos.rtd", , "OPEN_INT", ".SPY160318P203")</f>
        <v>N/A</v>
      </c>
      <c r="R639" t="str">
        <f>RTD("tos.rtd", , "DELTA", ".SPY160318P203")</f>
        <v>N/A</v>
      </c>
      <c r="S639" t="str">
        <f>RTD("tos.rtd", , "THETA", ".SPY160318P203")</f>
        <v>N/A</v>
      </c>
      <c r="T639" t="str">
        <f>RTD("tos.rtd", , "GAMMA", ".SPY160318P203")</f>
        <v>N/A</v>
      </c>
      <c r="U639" t="str">
        <f>RTD("tos.rtd", , "VEGA", ".SPY160318P203")</f>
        <v>N/A</v>
      </c>
      <c r="V639" t="str">
        <f>RTD("tos.rtd", , "RHO", ".SPY160318P203")</f>
        <v>N/A</v>
      </c>
    </row>
    <row r="640" spans="1:22" x14ac:dyDescent="0.25">
      <c r="A640" t="str">
        <f>RTD("tos.rtd", , "ASK", ".SPY160318C203.5")</f>
        <v>N/A</v>
      </c>
      <c r="B640" t="str">
        <f>RTD("tos.rtd", , "ASK_SIZE", ".SPY160318C203.5")</f>
        <v>N/A</v>
      </c>
      <c r="C640" t="str">
        <f>RTD("tos.rtd", , "BID", ".SPY160318C203.5")</f>
        <v>N/A</v>
      </c>
      <c r="D640" t="str">
        <f>RTD("tos.rtd", , "BID_SIZE", ".SPY160318C203.5")</f>
        <v>N/A</v>
      </c>
      <c r="E640" t="str">
        <f>RTD("tos.rtd", , "VOLUME", ".SPY160318C203.5")</f>
        <v>N/A</v>
      </c>
      <c r="F640" t="str">
        <f>RTD("tos.rtd", , "OPEN_INT", ".SPY160318C203.5")</f>
        <v>N/A</v>
      </c>
      <c r="G640" t="str">
        <f>RTD("tos.rtd", , "DELTA", ".SPY160318C203.5")</f>
        <v>N/A</v>
      </c>
      <c r="H640" t="str">
        <f>RTD("tos.rtd", , "THETA", ".SPY160318C203.5")</f>
        <v>N/A</v>
      </c>
      <c r="I640" t="str">
        <f>RTD("tos.rtd", , "GAMMA", ".SPY160318C203.5")</f>
        <v>N/A</v>
      </c>
      <c r="J640" t="str">
        <f>RTD("tos.rtd", , "VEGA", ".SPY160318C203.5")</f>
        <v>N/A</v>
      </c>
      <c r="K640" t="str">
        <f>RTD("tos.rtd", , "RHO", ".SPY160318C203.5")</f>
        <v>N/A</v>
      </c>
      <c r="L640" t="str">
        <f>RTD("tos.rtd", , "ASK", ".SPY160318P203.5")</f>
        <v>N/A</v>
      </c>
      <c r="M640" t="str">
        <f>RTD("tos.rtd", , "ASK_SIZE", ".SPY160318P203.5")</f>
        <v>N/A</v>
      </c>
      <c r="N640" t="str">
        <f>RTD("tos.rtd", , "BID", ".SPY160318P203.5")</f>
        <v>N/A</v>
      </c>
      <c r="O640" t="str">
        <f>RTD("tos.rtd", , "BID_SIZE", ".SPY160318P203.5")</f>
        <v>N/A</v>
      </c>
      <c r="P640" t="str">
        <f>RTD("tos.rtd", , "VOLUME", ".SPY160318P203.5")</f>
        <v>N/A</v>
      </c>
      <c r="Q640" t="str">
        <f>RTD("tos.rtd", , "OPEN_INT", ".SPY160318P203.5")</f>
        <v>N/A</v>
      </c>
      <c r="R640" t="str">
        <f>RTD("tos.rtd", , "DELTA", ".SPY160318P203.5")</f>
        <v>N/A</v>
      </c>
      <c r="S640" t="str">
        <f>RTD("tos.rtd", , "THETA", ".SPY160318P203.5")</f>
        <v>N/A</v>
      </c>
      <c r="T640" t="str">
        <f>RTD("tos.rtd", , "GAMMA", ".SPY160318P203.5")</f>
        <v>N/A</v>
      </c>
      <c r="U640" t="str">
        <f>RTD("tos.rtd", , "VEGA", ".SPY160318P203.5")</f>
        <v>N/A</v>
      </c>
      <c r="V640" t="str">
        <f>RTD("tos.rtd", , "RHO", ".SPY160318P203.5")</f>
        <v>N/A</v>
      </c>
    </row>
    <row r="641" spans="1:22" x14ac:dyDescent="0.25">
      <c r="A641" t="str">
        <f>RTD("tos.rtd", , "ASK", ".SPY160318C204")</f>
        <v>N/A</v>
      </c>
      <c r="B641" t="str">
        <f>RTD("tos.rtd", , "ASK_SIZE", ".SPY160318C204")</f>
        <v>N/A</v>
      </c>
      <c r="C641" t="str">
        <f>RTD("tos.rtd", , "BID", ".SPY160318C204")</f>
        <v>N/A</v>
      </c>
      <c r="D641" t="str">
        <f>RTD("tos.rtd", , "BID_SIZE", ".SPY160318C204")</f>
        <v>N/A</v>
      </c>
      <c r="E641" t="str">
        <f>RTD("tos.rtd", , "VOLUME", ".SPY160318C204")</f>
        <v>N/A</v>
      </c>
      <c r="F641" t="str">
        <f>RTD("tos.rtd", , "OPEN_INT", ".SPY160318C204")</f>
        <v>N/A</v>
      </c>
      <c r="G641" t="str">
        <f>RTD("tos.rtd", , "DELTA", ".SPY160318C204")</f>
        <v>N/A</v>
      </c>
      <c r="H641" t="str">
        <f>RTD("tos.rtd", , "THETA", ".SPY160318C204")</f>
        <v>N/A</v>
      </c>
      <c r="I641" t="str">
        <f>RTD("tos.rtd", , "GAMMA", ".SPY160318C204")</f>
        <v>N/A</v>
      </c>
      <c r="J641" t="str">
        <f>RTD("tos.rtd", , "VEGA", ".SPY160318C204")</f>
        <v>N/A</v>
      </c>
      <c r="K641" t="str">
        <f>RTD("tos.rtd", , "RHO", ".SPY160318C204")</f>
        <v>N/A</v>
      </c>
      <c r="L641" t="str">
        <f>RTD("tos.rtd", , "ASK", ".SPY160318P204")</f>
        <v>N/A</v>
      </c>
      <c r="M641" t="str">
        <f>RTD("tos.rtd", , "ASK_SIZE", ".SPY160318P204")</f>
        <v>N/A</v>
      </c>
      <c r="N641" t="str">
        <f>RTD("tos.rtd", , "BID", ".SPY160318P204")</f>
        <v>N/A</v>
      </c>
      <c r="O641" t="str">
        <f>RTD("tos.rtd", , "BID_SIZE", ".SPY160318P204")</f>
        <v>N/A</v>
      </c>
      <c r="P641" t="str">
        <f>RTD("tos.rtd", , "VOLUME", ".SPY160318P204")</f>
        <v>N/A</v>
      </c>
      <c r="Q641" t="str">
        <f>RTD("tos.rtd", , "OPEN_INT", ".SPY160318P204")</f>
        <v>N/A</v>
      </c>
      <c r="R641" t="str">
        <f>RTD("tos.rtd", , "DELTA", ".SPY160318P204")</f>
        <v>N/A</v>
      </c>
      <c r="S641" t="str">
        <f>RTD("tos.rtd", , "THETA", ".SPY160318P204")</f>
        <v>N/A</v>
      </c>
      <c r="T641" t="str">
        <f>RTD("tos.rtd", , "GAMMA", ".SPY160318P204")</f>
        <v>N/A</v>
      </c>
      <c r="U641" t="str">
        <f>RTD("tos.rtd", , "VEGA", ".SPY160318P204")</f>
        <v>N/A</v>
      </c>
      <c r="V641" t="str">
        <f>RTD("tos.rtd", , "RHO", ".SPY160318P204")</f>
        <v>N/A</v>
      </c>
    </row>
    <row r="642" spans="1:22" x14ac:dyDescent="0.25">
      <c r="A642" t="str">
        <f>RTD("tos.rtd", , "ASK", ".SPY160318C204.5")</f>
        <v>N/A</v>
      </c>
      <c r="B642" t="str">
        <f>RTD("tos.rtd", , "ASK_SIZE", ".SPY160318C204.5")</f>
        <v>N/A</v>
      </c>
      <c r="C642" t="str">
        <f>RTD("tos.rtd", , "BID", ".SPY160318C204.5")</f>
        <v>N/A</v>
      </c>
      <c r="D642" t="str">
        <f>RTD("tos.rtd", , "BID_SIZE", ".SPY160318C204.5")</f>
        <v>N/A</v>
      </c>
      <c r="E642" t="str">
        <f>RTD("tos.rtd", , "VOLUME", ".SPY160318C204.5")</f>
        <v>N/A</v>
      </c>
      <c r="F642" t="str">
        <f>RTD("tos.rtd", , "OPEN_INT", ".SPY160318C204.5")</f>
        <v>N/A</v>
      </c>
      <c r="G642" t="str">
        <f>RTD("tos.rtd", , "DELTA", ".SPY160318C204.5")</f>
        <v>N/A</v>
      </c>
      <c r="H642" t="str">
        <f>RTD("tos.rtd", , "THETA", ".SPY160318C204.5")</f>
        <v>N/A</v>
      </c>
      <c r="I642" t="str">
        <f>RTD("tos.rtd", , "GAMMA", ".SPY160318C204.5")</f>
        <v>N/A</v>
      </c>
      <c r="J642" t="str">
        <f>RTD("tos.rtd", , "VEGA", ".SPY160318C204.5")</f>
        <v>N/A</v>
      </c>
      <c r="K642" t="str">
        <f>RTD("tos.rtd", , "RHO", ".SPY160318C204.5")</f>
        <v>N/A</v>
      </c>
      <c r="L642" t="str">
        <f>RTD("tos.rtd", , "ASK", ".SPY160318P204.5")</f>
        <v>N/A</v>
      </c>
      <c r="M642" t="str">
        <f>RTD("tos.rtd", , "ASK_SIZE", ".SPY160318P204.5")</f>
        <v>N/A</v>
      </c>
      <c r="N642" t="str">
        <f>RTD("tos.rtd", , "BID", ".SPY160318P204.5")</f>
        <v>N/A</v>
      </c>
      <c r="O642" t="str">
        <f>RTD("tos.rtd", , "BID_SIZE", ".SPY160318P204.5")</f>
        <v>N/A</v>
      </c>
      <c r="P642" t="str">
        <f>RTD("tos.rtd", , "VOLUME", ".SPY160318P204.5")</f>
        <v>N/A</v>
      </c>
      <c r="Q642" t="str">
        <f>RTD("tos.rtd", , "OPEN_INT", ".SPY160318P204.5")</f>
        <v>N/A</v>
      </c>
      <c r="R642" t="str">
        <f>RTD("tos.rtd", , "DELTA", ".SPY160318P204.5")</f>
        <v>N/A</v>
      </c>
      <c r="S642" t="str">
        <f>RTD("tos.rtd", , "THETA", ".SPY160318P204.5")</f>
        <v>N/A</v>
      </c>
      <c r="T642" t="str">
        <f>RTD("tos.rtd", , "GAMMA", ".SPY160318P204.5")</f>
        <v>N/A</v>
      </c>
      <c r="U642" t="str">
        <f>RTD("tos.rtd", , "VEGA", ".SPY160318P204.5")</f>
        <v>N/A</v>
      </c>
      <c r="V642" t="str">
        <f>RTD("tos.rtd", , "RHO", ".SPY160318P204.5")</f>
        <v>N/A</v>
      </c>
    </row>
    <row r="643" spans="1:22" x14ac:dyDescent="0.25">
      <c r="A643">
        <f>RTD("tos.rtd", , "ASK", ".SPY160318C205")</f>
        <v>15.37</v>
      </c>
      <c r="B643">
        <f>RTD("tos.rtd", , "ASK_SIZE", ".SPY160318C205")</f>
        <v>244</v>
      </c>
      <c r="C643">
        <f>RTD("tos.rtd", , "BID", ".SPY160318C205")</f>
        <v>14.94</v>
      </c>
      <c r="D643">
        <f>RTD("tos.rtd", , "BID_SIZE", ".SPY160318C205")</f>
        <v>203</v>
      </c>
      <c r="E643">
        <f>RTD("tos.rtd", , "VOLUME", ".SPY160318C205")</f>
        <v>1</v>
      </c>
      <c r="F643">
        <f>RTD("tos.rtd", , "OPEN_INT", ".SPY160318C205")</f>
        <v>694</v>
      </c>
      <c r="G643">
        <f>RTD("tos.rtd", , "DELTA", ".SPY160318C205")</f>
        <v>0.58176000000000005</v>
      </c>
      <c r="H643">
        <f>RTD("tos.rtd", , "THETA", ".SPY160318C205")</f>
        <v>-1.5879999999999998E-2</v>
      </c>
      <c r="I643">
        <f>RTD("tos.rtd", , "GAMMA", ".SPY160318C205")</f>
        <v>1.2319999999999999E-2</v>
      </c>
      <c r="J643">
        <f>RTD("tos.rtd", , "VEGA", ".SPY160318C205")</f>
        <v>0.75777000000000005</v>
      </c>
      <c r="K643">
        <f>RTD("tos.rtd", , "RHO", ".SPY160318C205")</f>
        <v>0.78552999999999995</v>
      </c>
      <c r="L643">
        <f>RTD("tos.rtd", , "ASK", ".SPY160318P205")</f>
        <v>11.34</v>
      </c>
      <c r="M643">
        <f>RTD("tos.rtd", , "ASK_SIZE", ".SPY160318P205")</f>
        <v>1676</v>
      </c>
      <c r="N643">
        <f>RTD("tos.rtd", , "BID", ".SPY160318P205")</f>
        <v>11</v>
      </c>
      <c r="O643">
        <f>RTD("tos.rtd", , "BID_SIZE", ".SPY160318P205")</f>
        <v>1686</v>
      </c>
      <c r="P643">
        <f>RTD("tos.rtd", , "VOLUME", ".SPY160318P205")</f>
        <v>1</v>
      </c>
      <c r="Q643">
        <f>RTD("tos.rtd", , "OPEN_INT", ".SPY160318P205")</f>
        <v>7057</v>
      </c>
      <c r="R643">
        <f>RTD("tos.rtd", , "DELTA", ".SPY160318P205")</f>
        <v>-0.41741</v>
      </c>
      <c r="S643">
        <f>RTD("tos.rtd", , "THETA", ".SPY160318P205")</f>
        <v>-2.358E-2</v>
      </c>
      <c r="T643">
        <f>RTD("tos.rtd", , "GAMMA", ".SPY160318P205")</f>
        <v>1.1599999999999999E-2</v>
      </c>
      <c r="U643">
        <f>RTD("tos.rtd", , "VEGA", ".SPY160318P205")</f>
        <v>0.76337999999999995</v>
      </c>
      <c r="V643">
        <f>RTD("tos.rtd", , "RHO", ".SPY160318P205")</f>
        <v>-0.86892000000000003</v>
      </c>
    </row>
    <row r="644" spans="1:22" x14ac:dyDescent="0.25">
      <c r="A644" t="str">
        <f>RTD("tos.rtd", , "ASK", ".SPY160318C205.5")</f>
        <v>N/A</v>
      </c>
      <c r="B644" t="str">
        <f>RTD("tos.rtd", , "ASK_SIZE", ".SPY160318C205.5")</f>
        <v>N/A</v>
      </c>
      <c r="C644" t="str">
        <f>RTD("tos.rtd", , "BID", ".SPY160318C205.5")</f>
        <v>N/A</v>
      </c>
      <c r="D644" t="str">
        <f>RTD("tos.rtd", , "BID_SIZE", ".SPY160318C205.5")</f>
        <v>N/A</v>
      </c>
      <c r="E644" t="str">
        <f>RTD("tos.rtd", , "VOLUME", ".SPY160318C205.5")</f>
        <v>N/A</v>
      </c>
      <c r="F644" t="str">
        <f>RTD("tos.rtd", , "OPEN_INT", ".SPY160318C205.5")</f>
        <v>N/A</v>
      </c>
      <c r="G644" t="str">
        <f>RTD("tos.rtd", , "DELTA", ".SPY160318C205.5")</f>
        <v>N/A</v>
      </c>
      <c r="H644" t="str">
        <f>RTD("tos.rtd", , "THETA", ".SPY160318C205.5")</f>
        <v>N/A</v>
      </c>
      <c r="I644" t="str">
        <f>RTD("tos.rtd", , "GAMMA", ".SPY160318C205.5")</f>
        <v>N/A</v>
      </c>
      <c r="J644" t="str">
        <f>RTD("tos.rtd", , "VEGA", ".SPY160318C205.5")</f>
        <v>N/A</v>
      </c>
      <c r="K644" t="str">
        <f>RTD("tos.rtd", , "RHO", ".SPY160318C205.5")</f>
        <v>N/A</v>
      </c>
      <c r="L644" t="str">
        <f>RTD("tos.rtd", , "ASK", ".SPY160318P205.5")</f>
        <v>N/A</v>
      </c>
      <c r="M644" t="str">
        <f>RTD("tos.rtd", , "ASK_SIZE", ".SPY160318P205.5")</f>
        <v>N/A</v>
      </c>
      <c r="N644" t="str">
        <f>RTD("tos.rtd", , "BID", ".SPY160318P205.5")</f>
        <v>N/A</v>
      </c>
      <c r="O644" t="str">
        <f>RTD("tos.rtd", , "BID_SIZE", ".SPY160318P205.5")</f>
        <v>N/A</v>
      </c>
      <c r="P644" t="str">
        <f>RTD("tos.rtd", , "VOLUME", ".SPY160318P205.5")</f>
        <v>N/A</v>
      </c>
      <c r="Q644" t="str">
        <f>RTD("tos.rtd", , "OPEN_INT", ".SPY160318P205.5")</f>
        <v>N/A</v>
      </c>
      <c r="R644" t="str">
        <f>RTD("tos.rtd", , "DELTA", ".SPY160318P205.5")</f>
        <v>N/A</v>
      </c>
      <c r="S644" t="str">
        <f>RTD("tos.rtd", , "THETA", ".SPY160318P205.5")</f>
        <v>N/A</v>
      </c>
      <c r="T644" t="str">
        <f>RTD("tos.rtd", , "GAMMA", ".SPY160318P205.5")</f>
        <v>N/A</v>
      </c>
      <c r="U644" t="str">
        <f>RTD("tos.rtd", , "VEGA", ".SPY160318P205.5")</f>
        <v>N/A</v>
      </c>
      <c r="V644" t="str">
        <f>RTD("tos.rtd", , "RHO", ".SPY160318P205.5")</f>
        <v>N/A</v>
      </c>
    </row>
    <row r="645" spans="1:22" x14ac:dyDescent="0.25">
      <c r="A645" t="str">
        <f>RTD("tos.rtd", , "ASK", ".SPY160318C206")</f>
        <v>N/A</v>
      </c>
      <c r="B645" t="str">
        <f>RTD("tos.rtd", , "ASK_SIZE", ".SPY160318C206")</f>
        <v>N/A</v>
      </c>
      <c r="C645" t="str">
        <f>RTD("tos.rtd", , "BID", ".SPY160318C206")</f>
        <v>N/A</v>
      </c>
      <c r="D645" t="str">
        <f>RTD("tos.rtd", , "BID_SIZE", ".SPY160318C206")</f>
        <v>N/A</v>
      </c>
      <c r="E645" t="str">
        <f>RTD("tos.rtd", , "VOLUME", ".SPY160318C206")</f>
        <v>N/A</v>
      </c>
      <c r="F645" t="str">
        <f>RTD("tos.rtd", , "OPEN_INT", ".SPY160318C206")</f>
        <v>N/A</v>
      </c>
      <c r="G645" t="str">
        <f>RTD("tos.rtd", , "DELTA", ".SPY160318C206")</f>
        <v>N/A</v>
      </c>
      <c r="H645" t="str">
        <f>RTD("tos.rtd", , "THETA", ".SPY160318C206")</f>
        <v>N/A</v>
      </c>
      <c r="I645" t="str">
        <f>RTD("tos.rtd", , "GAMMA", ".SPY160318C206")</f>
        <v>N/A</v>
      </c>
      <c r="J645" t="str">
        <f>RTD("tos.rtd", , "VEGA", ".SPY160318C206")</f>
        <v>N/A</v>
      </c>
      <c r="K645" t="str">
        <f>RTD("tos.rtd", , "RHO", ".SPY160318C206")</f>
        <v>N/A</v>
      </c>
      <c r="L645" t="str">
        <f>RTD("tos.rtd", , "ASK", ".SPY160318P206")</f>
        <v>N/A</v>
      </c>
      <c r="M645" t="str">
        <f>RTD("tos.rtd", , "ASK_SIZE", ".SPY160318P206")</f>
        <v>N/A</v>
      </c>
      <c r="N645" t="str">
        <f>RTD("tos.rtd", , "BID", ".SPY160318P206")</f>
        <v>N/A</v>
      </c>
      <c r="O645" t="str">
        <f>RTD("tos.rtd", , "BID_SIZE", ".SPY160318P206")</f>
        <v>N/A</v>
      </c>
      <c r="P645" t="str">
        <f>RTD("tos.rtd", , "VOLUME", ".SPY160318P206")</f>
        <v>N/A</v>
      </c>
      <c r="Q645" t="str">
        <f>RTD("tos.rtd", , "OPEN_INT", ".SPY160318P206")</f>
        <v>N/A</v>
      </c>
      <c r="R645" t="str">
        <f>RTD("tos.rtd", , "DELTA", ".SPY160318P206")</f>
        <v>N/A</v>
      </c>
      <c r="S645" t="str">
        <f>RTD("tos.rtd", , "THETA", ".SPY160318P206")</f>
        <v>N/A</v>
      </c>
      <c r="T645" t="str">
        <f>RTD("tos.rtd", , "GAMMA", ".SPY160318P206")</f>
        <v>N/A</v>
      </c>
      <c r="U645" t="str">
        <f>RTD("tos.rtd", , "VEGA", ".SPY160318P206")</f>
        <v>N/A</v>
      </c>
      <c r="V645" t="str">
        <f>RTD("tos.rtd", , "RHO", ".SPY160318P206")</f>
        <v>N/A</v>
      </c>
    </row>
    <row r="646" spans="1:22" x14ac:dyDescent="0.25">
      <c r="A646" t="str">
        <f>RTD("tos.rtd", , "ASK", ".SPY160318C206.5")</f>
        <v>N/A</v>
      </c>
      <c r="B646" t="str">
        <f>RTD("tos.rtd", , "ASK_SIZE", ".SPY160318C206.5")</f>
        <v>N/A</v>
      </c>
      <c r="C646" t="str">
        <f>RTD("tos.rtd", , "BID", ".SPY160318C206.5")</f>
        <v>N/A</v>
      </c>
      <c r="D646" t="str">
        <f>RTD("tos.rtd", , "BID_SIZE", ".SPY160318C206.5")</f>
        <v>N/A</v>
      </c>
      <c r="E646" t="str">
        <f>RTD("tos.rtd", , "VOLUME", ".SPY160318C206.5")</f>
        <v>N/A</v>
      </c>
      <c r="F646" t="str">
        <f>RTD("tos.rtd", , "OPEN_INT", ".SPY160318C206.5")</f>
        <v>N/A</v>
      </c>
      <c r="G646" t="str">
        <f>RTD("tos.rtd", , "DELTA", ".SPY160318C206.5")</f>
        <v>N/A</v>
      </c>
      <c r="H646" t="str">
        <f>RTD("tos.rtd", , "THETA", ".SPY160318C206.5")</f>
        <v>N/A</v>
      </c>
      <c r="I646" t="str">
        <f>RTD("tos.rtd", , "GAMMA", ".SPY160318C206.5")</f>
        <v>N/A</v>
      </c>
      <c r="J646" t="str">
        <f>RTD("tos.rtd", , "VEGA", ".SPY160318C206.5")</f>
        <v>N/A</v>
      </c>
      <c r="K646" t="str">
        <f>RTD("tos.rtd", , "RHO", ".SPY160318C206.5")</f>
        <v>N/A</v>
      </c>
      <c r="L646" t="str">
        <f>RTD("tos.rtd", , "ASK", ".SPY160318P206.5")</f>
        <v>N/A</v>
      </c>
      <c r="M646" t="str">
        <f>RTD("tos.rtd", , "ASK_SIZE", ".SPY160318P206.5")</f>
        <v>N/A</v>
      </c>
      <c r="N646" t="str">
        <f>RTD("tos.rtd", , "BID", ".SPY160318P206.5")</f>
        <v>N/A</v>
      </c>
      <c r="O646" t="str">
        <f>RTD("tos.rtd", , "BID_SIZE", ".SPY160318P206.5")</f>
        <v>N/A</v>
      </c>
      <c r="P646" t="str">
        <f>RTD("tos.rtd", , "VOLUME", ".SPY160318P206.5")</f>
        <v>N/A</v>
      </c>
      <c r="Q646" t="str">
        <f>RTD("tos.rtd", , "OPEN_INT", ".SPY160318P206.5")</f>
        <v>N/A</v>
      </c>
      <c r="R646" t="str">
        <f>RTD("tos.rtd", , "DELTA", ".SPY160318P206.5")</f>
        <v>N/A</v>
      </c>
      <c r="S646" t="str">
        <f>RTD("tos.rtd", , "THETA", ".SPY160318P206.5")</f>
        <v>N/A</v>
      </c>
      <c r="T646" t="str">
        <f>RTD("tos.rtd", , "GAMMA", ".SPY160318P206.5")</f>
        <v>N/A</v>
      </c>
      <c r="U646" t="str">
        <f>RTD("tos.rtd", , "VEGA", ".SPY160318P206.5")</f>
        <v>N/A</v>
      </c>
      <c r="V646" t="str">
        <f>RTD("tos.rtd", , "RHO", ".SPY160318P206.5")</f>
        <v>N/A</v>
      </c>
    </row>
    <row r="647" spans="1:22" x14ac:dyDescent="0.25">
      <c r="A647" t="str">
        <f>RTD("tos.rtd", , "ASK", ".SPY160318C207")</f>
        <v>N/A</v>
      </c>
      <c r="B647" t="str">
        <f>RTD("tos.rtd", , "ASK_SIZE", ".SPY160318C207")</f>
        <v>N/A</v>
      </c>
      <c r="C647" t="str">
        <f>RTD("tos.rtd", , "BID", ".SPY160318C207")</f>
        <v>N/A</v>
      </c>
      <c r="D647" t="str">
        <f>RTD("tos.rtd", , "BID_SIZE", ".SPY160318C207")</f>
        <v>N/A</v>
      </c>
      <c r="E647" t="str">
        <f>RTD("tos.rtd", , "VOLUME", ".SPY160318C207")</f>
        <v>N/A</v>
      </c>
      <c r="F647" t="str">
        <f>RTD("tos.rtd", , "OPEN_INT", ".SPY160318C207")</f>
        <v>N/A</v>
      </c>
      <c r="G647" t="str">
        <f>RTD("tos.rtd", , "DELTA", ".SPY160318C207")</f>
        <v>N/A</v>
      </c>
      <c r="H647" t="str">
        <f>RTD("tos.rtd", , "THETA", ".SPY160318C207")</f>
        <v>N/A</v>
      </c>
      <c r="I647" t="str">
        <f>RTD("tos.rtd", , "GAMMA", ".SPY160318C207")</f>
        <v>N/A</v>
      </c>
      <c r="J647" t="str">
        <f>RTD("tos.rtd", , "VEGA", ".SPY160318C207")</f>
        <v>N/A</v>
      </c>
      <c r="K647" t="str">
        <f>RTD("tos.rtd", , "RHO", ".SPY160318C207")</f>
        <v>N/A</v>
      </c>
      <c r="L647" t="str">
        <f>RTD("tos.rtd", , "ASK", ".SPY160318P207")</f>
        <v>N/A</v>
      </c>
      <c r="M647" t="str">
        <f>RTD("tos.rtd", , "ASK_SIZE", ".SPY160318P207")</f>
        <v>N/A</v>
      </c>
      <c r="N647" t="str">
        <f>RTD("tos.rtd", , "BID", ".SPY160318P207")</f>
        <v>N/A</v>
      </c>
      <c r="O647" t="str">
        <f>RTD("tos.rtd", , "BID_SIZE", ".SPY160318P207")</f>
        <v>N/A</v>
      </c>
      <c r="P647" t="str">
        <f>RTD("tos.rtd", , "VOLUME", ".SPY160318P207")</f>
        <v>N/A</v>
      </c>
      <c r="Q647" t="str">
        <f>RTD("tos.rtd", , "OPEN_INT", ".SPY160318P207")</f>
        <v>N/A</v>
      </c>
      <c r="R647" t="str">
        <f>RTD("tos.rtd", , "DELTA", ".SPY160318P207")</f>
        <v>N/A</v>
      </c>
      <c r="S647" t="str">
        <f>RTD("tos.rtd", , "THETA", ".SPY160318P207")</f>
        <v>N/A</v>
      </c>
      <c r="T647" t="str">
        <f>RTD("tos.rtd", , "GAMMA", ".SPY160318P207")</f>
        <v>N/A</v>
      </c>
      <c r="U647" t="str">
        <f>RTD("tos.rtd", , "VEGA", ".SPY160318P207")</f>
        <v>N/A</v>
      </c>
      <c r="V647" t="str">
        <f>RTD("tos.rtd", , "RHO", ".SPY160318P207")</f>
        <v>N/A</v>
      </c>
    </row>
    <row r="648" spans="1:22" x14ac:dyDescent="0.25">
      <c r="A648" t="str">
        <f>RTD("tos.rtd", , "ASK", ".SPY160318C207.5")</f>
        <v>N/A</v>
      </c>
      <c r="B648" t="str">
        <f>RTD("tos.rtd", , "ASK_SIZE", ".SPY160318C207.5")</f>
        <v>N/A</v>
      </c>
      <c r="C648" t="str">
        <f>RTD("tos.rtd", , "BID", ".SPY160318C207.5")</f>
        <v>N/A</v>
      </c>
      <c r="D648" t="str">
        <f>RTD("tos.rtd", , "BID_SIZE", ".SPY160318C207.5")</f>
        <v>N/A</v>
      </c>
      <c r="E648" t="str">
        <f>RTD("tos.rtd", , "VOLUME", ".SPY160318C207.5")</f>
        <v>N/A</v>
      </c>
      <c r="F648" t="str">
        <f>RTD("tos.rtd", , "OPEN_INT", ".SPY160318C207.5")</f>
        <v>N/A</v>
      </c>
      <c r="G648" t="str">
        <f>RTD("tos.rtd", , "DELTA", ".SPY160318C207.5")</f>
        <v>N/A</v>
      </c>
      <c r="H648" t="str">
        <f>RTD("tos.rtd", , "THETA", ".SPY160318C207.5")</f>
        <v>N/A</v>
      </c>
      <c r="I648" t="str">
        <f>RTD("tos.rtd", , "GAMMA", ".SPY160318C207.5")</f>
        <v>N/A</v>
      </c>
      <c r="J648" t="str">
        <f>RTD("tos.rtd", , "VEGA", ".SPY160318C207.5")</f>
        <v>N/A</v>
      </c>
      <c r="K648" t="str">
        <f>RTD("tos.rtd", , "RHO", ".SPY160318C207.5")</f>
        <v>N/A</v>
      </c>
      <c r="L648" t="str">
        <f>RTD("tos.rtd", , "ASK", ".SPY160318P207.5")</f>
        <v>N/A</v>
      </c>
      <c r="M648" t="str">
        <f>RTD("tos.rtd", , "ASK_SIZE", ".SPY160318P207.5")</f>
        <v>N/A</v>
      </c>
      <c r="N648" t="str">
        <f>RTD("tos.rtd", , "BID", ".SPY160318P207.5")</f>
        <v>N/A</v>
      </c>
      <c r="O648" t="str">
        <f>RTD("tos.rtd", , "BID_SIZE", ".SPY160318P207.5")</f>
        <v>N/A</v>
      </c>
      <c r="P648" t="str">
        <f>RTD("tos.rtd", , "VOLUME", ".SPY160318P207.5")</f>
        <v>N/A</v>
      </c>
      <c r="Q648" t="str">
        <f>RTD("tos.rtd", , "OPEN_INT", ".SPY160318P207.5")</f>
        <v>N/A</v>
      </c>
      <c r="R648" t="str">
        <f>RTD("tos.rtd", , "DELTA", ".SPY160318P207.5")</f>
        <v>N/A</v>
      </c>
      <c r="S648" t="str">
        <f>RTD("tos.rtd", , "THETA", ".SPY160318P207.5")</f>
        <v>N/A</v>
      </c>
      <c r="T648" t="str">
        <f>RTD("tos.rtd", , "GAMMA", ".SPY160318P207.5")</f>
        <v>N/A</v>
      </c>
      <c r="U648" t="str">
        <f>RTD("tos.rtd", , "VEGA", ".SPY160318P207.5")</f>
        <v>N/A</v>
      </c>
      <c r="V648" t="str">
        <f>RTD("tos.rtd", , "RHO", ".SPY160318P207.5")</f>
        <v>N/A</v>
      </c>
    </row>
    <row r="649" spans="1:22" x14ac:dyDescent="0.25">
      <c r="A649" t="str">
        <f>RTD("tos.rtd", , "ASK", ".SPY160318C208")</f>
        <v>N/A</v>
      </c>
      <c r="B649" t="str">
        <f>RTD("tos.rtd", , "ASK_SIZE", ".SPY160318C208")</f>
        <v>N/A</v>
      </c>
      <c r="C649" t="str">
        <f>RTD("tos.rtd", , "BID", ".SPY160318C208")</f>
        <v>N/A</v>
      </c>
      <c r="D649" t="str">
        <f>RTD("tos.rtd", , "BID_SIZE", ".SPY160318C208")</f>
        <v>N/A</v>
      </c>
      <c r="E649" t="str">
        <f>RTD("tos.rtd", , "VOLUME", ".SPY160318C208")</f>
        <v>N/A</v>
      </c>
      <c r="F649" t="str">
        <f>RTD("tos.rtd", , "OPEN_INT", ".SPY160318C208")</f>
        <v>N/A</v>
      </c>
      <c r="G649" t="str">
        <f>RTD("tos.rtd", , "DELTA", ".SPY160318C208")</f>
        <v>N/A</v>
      </c>
      <c r="H649" t="str">
        <f>RTD("tos.rtd", , "THETA", ".SPY160318C208")</f>
        <v>N/A</v>
      </c>
      <c r="I649" t="str">
        <f>RTD("tos.rtd", , "GAMMA", ".SPY160318C208")</f>
        <v>N/A</v>
      </c>
      <c r="J649" t="str">
        <f>RTD("tos.rtd", , "VEGA", ".SPY160318C208")</f>
        <v>N/A</v>
      </c>
      <c r="K649" t="str">
        <f>RTD("tos.rtd", , "RHO", ".SPY160318C208")</f>
        <v>N/A</v>
      </c>
      <c r="L649" t="str">
        <f>RTD("tos.rtd", , "ASK", ".SPY160318P208")</f>
        <v>N/A</v>
      </c>
      <c r="M649" t="str">
        <f>RTD("tos.rtd", , "ASK_SIZE", ".SPY160318P208")</f>
        <v>N/A</v>
      </c>
      <c r="N649" t="str">
        <f>RTD("tos.rtd", , "BID", ".SPY160318P208")</f>
        <v>N/A</v>
      </c>
      <c r="O649" t="str">
        <f>RTD("tos.rtd", , "BID_SIZE", ".SPY160318P208")</f>
        <v>N/A</v>
      </c>
      <c r="P649" t="str">
        <f>RTD("tos.rtd", , "VOLUME", ".SPY160318P208")</f>
        <v>N/A</v>
      </c>
      <c r="Q649" t="str">
        <f>RTD("tos.rtd", , "OPEN_INT", ".SPY160318P208")</f>
        <v>N/A</v>
      </c>
      <c r="R649" t="str">
        <f>RTD("tos.rtd", , "DELTA", ".SPY160318P208")</f>
        <v>N/A</v>
      </c>
      <c r="S649" t="str">
        <f>RTD("tos.rtd", , "THETA", ".SPY160318P208")</f>
        <v>N/A</v>
      </c>
      <c r="T649" t="str">
        <f>RTD("tos.rtd", , "GAMMA", ".SPY160318P208")</f>
        <v>N/A</v>
      </c>
      <c r="U649" t="str">
        <f>RTD("tos.rtd", , "VEGA", ".SPY160318P208")</f>
        <v>N/A</v>
      </c>
      <c r="V649" t="str">
        <f>RTD("tos.rtd", , "RHO", ".SPY160318P208")</f>
        <v>N/A</v>
      </c>
    </row>
    <row r="650" spans="1:22" x14ac:dyDescent="0.25">
      <c r="A650" t="str">
        <f>RTD("tos.rtd", , "ASK", ".SPY160318C208.5")</f>
        <v>N/A</v>
      </c>
      <c r="B650" t="str">
        <f>RTD("tos.rtd", , "ASK_SIZE", ".SPY160318C208.5")</f>
        <v>N/A</v>
      </c>
      <c r="C650" t="str">
        <f>RTD("tos.rtd", , "BID", ".SPY160318C208.5")</f>
        <v>N/A</v>
      </c>
      <c r="D650" t="str">
        <f>RTD("tos.rtd", , "BID_SIZE", ".SPY160318C208.5")</f>
        <v>N/A</v>
      </c>
      <c r="E650" t="str">
        <f>RTD("tos.rtd", , "VOLUME", ".SPY160318C208.5")</f>
        <v>N/A</v>
      </c>
      <c r="F650" t="str">
        <f>RTD("tos.rtd", , "OPEN_INT", ".SPY160318C208.5")</f>
        <v>N/A</v>
      </c>
      <c r="G650" t="str">
        <f>RTD("tos.rtd", , "DELTA", ".SPY160318C208.5")</f>
        <v>N/A</v>
      </c>
      <c r="H650" t="str">
        <f>RTD("tos.rtd", , "THETA", ".SPY160318C208.5")</f>
        <v>N/A</v>
      </c>
      <c r="I650" t="str">
        <f>RTD("tos.rtd", , "GAMMA", ".SPY160318C208.5")</f>
        <v>N/A</v>
      </c>
      <c r="J650" t="str">
        <f>RTD("tos.rtd", , "VEGA", ".SPY160318C208.5")</f>
        <v>N/A</v>
      </c>
      <c r="K650" t="str">
        <f>RTD("tos.rtd", , "RHO", ".SPY160318C208.5")</f>
        <v>N/A</v>
      </c>
      <c r="L650" t="str">
        <f>RTD("tos.rtd", , "ASK", ".SPY160318P208.5")</f>
        <v>N/A</v>
      </c>
      <c r="M650" t="str">
        <f>RTD("tos.rtd", , "ASK_SIZE", ".SPY160318P208.5")</f>
        <v>N/A</v>
      </c>
      <c r="N650" t="str">
        <f>RTD("tos.rtd", , "BID", ".SPY160318P208.5")</f>
        <v>N/A</v>
      </c>
      <c r="O650" t="str">
        <f>RTD("tos.rtd", , "BID_SIZE", ".SPY160318P208.5")</f>
        <v>N/A</v>
      </c>
      <c r="P650" t="str">
        <f>RTD("tos.rtd", , "VOLUME", ".SPY160318P208.5")</f>
        <v>N/A</v>
      </c>
      <c r="Q650" t="str">
        <f>RTD("tos.rtd", , "OPEN_INT", ".SPY160318P208.5")</f>
        <v>N/A</v>
      </c>
      <c r="R650" t="str">
        <f>RTD("tos.rtd", , "DELTA", ".SPY160318P208.5")</f>
        <v>N/A</v>
      </c>
      <c r="S650" t="str">
        <f>RTD("tos.rtd", , "THETA", ".SPY160318P208.5")</f>
        <v>N/A</v>
      </c>
      <c r="T650" t="str">
        <f>RTD("tos.rtd", , "GAMMA", ".SPY160318P208.5")</f>
        <v>N/A</v>
      </c>
      <c r="U650" t="str">
        <f>RTD("tos.rtd", , "VEGA", ".SPY160318P208.5")</f>
        <v>N/A</v>
      </c>
      <c r="V650" t="str">
        <f>RTD("tos.rtd", , "RHO", ".SPY160318P208.5")</f>
        <v>N/A</v>
      </c>
    </row>
    <row r="651" spans="1:22" x14ac:dyDescent="0.25">
      <c r="A651" t="str">
        <f>RTD("tos.rtd", , "ASK", ".SPY160318C209")</f>
        <v>N/A</v>
      </c>
      <c r="B651" t="str">
        <f>RTD("tos.rtd", , "ASK_SIZE", ".SPY160318C209")</f>
        <v>N/A</v>
      </c>
      <c r="C651" t="str">
        <f>RTD("tos.rtd", , "BID", ".SPY160318C209")</f>
        <v>N/A</v>
      </c>
      <c r="D651" t="str">
        <f>RTD("tos.rtd", , "BID_SIZE", ".SPY160318C209")</f>
        <v>N/A</v>
      </c>
      <c r="E651" t="str">
        <f>RTD("tos.rtd", , "VOLUME", ".SPY160318C209")</f>
        <v>N/A</v>
      </c>
      <c r="F651" t="str">
        <f>RTD("tos.rtd", , "OPEN_INT", ".SPY160318C209")</f>
        <v>N/A</v>
      </c>
      <c r="G651" t="str">
        <f>RTD("tos.rtd", , "DELTA", ".SPY160318C209")</f>
        <v>N/A</v>
      </c>
      <c r="H651" t="str">
        <f>RTD("tos.rtd", , "THETA", ".SPY160318C209")</f>
        <v>N/A</v>
      </c>
      <c r="I651" t="str">
        <f>RTD("tos.rtd", , "GAMMA", ".SPY160318C209")</f>
        <v>N/A</v>
      </c>
      <c r="J651" t="str">
        <f>RTD("tos.rtd", , "VEGA", ".SPY160318C209")</f>
        <v>N/A</v>
      </c>
      <c r="K651" t="str">
        <f>RTD("tos.rtd", , "RHO", ".SPY160318C209")</f>
        <v>N/A</v>
      </c>
      <c r="L651" t="str">
        <f>RTD("tos.rtd", , "ASK", ".SPY160318P209")</f>
        <v>N/A</v>
      </c>
      <c r="M651" t="str">
        <f>RTD("tos.rtd", , "ASK_SIZE", ".SPY160318P209")</f>
        <v>N/A</v>
      </c>
      <c r="N651" t="str">
        <f>RTD("tos.rtd", , "BID", ".SPY160318P209")</f>
        <v>N/A</v>
      </c>
      <c r="O651" t="str">
        <f>RTD("tos.rtd", , "BID_SIZE", ".SPY160318P209")</f>
        <v>N/A</v>
      </c>
      <c r="P651" t="str">
        <f>RTD("tos.rtd", , "VOLUME", ".SPY160318P209")</f>
        <v>N/A</v>
      </c>
      <c r="Q651" t="str">
        <f>RTD("tos.rtd", , "OPEN_INT", ".SPY160318P209")</f>
        <v>N/A</v>
      </c>
      <c r="R651" t="str">
        <f>RTD("tos.rtd", , "DELTA", ".SPY160318P209")</f>
        <v>N/A</v>
      </c>
      <c r="S651" t="str">
        <f>RTD("tos.rtd", , "THETA", ".SPY160318P209")</f>
        <v>N/A</v>
      </c>
      <c r="T651" t="str">
        <f>RTD("tos.rtd", , "GAMMA", ".SPY160318P209")</f>
        <v>N/A</v>
      </c>
      <c r="U651" t="str">
        <f>RTD("tos.rtd", , "VEGA", ".SPY160318P209")</f>
        <v>N/A</v>
      </c>
      <c r="V651" t="str">
        <f>RTD("tos.rtd", , "RHO", ".SPY160318P209")</f>
        <v>N/A</v>
      </c>
    </row>
    <row r="652" spans="1:22" x14ac:dyDescent="0.25">
      <c r="A652" t="str">
        <f>RTD("tos.rtd", , "ASK", ".SPY160318C209.5")</f>
        <v>N/A</v>
      </c>
      <c r="B652" t="str">
        <f>RTD("tos.rtd", , "ASK_SIZE", ".SPY160318C209.5")</f>
        <v>N/A</v>
      </c>
      <c r="C652" t="str">
        <f>RTD("tos.rtd", , "BID", ".SPY160318C209.5")</f>
        <v>N/A</v>
      </c>
      <c r="D652" t="str">
        <f>RTD("tos.rtd", , "BID_SIZE", ".SPY160318C209.5")</f>
        <v>N/A</v>
      </c>
      <c r="E652" t="str">
        <f>RTD("tos.rtd", , "VOLUME", ".SPY160318C209.5")</f>
        <v>N/A</v>
      </c>
      <c r="F652" t="str">
        <f>RTD("tos.rtd", , "OPEN_INT", ".SPY160318C209.5")</f>
        <v>N/A</v>
      </c>
      <c r="G652" t="str">
        <f>RTD("tos.rtd", , "DELTA", ".SPY160318C209.5")</f>
        <v>N/A</v>
      </c>
      <c r="H652" t="str">
        <f>RTD("tos.rtd", , "THETA", ".SPY160318C209.5")</f>
        <v>N/A</v>
      </c>
      <c r="I652" t="str">
        <f>RTD("tos.rtd", , "GAMMA", ".SPY160318C209.5")</f>
        <v>N/A</v>
      </c>
      <c r="J652" t="str">
        <f>RTD("tos.rtd", , "VEGA", ".SPY160318C209.5")</f>
        <v>N/A</v>
      </c>
      <c r="K652" t="str">
        <f>RTD("tos.rtd", , "RHO", ".SPY160318C209.5")</f>
        <v>N/A</v>
      </c>
      <c r="L652" t="str">
        <f>RTD("tos.rtd", , "ASK", ".SPY160318P209.5")</f>
        <v>N/A</v>
      </c>
      <c r="M652" t="str">
        <f>RTD("tos.rtd", , "ASK_SIZE", ".SPY160318P209.5")</f>
        <v>N/A</v>
      </c>
      <c r="N652" t="str">
        <f>RTD("tos.rtd", , "BID", ".SPY160318P209.5")</f>
        <v>N/A</v>
      </c>
      <c r="O652" t="str">
        <f>RTD("tos.rtd", , "BID_SIZE", ".SPY160318P209.5")</f>
        <v>N/A</v>
      </c>
      <c r="P652" t="str">
        <f>RTD("tos.rtd", , "VOLUME", ".SPY160318P209.5")</f>
        <v>N/A</v>
      </c>
      <c r="Q652" t="str">
        <f>RTD("tos.rtd", , "OPEN_INT", ".SPY160318P209.5")</f>
        <v>N/A</v>
      </c>
      <c r="R652" t="str">
        <f>RTD("tos.rtd", , "DELTA", ".SPY160318P209.5")</f>
        <v>N/A</v>
      </c>
      <c r="S652" t="str">
        <f>RTD("tos.rtd", , "THETA", ".SPY160318P209.5")</f>
        <v>N/A</v>
      </c>
      <c r="T652" t="str">
        <f>RTD("tos.rtd", , "GAMMA", ".SPY160318P209.5")</f>
        <v>N/A</v>
      </c>
      <c r="U652" t="str">
        <f>RTD("tos.rtd", , "VEGA", ".SPY160318P209.5")</f>
        <v>N/A</v>
      </c>
      <c r="V652" t="str">
        <f>RTD("tos.rtd", , "RHO", ".SPY160318P209.5")</f>
        <v>N/A</v>
      </c>
    </row>
    <row r="653" spans="1:22" x14ac:dyDescent="0.25">
      <c r="A653">
        <f>RTD("tos.rtd", , "ASK", ".SPY160318C210")</f>
        <v>12.16</v>
      </c>
      <c r="B653">
        <f>RTD("tos.rtd", , "ASK_SIZE", ".SPY160318C210")</f>
        <v>1676</v>
      </c>
      <c r="C653">
        <f>RTD("tos.rtd", , "BID", ".SPY160318C210")</f>
        <v>11.82</v>
      </c>
      <c r="D653">
        <f>RTD("tos.rtd", , "BID_SIZE", ".SPY160318C210")</f>
        <v>1686</v>
      </c>
      <c r="E653">
        <f>RTD("tos.rtd", , "VOLUME", ".SPY160318C210")</f>
        <v>6</v>
      </c>
      <c r="F653">
        <f>RTD("tos.rtd", , "OPEN_INT", ".SPY160318C210")</f>
        <v>11038</v>
      </c>
      <c r="G653">
        <f>RTD("tos.rtd", , "DELTA", ".SPY160318C210")</f>
        <v>0.51685999999999999</v>
      </c>
      <c r="H653">
        <f>RTD("tos.rtd", , "THETA", ".SPY160318C210")</f>
        <v>-1.5570000000000001E-2</v>
      </c>
      <c r="I653">
        <f>RTD("tos.rtd", , "GAMMA", ".SPY160318C210")</f>
        <v>1.3129999999999999E-2</v>
      </c>
      <c r="J653">
        <f>RTD("tos.rtd", , "VEGA", ".SPY160318C210")</f>
        <v>0.77568999999999999</v>
      </c>
      <c r="K653">
        <f>RTD("tos.rtd", , "RHO", ".SPY160318C210")</f>
        <v>0.73482000000000003</v>
      </c>
      <c r="L653">
        <f>RTD("tos.rtd", , "ASK", ".SPY160318P210")</f>
        <v>13.32</v>
      </c>
      <c r="M653">
        <f>RTD("tos.rtd", , "ASK_SIZE", ".SPY160318P210")</f>
        <v>1908</v>
      </c>
      <c r="N653">
        <f>RTD("tos.rtd", , "BID", ".SPY160318P210")</f>
        <v>12.88</v>
      </c>
      <c r="O653">
        <f>RTD("tos.rtd", , "BID_SIZE", ".SPY160318P210")</f>
        <v>1867</v>
      </c>
      <c r="P653">
        <f>RTD("tos.rtd", , "VOLUME", ".SPY160318P210")</f>
        <v>111</v>
      </c>
      <c r="Q653">
        <f>RTD("tos.rtd", , "OPEN_INT", ".SPY160318P210")</f>
        <v>16775</v>
      </c>
      <c r="R653">
        <f>RTD("tos.rtd", , "DELTA", ".SPY160318P210")</f>
        <v>-0.47960000000000003</v>
      </c>
      <c r="S653">
        <f>RTD("tos.rtd", , "THETA", ".SPY160318P210")</f>
        <v>-2.3460000000000002E-2</v>
      </c>
      <c r="T653">
        <f>RTD("tos.rtd", , "GAMMA", ".SPY160318P210")</f>
        <v>1.2449999999999999E-2</v>
      </c>
      <c r="U653">
        <f>RTD("tos.rtd", , "VEGA", ".SPY160318P210")</f>
        <v>0.77712000000000003</v>
      </c>
      <c r="V653">
        <f>RTD("tos.rtd", , "RHO", ".SPY160318P210")</f>
        <v>-1.00085</v>
      </c>
    </row>
    <row r="654" spans="1:22" x14ac:dyDescent="0.25">
      <c r="A654" t="str">
        <f>RTD("tos.rtd", , "ASK", ".SPY160318C210.5")</f>
        <v>N/A</v>
      </c>
      <c r="B654" t="str">
        <f>RTD("tos.rtd", , "ASK_SIZE", ".SPY160318C210.5")</f>
        <v>N/A</v>
      </c>
      <c r="C654" t="str">
        <f>RTD("tos.rtd", , "BID", ".SPY160318C210.5")</f>
        <v>N/A</v>
      </c>
      <c r="D654" t="str">
        <f>RTD("tos.rtd", , "BID_SIZE", ".SPY160318C210.5")</f>
        <v>N/A</v>
      </c>
      <c r="E654" t="str">
        <f>RTD("tos.rtd", , "VOLUME", ".SPY160318C210.5")</f>
        <v>N/A</v>
      </c>
      <c r="F654" t="str">
        <f>RTD("tos.rtd", , "OPEN_INT", ".SPY160318C210.5")</f>
        <v>N/A</v>
      </c>
      <c r="G654" t="str">
        <f>RTD("tos.rtd", , "DELTA", ".SPY160318C210.5")</f>
        <v>N/A</v>
      </c>
      <c r="H654" t="str">
        <f>RTD("tos.rtd", , "THETA", ".SPY160318C210.5")</f>
        <v>N/A</v>
      </c>
      <c r="I654" t="str">
        <f>RTD("tos.rtd", , "GAMMA", ".SPY160318C210.5")</f>
        <v>N/A</v>
      </c>
      <c r="J654" t="str">
        <f>RTD("tos.rtd", , "VEGA", ".SPY160318C210.5")</f>
        <v>N/A</v>
      </c>
      <c r="K654" t="str">
        <f>RTD("tos.rtd", , "RHO", ".SPY160318C210.5")</f>
        <v>N/A</v>
      </c>
      <c r="L654" t="str">
        <f>RTD("tos.rtd", , "ASK", ".SPY160318P210.5")</f>
        <v>N/A</v>
      </c>
      <c r="M654" t="str">
        <f>RTD("tos.rtd", , "ASK_SIZE", ".SPY160318P210.5")</f>
        <v>N/A</v>
      </c>
      <c r="N654" t="str">
        <f>RTD("tos.rtd", , "BID", ".SPY160318P210.5")</f>
        <v>N/A</v>
      </c>
      <c r="O654" t="str">
        <f>RTD("tos.rtd", , "BID_SIZE", ".SPY160318P210.5")</f>
        <v>N/A</v>
      </c>
      <c r="P654" t="str">
        <f>RTD("tos.rtd", , "VOLUME", ".SPY160318P210.5")</f>
        <v>N/A</v>
      </c>
      <c r="Q654" t="str">
        <f>RTD("tos.rtd", , "OPEN_INT", ".SPY160318P210.5")</f>
        <v>N/A</v>
      </c>
      <c r="R654" t="str">
        <f>RTD("tos.rtd", , "DELTA", ".SPY160318P210.5")</f>
        <v>N/A</v>
      </c>
      <c r="S654" t="str">
        <f>RTD("tos.rtd", , "THETA", ".SPY160318P210.5")</f>
        <v>N/A</v>
      </c>
      <c r="T654" t="str">
        <f>RTD("tos.rtd", , "GAMMA", ".SPY160318P210.5")</f>
        <v>N/A</v>
      </c>
      <c r="U654" t="str">
        <f>RTD("tos.rtd", , "VEGA", ".SPY160318P210.5")</f>
        <v>N/A</v>
      </c>
      <c r="V654" t="str">
        <f>RTD("tos.rtd", , "RHO", ".SPY160318P210.5")</f>
        <v>N/A</v>
      </c>
    </row>
    <row r="655" spans="1:22" x14ac:dyDescent="0.25">
      <c r="A655" t="str">
        <f>RTD("tos.rtd", , "ASK", ".SPY160318C211")</f>
        <v>N/A</v>
      </c>
      <c r="B655" t="str">
        <f>RTD("tos.rtd", , "ASK_SIZE", ".SPY160318C211")</f>
        <v>N/A</v>
      </c>
      <c r="C655" t="str">
        <f>RTD("tos.rtd", , "BID", ".SPY160318C211")</f>
        <v>N/A</v>
      </c>
      <c r="D655" t="str">
        <f>RTD("tos.rtd", , "BID_SIZE", ".SPY160318C211")</f>
        <v>N/A</v>
      </c>
      <c r="E655" t="str">
        <f>RTD("tos.rtd", , "VOLUME", ".SPY160318C211")</f>
        <v>N/A</v>
      </c>
      <c r="F655" t="str">
        <f>RTD("tos.rtd", , "OPEN_INT", ".SPY160318C211")</f>
        <v>N/A</v>
      </c>
      <c r="G655" t="str">
        <f>RTD("tos.rtd", , "DELTA", ".SPY160318C211")</f>
        <v>N/A</v>
      </c>
      <c r="H655" t="str">
        <f>RTD("tos.rtd", , "THETA", ".SPY160318C211")</f>
        <v>N/A</v>
      </c>
      <c r="I655" t="str">
        <f>RTD("tos.rtd", , "GAMMA", ".SPY160318C211")</f>
        <v>N/A</v>
      </c>
      <c r="J655" t="str">
        <f>RTD("tos.rtd", , "VEGA", ".SPY160318C211")</f>
        <v>N/A</v>
      </c>
      <c r="K655" t="str">
        <f>RTD("tos.rtd", , "RHO", ".SPY160318C211")</f>
        <v>N/A</v>
      </c>
      <c r="L655" t="str">
        <f>RTD("tos.rtd", , "ASK", ".SPY160318P211")</f>
        <v>N/A</v>
      </c>
      <c r="M655" t="str">
        <f>RTD("tos.rtd", , "ASK_SIZE", ".SPY160318P211")</f>
        <v>N/A</v>
      </c>
      <c r="N655" t="str">
        <f>RTD("tos.rtd", , "BID", ".SPY160318P211")</f>
        <v>N/A</v>
      </c>
      <c r="O655" t="str">
        <f>RTD("tos.rtd", , "BID_SIZE", ".SPY160318P211")</f>
        <v>N/A</v>
      </c>
      <c r="P655" t="str">
        <f>RTD("tos.rtd", , "VOLUME", ".SPY160318P211")</f>
        <v>N/A</v>
      </c>
      <c r="Q655" t="str">
        <f>RTD("tos.rtd", , "OPEN_INT", ".SPY160318P211")</f>
        <v>N/A</v>
      </c>
      <c r="R655" t="str">
        <f>RTD("tos.rtd", , "DELTA", ".SPY160318P211")</f>
        <v>N/A</v>
      </c>
      <c r="S655" t="str">
        <f>RTD("tos.rtd", , "THETA", ".SPY160318P211")</f>
        <v>N/A</v>
      </c>
      <c r="T655" t="str">
        <f>RTD("tos.rtd", , "GAMMA", ".SPY160318P211")</f>
        <v>N/A</v>
      </c>
      <c r="U655" t="str">
        <f>RTD("tos.rtd", , "VEGA", ".SPY160318P211")</f>
        <v>N/A</v>
      </c>
      <c r="V655" t="str">
        <f>RTD("tos.rtd", , "RHO", ".SPY160318P211")</f>
        <v>N/A</v>
      </c>
    </row>
    <row r="656" spans="1:22" x14ac:dyDescent="0.25">
      <c r="A656" t="str">
        <f>RTD("tos.rtd", , "ASK", ".SPY160318C211.5")</f>
        <v>N/A</v>
      </c>
      <c r="B656" t="str">
        <f>RTD("tos.rtd", , "ASK_SIZE", ".SPY160318C211.5")</f>
        <v>N/A</v>
      </c>
      <c r="C656" t="str">
        <f>RTD("tos.rtd", , "BID", ".SPY160318C211.5")</f>
        <v>N/A</v>
      </c>
      <c r="D656" t="str">
        <f>RTD("tos.rtd", , "BID_SIZE", ".SPY160318C211.5")</f>
        <v>N/A</v>
      </c>
      <c r="E656" t="str">
        <f>RTD("tos.rtd", , "VOLUME", ".SPY160318C211.5")</f>
        <v>N/A</v>
      </c>
      <c r="F656" t="str">
        <f>RTD("tos.rtd", , "OPEN_INT", ".SPY160318C211.5")</f>
        <v>N/A</v>
      </c>
      <c r="G656" t="str">
        <f>RTD("tos.rtd", , "DELTA", ".SPY160318C211.5")</f>
        <v>N/A</v>
      </c>
      <c r="H656" t="str">
        <f>RTD("tos.rtd", , "THETA", ".SPY160318C211.5")</f>
        <v>N/A</v>
      </c>
      <c r="I656" t="str">
        <f>RTD("tos.rtd", , "GAMMA", ".SPY160318C211.5")</f>
        <v>N/A</v>
      </c>
      <c r="J656" t="str">
        <f>RTD("tos.rtd", , "VEGA", ".SPY160318C211.5")</f>
        <v>N/A</v>
      </c>
      <c r="K656" t="str">
        <f>RTD("tos.rtd", , "RHO", ".SPY160318C211.5")</f>
        <v>N/A</v>
      </c>
      <c r="L656" t="str">
        <f>RTD("tos.rtd", , "ASK", ".SPY160318P211.5")</f>
        <v>N/A</v>
      </c>
      <c r="M656" t="str">
        <f>RTD("tos.rtd", , "ASK_SIZE", ".SPY160318P211.5")</f>
        <v>N/A</v>
      </c>
      <c r="N656" t="str">
        <f>RTD("tos.rtd", , "BID", ".SPY160318P211.5")</f>
        <v>N/A</v>
      </c>
      <c r="O656" t="str">
        <f>RTD("tos.rtd", , "BID_SIZE", ".SPY160318P211.5")</f>
        <v>N/A</v>
      </c>
      <c r="P656" t="str">
        <f>RTD("tos.rtd", , "VOLUME", ".SPY160318P211.5")</f>
        <v>N/A</v>
      </c>
      <c r="Q656" t="str">
        <f>RTD("tos.rtd", , "OPEN_INT", ".SPY160318P211.5")</f>
        <v>N/A</v>
      </c>
      <c r="R656" t="str">
        <f>RTD("tos.rtd", , "DELTA", ".SPY160318P211.5")</f>
        <v>N/A</v>
      </c>
      <c r="S656" t="str">
        <f>RTD("tos.rtd", , "THETA", ".SPY160318P211.5")</f>
        <v>N/A</v>
      </c>
      <c r="T656" t="str">
        <f>RTD("tos.rtd", , "GAMMA", ".SPY160318P211.5")</f>
        <v>N/A</v>
      </c>
      <c r="U656" t="str">
        <f>RTD("tos.rtd", , "VEGA", ".SPY160318P211.5")</f>
        <v>N/A</v>
      </c>
      <c r="V656" t="str">
        <f>RTD("tos.rtd", , "RHO", ".SPY160318P211.5")</f>
        <v>N/A</v>
      </c>
    </row>
    <row r="657" spans="1:22" x14ac:dyDescent="0.25">
      <c r="A657" t="str">
        <f>RTD("tos.rtd", , "ASK", ".SPY160318C212")</f>
        <v>N/A</v>
      </c>
      <c r="B657" t="str">
        <f>RTD("tos.rtd", , "ASK_SIZE", ".SPY160318C212")</f>
        <v>N/A</v>
      </c>
      <c r="C657" t="str">
        <f>RTD("tos.rtd", , "BID", ".SPY160318C212")</f>
        <v>N/A</v>
      </c>
      <c r="D657" t="str">
        <f>RTD("tos.rtd", , "BID_SIZE", ".SPY160318C212")</f>
        <v>N/A</v>
      </c>
      <c r="E657" t="str">
        <f>RTD("tos.rtd", , "VOLUME", ".SPY160318C212")</f>
        <v>N/A</v>
      </c>
      <c r="F657" t="str">
        <f>RTD("tos.rtd", , "OPEN_INT", ".SPY160318C212")</f>
        <v>N/A</v>
      </c>
      <c r="G657" t="str">
        <f>RTD("tos.rtd", , "DELTA", ".SPY160318C212")</f>
        <v>N/A</v>
      </c>
      <c r="H657" t="str">
        <f>RTD("tos.rtd", , "THETA", ".SPY160318C212")</f>
        <v>N/A</v>
      </c>
      <c r="I657" t="str">
        <f>RTD("tos.rtd", , "GAMMA", ".SPY160318C212")</f>
        <v>N/A</v>
      </c>
      <c r="J657" t="str">
        <f>RTD("tos.rtd", , "VEGA", ".SPY160318C212")</f>
        <v>N/A</v>
      </c>
      <c r="K657" t="str">
        <f>RTD("tos.rtd", , "RHO", ".SPY160318C212")</f>
        <v>N/A</v>
      </c>
      <c r="L657" t="str">
        <f>RTD("tos.rtd", , "ASK", ".SPY160318P212")</f>
        <v>N/A</v>
      </c>
      <c r="M657" t="str">
        <f>RTD("tos.rtd", , "ASK_SIZE", ".SPY160318P212")</f>
        <v>N/A</v>
      </c>
      <c r="N657" t="str">
        <f>RTD("tos.rtd", , "BID", ".SPY160318P212")</f>
        <v>N/A</v>
      </c>
      <c r="O657" t="str">
        <f>RTD("tos.rtd", , "BID_SIZE", ".SPY160318P212")</f>
        <v>N/A</v>
      </c>
      <c r="P657" t="str">
        <f>RTD("tos.rtd", , "VOLUME", ".SPY160318P212")</f>
        <v>N/A</v>
      </c>
      <c r="Q657" t="str">
        <f>RTD("tos.rtd", , "OPEN_INT", ".SPY160318P212")</f>
        <v>N/A</v>
      </c>
      <c r="R657" t="str">
        <f>RTD("tos.rtd", , "DELTA", ".SPY160318P212")</f>
        <v>N/A</v>
      </c>
      <c r="S657" t="str">
        <f>RTD("tos.rtd", , "THETA", ".SPY160318P212")</f>
        <v>N/A</v>
      </c>
      <c r="T657" t="str">
        <f>RTD("tos.rtd", , "GAMMA", ".SPY160318P212")</f>
        <v>N/A</v>
      </c>
      <c r="U657" t="str">
        <f>RTD("tos.rtd", , "VEGA", ".SPY160318P212")</f>
        <v>N/A</v>
      </c>
      <c r="V657" t="str">
        <f>RTD("tos.rtd", , "RHO", ".SPY160318P212")</f>
        <v>N/A</v>
      </c>
    </row>
    <row r="658" spans="1:22" x14ac:dyDescent="0.25">
      <c r="A658" t="str">
        <f>RTD("tos.rtd", , "ASK", ".SPY160318C212.5")</f>
        <v>N/A</v>
      </c>
      <c r="B658" t="str">
        <f>RTD("tos.rtd", , "ASK_SIZE", ".SPY160318C212.5")</f>
        <v>N/A</v>
      </c>
      <c r="C658" t="str">
        <f>RTD("tos.rtd", , "BID", ".SPY160318C212.5")</f>
        <v>N/A</v>
      </c>
      <c r="D658" t="str">
        <f>RTD("tos.rtd", , "BID_SIZE", ".SPY160318C212.5")</f>
        <v>N/A</v>
      </c>
      <c r="E658" t="str">
        <f>RTD("tos.rtd", , "VOLUME", ".SPY160318C212.5")</f>
        <v>N/A</v>
      </c>
      <c r="F658" t="str">
        <f>RTD("tos.rtd", , "OPEN_INT", ".SPY160318C212.5")</f>
        <v>N/A</v>
      </c>
      <c r="G658" t="str">
        <f>RTD("tos.rtd", , "DELTA", ".SPY160318C212.5")</f>
        <v>N/A</v>
      </c>
      <c r="H658" t="str">
        <f>RTD("tos.rtd", , "THETA", ".SPY160318C212.5")</f>
        <v>N/A</v>
      </c>
      <c r="I658" t="str">
        <f>RTD("tos.rtd", , "GAMMA", ".SPY160318C212.5")</f>
        <v>N/A</v>
      </c>
      <c r="J658" t="str">
        <f>RTD("tos.rtd", , "VEGA", ".SPY160318C212.5")</f>
        <v>N/A</v>
      </c>
      <c r="K658" t="str">
        <f>RTD("tos.rtd", , "RHO", ".SPY160318C212.5")</f>
        <v>N/A</v>
      </c>
      <c r="L658" t="str">
        <f>RTD("tos.rtd", , "ASK", ".SPY160318P212.5")</f>
        <v>N/A</v>
      </c>
      <c r="M658" t="str">
        <f>RTD("tos.rtd", , "ASK_SIZE", ".SPY160318P212.5")</f>
        <v>N/A</v>
      </c>
      <c r="N658" t="str">
        <f>RTD("tos.rtd", , "BID", ".SPY160318P212.5")</f>
        <v>N/A</v>
      </c>
      <c r="O658" t="str">
        <f>RTD("tos.rtd", , "BID_SIZE", ".SPY160318P212.5")</f>
        <v>N/A</v>
      </c>
      <c r="P658" t="str">
        <f>RTD("tos.rtd", , "VOLUME", ".SPY160318P212.5")</f>
        <v>N/A</v>
      </c>
      <c r="Q658" t="str">
        <f>RTD("tos.rtd", , "OPEN_INT", ".SPY160318P212.5")</f>
        <v>N/A</v>
      </c>
      <c r="R658" t="str">
        <f>RTD("tos.rtd", , "DELTA", ".SPY160318P212.5")</f>
        <v>N/A</v>
      </c>
      <c r="S658" t="str">
        <f>RTD("tos.rtd", , "THETA", ".SPY160318P212.5")</f>
        <v>N/A</v>
      </c>
      <c r="T658" t="str">
        <f>RTD("tos.rtd", , "GAMMA", ".SPY160318P212.5")</f>
        <v>N/A</v>
      </c>
      <c r="U658" t="str">
        <f>RTD("tos.rtd", , "VEGA", ".SPY160318P212.5")</f>
        <v>N/A</v>
      </c>
      <c r="V658" t="str">
        <f>RTD("tos.rtd", , "RHO", ".SPY160318P212.5")</f>
        <v>N/A</v>
      </c>
    </row>
    <row r="659" spans="1:22" x14ac:dyDescent="0.25">
      <c r="A659" t="str">
        <f>RTD("tos.rtd", , "ASK", ".SPY160318C213")</f>
        <v>N/A</v>
      </c>
      <c r="B659" t="str">
        <f>RTD("tos.rtd", , "ASK_SIZE", ".SPY160318C213")</f>
        <v>N/A</v>
      </c>
      <c r="C659" t="str">
        <f>RTD("tos.rtd", , "BID", ".SPY160318C213")</f>
        <v>N/A</v>
      </c>
      <c r="D659" t="str">
        <f>RTD("tos.rtd", , "BID_SIZE", ".SPY160318C213")</f>
        <v>N/A</v>
      </c>
      <c r="E659" t="str">
        <f>RTD("tos.rtd", , "VOLUME", ".SPY160318C213")</f>
        <v>N/A</v>
      </c>
      <c r="F659" t="str">
        <f>RTD("tos.rtd", , "OPEN_INT", ".SPY160318C213")</f>
        <v>N/A</v>
      </c>
      <c r="G659" t="str">
        <f>RTD("tos.rtd", , "DELTA", ".SPY160318C213")</f>
        <v>N/A</v>
      </c>
      <c r="H659" t="str">
        <f>RTD("tos.rtd", , "THETA", ".SPY160318C213")</f>
        <v>N/A</v>
      </c>
      <c r="I659" t="str">
        <f>RTD("tos.rtd", , "GAMMA", ".SPY160318C213")</f>
        <v>N/A</v>
      </c>
      <c r="J659" t="str">
        <f>RTD("tos.rtd", , "VEGA", ".SPY160318C213")</f>
        <v>N/A</v>
      </c>
      <c r="K659" t="str">
        <f>RTD("tos.rtd", , "RHO", ".SPY160318C213")</f>
        <v>N/A</v>
      </c>
      <c r="L659" t="str">
        <f>RTD("tos.rtd", , "ASK", ".SPY160318P213")</f>
        <v>N/A</v>
      </c>
      <c r="M659" t="str">
        <f>RTD("tos.rtd", , "ASK_SIZE", ".SPY160318P213")</f>
        <v>N/A</v>
      </c>
      <c r="N659" t="str">
        <f>RTD("tos.rtd", , "BID", ".SPY160318P213")</f>
        <v>N/A</v>
      </c>
      <c r="O659" t="str">
        <f>RTD("tos.rtd", , "BID_SIZE", ".SPY160318P213")</f>
        <v>N/A</v>
      </c>
      <c r="P659" t="str">
        <f>RTD("tos.rtd", , "VOLUME", ".SPY160318P213")</f>
        <v>N/A</v>
      </c>
      <c r="Q659" t="str">
        <f>RTD("tos.rtd", , "OPEN_INT", ".SPY160318P213")</f>
        <v>N/A</v>
      </c>
      <c r="R659" t="str">
        <f>RTD("tos.rtd", , "DELTA", ".SPY160318P213")</f>
        <v>N/A</v>
      </c>
      <c r="S659" t="str">
        <f>RTD("tos.rtd", , "THETA", ".SPY160318P213")</f>
        <v>N/A</v>
      </c>
      <c r="T659" t="str">
        <f>RTD("tos.rtd", , "GAMMA", ".SPY160318P213")</f>
        <v>N/A</v>
      </c>
      <c r="U659" t="str">
        <f>RTD("tos.rtd", , "VEGA", ".SPY160318P213")</f>
        <v>N/A</v>
      </c>
      <c r="V659" t="str">
        <f>RTD("tos.rtd", , "RHO", ".SPY160318P213")</f>
        <v>N/A</v>
      </c>
    </row>
    <row r="660" spans="1:22" x14ac:dyDescent="0.25">
      <c r="A660" t="str">
        <f>RTD("tos.rtd", , "ASK", ".SPY160318C213.5")</f>
        <v>N/A</v>
      </c>
      <c r="B660" t="str">
        <f>RTD("tos.rtd", , "ASK_SIZE", ".SPY160318C213.5")</f>
        <v>N/A</v>
      </c>
      <c r="C660" t="str">
        <f>RTD("tos.rtd", , "BID", ".SPY160318C213.5")</f>
        <v>N/A</v>
      </c>
      <c r="D660" t="str">
        <f>RTD("tos.rtd", , "BID_SIZE", ".SPY160318C213.5")</f>
        <v>N/A</v>
      </c>
      <c r="E660" t="str">
        <f>RTD("tos.rtd", , "VOLUME", ".SPY160318C213.5")</f>
        <v>N/A</v>
      </c>
      <c r="F660" t="str">
        <f>RTD("tos.rtd", , "OPEN_INT", ".SPY160318C213.5")</f>
        <v>N/A</v>
      </c>
      <c r="G660" t="str">
        <f>RTD("tos.rtd", , "DELTA", ".SPY160318C213.5")</f>
        <v>N/A</v>
      </c>
      <c r="H660" t="str">
        <f>RTD("tos.rtd", , "THETA", ".SPY160318C213.5")</f>
        <v>N/A</v>
      </c>
      <c r="I660" t="str">
        <f>RTD("tos.rtd", , "GAMMA", ".SPY160318C213.5")</f>
        <v>N/A</v>
      </c>
      <c r="J660" t="str">
        <f>RTD("tos.rtd", , "VEGA", ".SPY160318C213.5")</f>
        <v>N/A</v>
      </c>
      <c r="K660" t="str">
        <f>RTD("tos.rtd", , "RHO", ".SPY160318C213.5")</f>
        <v>N/A</v>
      </c>
      <c r="L660" t="str">
        <f>RTD("tos.rtd", , "ASK", ".SPY160318P213.5")</f>
        <v>N/A</v>
      </c>
      <c r="M660" t="str">
        <f>RTD("tos.rtd", , "ASK_SIZE", ".SPY160318P213.5")</f>
        <v>N/A</v>
      </c>
      <c r="N660" t="str">
        <f>RTD("tos.rtd", , "BID", ".SPY160318P213.5")</f>
        <v>N/A</v>
      </c>
      <c r="O660" t="str">
        <f>RTD("tos.rtd", , "BID_SIZE", ".SPY160318P213.5")</f>
        <v>N/A</v>
      </c>
      <c r="P660" t="str">
        <f>RTD("tos.rtd", , "VOLUME", ".SPY160318P213.5")</f>
        <v>N/A</v>
      </c>
      <c r="Q660" t="str">
        <f>RTD("tos.rtd", , "OPEN_INT", ".SPY160318P213.5")</f>
        <v>N/A</v>
      </c>
      <c r="R660" t="str">
        <f>RTD("tos.rtd", , "DELTA", ".SPY160318P213.5")</f>
        <v>N/A</v>
      </c>
      <c r="S660" t="str">
        <f>RTD("tos.rtd", , "THETA", ".SPY160318P213.5")</f>
        <v>N/A</v>
      </c>
      <c r="T660" t="str">
        <f>RTD("tos.rtd", , "GAMMA", ".SPY160318P213.5")</f>
        <v>N/A</v>
      </c>
      <c r="U660" t="str">
        <f>RTD("tos.rtd", , "VEGA", ".SPY160318P213.5")</f>
        <v>N/A</v>
      </c>
      <c r="V660" t="str">
        <f>RTD("tos.rtd", , "RHO", ".SPY160318P213.5")</f>
        <v>N/A</v>
      </c>
    </row>
    <row r="661" spans="1:22" x14ac:dyDescent="0.25">
      <c r="A661" t="str">
        <f>RTD("tos.rtd", , "ASK", ".SPY160318C214")</f>
        <v>N/A</v>
      </c>
      <c r="B661" t="str">
        <f>RTD("tos.rtd", , "ASK_SIZE", ".SPY160318C214")</f>
        <v>N/A</v>
      </c>
      <c r="C661" t="str">
        <f>RTD("tos.rtd", , "BID", ".SPY160318C214")</f>
        <v>N/A</v>
      </c>
      <c r="D661" t="str">
        <f>RTD("tos.rtd", , "BID_SIZE", ".SPY160318C214")</f>
        <v>N/A</v>
      </c>
      <c r="E661" t="str">
        <f>RTD("tos.rtd", , "VOLUME", ".SPY160318C214")</f>
        <v>N/A</v>
      </c>
      <c r="F661" t="str">
        <f>RTD("tos.rtd", , "OPEN_INT", ".SPY160318C214")</f>
        <v>N/A</v>
      </c>
      <c r="G661" t="str">
        <f>RTD("tos.rtd", , "DELTA", ".SPY160318C214")</f>
        <v>N/A</v>
      </c>
      <c r="H661" t="str">
        <f>RTD("tos.rtd", , "THETA", ".SPY160318C214")</f>
        <v>N/A</v>
      </c>
      <c r="I661" t="str">
        <f>RTD("tos.rtd", , "GAMMA", ".SPY160318C214")</f>
        <v>N/A</v>
      </c>
      <c r="J661" t="str">
        <f>RTD("tos.rtd", , "VEGA", ".SPY160318C214")</f>
        <v>N/A</v>
      </c>
      <c r="K661" t="str">
        <f>RTD("tos.rtd", , "RHO", ".SPY160318C214")</f>
        <v>N/A</v>
      </c>
      <c r="L661" t="str">
        <f>RTD("tos.rtd", , "ASK", ".SPY160318P214")</f>
        <v>N/A</v>
      </c>
      <c r="M661" t="str">
        <f>RTD("tos.rtd", , "ASK_SIZE", ".SPY160318P214")</f>
        <v>N/A</v>
      </c>
      <c r="N661" t="str">
        <f>RTD("tos.rtd", , "BID", ".SPY160318P214")</f>
        <v>N/A</v>
      </c>
      <c r="O661" t="str">
        <f>RTD("tos.rtd", , "BID_SIZE", ".SPY160318P214")</f>
        <v>N/A</v>
      </c>
      <c r="P661" t="str">
        <f>RTD("tos.rtd", , "VOLUME", ".SPY160318P214")</f>
        <v>N/A</v>
      </c>
      <c r="Q661" t="str">
        <f>RTD("tos.rtd", , "OPEN_INT", ".SPY160318P214")</f>
        <v>N/A</v>
      </c>
      <c r="R661" t="str">
        <f>RTD("tos.rtd", , "DELTA", ".SPY160318P214")</f>
        <v>N/A</v>
      </c>
      <c r="S661" t="str">
        <f>RTD("tos.rtd", , "THETA", ".SPY160318P214")</f>
        <v>N/A</v>
      </c>
      <c r="T661" t="str">
        <f>RTD("tos.rtd", , "GAMMA", ".SPY160318P214")</f>
        <v>N/A</v>
      </c>
      <c r="U661" t="str">
        <f>RTD("tos.rtd", , "VEGA", ".SPY160318P214")</f>
        <v>N/A</v>
      </c>
      <c r="V661" t="str">
        <f>RTD("tos.rtd", , "RHO", ".SPY160318P214")</f>
        <v>N/A</v>
      </c>
    </row>
    <row r="662" spans="1:22" x14ac:dyDescent="0.25">
      <c r="A662" t="str">
        <f>RTD("tos.rtd", , "ASK", ".SPY160318C214.5")</f>
        <v>N/A</v>
      </c>
      <c r="B662" t="str">
        <f>RTD("tos.rtd", , "ASK_SIZE", ".SPY160318C214.5")</f>
        <v>N/A</v>
      </c>
      <c r="C662" t="str">
        <f>RTD("tos.rtd", , "BID", ".SPY160318C214.5")</f>
        <v>N/A</v>
      </c>
      <c r="D662" t="str">
        <f>RTD("tos.rtd", , "BID_SIZE", ".SPY160318C214.5")</f>
        <v>N/A</v>
      </c>
      <c r="E662" t="str">
        <f>RTD("tos.rtd", , "VOLUME", ".SPY160318C214.5")</f>
        <v>N/A</v>
      </c>
      <c r="F662" t="str">
        <f>RTD("tos.rtd", , "OPEN_INT", ".SPY160318C214.5")</f>
        <v>N/A</v>
      </c>
      <c r="G662" t="str">
        <f>RTD("tos.rtd", , "DELTA", ".SPY160318C214.5")</f>
        <v>N/A</v>
      </c>
      <c r="H662" t="str">
        <f>RTD("tos.rtd", , "THETA", ".SPY160318C214.5")</f>
        <v>N/A</v>
      </c>
      <c r="I662" t="str">
        <f>RTD("tos.rtd", , "GAMMA", ".SPY160318C214.5")</f>
        <v>N/A</v>
      </c>
      <c r="J662" t="str">
        <f>RTD("tos.rtd", , "VEGA", ".SPY160318C214.5")</f>
        <v>N/A</v>
      </c>
      <c r="K662" t="str">
        <f>RTD("tos.rtd", , "RHO", ".SPY160318C214.5")</f>
        <v>N/A</v>
      </c>
      <c r="L662" t="str">
        <f>RTD("tos.rtd", , "ASK", ".SPY160318P214.5")</f>
        <v>N/A</v>
      </c>
      <c r="M662" t="str">
        <f>RTD("tos.rtd", , "ASK_SIZE", ".SPY160318P214.5")</f>
        <v>N/A</v>
      </c>
      <c r="N662" t="str">
        <f>RTD("tos.rtd", , "BID", ".SPY160318P214.5")</f>
        <v>N/A</v>
      </c>
      <c r="O662" t="str">
        <f>RTD("tos.rtd", , "BID_SIZE", ".SPY160318P214.5")</f>
        <v>N/A</v>
      </c>
      <c r="P662" t="str">
        <f>RTD("tos.rtd", , "VOLUME", ".SPY160318P214.5")</f>
        <v>N/A</v>
      </c>
      <c r="Q662" t="str">
        <f>RTD("tos.rtd", , "OPEN_INT", ".SPY160318P214.5")</f>
        <v>N/A</v>
      </c>
      <c r="R662" t="str">
        <f>RTD("tos.rtd", , "DELTA", ".SPY160318P214.5")</f>
        <v>N/A</v>
      </c>
      <c r="S662" t="str">
        <f>RTD("tos.rtd", , "THETA", ".SPY160318P214.5")</f>
        <v>N/A</v>
      </c>
      <c r="T662" t="str">
        <f>RTD("tos.rtd", , "GAMMA", ".SPY160318P214.5")</f>
        <v>N/A</v>
      </c>
      <c r="U662" t="str">
        <f>RTD("tos.rtd", , "VEGA", ".SPY160318P214.5")</f>
        <v>N/A</v>
      </c>
      <c r="V662" t="str">
        <f>RTD("tos.rtd", , "RHO", ".SPY160318P214.5")</f>
        <v>N/A</v>
      </c>
    </row>
    <row r="663" spans="1:22" x14ac:dyDescent="0.25">
      <c r="A663">
        <f>RTD("tos.rtd", , "ASK", ".SPY160318C215")</f>
        <v>9.3000000000000007</v>
      </c>
      <c r="B663">
        <f>RTD("tos.rtd", , "ASK_SIZE", ".SPY160318C215")</f>
        <v>197</v>
      </c>
      <c r="C663">
        <f>RTD("tos.rtd", , "BID", ".SPY160318C215")</f>
        <v>9</v>
      </c>
      <c r="D663">
        <f>RTD("tos.rtd", , "BID_SIZE", ".SPY160318C215")</f>
        <v>1827</v>
      </c>
      <c r="E663">
        <f>RTD("tos.rtd", , "VOLUME", ".SPY160318C215")</f>
        <v>8</v>
      </c>
      <c r="F663">
        <f>RTD("tos.rtd", , "OPEN_INT", ".SPY160318C215")</f>
        <v>4695</v>
      </c>
      <c r="G663">
        <f>RTD("tos.rtd", , "DELTA", ".SPY160318C215")</f>
        <v>0.44640000000000002</v>
      </c>
      <c r="H663">
        <f>RTD("tos.rtd", , "THETA", ".SPY160318C215")</f>
        <v>-1.481E-2</v>
      </c>
      <c r="I663">
        <f>RTD("tos.rtd", , "GAMMA", ".SPY160318C215")</f>
        <v>1.3610000000000001E-2</v>
      </c>
      <c r="J663">
        <f>RTD("tos.rtd", , "VEGA", ".SPY160318C215")</f>
        <v>0.77153000000000005</v>
      </c>
      <c r="K663">
        <f>RTD("tos.rtd", , "RHO", ".SPY160318C215")</f>
        <v>0.66420000000000001</v>
      </c>
      <c r="L663">
        <f>RTD("tos.rtd", , "ASK", ".SPY160318P215")</f>
        <v>15.51</v>
      </c>
      <c r="M663">
        <f>RTD("tos.rtd", , "ASK_SIZE", ".SPY160318P215")</f>
        <v>169</v>
      </c>
      <c r="N663">
        <f>RTD("tos.rtd", , "BID", ".SPY160318P215")</f>
        <v>15.15</v>
      </c>
      <c r="O663">
        <f>RTD("tos.rtd", , "BID_SIZE", ".SPY160318P215")</f>
        <v>132</v>
      </c>
      <c r="P663">
        <f>RTD("tos.rtd", , "VOLUME", ".SPY160318P215")</f>
        <v>3</v>
      </c>
      <c r="Q663">
        <f>RTD("tos.rtd", , "OPEN_INT", ".SPY160318P215")</f>
        <v>358</v>
      </c>
      <c r="R663">
        <f>RTD("tos.rtd", , "DELTA", ".SPY160318P215")</f>
        <v>-0.54727000000000003</v>
      </c>
      <c r="S663">
        <f>RTD("tos.rtd", , "THETA", ".SPY160318P215")</f>
        <v>-2.2839999999999999E-2</v>
      </c>
      <c r="T663">
        <f>RTD("tos.rtd", , "GAMMA", ".SPY160318P215")</f>
        <v>1.3010000000000001E-2</v>
      </c>
      <c r="U663">
        <f>RTD("tos.rtd", , "VEGA", ".SPY160318P215")</f>
        <v>0.77</v>
      </c>
      <c r="V663">
        <f>RTD("tos.rtd", , "RHO", ".SPY160318P215")</f>
        <v>-1.1456</v>
      </c>
    </row>
    <row r="664" spans="1:22" x14ac:dyDescent="0.25">
      <c r="A664" t="str">
        <f>RTD("tos.rtd", , "ASK", ".SPY160318C215.5")</f>
        <v>N/A</v>
      </c>
      <c r="B664" t="str">
        <f>RTD("tos.rtd", , "ASK_SIZE", ".SPY160318C215.5")</f>
        <v>N/A</v>
      </c>
      <c r="C664" t="str">
        <f>RTD("tos.rtd", , "BID", ".SPY160318C215.5")</f>
        <v>N/A</v>
      </c>
      <c r="D664" t="str">
        <f>RTD("tos.rtd", , "BID_SIZE", ".SPY160318C215.5")</f>
        <v>N/A</v>
      </c>
      <c r="E664" t="str">
        <f>RTD("tos.rtd", , "VOLUME", ".SPY160318C215.5")</f>
        <v>N/A</v>
      </c>
      <c r="F664" t="str">
        <f>RTD("tos.rtd", , "OPEN_INT", ".SPY160318C215.5")</f>
        <v>N/A</v>
      </c>
      <c r="G664" t="str">
        <f>RTD("tos.rtd", , "DELTA", ".SPY160318C215.5")</f>
        <v>N/A</v>
      </c>
      <c r="H664" t="str">
        <f>RTD("tos.rtd", , "THETA", ".SPY160318C215.5")</f>
        <v>N/A</v>
      </c>
      <c r="I664" t="str">
        <f>RTD("tos.rtd", , "GAMMA", ".SPY160318C215.5")</f>
        <v>N/A</v>
      </c>
      <c r="J664" t="str">
        <f>RTD("tos.rtd", , "VEGA", ".SPY160318C215.5")</f>
        <v>N/A</v>
      </c>
      <c r="K664" t="str">
        <f>RTD("tos.rtd", , "RHO", ".SPY160318C215.5")</f>
        <v>N/A</v>
      </c>
      <c r="L664" t="str">
        <f>RTD("tos.rtd", , "ASK", ".SPY160318P215.5")</f>
        <v>N/A</v>
      </c>
      <c r="M664" t="str">
        <f>RTD("tos.rtd", , "ASK_SIZE", ".SPY160318P215.5")</f>
        <v>N/A</v>
      </c>
      <c r="N664" t="str">
        <f>RTD("tos.rtd", , "BID", ".SPY160318P215.5")</f>
        <v>N/A</v>
      </c>
      <c r="O664" t="str">
        <f>RTD("tos.rtd", , "BID_SIZE", ".SPY160318P215.5")</f>
        <v>N/A</v>
      </c>
      <c r="P664" t="str">
        <f>RTD("tos.rtd", , "VOLUME", ".SPY160318P215.5")</f>
        <v>N/A</v>
      </c>
      <c r="Q664" t="str">
        <f>RTD("tos.rtd", , "OPEN_INT", ".SPY160318P215.5")</f>
        <v>N/A</v>
      </c>
      <c r="R664" t="str">
        <f>RTD("tos.rtd", , "DELTA", ".SPY160318P215.5")</f>
        <v>N/A</v>
      </c>
      <c r="S664" t="str">
        <f>RTD("tos.rtd", , "THETA", ".SPY160318P215.5")</f>
        <v>N/A</v>
      </c>
      <c r="T664" t="str">
        <f>RTD("tos.rtd", , "GAMMA", ".SPY160318P215.5")</f>
        <v>N/A</v>
      </c>
      <c r="U664" t="str">
        <f>RTD("tos.rtd", , "VEGA", ".SPY160318P215.5")</f>
        <v>N/A</v>
      </c>
      <c r="V664" t="str">
        <f>RTD("tos.rtd", , "RHO", ".SPY160318P215.5")</f>
        <v>N/A</v>
      </c>
    </row>
    <row r="665" spans="1:22" x14ac:dyDescent="0.25">
      <c r="A665" t="str">
        <f>RTD("tos.rtd", , "ASK", ".SPY160318C216")</f>
        <v>N/A</v>
      </c>
      <c r="B665" t="str">
        <f>RTD("tos.rtd", , "ASK_SIZE", ".SPY160318C216")</f>
        <v>N/A</v>
      </c>
      <c r="C665" t="str">
        <f>RTD("tos.rtd", , "BID", ".SPY160318C216")</f>
        <v>N/A</v>
      </c>
      <c r="D665" t="str">
        <f>RTD("tos.rtd", , "BID_SIZE", ".SPY160318C216")</f>
        <v>N/A</v>
      </c>
      <c r="E665" t="str">
        <f>RTD("tos.rtd", , "VOLUME", ".SPY160318C216")</f>
        <v>N/A</v>
      </c>
      <c r="F665" t="str">
        <f>RTD("tos.rtd", , "OPEN_INT", ".SPY160318C216")</f>
        <v>N/A</v>
      </c>
      <c r="G665" t="str">
        <f>RTD("tos.rtd", , "DELTA", ".SPY160318C216")</f>
        <v>N/A</v>
      </c>
      <c r="H665" t="str">
        <f>RTD("tos.rtd", , "THETA", ".SPY160318C216")</f>
        <v>N/A</v>
      </c>
      <c r="I665" t="str">
        <f>RTD("tos.rtd", , "GAMMA", ".SPY160318C216")</f>
        <v>N/A</v>
      </c>
      <c r="J665" t="str">
        <f>RTD("tos.rtd", , "VEGA", ".SPY160318C216")</f>
        <v>N/A</v>
      </c>
      <c r="K665" t="str">
        <f>RTD("tos.rtd", , "RHO", ".SPY160318C216")</f>
        <v>N/A</v>
      </c>
      <c r="L665" t="str">
        <f>RTD("tos.rtd", , "ASK", ".SPY160318P216")</f>
        <v>N/A</v>
      </c>
      <c r="M665" t="str">
        <f>RTD("tos.rtd", , "ASK_SIZE", ".SPY160318P216")</f>
        <v>N/A</v>
      </c>
      <c r="N665" t="str">
        <f>RTD("tos.rtd", , "BID", ".SPY160318P216")</f>
        <v>N/A</v>
      </c>
      <c r="O665" t="str">
        <f>RTD("tos.rtd", , "BID_SIZE", ".SPY160318P216")</f>
        <v>N/A</v>
      </c>
      <c r="P665" t="str">
        <f>RTD("tos.rtd", , "VOLUME", ".SPY160318P216")</f>
        <v>N/A</v>
      </c>
      <c r="Q665" t="str">
        <f>RTD("tos.rtd", , "OPEN_INT", ".SPY160318P216")</f>
        <v>N/A</v>
      </c>
      <c r="R665" t="str">
        <f>RTD("tos.rtd", , "DELTA", ".SPY160318P216")</f>
        <v>N/A</v>
      </c>
      <c r="S665" t="str">
        <f>RTD("tos.rtd", , "THETA", ".SPY160318P216")</f>
        <v>N/A</v>
      </c>
      <c r="T665" t="str">
        <f>RTD("tos.rtd", , "GAMMA", ".SPY160318P216")</f>
        <v>N/A</v>
      </c>
      <c r="U665" t="str">
        <f>RTD("tos.rtd", , "VEGA", ".SPY160318P216")</f>
        <v>N/A</v>
      </c>
      <c r="V665" t="str">
        <f>RTD("tos.rtd", , "RHO", ".SPY160318P216")</f>
        <v>N/A</v>
      </c>
    </row>
    <row r="666" spans="1:22" x14ac:dyDescent="0.25">
      <c r="A666" t="str">
        <f>RTD("tos.rtd", , "ASK", ".SPY160318C216.5")</f>
        <v>N/A</v>
      </c>
      <c r="B666" t="str">
        <f>RTD("tos.rtd", , "ASK_SIZE", ".SPY160318C216.5")</f>
        <v>N/A</v>
      </c>
      <c r="C666" t="str">
        <f>RTD("tos.rtd", , "BID", ".SPY160318C216.5")</f>
        <v>N/A</v>
      </c>
      <c r="D666" t="str">
        <f>RTD("tos.rtd", , "BID_SIZE", ".SPY160318C216.5")</f>
        <v>N/A</v>
      </c>
      <c r="E666" t="str">
        <f>RTD("tos.rtd", , "VOLUME", ".SPY160318C216.5")</f>
        <v>N/A</v>
      </c>
      <c r="F666" t="str">
        <f>RTD("tos.rtd", , "OPEN_INT", ".SPY160318C216.5")</f>
        <v>N/A</v>
      </c>
      <c r="G666" t="str">
        <f>RTD("tos.rtd", , "DELTA", ".SPY160318C216.5")</f>
        <v>N/A</v>
      </c>
      <c r="H666" t="str">
        <f>RTD("tos.rtd", , "THETA", ".SPY160318C216.5")</f>
        <v>N/A</v>
      </c>
      <c r="I666" t="str">
        <f>RTD("tos.rtd", , "GAMMA", ".SPY160318C216.5")</f>
        <v>N/A</v>
      </c>
      <c r="J666" t="str">
        <f>RTD("tos.rtd", , "VEGA", ".SPY160318C216.5")</f>
        <v>N/A</v>
      </c>
      <c r="K666" t="str">
        <f>RTD("tos.rtd", , "RHO", ".SPY160318C216.5")</f>
        <v>N/A</v>
      </c>
      <c r="L666" t="str">
        <f>RTD("tos.rtd", , "ASK", ".SPY160318P216.5")</f>
        <v>N/A</v>
      </c>
      <c r="M666" t="str">
        <f>RTD("tos.rtd", , "ASK_SIZE", ".SPY160318P216.5")</f>
        <v>N/A</v>
      </c>
      <c r="N666" t="str">
        <f>RTD("tos.rtd", , "BID", ".SPY160318P216.5")</f>
        <v>N/A</v>
      </c>
      <c r="O666" t="str">
        <f>RTD("tos.rtd", , "BID_SIZE", ".SPY160318P216.5")</f>
        <v>N/A</v>
      </c>
      <c r="P666" t="str">
        <f>RTD("tos.rtd", , "VOLUME", ".SPY160318P216.5")</f>
        <v>N/A</v>
      </c>
      <c r="Q666" t="str">
        <f>RTD("tos.rtd", , "OPEN_INT", ".SPY160318P216.5")</f>
        <v>N/A</v>
      </c>
      <c r="R666" t="str">
        <f>RTD("tos.rtd", , "DELTA", ".SPY160318P216.5")</f>
        <v>N/A</v>
      </c>
      <c r="S666" t="str">
        <f>RTD("tos.rtd", , "THETA", ".SPY160318P216.5")</f>
        <v>N/A</v>
      </c>
      <c r="T666" t="str">
        <f>RTD("tos.rtd", , "GAMMA", ".SPY160318P216.5")</f>
        <v>N/A</v>
      </c>
      <c r="U666" t="str">
        <f>RTD("tos.rtd", , "VEGA", ".SPY160318P216.5")</f>
        <v>N/A</v>
      </c>
      <c r="V666" t="str">
        <f>RTD("tos.rtd", , "RHO", ".SPY160318P216.5")</f>
        <v>N/A</v>
      </c>
    </row>
    <row r="667" spans="1:22" x14ac:dyDescent="0.25">
      <c r="A667" t="str">
        <f>RTD("tos.rtd", , "ASK", ".SPY160318C217")</f>
        <v>N/A</v>
      </c>
      <c r="B667" t="str">
        <f>RTD("tos.rtd", , "ASK_SIZE", ".SPY160318C217")</f>
        <v>N/A</v>
      </c>
      <c r="C667" t="str">
        <f>RTD("tos.rtd", , "BID", ".SPY160318C217")</f>
        <v>N/A</v>
      </c>
      <c r="D667" t="str">
        <f>RTD("tos.rtd", , "BID_SIZE", ".SPY160318C217")</f>
        <v>N/A</v>
      </c>
      <c r="E667" t="str">
        <f>RTD("tos.rtd", , "VOLUME", ".SPY160318C217")</f>
        <v>N/A</v>
      </c>
      <c r="F667" t="str">
        <f>RTD("tos.rtd", , "OPEN_INT", ".SPY160318C217")</f>
        <v>N/A</v>
      </c>
      <c r="G667" t="str">
        <f>RTD("tos.rtd", , "DELTA", ".SPY160318C217")</f>
        <v>N/A</v>
      </c>
      <c r="H667" t="str">
        <f>RTD("tos.rtd", , "THETA", ".SPY160318C217")</f>
        <v>N/A</v>
      </c>
      <c r="I667" t="str">
        <f>RTD("tos.rtd", , "GAMMA", ".SPY160318C217")</f>
        <v>N/A</v>
      </c>
      <c r="J667" t="str">
        <f>RTD("tos.rtd", , "VEGA", ".SPY160318C217")</f>
        <v>N/A</v>
      </c>
      <c r="K667" t="str">
        <f>RTD("tos.rtd", , "RHO", ".SPY160318C217")</f>
        <v>N/A</v>
      </c>
      <c r="L667" t="str">
        <f>RTD("tos.rtd", , "ASK", ".SPY160318P217")</f>
        <v>N/A</v>
      </c>
      <c r="M667" t="str">
        <f>RTD("tos.rtd", , "ASK_SIZE", ".SPY160318P217")</f>
        <v>N/A</v>
      </c>
      <c r="N667" t="str">
        <f>RTD("tos.rtd", , "BID", ".SPY160318P217")</f>
        <v>N/A</v>
      </c>
      <c r="O667" t="str">
        <f>RTD("tos.rtd", , "BID_SIZE", ".SPY160318P217")</f>
        <v>N/A</v>
      </c>
      <c r="P667" t="str">
        <f>RTD("tos.rtd", , "VOLUME", ".SPY160318P217")</f>
        <v>N/A</v>
      </c>
      <c r="Q667" t="str">
        <f>RTD("tos.rtd", , "OPEN_INT", ".SPY160318P217")</f>
        <v>N/A</v>
      </c>
      <c r="R667" t="str">
        <f>RTD("tos.rtd", , "DELTA", ".SPY160318P217")</f>
        <v>N/A</v>
      </c>
      <c r="S667" t="str">
        <f>RTD("tos.rtd", , "THETA", ".SPY160318P217")</f>
        <v>N/A</v>
      </c>
      <c r="T667" t="str">
        <f>RTD("tos.rtd", , "GAMMA", ".SPY160318P217")</f>
        <v>N/A</v>
      </c>
      <c r="U667" t="str">
        <f>RTD("tos.rtd", , "VEGA", ".SPY160318P217")</f>
        <v>N/A</v>
      </c>
      <c r="V667" t="str">
        <f>RTD("tos.rtd", , "RHO", ".SPY160318P217")</f>
        <v>N/A</v>
      </c>
    </row>
    <row r="668" spans="1:22" x14ac:dyDescent="0.25">
      <c r="A668" t="str">
        <f>RTD("tos.rtd", , "ASK", ".SPY160318C217.5")</f>
        <v>N/A</v>
      </c>
      <c r="B668" t="str">
        <f>RTD("tos.rtd", , "ASK_SIZE", ".SPY160318C217.5")</f>
        <v>N/A</v>
      </c>
      <c r="C668" t="str">
        <f>RTD("tos.rtd", , "BID", ".SPY160318C217.5")</f>
        <v>N/A</v>
      </c>
      <c r="D668" t="str">
        <f>RTD("tos.rtd", , "BID_SIZE", ".SPY160318C217.5")</f>
        <v>N/A</v>
      </c>
      <c r="E668" t="str">
        <f>RTD("tos.rtd", , "VOLUME", ".SPY160318C217.5")</f>
        <v>N/A</v>
      </c>
      <c r="F668" t="str">
        <f>RTD("tos.rtd", , "OPEN_INT", ".SPY160318C217.5")</f>
        <v>N/A</v>
      </c>
      <c r="G668" t="str">
        <f>RTD("tos.rtd", , "DELTA", ".SPY160318C217.5")</f>
        <v>N/A</v>
      </c>
      <c r="H668" t="str">
        <f>RTD("tos.rtd", , "THETA", ".SPY160318C217.5")</f>
        <v>N/A</v>
      </c>
      <c r="I668" t="str">
        <f>RTD("tos.rtd", , "GAMMA", ".SPY160318C217.5")</f>
        <v>N/A</v>
      </c>
      <c r="J668" t="str">
        <f>RTD("tos.rtd", , "VEGA", ".SPY160318C217.5")</f>
        <v>N/A</v>
      </c>
      <c r="K668" t="str">
        <f>RTD("tos.rtd", , "RHO", ".SPY160318C217.5")</f>
        <v>N/A</v>
      </c>
      <c r="L668" t="str">
        <f>RTD("tos.rtd", , "ASK", ".SPY160318P217.5")</f>
        <v>N/A</v>
      </c>
      <c r="M668" t="str">
        <f>RTD("tos.rtd", , "ASK_SIZE", ".SPY160318P217.5")</f>
        <v>N/A</v>
      </c>
      <c r="N668" t="str">
        <f>RTD("tos.rtd", , "BID", ".SPY160318P217.5")</f>
        <v>N/A</v>
      </c>
      <c r="O668" t="str">
        <f>RTD("tos.rtd", , "BID_SIZE", ".SPY160318P217.5")</f>
        <v>N/A</v>
      </c>
      <c r="P668" t="str">
        <f>RTD("tos.rtd", , "VOLUME", ".SPY160318P217.5")</f>
        <v>N/A</v>
      </c>
      <c r="Q668" t="str">
        <f>RTD("tos.rtd", , "OPEN_INT", ".SPY160318P217.5")</f>
        <v>N/A</v>
      </c>
      <c r="R668" t="str">
        <f>RTD("tos.rtd", , "DELTA", ".SPY160318P217.5")</f>
        <v>N/A</v>
      </c>
      <c r="S668" t="str">
        <f>RTD("tos.rtd", , "THETA", ".SPY160318P217.5")</f>
        <v>N/A</v>
      </c>
      <c r="T668" t="str">
        <f>RTD("tos.rtd", , "GAMMA", ".SPY160318P217.5")</f>
        <v>N/A</v>
      </c>
      <c r="U668" t="str">
        <f>RTD("tos.rtd", , "VEGA", ".SPY160318P217.5")</f>
        <v>N/A</v>
      </c>
      <c r="V668" t="str">
        <f>RTD("tos.rtd", , "RHO", ".SPY160318P217.5")</f>
        <v>N/A</v>
      </c>
    </row>
    <row r="669" spans="1:22" x14ac:dyDescent="0.25">
      <c r="A669" t="str">
        <f>RTD("tos.rtd", , "ASK", ".SPY160318C218")</f>
        <v>N/A</v>
      </c>
      <c r="B669" t="str">
        <f>RTD("tos.rtd", , "ASK_SIZE", ".SPY160318C218")</f>
        <v>N/A</v>
      </c>
      <c r="C669" t="str">
        <f>RTD("tos.rtd", , "BID", ".SPY160318C218")</f>
        <v>N/A</v>
      </c>
      <c r="D669" t="str">
        <f>RTD("tos.rtd", , "BID_SIZE", ".SPY160318C218")</f>
        <v>N/A</v>
      </c>
      <c r="E669" t="str">
        <f>RTD("tos.rtd", , "VOLUME", ".SPY160318C218")</f>
        <v>N/A</v>
      </c>
      <c r="F669" t="str">
        <f>RTD("tos.rtd", , "OPEN_INT", ".SPY160318C218")</f>
        <v>N/A</v>
      </c>
      <c r="G669" t="str">
        <f>RTD("tos.rtd", , "DELTA", ".SPY160318C218")</f>
        <v>N/A</v>
      </c>
      <c r="H669" t="str">
        <f>RTD("tos.rtd", , "THETA", ".SPY160318C218")</f>
        <v>N/A</v>
      </c>
      <c r="I669" t="str">
        <f>RTD("tos.rtd", , "GAMMA", ".SPY160318C218")</f>
        <v>N/A</v>
      </c>
      <c r="J669" t="str">
        <f>RTD("tos.rtd", , "VEGA", ".SPY160318C218")</f>
        <v>N/A</v>
      </c>
      <c r="K669" t="str">
        <f>RTD("tos.rtd", , "RHO", ".SPY160318C218")</f>
        <v>N/A</v>
      </c>
      <c r="L669" t="str">
        <f>RTD("tos.rtd", , "ASK", ".SPY160318P218")</f>
        <v>N/A</v>
      </c>
      <c r="M669" t="str">
        <f>RTD("tos.rtd", , "ASK_SIZE", ".SPY160318P218")</f>
        <v>N/A</v>
      </c>
      <c r="N669" t="str">
        <f>RTD("tos.rtd", , "BID", ".SPY160318P218")</f>
        <v>N/A</v>
      </c>
      <c r="O669" t="str">
        <f>RTD("tos.rtd", , "BID_SIZE", ".SPY160318P218")</f>
        <v>N/A</v>
      </c>
      <c r="P669" t="str">
        <f>RTD("tos.rtd", , "VOLUME", ".SPY160318P218")</f>
        <v>N/A</v>
      </c>
      <c r="Q669" t="str">
        <f>RTD("tos.rtd", , "OPEN_INT", ".SPY160318P218")</f>
        <v>N/A</v>
      </c>
      <c r="R669" t="str">
        <f>RTD("tos.rtd", , "DELTA", ".SPY160318P218")</f>
        <v>N/A</v>
      </c>
      <c r="S669" t="str">
        <f>RTD("tos.rtd", , "THETA", ".SPY160318P218")</f>
        <v>N/A</v>
      </c>
      <c r="T669" t="str">
        <f>RTD("tos.rtd", , "GAMMA", ".SPY160318P218")</f>
        <v>N/A</v>
      </c>
      <c r="U669" t="str">
        <f>RTD("tos.rtd", , "VEGA", ".SPY160318P218")</f>
        <v>N/A</v>
      </c>
      <c r="V669" t="str">
        <f>RTD("tos.rtd", , "RHO", ".SPY160318P218")</f>
        <v>N/A</v>
      </c>
    </row>
    <row r="670" spans="1:22" x14ac:dyDescent="0.25">
      <c r="A670" t="str">
        <f>RTD("tos.rtd", , "ASK", ".SPY160318C218.5")</f>
        <v>N/A</v>
      </c>
      <c r="B670" t="str">
        <f>RTD("tos.rtd", , "ASK_SIZE", ".SPY160318C218.5")</f>
        <v>N/A</v>
      </c>
      <c r="C670" t="str">
        <f>RTD("tos.rtd", , "BID", ".SPY160318C218.5")</f>
        <v>N/A</v>
      </c>
      <c r="D670" t="str">
        <f>RTD("tos.rtd", , "BID_SIZE", ".SPY160318C218.5")</f>
        <v>N/A</v>
      </c>
      <c r="E670" t="str">
        <f>RTD("tos.rtd", , "VOLUME", ".SPY160318C218.5")</f>
        <v>N/A</v>
      </c>
      <c r="F670" t="str">
        <f>RTD("tos.rtd", , "OPEN_INT", ".SPY160318C218.5")</f>
        <v>N/A</v>
      </c>
      <c r="G670" t="str">
        <f>RTD("tos.rtd", , "DELTA", ".SPY160318C218.5")</f>
        <v>N/A</v>
      </c>
      <c r="H670" t="str">
        <f>RTD("tos.rtd", , "THETA", ".SPY160318C218.5")</f>
        <v>N/A</v>
      </c>
      <c r="I670" t="str">
        <f>RTD("tos.rtd", , "GAMMA", ".SPY160318C218.5")</f>
        <v>N/A</v>
      </c>
      <c r="J670" t="str">
        <f>RTD("tos.rtd", , "VEGA", ".SPY160318C218.5")</f>
        <v>N/A</v>
      </c>
      <c r="K670" t="str">
        <f>RTD("tos.rtd", , "RHO", ".SPY160318C218.5")</f>
        <v>N/A</v>
      </c>
      <c r="L670" t="str">
        <f>RTD("tos.rtd", , "ASK", ".SPY160318P218.5")</f>
        <v>N/A</v>
      </c>
      <c r="M670" t="str">
        <f>RTD("tos.rtd", , "ASK_SIZE", ".SPY160318P218.5")</f>
        <v>N/A</v>
      </c>
      <c r="N670" t="str">
        <f>RTD("tos.rtd", , "BID", ".SPY160318P218.5")</f>
        <v>N/A</v>
      </c>
      <c r="O670" t="str">
        <f>RTD("tos.rtd", , "BID_SIZE", ".SPY160318P218.5")</f>
        <v>N/A</v>
      </c>
      <c r="P670" t="str">
        <f>RTD("tos.rtd", , "VOLUME", ".SPY160318P218.5")</f>
        <v>N/A</v>
      </c>
      <c r="Q670" t="str">
        <f>RTD("tos.rtd", , "OPEN_INT", ".SPY160318P218.5")</f>
        <v>N/A</v>
      </c>
      <c r="R670" t="str">
        <f>RTD("tos.rtd", , "DELTA", ".SPY160318P218.5")</f>
        <v>N/A</v>
      </c>
      <c r="S670" t="str">
        <f>RTD("tos.rtd", , "THETA", ".SPY160318P218.5")</f>
        <v>N/A</v>
      </c>
      <c r="T670" t="str">
        <f>RTD("tos.rtd", , "GAMMA", ".SPY160318P218.5")</f>
        <v>N/A</v>
      </c>
      <c r="U670" t="str">
        <f>RTD("tos.rtd", , "VEGA", ".SPY160318P218.5")</f>
        <v>N/A</v>
      </c>
      <c r="V670" t="str">
        <f>RTD("tos.rtd", , "RHO", ".SPY160318P218.5")</f>
        <v>N/A</v>
      </c>
    </row>
    <row r="671" spans="1:22" x14ac:dyDescent="0.25">
      <c r="A671" t="str">
        <f>RTD("tos.rtd", , "ASK", ".SPY160318C219")</f>
        <v>N/A</v>
      </c>
      <c r="B671" t="str">
        <f>RTD("tos.rtd", , "ASK_SIZE", ".SPY160318C219")</f>
        <v>N/A</v>
      </c>
      <c r="C671" t="str">
        <f>RTD("tos.rtd", , "BID", ".SPY160318C219")</f>
        <v>N/A</v>
      </c>
      <c r="D671" t="str">
        <f>RTD("tos.rtd", , "BID_SIZE", ".SPY160318C219")</f>
        <v>N/A</v>
      </c>
      <c r="E671" t="str">
        <f>RTD("tos.rtd", , "VOLUME", ".SPY160318C219")</f>
        <v>N/A</v>
      </c>
      <c r="F671" t="str">
        <f>RTD("tos.rtd", , "OPEN_INT", ".SPY160318C219")</f>
        <v>N/A</v>
      </c>
      <c r="G671" t="str">
        <f>RTD("tos.rtd", , "DELTA", ".SPY160318C219")</f>
        <v>N/A</v>
      </c>
      <c r="H671" t="str">
        <f>RTD("tos.rtd", , "THETA", ".SPY160318C219")</f>
        <v>N/A</v>
      </c>
      <c r="I671" t="str">
        <f>RTD("tos.rtd", , "GAMMA", ".SPY160318C219")</f>
        <v>N/A</v>
      </c>
      <c r="J671" t="str">
        <f>RTD("tos.rtd", , "VEGA", ".SPY160318C219")</f>
        <v>N/A</v>
      </c>
      <c r="K671" t="str">
        <f>RTD("tos.rtd", , "RHO", ".SPY160318C219")</f>
        <v>N/A</v>
      </c>
      <c r="L671" t="str">
        <f>RTD("tos.rtd", , "ASK", ".SPY160318P219")</f>
        <v>N/A</v>
      </c>
      <c r="M671" t="str">
        <f>RTD("tos.rtd", , "ASK_SIZE", ".SPY160318P219")</f>
        <v>N/A</v>
      </c>
      <c r="N671" t="str">
        <f>RTD("tos.rtd", , "BID", ".SPY160318P219")</f>
        <v>N/A</v>
      </c>
      <c r="O671" t="str">
        <f>RTD("tos.rtd", , "BID_SIZE", ".SPY160318P219")</f>
        <v>N/A</v>
      </c>
      <c r="P671" t="str">
        <f>RTD("tos.rtd", , "VOLUME", ".SPY160318P219")</f>
        <v>N/A</v>
      </c>
      <c r="Q671" t="str">
        <f>RTD("tos.rtd", , "OPEN_INT", ".SPY160318P219")</f>
        <v>N/A</v>
      </c>
      <c r="R671" t="str">
        <f>RTD("tos.rtd", , "DELTA", ".SPY160318P219")</f>
        <v>N/A</v>
      </c>
      <c r="S671" t="str">
        <f>RTD("tos.rtd", , "THETA", ".SPY160318P219")</f>
        <v>N/A</v>
      </c>
      <c r="T671" t="str">
        <f>RTD("tos.rtd", , "GAMMA", ".SPY160318P219")</f>
        <v>N/A</v>
      </c>
      <c r="U671" t="str">
        <f>RTD("tos.rtd", , "VEGA", ".SPY160318P219")</f>
        <v>N/A</v>
      </c>
      <c r="V671" t="str">
        <f>RTD("tos.rtd", , "RHO", ".SPY160318P219")</f>
        <v>N/A</v>
      </c>
    </row>
    <row r="672" spans="1:22" x14ac:dyDescent="0.25">
      <c r="A672" t="str">
        <f>RTD("tos.rtd", , "ASK", ".SPY160318C219.5")</f>
        <v>N/A</v>
      </c>
      <c r="B672" t="str">
        <f>RTD("tos.rtd", , "ASK_SIZE", ".SPY160318C219.5")</f>
        <v>N/A</v>
      </c>
      <c r="C672" t="str">
        <f>RTD("tos.rtd", , "BID", ".SPY160318C219.5")</f>
        <v>N/A</v>
      </c>
      <c r="D672" t="str">
        <f>RTD("tos.rtd", , "BID_SIZE", ".SPY160318C219.5")</f>
        <v>N/A</v>
      </c>
      <c r="E672" t="str">
        <f>RTD("tos.rtd", , "VOLUME", ".SPY160318C219.5")</f>
        <v>N/A</v>
      </c>
      <c r="F672" t="str">
        <f>RTD("tos.rtd", , "OPEN_INT", ".SPY160318C219.5")</f>
        <v>N/A</v>
      </c>
      <c r="G672" t="str">
        <f>RTD("tos.rtd", , "DELTA", ".SPY160318C219.5")</f>
        <v>N/A</v>
      </c>
      <c r="H672" t="str">
        <f>RTD("tos.rtd", , "THETA", ".SPY160318C219.5")</f>
        <v>N/A</v>
      </c>
      <c r="I672" t="str">
        <f>RTD("tos.rtd", , "GAMMA", ".SPY160318C219.5")</f>
        <v>N/A</v>
      </c>
      <c r="J672" t="str">
        <f>RTD("tos.rtd", , "VEGA", ".SPY160318C219.5")</f>
        <v>N/A</v>
      </c>
      <c r="K672" t="str">
        <f>RTD("tos.rtd", , "RHO", ".SPY160318C219.5")</f>
        <v>N/A</v>
      </c>
      <c r="L672" t="str">
        <f>RTD("tos.rtd", , "ASK", ".SPY160318P219.5")</f>
        <v>N/A</v>
      </c>
      <c r="M672" t="str">
        <f>RTD("tos.rtd", , "ASK_SIZE", ".SPY160318P219.5")</f>
        <v>N/A</v>
      </c>
      <c r="N672" t="str">
        <f>RTD("tos.rtd", , "BID", ".SPY160318P219.5")</f>
        <v>N/A</v>
      </c>
      <c r="O672" t="str">
        <f>RTD("tos.rtd", , "BID_SIZE", ".SPY160318P219.5")</f>
        <v>N/A</v>
      </c>
      <c r="P672" t="str">
        <f>RTD("tos.rtd", , "VOLUME", ".SPY160318P219.5")</f>
        <v>N/A</v>
      </c>
      <c r="Q672" t="str">
        <f>RTD("tos.rtd", , "OPEN_INT", ".SPY160318P219.5")</f>
        <v>N/A</v>
      </c>
      <c r="R672" t="str">
        <f>RTD("tos.rtd", , "DELTA", ".SPY160318P219.5")</f>
        <v>N/A</v>
      </c>
      <c r="S672" t="str">
        <f>RTD("tos.rtd", , "THETA", ".SPY160318P219.5")</f>
        <v>N/A</v>
      </c>
      <c r="T672" t="str">
        <f>RTD("tos.rtd", , "GAMMA", ".SPY160318P219.5")</f>
        <v>N/A</v>
      </c>
      <c r="U672" t="str">
        <f>RTD("tos.rtd", , "VEGA", ".SPY160318P219.5")</f>
        <v>N/A</v>
      </c>
      <c r="V672" t="str">
        <f>RTD("tos.rtd", , "RHO", ".SPY160318P219.5")</f>
        <v>N/A</v>
      </c>
    </row>
    <row r="673" spans="1:22" x14ac:dyDescent="0.25">
      <c r="A673" t="s">
        <v>16</v>
      </c>
      <c r="B673">
        <v>40</v>
      </c>
    </row>
    <row r="674" spans="1:22" x14ac:dyDescent="0.25">
      <c r="A674">
        <f>RTD("tos.rtd", ,"LAST", "SPY")</f>
        <v>211.32</v>
      </c>
    </row>
    <row r="675" spans="1:22" x14ac:dyDescent="0.25">
      <c r="A675">
        <f>RTD("tos.rtd", , "ASK", ".SPY160617C200")</f>
        <v>20.72</v>
      </c>
      <c r="B675">
        <f>RTD("tos.rtd", , "ASK_SIZE", ".SPY160617C200")</f>
        <v>284</v>
      </c>
      <c r="C675">
        <f>RTD("tos.rtd", , "BID", ".SPY160617C200")</f>
        <v>20.23</v>
      </c>
      <c r="D675">
        <f>RTD("tos.rtd", , "BID_SIZE", ".SPY160617C200")</f>
        <v>213</v>
      </c>
      <c r="E675">
        <f>RTD("tos.rtd", , "VOLUME", ".SPY160617C200")</f>
        <v>1</v>
      </c>
      <c r="F675">
        <f>RTD("tos.rtd", , "OPEN_INT", ".SPY160617C200")</f>
        <v>4244</v>
      </c>
      <c r="G675">
        <f>RTD("tos.rtd", , "DELTA", ".SPY160617C200")</f>
        <v>0.62358000000000002</v>
      </c>
      <c r="H675">
        <f>RTD("tos.rtd", , "THETA", ".SPY160617C200")</f>
        <v>-1.44E-2</v>
      </c>
      <c r="I675">
        <f>RTD("tos.rtd", , "GAMMA", ".SPY160617C200")</f>
        <v>9.8300000000000002E-3</v>
      </c>
      <c r="J675">
        <f>RTD("tos.rtd", , "VEGA", ".SPY160617C200")</f>
        <v>0.82870999999999995</v>
      </c>
      <c r="K675">
        <f>RTD("tos.rtd", , "RHO", ".SPY160617C200")</f>
        <v>0.99356999999999995</v>
      </c>
      <c r="L675">
        <f>RTD("tos.rtd", , "ASK", ".SPY160617P200")</f>
        <v>12.13</v>
      </c>
      <c r="M675">
        <f>RTD("tos.rtd", , "ASK_SIZE", ".SPY160617P200")</f>
        <v>1808</v>
      </c>
      <c r="N675">
        <f>RTD("tos.rtd", , "BID", ".SPY160617P200")</f>
        <v>11.8</v>
      </c>
      <c r="O675">
        <f>RTD("tos.rtd", , "BID_SIZE", ".SPY160617P200")</f>
        <v>10</v>
      </c>
      <c r="P675">
        <f>RTD("tos.rtd", , "VOLUME", ".SPY160617P200")</f>
        <v>4</v>
      </c>
      <c r="Q675">
        <f>RTD("tos.rtd", , "OPEN_INT", ".SPY160617P200")</f>
        <v>9052</v>
      </c>
      <c r="R675">
        <f>RTD("tos.rtd", , "DELTA", ".SPY160617P200")</f>
        <v>-0.37551000000000001</v>
      </c>
      <c r="S675">
        <f>RTD("tos.rtd", , "THETA", ".SPY160617P200")</f>
        <v>-2.171E-2</v>
      </c>
      <c r="T675">
        <f>RTD("tos.rtd", , "GAMMA", ".SPY160617P200")</f>
        <v>9.1999999999999998E-3</v>
      </c>
      <c r="U675">
        <f>RTD("tos.rtd", , "VEGA", ".SPY160617P200")</f>
        <v>0.83943999999999996</v>
      </c>
      <c r="V675">
        <f>RTD("tos.rtd", , "RHO", ".SPY160617P200")</f>
        <v>-1.0250300000000001</v>
      </c>
    </row>
    <row r="676" spans="1:22" x14ac:dyDescent="0.25">
      <c r="A676" t="str">
        <f>RTD("tos.rtd", , "ASK", ".SPY160617C200.5")</f>
        <v>N/A</v>
      </c>
      <c r="B676" t="str">
        <f>RTD("tos.rtd", , "ASK_SIZE", ".SPY160617C200.5")</f>
        <v>N/A</v>
      </c>
      <c r="C676" t="str">
        <f>RTD("tos.rtd", , "BID", ".SPY160617C200.5")</f>
        <v>N/A</v>
      </c>
      <c r="D676" t="str">
        <f>RTD("tos.rtd", , "BID_SIZE", ".SPY160617C200.5")</f>
        <v>N/A</v>
      </c>
      <c r="E676" t="str">
        <f>RTD("tos.rtd", , "VOLUME", ".SPY160617C200.5")</f>
        <v>N/A</v>
      </c>
      <c r="F676" t="str">
        <f>RTD("tos.rtd", , "OPEN_INT", ".SPY160617C200.5")</f>
        <v>N/A</v>
      </c>
      <c r="G676" t="str">
        <f>RTD("tos.rtd", , "DELTA", ".SPY160617C200.5")</f>
        <v>N/A</v>
      </c>
      <c r="H676" t="str">
        <f>RTD("tos.rtd", , "THETA", ".SPY160617C200.5")</f>
        <v>N/A</v>
      </c>
      <c r="I676" t="str">
        <f>RTD("tos.rtd", , "GAMMA", ".SPY160617C200.5")</f>
        <v>N/A</v>
      </c>
      <c r="J676" t="str">
        <f>RTD("tos.rtd", , "VEGA", ".SPY160617C200.5")</f>
        <v>N/A</v>
      </c>
      <c r="K676" t="str">
        <f>RTD("tos.rtd", , "RHO", ".SPY160617C200.5")</f>
        <v>N/A</v>
      </c>
      <c r="L676" t="str">
        <f>RTD("tos.rtd", , "ASK", ".SPY160617P200.5")</f>
        <v>N/A</v>
      </c>
      <c r="M676" t="str">
        <f>RTD("tos.rtd", , "ASK_SIZE", ".SPY160617P200.5")</f>
        <v>N/A</v>
      </c>
      <c r="N676" t="str">
        <f>RTD("tos.rtd", , "BID", ".SPY160617P200.5")</f>
        <v>N/A</v>
      </c>
      <c r="O676" t="str">
        <f>RTD("tos.rtd", , "BID_SIZE", ".SPY160617P200.5")</f>
        <v>N/A</v>
      </c>
      <c r="P676" t="str">
        <f>RTD("tos.rtd", , "VOLUME", ".SPY160617P200.5")</f>
        <v>N/A</v>
      </c>
      <c r="Q676" t="str">
        <f>RTD("tos.rtd", , "OPEN_INT", ".SPY160617P200.5")</f>
        <v>N/A</v>
      </c>
      <c r="R676" t="str">
        <f>RTD("tos.rtd", , "DELTA", ".SPY160617P200.5")</f>
        <v>N/A</v>
      </c>
      <c r="S676" t="str">
        <f>RTD("tos.rtd", , "THETA", ".SPY160617P200.5")</f>
        <v>N/A</v>
      </c>
      <c r="T676" t="str">
        <f>RTD("tos.rtd", , "GAMMA", ".SPY160617P200.5")</f>
        <v>N/A</v>
      </c>
      <c r="U676" t="str">
        <f>RTD("tos.rtd", , "VEGA", ".SPY160617P200.5")</f>
        <v>N/A</v>
      </c>
      <c r="V676" t="str">
        <f>RTD("tos.rtd", , "RHO", ".SPY160617P200.5")</f>
        <v>N/A</v>
      </c>
    </row>
    <row r="677" spans="1:22" x14ac:dyDescent="0.25">
      <c r="A677" t="str">
        <f>RTD("tos.rtd", , "ASK", ".SPY160617C201")</f>
        <v>N/A</v>
      </c>
      <c r="B677" t="str">
        <f>RTD("tos.rtd", , "ASK_SIZE", ".SPY160617C201")</f>
        <v>N/A</v>
      </c>
      <c r="C677" t="str">
        <f>RTD("tos.rtd", , "BID", ".SPY160617C201")</f>
        <v>N/A</v>
      </c>
      <c r="D677" t="str">
        <f>RTD("tos.rtd", , "BID_SIZE", ".SPY160617C201")</f>
        <v>N/A</v>
      </c>
      <c r="E677" t="str">
        <f>RTD("tos.rtd", , "VOLUME", ".SPY160617C201")</f>
        <v>N/A</v>
      </c>
      <c r="F677" t="str">
        <f>RTD("tos.rtd", , "OPEN_INT", ".SPY160617C201")</f>
        <v>N/A</v>
      </c>
      <c r="G677" t="str">
        <f>RTD("tos.rtd", , "DELTA", ".SPY160617C201")</f>
        <v>N/A</v>
      </c>
      <c r="H677" t="str">
        <f>RTD("tos.rtd", , "THETA", ".SPY160617C201")</f>
        <v>N/A</v>
      </c>
      <c r="I677" t="str">
        <f>RTD("tos.rtd", , "GAMMA", ".SPY160617C201")</f>
        <v>N/A</v>
      </c>
      <c r="J677" t="str">
        <f>RTD("tos.rtd", , "VEGA", ".SPY160617C201")</f>
        <v>N/A</v>
      </c>
      <c r="K677" t="str">
        <f>RTD("tos.rtd", , "RHO", ".SPY160617C201")</f>
        <v>N/A</v>
      </c>
      <c r="L677" t="str">
        <f>RTD("tos.rtd", , "ASK", ".SPY160617P201")</f>
        <v>N/A</v>
      </c>
      <c r="M677" t="str">
        <f>RTD("tos.rtd", , "ASK_SIZE", ".SPY160617P201")</f>
        <v>N/A</v>
      </c>
      <c r="N677" t="str">
        <f>RTD("tos.rtd", , "BID", ".SPY160617P201")</f>
        <v>N/A</v>
      </c>
      <c r="O677" t="str">
        <f>RTD("tos.rtd", , "BID_SIZE", ".SPY160617P201")</f>
        <v>N/A</v>
      </c>
      <c r="P677" t="str">
        <f>RTD("tos.rtd", , "VOLUME", ".SPY160617P201")</f>
        <v>N/A</v>
      </c>
      <c r="Q677" t="str">
        <f>RTD("tos.rtd", , "OPEN_INT", ".SPY160617P201")</f>
        <v>N/A</v>
      </c>
      <c r="R677" t="str">
        <f>RTD("tos.rtd", , "DELTA", ".SPY160617P201")</f>
        <v>N/A</v>
      </c>
      <c r="S677" t="str">
        <f>RTD("tos.rtd", , "THETA", ".SPY160617P201")</f>
        <v>N/A</v>
      </c>
      <c r="T677" t="str">
        <f>RTD("tos.rtd", , "GAMMA", ".SPY160617P201")</f>
        <v>N/A</v>
      </c>
      <c r="U677" t="str">
        <f>RTD("tos.rtd", , "VEGA", ".SPY160617P201")</f>
        <v>N/A</v>
      </c>
      <c r="V677" t="str">
        <f>RTD("tos.rtd", , "RHO", ".SPY160617P201")</f>
        <v>N/A</v>
      </c>
    </row>
    <row r="678" spans="1:22" x14ac:dyDescent="0.25">
      <c r="A678" t="str">
        <f>RTD("tos.rtd", , "ASK", ".SPY160617C201.5")</f>
        <v>N/A</v>
      </c>
      <c r="B678" t="str">
        <f>RTD("tos.rtd", , "ASK_SIZE", ".SPY160617C201.5")</f>
        <v>N/A</v>
      </c>
      <c r="C678" t="str">
        <f>RTD("tos.rtd", , "BID", ".SPY160617C201.5")</f>
        <v>N/A</v>
      </c>
      <c r="D678" t="str">
        <f>RTD("tos.rtd", , "BID_SIZE", ".SPY160617C201.5")</f>
        <v>N/A</v>
      </c>
      <c r="E678" t="str">
        <f>RTD("tos.rtd", , "VOLUME", ".SPY160617C201.5")</f>
        <v>N/A</v>
      </c>
      <c r="F678" t="str">
        <f>RTD("tos.rtd", , "OPEN_INT", ".SPY160617C201.5")</f>
        <v>N/A</v>
      </c>
      <c r="G678" t="str">
        <f>RTD("tos.rtd", , "DELTA", ".SPY160617C201.5")</f>
        <v>N/A</v>
      </c>
      <c r="H678" t="str">
        <f>RTD("tos.rtd", , "THETA", ".SPY160617C201.5")</f>
        <v>N/A</v>
      </c>
      <c r="I678" t="str">
        <f>RTD("tos.rtd", , "GAMMA", ".SPY160617C201.5")</f>
        <v>N/A</v>
      </c>
      <c r="J678" t="str">
        <f>RTD("tos.rtd", , "VEGA", ".SPY160617C201.5")</f>
        <v>N/A</v>
      </c>
      <c r="K678" t="str">
        <f>RTD("tos.rtd", , "RHO", ".SPY160617C201.5")</f>
        <v>N/A</v>
      </c>
      <c r="L678" t="str">
        <f>RTD("tos.rtd", , "ASK", ".SPY160617P201.5")</f>
        <v>N/A</v>
      </c>
      <c r="M678" t="str">
        <f>RTD("tos.rtd", , "ASK_SIZE", ".SPY160617P201.5")</f>
        <v>N/A</v>
      </c>
      <c r="N678" t="str">
        <f>RTD("tos.rtd", , "BID", ".SPY160617P201.5")</f>
        <v>N/A</v>
      </c>
      <c r="O678" t="str">
        <f>RTD("tos.rtd", , "BID_SIZE", ".SPY160617P201.5")</f>
        <v>N/A</v>
      </c>
      <c r="P678" t="str">
        <f>RTD("tos.rtd", , "VOLUME", ".SPY160617P201.5")</f>
        <v>N/A</v>
      </c>
      <c r="Q678" t="str">
        <f>RTD("tos.rtd", , "OPEN_INT", ".SPY160617P201.5")</f>
        <v>N/A</v>
      </c>
      <c r="R678" t="str">
        <f>RTD("tos.rtd", , "DELTA", ".SPY160617P201.5")</f>
        <v>N/A</v>
      </c>
      <c r="S678" t="str">
        <f>RTD("tos.rtd", , "THETA", ".SPY160617P201.5")</f>
        <v>N/A</v>
      </c>
      <c r="T678" t="str">
        <f>RTD("tos.rtd", , "GAMMA", ".SPY160617P201.5")</f>
        <v>N/A</v>
      </c>
      <c r="U678" t="str">
        <f>RTD("tos.rtd", , "VEGA", ".SPY160617P201.5")</f>
        <v>N/A</v>
      </c>
      <c r="V678" t="str">
        <f>RTD("tos.rtd", , "RHO", ".SPY160617P201.5")</f>
        <v>N/A</v>
      </c>
    </row>
    <row r="679" spans="1:22" x14ac:dyDescent="0.25">
      <c r="A679" t="str">
        <f>RTD("tos.rtd", , "ASK", ".SPY160617C202")</f>
        <v>N/A</v>
      </c>
      <c r="B679" t="str">
        <f>RTD("tos.rtd", , "ASK_SIZE", ".SPY160617C202")</f>
        <v>N/A</v>
      </c>
      <c r="C679" t="str">
        <f>RTD("tos.rtd", , "BID", ".SPY160617C202")</f>
        <v>N/A</v>
      </c>
      <c r="D679" t="str">
        <f>RTD("tos.rtd", , "BID_SIZE", ".SPY160617C202")</f>
        <v>N/A</v>
      </c>
      <c r="E679" t="str">
        <f>RTD("tos.rtd", , "VOLUME", ".SPY160617C202")</f>
        <v>N/A</v>
      </c>
      <c r="F679" t="str">
        <f>RTD("tos.rtd", , "OPEN_INT", ".SPY160617C202")</f>
        <v>N/A</v>
      </c>
      <c r="G679" t="str">
        <f>RTD("tos.rtd", , "DELTA", ".SPY160617C202")</f>
        <v>N/A</v>
      </c>
      <c r="H679" t="str">
        <f>RTD("tos.rtd", , "THETA", ".SPY160617C202")</f>
        <v>N/A</v>
      </c>
      <c r="I679" t="str">
        <f>RTD("tos.rtd", , "GAMMA", ".SPY160617C202")</f>
        <v>N/A</v>
      </c>
      <c r="J679" t="str">
        <f>RTD("tos.rtd", , "VEGA", ".SPY160617C202")</f>
        <v>N/A</v>
      </c>
      <c r="K679" t="str">
        <f>RTD("tos.rtd", , "RHO", ".SPY160617C202")</f>
        <v>N/A</v>
      </c>
      <c r="L679" t="str">
        <f>RTD("tos.rtd", , "ASK", ".SPY160617P202")</f>
        <v>N/A</v>
      </c>
      <c r="M679" t="str">
        <f>RTD("tos.rtd", , "ASK_SIZE", ".SPY160617P202")</f>
        <v>N/A</v>
      </c>
      <c r="N679" t="str">
        <f>RTD("tos.rtd", , "BID", ".SPY160617P202")</f>
        <v>N/A</v>
      </c>
      <c r="O679" t="str">
        <f>RTD("tos.rtd", , "BID_SIZE", ".SPY160617P202")</f>
        <v>N/A</v>
      </c>
      <c r="P679" t="str">
        <f>RTD("tos.rtd", , "VOLUME", ".SPY160617P202")</f>
        <v>N/A</v>
      </c>
      <c r="Q679" t="str">
        <f>RTD("tos.rtd", , "OPEN_INT", ".SPY160617P202")</f>
        <v>N/A</v>
      </c>
      <c r="R679" t="str">
        <f>RTD("tos.rtd", , "DELTA", ".SPY160617P202")</f>
        <v>N/A</v>
      </c>
      <c r="S679" t="str">
        <f>RTD("tos.rtd", , "THETA", ".SPY160617P202")</f>
        <v>N/A</v>
      </c>
      <c r="T679" t="str">
        <f>RTD("tos.rtd", , "GAMMA", ".SPY160617P202")</f>
        <v>N/A</v>
      </c>
      <c r="U679" t="str">
        <f>RTD("tos.rtd", , "VEGA", ".SPY160617P202")</f>
        <v>N/A</v>
      </c>
      <c r="V679" t="str">
        <f>RTD("tos.rtd", , "RHO", ".SPY160617P202")</f>
        <v>N/A</v>
      </c>
    </row>
    <row r="680" spans="1:22" x14ac:dyDescent="0.25">
      <c r="A680" t="str">
        <f>RTD("tos.rtd", , "ASK", ".SPY160617C202.5")</f>
        <v>N/A</v>
      </c>
      <c r="B680" t="str">
        <f>RTD("tos.rtd", , "ASK_SIZE", ".SPY160617C202.5")</f>
        <v>N/A</v>
      </c>
      <c r="C680" t="str">
        <f>RTD("tos.rtd", , "BID", ".SPY160617C202.5")</f>
        <v>N/A</v>
      </c>
      <c r="D680" t="str">
        <f>RTD("tos.rtd", , "BID_SIZE", ".SPY160617C202.5")</f>
        <v>N/A</v>
      </c>
      <c r="E680" t="str">
        <f>RTD("tos.rtd", , "VOLUME", ".SPY160617C202.5")</f>
        <v>N/A</v>
      </c>
      <c r="F680" t="str">
        <f>RTD("tos.rtd", , "OPEN_INT", ".SPY160617C202.5")</f>
        <v>N/A</v>
      </c>
      <c r="G680" t="str">
        <f>RTD("tos.rtd", , "DELTA", ".SPY160617C202.5")</f>
        <v>N/A</v>
      </c>
      <c r="H680" t="str">
        <f>RTD("tos.rtd", , "THETA", ".SPY160617C202.5")</f>
        <v>N/A</v>
      </c>
      <c r="I680" t="str">
        <f>RTD("tos.rtd", , "GAMMA", ".SPY160617C202.5")</f>
        <v>N/A</v>
      </c>
      <c r="J680" t="str">
        <f>RTD("tos.rtd", , "VEGA", ".SPY160617C202.5")</f>
        <v>N/A</v>
      </c>
      <c r="K680" t="str">
        <f>RTD("tos.rtd", , "RHO", ".SPY160617C202.5")</f>
        <v>N/A</v>
      </c>
      <c r="L680" t="str">
        <f>RTD("tos.rtd", , "ASK", ".SPY160617P202.5")</f>
        <v>N/A</v>
      </c>
      <c r="M680" t="str">
        <f>RTD("tos.rtd", , "ASK_SIZE", ".SPY160617P202.5")</f>
        <v>N/A</v>
      </c>
      <c r="N680" t="str">
        <f>RTD("tos.rtd", , "BID", ".SPY160617P202.5")</f>
        <v>N/A</v>
      </c>
      <c r="O680" t="str">
        <f>RTD("tos.rtd", , "BID_SIZE", ".SPY160617P202.5")</f>
        <v>N/A</v>
      </c>
      <c r="P680" t="str">
        <f>RTD("tos.rtd", , "VOLUME", ".SPY160617P202.5")</f>
        <v>N/A</v>
      </c>
      <c r="Q680" t="str">
        <f>RTD("tos.rtd", , "OPEN_INT", ".SPY160617P202.5")</f>
        <v>N/A</v>
      </c>
      <c r="R680" t="str">
        <f>RTD("tos.rtd", , "DELTA", ".SPY160617P202.5")</f>
        <v>N/A</v>
      </c>
      <c r="S680" t="str">
        <f>RTD("tos.rtd", , "THETA", ".SPY160617P202.5")</f>
        <v>N/A</v>
      </c>
      <c r="T680" t="str">
        <f>RTD("tos.rtd", , "GAMMA", ".SPY160617P202.5")</f>
        <v>N/A</v>
      </c>
      <c r="U680" t="str">
        <f>RTD("tos.rtd", , "VEGA", ".SPY160617P202.5")</f>
        <v>N/A</v>
      </c>
      <c r="V680" t="str">
        <f>RTD("tos.rtd", , "RHO", ".SPY160617P202.5")</f>
        <v>N/A</v>
      </c>
    </row>
    <row r="681" spans="1:22" x14ac:dyDescent="0.25">
      <c r="A681" t="str">
        <f>RTD("tos.rtd", , "ASK", ".SPY160617C203")</f>
        <v>N/A</v>
      </c>
      <c r="B681" t="str">
        <f>RTD("tos.rtd", , "ASK_SIZE", ".SPY160617C203")</f>
        <v>N/A</v>
      </c>
      <c r="C681" t="str">
        <f>RTD("tos.rtd", , "BID", ".SPY160617C203")</f>
        <v>N/A</v>
      </c>
      <c r="D681" t="str">
        <f>RTD("tos.rtd", , "BID_SIZE", ".SPY160617C203")</f>
        <v>N/A</v>
      </c>
      <c r="E681" t="str">
        <f>RTD("tos.rtd", , "VOLUME", ".SPY160617C203")</f>
        <v>N/A</v>
      </c>
      <c r="F681" t="str">
        <f>RTD("tos.rtd", , "OPEN_INT", ".SPY160617C203")</f>
        <v>N/A</v>
      </c>
      <c r="G681" t="str">
        <f>RTD("tos.rtd", , "DELTA", ".SPY160617C203")</f>
        <v>N/A</v>
      </c>
      <c r="H681" t="str">
        <f>RTD("tos.rtd", , "THETA", ".SPY160617C203")</f>
        <v>N/A</v>
      </c>
      <c r="I681" t="str">
        <f>RTD("tos.rtd", , "GAMMA", ".SPY160617C203")</f>
        <v>N/A</v>
      </c>
      <c r="J681" t="str">
        <f>RTD("tos.rtd", , "VEGA", ".SPY160617C203")</f>
        <v>N/A</v>
      </c>
      <c r="K681" t="str">
        <f>RTD("tos.rtd", , "RHO", ".SPY160617C203")</f>
        <v>N/A</v>
      </c>
      <c r="L681" t="str">
        <f>RTD("tos.rtd", , "ASK", ".SPY160617P203")</f>
        <v>N/A</v>
      </c>
      <c r="M681" t="str">
        <f>RTD("tos.rtd", , "ASK_SIZE", ".SPY160617P203")</f>
        <v>N/A</v>
      </c>
      <c r="N681" t="str">
        <f>RTD("tos.rtd", , "BID", ".SPY160617P203")</f>
        <v>N/A</v>
      </c>
      <c r="O681" t="str">
        <f>RTD("tos.rtd", , "BID_SIZE", ".SPY160617P203")</f>
        <v>N/A</v>
      </c>
      <c r="P681" t="str">
        <f>RTD("tos.rtd", , "VOLUME", ".SPY160617P203")</f>
        <v>N/A</v>
      </c>
      <c r="Q681" t="str">
        <f>RTD("tos.rtd", , "OPEN_INT", ".SPY160617P203")</f>
        <v>N/A</v>
      </c>
      <c r="R681" t="str">
        <f>RTD("tos.rtd", , "DELTA", ".SPY160617P203")</f>
        <v>N/A</v>
      </c>
      <c r="S681" t="str">
        <f>RTD("tos.rtd", , "THETA", ".SPY160617P203")</f>
        <v>N/A</v>
      </c>
      <c r="T681" t="str">
        <f>RTD("tos.rtd", , "GAMMA", ".SPY160617P203")</f>
        <v>N/A</v>
      </c>
      <c r="U681" t="str">
        <f>RTD("tos.rtd", , "VEGA", ".SPY160617P203")</f>
        <v>N/A</v>
      </c>
      <c r="V681" t="str">
        <f>RTD("tos.rtd", , "RHO", ".SPY160617P203")</f>
        <v>N/A</v>
      </c>
    </row>
    <row r="682" spans="1:22" x14ac:dyDescent="0.25">
      <c r="A682" t="str">
        <f>RTD("tos.rtd", , "ASK", ".SPY160617C203.5")</f>
        <v>N/A</v>
      </c>
      <c r="B682" t="str">
        <f>RTD("tos.rtd", , "ASK_SIZE", ".SPY160617C203.5")</f>
        <v>N/A</v>
      </c>
      <c r="C682" t="str">
        <f>RTD("tos.rtd", , "BID", ".SPY160617C203.5")</f>
        <v>N/A</v>
      </c>
      <c r="D682" t="str">
        <f>RTD("tos.rtd", , "BID_SIZE", ".SPY160617C203.5")</f>
        <v>N/A</v>
      </c>
      <c r="E682" t="str">
        <f>RTD("tos.rtd", , "VOLUME", ".SPY160617C203.5")</f>
        <v>N/A</v>
      </c>
      <c r="F682" t="str">
        <f>RTD("tos.rtd", , "OPEN_INT", ".SPY160617C203.5")</f>
        <v>N/A</v>
      </c>
      <c r="G682" t="str">
        <f>RTD("tos.rtd", , "DELTA", ".SPY160617C203.5")</f>
        <v>N/A</v>
      </c>
      <c r="H682" t="str">
        <f>RTD("tos.rtd", , "THETA", ".SPY160617C203.5")</f>
        <v>N/A</v>
      </c>
      <c r="I682" t="str">
        <f>RTD("tos.rtd", , "GAMMA", ".SPY160617C203.5")</f>
        <v>N/A</v>
      </c>
      <c r="J682" t="str">
        <f>RTD("tos.rtd", , "VEGA", ".SPY160617C203.5")</f>
        <v>N/A</v>
      </c>
      <c r="K682" t="str">
        <f>RTD("tos.rtd", , "RHO", ".SPY160617C203.5")</f>
        <v>N/A</v>
      </c>
      <c r="L682" t="str">
        <f>RTD("tos.rtd", , "ASK", ".SPY160617P203.5")</f>
        <v>N/A</v>
      </c>
      <c r="M682" t="str">
        <f>RTD("tos.rtd", , "ASK_SIZE", ".SPY160617P203.5")</f>
        <v>N/A</v>
      </c>
      <c r="N682" t="str">
        <f>RTD("tos.rtd", , "BID", ".SPY160617P203.5")</f>
        <v>N/A</v>
      </c>
      <c r="O682" t="str">
        <f>RTD("tos.rtd", , "BID_SIZE", ".SPY160617P203.5")</f>
        <v>N/A</v>
      </c>
      <c r="P682" t="str">
        <f>RTD("tos.rtd", , "VOLUME", ".SPY160617P203.5")</f>
        <v>N/A</v>
      </c>
      <c r="Q682" t="str">
        <f>RTD("tos.rtd", , "OPEN_INT", ".SPY160617P203.5")</f>
        <v>N/A</v>
      </c>
      <c r="R682" t="str">
        <f>RTD("tos.rtd", , "DELTA", ".SPY160617P203.5")</f>
        <v>N/A</v>
      </c>
      <c r="S682" t="str">
        <f>RTD("tos.rtd", , "THETA", ".SPY160617P203.5")</f>
        <v>N/A</v>
      </c>
      <c r="T682" t="str">
        <f>RTD("tos.rtd", , "GAMMA", ".SPY160617P203.5")</f>
        <v>N/A</v>
      </c>
      <c r="U682" t="str">
        <f>RTD("tos.rtd", , "VEGA", ".SPY160617P203.5")</f>
        <v>N/A</v>
      </c>
      <c r="V682" t="str">
        <f>RTD("tos.rtd", , "RHO", ".SPY160617P203.5")</f>
        <v>N/A</v>
      </c>
    </row>
    <row r="683" spans="1:22" x14ac:dyDescent="0.25">
      <c r="A683" t="str">
        <f>RTD("tos.rtd", , "ASK", ".SPY160617C204")</f>
        <v>N/A</v>
      </c>
      <c r="B683" t="str">
        <f>RTD("tos.rtd", , "ASK_SIZE", ".SPY160617C204")</f>
        <v>N/A</v>
      </c>
      <c r="C683" t="str">
        <f>RTD("tos.rtd", , "BID", ".SPY160617C204")</f>
        <v>N/A</v>
      </c>
      <c r="D683" t="str">
        <f>RTD("tos.rtd", , "BID_SIZE", ".SPY160617C204")</f>
        <v>N/A</v>
      </c>
      <c r="E683" t="str">
        <f>RTD("tos.rtd", , "VOLUME", ".SPY160617C204")</f>
        <v>N/A</v>
      </c>
      <c r="F683" t="str">
        <f>RTD("tos.rtd", , "OPEN_INT", ".SPY160617C204")</f>
        <v>N/A</v>
      </c>
      <c r="G683" t="str">
        <f>RTD("tos.rtd", , "DELTA", ".SPY160617C204")</f>
        <v>N/A</v>
      </c>
      <c r="H683" t="str">
        <f>RTD("tos.rtd", , "THETA", ".SPY160617C204")</f>
        <v>N/A</v>
      </c>
      <c r="I683" t="str">
        <f>RTD("tos.rtd", , "GAMMA", ".SPY160617C204")</f>
        <v>N/A</v>
      </c>
      <c r="J683" t="str">
        <f>RTD("tos.rtd", , "VEGA", ".SPY160617C204")</f>
        <v>N/A</v>
      </c>
      <c r="K683" t="str">
        <f>RTD("tos.rtd", , "RHO", ".SPY160617C204")</f>
        <v>N/A</v>
      </c>
      <c r="L683" t="str">
        <f>RTD("tos.rtd", , "ASK", ".SPY160617P204")</f>
        <v>N/A</v>
      </c>
      <c r="M683" t="str">
        <f>RTD("tos.rtd", , "ASK_SIZE", ".SPY160617P204")</f>
        <v>N/A</v>
      </c>
      <c r="N683" t="str">
        <f>RTD("tos.rtd", , "BID", ".SPY160617P204")</f>
        <v>N/A</v>
      </c>
      <c r="O683" t="str">
        <f>RTD("tos.rtd", , "BID_SIZE", ".SPY160617P204")</f>
        <v>N/A</v>
      </c>
      <c r="P683" t="str">
        <f>RTD("tos.rtd", , "VOLUME", ".SPY160617P204")</f>
        <v>N/A</v>
      </c>
      <c r="Q683" t="str">
        <f>RTD("tos.rtd", , "OPEN_INT", ".SPY160617P204")</f>
        <v>N/A</v>
      </c>
      <c r="R683" t="str">
        <f>RTD("tos.rtd", , "DELTA", ".SPY160617P204")</f>
        <v>N/A</v>
      </c>
      <c r="S683" t="str">
        <f>RTD("tos.rtd", , "THETA", ".SPY160617P204")</f>
        <v>N/A</v>
      </c>
      <c r="T683" t="str">
        <f>RTD("tos.rtd", , "GAMMA", ".SPY160617P204")</f>
        <v>N/A</v>
      </c>
      <c r="U683" t="str">
        <f>RTD("tos.rtd", , "VEGA", ".SPY160617P204")</f>
        <v>N/A</v>
      </c>
      <c r="V683" t="str">
        <f>RTD("tos.rtd", , "RHO", ".SPY160617P204")</f>
        <v>N/A</v>
      </c>
    </row>
    <row r="684" spans="1:22" x14ac:dyDescent="0.25">
      <c r="A684" t="str">
        <f>RTD("tos.rtd", , "ASK", ".SPY160617C204.5")</f>
        <v>N/A</v>
      </c>
      <c r="B684" t="str">
        <f>RTD("tos.rtd", , "ASK_SIZE", ".SPY160617C204.5")</f>
        <v>N/A</v>
      </c>
      <c r="C684" t="str">
        <f>RTD("tos.rtd", , "BID", ".SPY160617C204.5")</f>
        <v>N/A</v>
      </c>
      <c r="D684" t="str">
        <f>RTD("tos.rtd", , "BID_SIZE", ".SPY160617C204.5")</f>
        <v>N/A</v>
      </c>
      <c r="E684" t="str">
        <f>RTD("tos.rtd", , "VOLUME", ".SPY160617C204.5")</f>
        <v>N/A</v>
      </c>
      <c r="F684" t="str">
        <f>RTD("tos.rtd", , "OPEN_INT", ".SPY160617C204.5")</f>
        <v>N/A</v>
      </c>
      <c r="G684" t="str">
        <f>RTD("tos.rtd", , "DELTA", ".SPY160617C204.5")</f>
        <v>N/A</v>
      </c>
      <c r="H684" t="str">
        <f>RTD("tos.rtd", , "THETA", ".SPY160617C204.5")</f>
        <v>N/A</v>
      </c>
      <c r="I684" t="str">
        <f>RTD("tos.rtd", , "GAMMA", ".SPY160617C204.5")</f>
        <v>N/A</v>
      </c>
      <c r="J684" t="str">
        <f>RTD("tos.rtd", , "VEGA", ".SPY160617C204.5")</f>
        <v>N/A</v>
      </c>
      <c r="K684" t="str">
        <f>RTD("tos.rtd", , "RHO", ".SPY160617C204.5")</f>
        <v>N/A</v>
      </c>
      <c r="L684" t="str">
        <f>RTD("tos.rtd", , "ASK", ".SPY160617P204.5")</f>
        <v>N/A</v>
      </c>
      <c r="M684" t="str">
        <f>RTD("tos.rtd", , "ASK_SIZE", ".SPY160617P204.5")</f>
        <v>N/A</v>
      </c>
      <c r="N684" t="str">
        <f>RTD("tos.rtd", , "BID", ".SPY160617P204.5")</f>
        <v>N/A</v>
      </c>
      <c r="O684" t="str">
        <f>RTD("tos.rtd", , "BID_SIZE", ".SPY160617P204.5")</f>
        <v>N/A</v>
      </c>
      <c r="P684" t="str">
        <f>RTD("tos.rtd", , "VOLUME", ".SPY160617P204.5")</f>
        <v>N/A</v>
      </c>
      <c r="Q684" t="str">
        <f>RTD("tos.rtd", , "OPEN_INT", ".SPY160617P204.5")</f>
        <v>N/A</v>
      </c>
      <c r="R684" t="str">
        <f>RTD("tos.rtd", , "DELTA", ".SPY160617P204.5")</f>
        <v>N/A</v>
      </c>
      <c r="S684" t="str">
        <f>RTD("tos.rtd", , "THETA", ".SPY160617P204.5")</f>
        <v>N/A</v>
      </c>
      <c r="T684" t="str">
        <f>RTD("tos.rtd", , "GAMMA", ".SPY160617P204.5")</f>
        <v>N/A</v>
      </c>
      <c r="U684" t="str">
        <f>RTD("tos.rtd", , "VEGA", ".SPY160617P204.5")</f>
        <v>N/A</v>
      </c>
      <c r="V684" t="str">
        <f>RTD("tos.rtd", , "RHO", ".SPY160617P204.5")</f>
        <v>N/A</v>
      </c>
    </row>
    <row r="685" spans="1:22" x14ac:dyDescent="0.25">
      <c r="A685">
        <f>RTD("tos.rtd", , "ASK", ".SPY160617C205")</f>
        <v>17.350000000000001</v>
      </c>
      <c r="B685">
        <f>RTD("tos.rtd", , "ASK_SIZE", ".SPY160617C205")</f>
        <v>355</v>
      </c>
      <c r="C685">
        <f>RTD("tos.rtd", , "BID", ".SPY160617C205")</f>
        <v>16.97</v>
      </c>
      <c r="D685">
        <f>RTD("tos.rtd", , "BID_SIZE", ".SPY160617C205")</f>
        <v>178</v>
      </c>
      <c r="E685">
        <f>RTD("tos.rtd", , "VOLUME", ".SPY160617C205")</f>
        <v>12</v>
      </c>
      <c r="F685">
        <f>RTD("tos.rtd", , "OPEN_INT", ".SPY160617C205")</f>
        <v>6517</v>
      </c>
      <c r="G685">
        <f>RTD("tos.rtd", , "DELTA", ".SPY160617C205")</f>
        <v>0.57228999999999997</v>
      </c>
      <c r="H685">
        <f>RTD("tos.rtd", , "THETA", ".SPY160617C205")</f>
        <v>-1.4460000000000001E-2</v>
      </c>
      <c r="I685">
        <f>RTD("tos.rtd", , "GAMMA", ".SPY160617C205")</f>
        <v>1.048E-2</v>
      </c>
      <c r="J685">
        <f>RTD("tos.rtd", , "VEGA", ".SPY160617C205")</f>
        <v>0.85943999999999998</v>
      </c>
      <c r="K685">
        <f>RTD("tos.rtd", , "RHO", ".SPY160617C205")</f>
        <v>0.96147000000000005</v>
      </c>
      <c r="L685">
        <f>RTD("tos.rtd", , "ASK", ".SPY160617P205")</f>
        <v>13.85</v>
      </c>
      <c r="M685">
        <f>RTD("tos.rtd", , "ASK_SIZE", ".SPY160617P205")</f>
        <v>1787</v>
      </c>
      <c r="N685">
        <f>RTD("tos.rtd", , "BID", ".SPY160617P205")</f>
        <v>13.44</v>
      </c>
      <c r="O685">
        <f>RTD("tos.rtd", , "BID_SIZE", ".SPY160617P205")</f>
        <v>1731</v>
      </c>
      <c r="P685">
        <f>RTD("tos.rtd", , "VOLUME", ".SPY160617P205")</f>
        <v>1</v>
      </c>
      <c r="Q685">
        <f>RTD("tos.rtd", , "OPEN_INT", ".SPY160617P205")</f>
        <v>3270</v>
      </c>
      <c r="R685">
        <f>RTD("tos.rtd", , "DELTA", ".SPY160617P205")</f>
        <v>-0.42466999999999999</v>
      </c>
      <c r="S685">
        <f>RTD("tos.rtd", , "THETA", ".SPY160617P205")</f>
        <v>-2.181E-2</v>
      </c>
      <c r="T685">
        <f>RTD("tos.rtd", , "GAMMA", ".SPY160617P205")</f>
        <v>9.9500000000000005E-3</v>
      </c>
      <c r="U685">
        <f>RTD("tos.rtd", , "VEGA", ".SPY160617P205")</f>
        <v>0.86499999999999999</v>
      </c>
      <c r="V685">
        <f>RTD("tos.rtd", , "RHO", ".SPY160617P205")</f>
        <v>-1.1607099999999999</v>
      </c>
    </row>
    <row r="686" spans="1:22" x14ac:dyDescent="0.25">
      <c r="A686" t="str">
        <f>RTD("tos.rtd", , "ASK", ".SPY160617C205.5")</f>
        <v>N/A</v>
      </c>
      <c r="B686" t="str">
        <f>RTD("tos.rtd", , "ASK_SIZE", ".SPY160617C205.5")</f>
        <v>N/A</v>
      </c>
      <c r="C686" t="str">
        <f>RTD("tos.rtd", , "BID", ".SPY160617C205.5")</f>
        <v>N/A</v>
      </c>
      <c r="D686" t="str">
        <f>RTD("tos.rtd", , "BID_SIZE", ".SPY160617C205.5")</f>
        <v>N/A</v>
      </c>
      <c r="E686" t="str">
        <f>RTD("tos.rtd", , "VOLUME", ".SPY160617C205.5")</f>
        <v>N/A</v>
      </c>
      <c r="F686" t="str">
        <f>RTD("tos.rtd", , "OPEN_INT", ".SPY160617C205.5")</f>
        <v>N/A</v>
      </c>
      <c r="G686" t="str">
        <f>RTD("tos.rtd", , "DELTA", ".SPY160617C205.5")</f>
        <v>N/A</v>
      </c>
      <c r="H686" t="str">
        <f>RTD("tos.rtd", , "THETA", ".SPY160617C205.5")</f>
        <v>N/A</v>
      </c>
      <c r="I686" t="str">
        <f>RTD("tos.rtd", , "GAMMA", ".SPY160617C205.5")</f>
        <v>N/A</v>
      </c>
      <c r="J686" t="str">
        <f>RTD("tos.rtd", , "VEGA", ".SPY160617C205.5")</f>
        <v>N/A</v>
      </c>
      <c r="K686" t="str">
        <f>RTD("tos.rtd", , "RHO", ".SPY160617C205.5")</f>
        <v>N/A</v>
      </c>
      <c r="L686" t="str">
        <f>RTD("tos.rtd", , "ASK", ".SPY160617P205.5")</f>
        <v>N/A</v>
      </c>
      <c r="M686" t="str">
        <f>RTD("tos.rtd", , "ASK_SIZE", ".SPY160617P205.5")</f>
        <v>N/A</v>
      </c>
      <c r="N686" t="str">
        <f>RTD("tos.rtd", , "BID", ".SPY160617P205.5")</f>
        <v>N/A</v>
      </c>
      <c r="O686" t="str">
        <f>RTD("tos.rtd", , "BID_SIZE", ".SPY160617P205.5")</f>
        <v>N/A</v>
      </c>
      <c r="P686" t="str">
        <f>RTD("tos.rtd", , "VOLUME", ".SPY160617P205.5")</f>
        <v>N/A</v>
      </c>
      <c r="Q686" t="str">
        <f>RTD("tos.rtd", , "OPEN_INT", ".SPY160617P205.5")</f>
        <v>N/A</v>
      </c>
      <c r="R686" t="str">
        <f>RTD("tos.rtd", , "DELTA", ".SPY160617P205.5")</f>
        <v>N/A</v>
      </c>
      <c r="S686" t="str">
        <f>RTD("tos.rtd", , "THETA", ".SPY160617P205.5")</f>
        <v>N/A</v>
      </c>
      <c r="T686" t="str">
        <f>RTD("tos.rtd", , "GAMMA", ".SPY160617P205.5")</f>
        <v>N/A</v>
      </c>
      <c r="U686" t="str">
        <f>RTD("tos.rtd", , "VEGA", ".SPY160617P205.5")</f>
        <v>N/A</v>
      </c>
      <c r="V686" t="str">
        <f>RTD("tos.rtd", , "RHO", ".SPY160617P205.5")</f>
        <v>N/A</v>
      </c>
    </row>
    <row r="687" spans="1:22" x14ac:dyDescent="0.25">
      <c r="A687" t="str">
        <f>RTD("tos.rtd", , "ASK", ".SPY160617C206")</f>
        <v>N/A</v>
      </c>
      <c r="B687" t="str">
        <f>RTD("tos.rtd", , "ASK_SIZE", ".SPY160617C206")</f>
        <v>N/A</v>
      </c>
      <c r="C687" t="str">
        <f>RTD("tos.rtd", , "BID", ".SPY160617C206")</f>
        <v>N/A</v>
      </c>
      <c r="D687" t="str">
        <f>RTD("tos.rtd", , "BID_SIZE", ".SPY160617C206")</f>
        <v>N/A</v>
      </c>
      <c r="E687" t="str">
        <f>RTD("tos.rtd", , "VOLUME", ".SPY160617C206")</f>
        <v>N/A</v>
      </c>
      <c r="F687" t="str">
        <f>RTD("tos.rtd", , "OPEN_INT", ".SPY160617C206")</f>
        <v>N/A</v>
      </c>
      <c r="G687" t="str">
        <f>RTD("tos.rtd", , "DELTA", ".SPY160617C206")</f>
        <v>N/A</v>
      </c>
      <c r="H687" t="str">
        <f>RTD("tos.rtd", , "THETA", ".SPY160617C206")</f>
        <v>N/A</v>
      </c>
      <c r="I687" t="str">
        <f>RTD("tos.rtd", , "GAMMA", ".SPY160617C206")</f>
        <v>N/A</v>
      </c>
      <c r="J687" t="str">
        <f>RTD("tos.rtd", , "VEGA", ".SPY160617C206")</f>
        <v>N/A</v>
      </c>
      <c r="K687" t="str">
        <f>RTD("tos.rtd", , "RHO", ".SPY160617C206")</f>
        <v>N/A</v>
      </c>
      <c r="L687" t="str">
        <f>RTD("tos.rtd", , "ASK", ".SPY160617P206")</f>
        <v>N/A</v>
      </c>
      <c r="M687" t="str">
        <f>RTD("tos.rtd", , "ASK_SIZE", ".SPY160617P206")</f>
        <v>N/A</v>
      </c>
      <c r="N687" t="str">
        <f>RTD("tos.rtd", , "BID", ".SPY160617P206")</f>
        <v>N/A</v>
      </c>
      <c r="O687" t="str">
        <f>RTD("tos.rtd", , "BID_SIZE", ".SPY160617P206")</f>
        <v>N/A</v>
      </c>
      <c r="P687" t="str">
        <f>RTD("tos.rtd", , "VOLUME", ".SPY160617P206")</f>
        <v>N/A</v>
      </c>
      <c r="Q687" t="str">
        <f>RTD("tos.rtd", , "OPEN_INT", ".SPY160617P206")</f>
        <v>N/A</v>
      </c>
      <c r="R687" t="str">
        <f>RTD("tos.rtd", , "DELTA", ".SPY160617P206")</f>
        <v>N/A</v>
      </c>
      <c r="S687" t="str">
        <f>RTD("tos.rtd", , "THETA", ".SPY160617P206")</f>
        <v>N/A</v>
      </c>
      <c r="T687" t="str">
        <f>RTD("tos.rtd", , "GAMMA", ".SPY160617P206")</f>
        <v>N/A</v>
      </c>
      <c r="U687" t="str">
        <f>RTD("tos.rtd", , "VEGA", ".SPY160617P206")</f>
        <v>N/A</v>
      </c>
      <c r="V687" t="str">
        <f>RTD("tos.rtd", , "RHO", ".SPY160617P206")</f>
        <v>N/A</v>
      </c>
    </row>
    <row r="688" spans="1:22" x14ac:dyDescent="0.25">
      <c r="A688" t="str">
        <f>RTD("tos.rtd", , "ASK", ".SPY160617C206.5")</f>
        <v>N/A</v>
      </c>
      <c r="B688" t="str">
        <f>RTD("tos.rtd", , "ASK_SIZE", ".SPY160617C206.5")</f>
        <v>N/A</v>
      </c>
      <c r="C688" t="str">
        <f>RTD("tos.rtd", , "BID", ".SPY160617C206.5")</f>
        <v>N/A</v>
      </c>
      <c r="D688" t="str">
        <f>RTD("tos.rtd", , "BID_SIZE", ".SPY160617C206.5")</f>
        <v>N/A</v>
      </c>
      <c r="E688" t="str">
        <f>RTD("tos.rtd", , "VOLUME", ".SPY160617C206.5")</f>
        <v>N/A</v>
      </c>
      <c r="F688" t="str">
        <f>RTD("tos.rtd", , "OPEN_INT", ".SPY160617C206.5")</f>
        <v>N/A</v>
      </c>
      <c r="G688" t="str">
        <f>RTD("tos.rtd", , "DELTA", ".SPY160617C206.5")</f>
        <v>N/A</v>
      </c>
      <c r="H688" t="str">
        <f>RTD("tos.rtd", , "THETA", ".SPY160617C206.5")</f>
        <v>N/A</v>
      </c>
      <c r="I688" t="str">
        <f>RTD("tos.rtd", , "GAMMA", ".SPY160617C206.5")</f>
        <v>N/A</v>
      </c>
      <c r="J688" t="str">
        <f>RTD("tos.rtd", , "VEGA", ".SPY160617C206.5")</f>
        <v>N/A</v>
      </c>
      <c r="K688" t="str">
        <f>RTD("tos.rtd", , "RHO", ".SPY160617C206.5")</f>
        <v>N/A</v>
      </c>
      <c r="L688" t="str">
        <f>RTD("tos.rtd", , "ASK", ".SPY160617P206.5")</f>
        <v>N/A</v>
      </c>
      <c r="M688" t="str">
        <f>RTD("tos.rtd", , "ASK_SIZE", ".SPY160617P206.5")</f>
        <v>N/A</v>
      </c>
      <c r="N688" t="str">
        <f>RTD("tos.rtd", , "BID", ".SPY160617P206.5")</f>
        <v>N/A</v>
      </c>
      <c r="O688" t="str">
        <f>RTD("tos.rtd", , "BID_SIZE", ".SPY160617P206.5")</f>
        <v>N/A</v>
      </c>
      <c r="P688" t="str">
        <f>RTD("tos.rtd", , "VOLUME", ".SPY160617P206.5")</f>
        <v>N/A</v>
      </c>
      <c r="Q688" t="str">
        <f>RTD("tos.rtd", , "OPEN_INT", ".SPY160617P206.5")</f>
        <v>N/A</v>
      </c>
      <c r="R688" t="str">
        <f>RTD("tos.rtd", , "DELTA", ".SPY160617P206.5")</f>
        <v>N/A</v>
      </c>
      <c r="S688" t="str">
        <f>RTD("tos.rtd", , "THETA", ".SPY160617P206.5")</f>
        <v>N/A</v>
      </c>
      <c r="T688" t="str">
        <f>RTD("tos.rtd", , "GAMMA", ".SPY160617P206.5")</f>
        <v>N/A</v>
      </c>
      <c r="U688" t="str">
        <f>RTD("tos.rtd", , "VEGA", ".SPY160617P206.5")</f>
        <v>N/A</v>
      </c>
      <c r="V688" t="str">
        <f>RTD("tos.rtd", , "RHO", ".SPY160617P206.5")</f>
        <v>N/A</v>
      </c>
    </row>
    <row r="689" spans="1:22" x14ac:dyDescent="0.25">
      <c r="A689" t="str">
        <f>RTD("tos.rtd", , "ASK", ".SPY160617C207")</f>
        <v>N/A</v>
      </c>
      <c r="B689" t="str">
        <f>RTD("tos.rtd", , "ASK_SIZE", ".SPY160617C207")</f>
        <v>N/A</v>
      </c>
      <c r="C689" t="str">
        <f>RTD("tos.rtd", , "BID", ".SPY160617C207")</f>
        <v>N/A</v>
      </c>
      <c r="D689" t="str">
        <f>RTD("tos.rtd", , "BID_SIZE", ".SPY160617C207")</f>
        <v>N/A</v>
      </c>
      <c r="E689" t="str">
        <f>RTD("tos.rtd", , "VOLUME", ".SPY160617C207")</f>
        <v>N/A</v>
      </c>
      <c r="F689" t="str">
        <f>RTD("tos.rtd", , "OPEN_INT", ".SPY160617C207")</f>
        <v>N/A</v>
      </c>
      <c r="G689" t="str">
        <f>RTD("tos.rtd", , "DELTA", ".SPY160617C207")</f>
        <v>N/A</v>
      </c>
      <c r="H689" t="str">
        <f>RTD("tos.rtd", , "THETA", ".SPY160617C207")</f>
        <v>N/A</v>
      </c>
      <c r="I689" t="str">
        <f>RTD("tos.rtd", , "GAMMA", ".SPY160617C207")</f>
        <v>N/A</v>
      </c>
      <c r="J689" t="str">
        <f>RTD("tos.rtd", , "VEGA", ".SPY160617C207")</f>
        <v>N/A</v>
      </c>
      <c r="K689" t="str">
        <f>RTD("tos.rtd", , "RHO", ".SPY160617C207")</f>
        <v>N/A</v>
      </c>
      <c r="L689" t="str">
        <f>RTD("tos.rtd", , "ASK", ".SPY160617P207")</f>
        <v>N/A</v>
      </c>
      <c r="M689" t="str">
        <f>RTD("tos.rtd", , "ASK_SIZE", ".SPY160617P207")</f>
        <v>N/A</v>
      </c>
      <c r="N689" t="str">
        <f>RTD("tos.rtd", , "BID", ".SPY160617P207")</f>
        <v>N/A</v>
      </c>
      <c r="O689" t="str">
        <f>RTD("tos.rtd", , "BID_SIZE", ".SPY160617P207")</f>
        <v>N/A</v>
      </c>
      <c r="P689" t="str">
        <f>RTD("tos.rtd", , "VOLUME", ".SPY160617P207")</f>
        <v>N/A</v>
      </c>
      <c r="Q689" t="str">
        <f>RTD("tos.rtd", , "OPEN_INT", ".SPY160617P207")</f>
        <v>N/A</v>
      </c>
      <c r="R689" t="str">
        <f>RTD("tos.rtd", , "DELTA", ".SPY160617P207")</f>
        <v>N/A</v>
      </c>
      <c r="S689" t="str">
        <f>RTD("tos.rtd", , "THETA", ".SPY160617P207")</f>
        <v>N/A</v>
      </c>
      <c r="T689" t="str">
        <f>RTD("tos.rtd", , "GAMMA", ".SPY160617P207")</f>
        <v>N/A</v>
      </c>
      <c r="U689" t="str">
        <f>RTD("tos.rtd", , "VEGA", ".SPY160617P207")</f>
        <v>N/A</v>
      </c>
      <c r="V689" t="str">
        <f>RTD("tos.rtd", , "RHO", ".SPY160617P207")</f>
        <v>N/A</v>
      </c>
    </row>
    <row r="690" spans="1:22" x14ac:dyDescent="0.25">
      <c r="A690" t="str">
        <f>RTD("tos.rtd", , "ASK", ".SPY160617C207.5")</f>
        <v>N/A</v>
      </c>
      <c r="B690" t="str">
        <f>RTD("tos.rtd", , "ASK_SIZE", ".SPY160617C207.5")</f>
        <v>N/A</v>
      </c>
      <c r="C690" t="str">
        <f>RTD("tos.rtd", , "BID", ".SPY160617C207.5")</f>
        <v>N/A</v>
      </c>
      <c r="D690" t="str">
        <f>RTD("tos.rtd", , "BID_SIZE", ".SPY160617C207.5")</f>
        <v>N/A</v>
      </c>
      <c r="E690" t="str">
        <f>RTD("tos.rtd", , "VOLUME", ".SPY160617C207.5")</f>
        <v>N/A</v>
      </c>
      <c r="F690" t="str">
        <f>RTD("tos.rtd", , "OPEN_INT", ".SPY160617C207.5")</f>
        <v>N/A</v>
      </c>
      <c r="G690" t="str">
        <f>RTD("tos.rtd", , "DELTA", ".SPY160617C207.5")</f>
        <v>N/A</v>
      </c>
      <c r="H690" t="str">
        <f>RTD("tos.rtd", , "THETA", ".SPY160617C207.5")</f>
        <v>N/A</v>
      </c>
      <c r="I690" t="str">
        <f>RTD("tos.rtd", , "GAMMA", ".SPY160617C207.5")</f>
        <v>N/A</v>
      </c>
      <c r="J690" t="str">
        <f>RTD("tos.rtd", , "VEGA", ".SPY160617C207.5")</f>
        <v>N/A</v>
      </c>
      <c r="K690" t="str">
        <f>RTD("tos.rtd", , "RHO", ".SPY160617C207.5")</f>
        <v>N/A</v>
      </c>
      <c r="L690" t="str">
        <f>RTD("tos.rtd", , "ASK", ".SPY160617P207.5")</f>
        <v>N/A</v>
      </c>
      <c r="M690" t="str">
        <f>RTD("tos.rtd", , "ASK_SIZE", ".SPY160617P207.5")</f>
        <v>N/A</v>
      </c>
      <c r="N690" t="str">
        <f>RTD("tos.rtd", , "BID", ".SPY160617P207.5")</f>
        <v>N/A</v>
      </c>
      <c r="O690" t="str">
        <f>RTD("tos.rtd", , "BID_SIZE", ".SPY160617P207.5")</f>
        <v>N/A</v>
      </c>
      <c r="P690" t="str">
        <f>RTD("tos.rtd", , "VOLUME", ".SPY160617P207.5")</f>
        <v>N/A</v>
      </c>
      <c r="Q690" t="str">
        <f>RTD("tos.rtd", , "OPEN_INT", ".SPY160617P207.5")</f>
        <v>N/A</v>
      </c>
      <c r="R690" t="str">
        <f>RTD("tos.rtd", , "DELTA", ".SPY160617P207.5")</f>
        <v>N/A</v>
      </c>
      <c r="S690" t="str">
        <f>RTD("tos.rtd", , "THETA", ".SPY160617P207.5")</f>
        <v>N/A</v>
      </c>
      <c r="T690" t="str">
        <f>RTD("tos.rtd", , "GAMMA", ".SPY160617P207.5")</f>
        <v>N/A</v>
      </c>
      <c r="U690" t="str">
        <f>RTD("tos.rtd", , "VEGA", ".SPY160617P207.5")</f>
        <v>N/A</v>
      </c>
      <c r="V690" t="str">
        <f>RTD("tos.rtd", , "RHO", ".SPY160617P207.5")</f>
        <v>N/A</v>
      </c>
    </row>
    <row r="691" spans="1:22" x14ac:dyDescent="0.25">
      <c r="A691" t="str">
        <f>RTD("tos.rtd", , "ASK", ".SPY160617C208")</f>
        <v>N/A</v>
      </c>
      <c r="B691" t="str">
        <f>RTD("tos.rtd", , "ASK_SIZE", ".SPY160617C208")</f>
        <v>N/A</v>
      </c>
      <c r="C691" t="str">
        <f>RTD("tos.rtd", , "BID", ".SPY160617C208")</f>
        <v>N/A</v>
      </c>
      <c r="D691" t="str">
        <f>RTD("tos.rtd", , "BID_SIZE", ".SPY160617C208")</f>
        <v>N/A</v>
      </c>
      <c r="E691" t="str">
        <f>RTD("tos.rtd", , "VOLUME", ".SPY160617C208")</f>
        <v>N/A</v>
      </c>
      <c r="F691" t="str">
        <f>RTD("tos.rtd", , "OPEN_INT", ".SPY160617C208")</f>
        <v>N/A</v>
      </c>
      <c r="G691" t="str">
        <f>RTD("tos.rtd", , "DELTA", ".SPY160617C208")</f>
        <v>N/A</v>
      </c>
      <c r="H691" t="str">
        <f>RTD("tos.rtd", , "THETA", ".SPY160617C208")</f>
        <v>N/A</v>
      </c>
      <c r="I691" t="str">
        <f>RTD("tos.rtd", , "GAMMA", ".SPY160617C208")</f>
        <v>N/A</v>
      </c>
      <c r="J691" t="str">
        <f>RTD("tos.rtd", , "VEGA", ".SPY160617C208")</f>
        <v>N/A</v>
      </c>
      <c r="K691" t="str">
        <f>RTD("tos.rtd", , "RHO", ".SPY160617C208")</f>
        <v>N/A</v>
      </c>
      <c r="L691" t="str">
        <f>RTD("tos.rtd", , "ASK", ".SPY160617P208")</f>
        <v>N/A</v>
      </c>
      <c r="M691" t="str">
        <f>RTD("tos.rtd", , "ASK_SIZE", ".SPY160617P208")</f>
        <v>N/A</v>
      </c>
      <c r="N691" t="str">
        <f>RTD("tos.rtd", , "BID", ".SPY160617P208")</f>
        <v>N/A</v>
      </c>
      <c r="O691" t="str">
        <f>RTD("tos.rtd", , "BID_SIZE", ".SPY160617P208")</f>
        <v>N/A</v>
      </c>
      <c r="P691" t="str">
        <f>RTD("tos.rtd", , "VOLUME", ".SPY160617P208")</f>
        <v>N/A</v>
      </c>
      <c r="Q691" t="str">
        <f>RTD("tos.rtd", , "OPEN_INT", ".SPY160617P208")</f>
        <v>N/A</v>
      </c>
      <c r="R691" t="str">
        <f>RTD("tos.rtd", , "DELTA", ".SPY160617P208")</f>
        <v>N/A</v>
      </c>
      <c r="S691" t="str">
        <f>RTD("tos.rtd", , "THETA", ".SPY160617P208")</f>
        <v>N/A</v>
      </c>
      <c r="T691" t="str">
        <f>RTD("tos.rtd", , "GAMMA", ".SPY160617P208")</f>
        <v>N/A</v>
      </c>
      <c r="U691" t="str">
        <f>RTD("tos.rtd", , "VEGA", ".SPY160617P208")</f>
        <v>N/A</v>
      </c>
      <c r="V691" t="str">
        <f>RTD("tos.rtd", , "RHO", ".SPY160617P208")</f>
        <v>N/A</v>
      </c>
    </row>
    <row r="692" spans="1:22" x14ac:dyDescent="0.25">
      <c r="A692" t="str">
        <f>RTD("tos.rtd", , "ASK", ".SPY160617C208.5")</f>
        <v>N/A</v>
      </c>
      <c r="B692" t="str">
        <f>RTD("tos.rtd", , "ASK_SIZE", ".SPY160617C208.5")</f>
        <v>N/A</v>
      </c>
      <c r="C692" t="str">
        <f>RTD("tos.rtd", , "BID", ".SPY160617C208.5")</f>
        <v>N/A</v>
      </c>
      <c r="D692" t="str">
        <f>RTD("tos.rtd", , "BID_SIZE", ".SPY160617C208.5")</f>
        <v>N/A</v>
      </c>
      <c r="E692" t="str">
        <f>RTD("tos.rtd", , "VOLUME", ".SPY160617C208.5")</f>
        <v>N/A</v>
      </c>
      <c r="F692" t="str">
        <f>RTD("tos.rtd", , "OPEN_INT", ".SPY160617C208.5")</f>
        <v>N/A</v>
      </c>
      <c r="G692" t="str">
        <f>RTD("tos.rtd", , "DELTA", ".SPY160617C208.5")</f>
        <v>N/A</v>
      </c>
      <c r="H692" t="str">
        <f>RTD("tos.rtd", , "THETA", ".SPY160617C208.5")</f>
        <v>N/A</v>
      </c>
      <c r="I692" t="str">
        <f>RTD("tos.rtd", , "GAMMA", ".SPY160617C208.5")</f>
        <v>N/A</v>
      </c>
      <c r="J692" t="str">
        <f>RTD("tos.rtd", , "VEGA", ".SPY160617C208.5")</f>
        <v>N/A</v>
      </c>
      <c r="K692" t="str">
        <f>RTD("tos.rtd", , "RHO", ".SPY160617C208.5")</f>
        <v>N/A</v>
      </c>
      <c r="L692" t="str">
        <f>RTD("tos.rtd", , "ASK", ".SPY160617P208.5")</f>
        <v>N/A</v>
      </c>
      <c r="M692" t="str">
        <f>RTD("tos.rtd", , "ASK_SIZE", ".SPY160617P208.5")</f>
        <v>N/A</v>
      </c>
      <c r="N692" t="str">
        <f>RTD("tos.rtd", , "BID", ".SPY160617P208.5")</f>
        <v>N/A</v>
      </c>
      <c r="O692" t="str">
        <f>RTD("tos.rtd", , "BID_SIZE", ".SPY160617P208.5")</f>
        <v>N/A</v>
      </c>
      <c r="P692" t="str">
        <f>RTD("tos.rtd", , "VOLUME", ".SPY160617P208.5")</f>
        <v>N/A</v>
      </c>
      <c r="Q692" t="str">
        <f>RTD("tos.rtd", , "OPEN_INT", ".SPY160617P208.5")</f>
        <v>N/A</v>
      </c>
      <c r="R692" t="str">
        <f>RTD("tos.rtd", , "DELTA", ".SPY160617P208.5")</f>
        <v>N/A</v>
      </c>
      <c r="S692" t="str">
        <f>RTD("tos.rtd", , "THETA", ".SPY160617P208.5")</f>
        <v>N/A</v>
      </c>
      <c r="T692" t="str">
        <f>RTD("tos.rtd", , "GAMMA", ".SPY160617P208.5")</f>
        <v>N/A</v>
      </c>
      <c r="U692" t="str">
        <f>RTD("tos.rtd", , "VEGA", ".SPY160617P208.5")</f>
        <v>N/A</v>
      </c>
      <c r="V692" t="str">
        <f>RTD("tos.rtd", , "RHO", ".SPY160617P208.5")</f>
        <v>N/A</v>
      </c>
    </row>
    <row r="693" spans="1:22" x14ac:dyDescent="0.25">
      <c r="A693" t="str">
        <f>RTD("tos.rtd", , "ASK", ".SPY160617C209")</f>
        <v>N/A</v>
      </c>
      <c r="B693" t="str">
        <f>RTD("tos.rtd", , "ASK_SIZE", ".SPY160617C209")</f>
        <v>N/A</v>
      </c>
      <c r="C693" t="str">
        <f>RTD("tos.rtd", , "BID", ".SPY160617C209")</f>
        <v>N/A</v>
      </c>
      <c r="D693" t="str">
        <f>RTD("tos.rtd", , "BID_SIZE", ".SPY160617C209")</f>
        <v>N/A</v>
      </c>
      <c r="E693" t="str">
        <f>RTD("tos.rtd", , "VOLUME", ".SPY160617C209")</f>
        <v>N/A</v>
      </c>
      <c r="F693" t="str">
        <f>RTD("tos.rtd", , "OPEN_INT", ".SPY160617C209")</f>
        <v>N/A</v>
      </c>
      <c r="G693" t="str">
        <f>RTD("tos.rtd", , "DELTA", ".SPY160617C209")</f>
        <v>N/A</v>
      </c>
      <c r="H693" t="str">
        <f>RTD("tos.rtd", , "THETA", ".SPY160617C209")</f>
        <v>N/A</v>
      </c>
      <c r="I693" t="str">
        <f>RTD("tos.rtd", , "GAMMA", ".SPY160617C209")</f>
        <v>N/A</v>
      </c>
      <c r="J693" t="str">
        <f>RTD("tos.rtd", , "VEGA", ".SPY160617C209")</f>
        <v>N/A</v>
      </c>
      <c r="K693" t="str">
        <f>RTD("tos.rtd", , "RHO", ".SPY160617C209")</f>
        <v>N/A</v>
      </c>
      <c r="L693" t="str">
        <f>RTD("tos.rtd", , "ASK", ".SPY160617P209")</f>
        <v>N/A</v>
      </c>
      <c r="M693" t="str">
        <f>RTD("tos.rtd", , "ASK_SIZE", ".SPY160617P209")</f>
        <v>N/A</v>
      </c>
      <c r="N693" t="str">
        <f>RTD("tos.rtd", , "BID", ".SPY160617P209")</f>
        <v>N/A</v>
      </c>
      <c r="O693" t="str">
        <f>RTD("tos.rtd", , "BID_SIZE", ".SPY160617P209")</f>
        <v>N/A</v>
      </c>
      <c r="P693" t="str">
        <f>RTD("tos.rtd", , "VOLUME", ".SPY160617P209")</f>
        <v>N/A</v>
      </c>
      <c r="Q693" t="str">
        <f>RTD("tos.rtd", , "OPEN_INT", ".SPY160617P209")</f>
        <v>N/A</v>
      </c>
      <c r="R693" t="str">
        <f>RTD("tos.rtd", , "DELTA", ".SPY160617P209")</f>
        <v>N/A</v>
      </c>
      <c r="S693" t="str">
        <f>RTD("tos.rtd", , "THETA", ".SPY160617P209")</f>
        <v>N/A</v>
      </c>
      <c r="T693" t="str">
        <f>RTD("tos.rtd", , "GAMMA", ".SPY160617P209")</f>
        <v>N/A</v>
      </c>
      <c r="U693" t="str">
        <f>RTD("tos.rtd", , "VEGA", ".SPY160617P209")</f>
        <v>N/A</v>
      </c>
      <c r="V693" t="str">
        <f>RTD("tos.rtd", , "RHO", ".SPY160617P209")</f>
        <v>N/A</v>
      </c>
    </row>
    <row r="694" spans="1:22" x14ac:dyDescent="0.25">
      <c r="A694" t="str">
        <f>RTD("tos.rtd", , "ASK", ".SPY160617C209.5")</f>
        <v>N/A</v>
      </c>
      <c r="B694" t="str">
        <f>RTD("tos.rtd", , "ASK_SIZE", ".SPY160617C209.5")</f>
        <v>N/A</v>
      </c>
      <c r="C694" t="str">
        <f>RTD("tos.rtd", , "BID", ".SPY160617C209.5")</f>
        <v>N/A</v>
      </c>
      <c r="D694" t="str">
        <f>RTD("tos.rtd", , "BID_SIZE", ".SPY160617C209.5")</f>
        <v>N/A</v>
      </c>
      <c r="E694" t="str">
        <f>RTD("tos.rtd", , "VOLUME", ".SPY160617C209.5")</f>
        <v>N/A</v>
      </c>
      <c r="F694" t="str">
        <f>RTD("tos.rtd", , "OPEN_INT", ".SPY160617C209.5")</f>
        <v>N/A</v>
      </c>
      <c r="G694" t="str">
        <f>RTD("tos.rtd", , "DELTA", ".SPY160617C209.5")</f>
        <v>N/A</v>
      </c>
      <c r="H694" t="str">
        <f>RTD("tos.rtd", , "THETA", ".SPY160617C209.5")</f>
        <v>N/A</v>
      </c>
      <c r="I694" t="str">
        <f>RTD("tos.rtd", , "GAMMA", ".SPY160617C209.5")</f>
        <v>N/A</v>
      </c>
      <c r="J694" t="str">
        <f>RTD("tos.rtd", , "VEGA", ".SPY160617C209.5")</f>
        <v>N/A</v>
      </c>
      <c r="K694" t="str">
        <f>RTD("tos.rtd", , "RHO", ".SPY160617C209.5")</f>
        <v>N/A</v>
      </c>
      <c r="L694" t="str">
        <f>RTD("tos.rtd", , "ASK", ".SPY160617P209.5")</f>
        <v>N/A</v>
      </c>
      <c r="M694" t="str">
        <f>RTD("tos.rtd", , "ASK_SIZE", ".SPY160617P209.5")</f>
        <v>N/A</v>
      </c>
      <c r="N694" t="str">
        <f>RTD("tos.rtd", , "BID", ".SPY160617P209.5")</f>
        <v>N/A</v>
      </c>
      <c r="O694" t="str">
        <f>RTD("tos.rtd", , "BID_SIZE", ".SPY160617P209.5")</f>
        <v>N/A</v>
      </c>
      <c r="P694" t="str">
        <f>RTD("tos.rtd", , "VOLUME", ".SPY160617P209.5")</f>
        <v>N/A</v>
      </c>
      <c r="Q694" t="str">
        <f>RTD("tos.rtd", , "OPEN_INT", ".SPY160617P209.5")</f>
        <v>N/A</v>
      </c>
      <c r="R694" t="str">
        <f>RTD("tos.rtd", , "DELTA", ".SPY160617P209.5")</f>
        <v>N/A</v>
      </c>
      <c r="S694" t="str">
        <f>RTD("tos.rtd", , "THETA", ".SPY160617P209.5")</f>
        <v>N/A</v>
      </c>
      <c r="T694" t="str">
        <f>RTD("tos.rtd", , "GAMMA", ".SPY160617P209.5")</f>
        <v>N/A</v>
      </c>
      <c r="U694" t="str">
        <f>RTD("tos.rtd", , "VEGA", ".SPY160617P209.5")</f>
        <v>N/A</v>
      </c>
      <c r="V694" t="str">
        <f>RTD("tos.rtd", , "RHO", ".SPY160617P209.5")</f>
        <v>N/A</v>
      </c>
    </row>
    <row r="695" spans="1:22" x14ac:dyDescent="0.25">
      <c r="A695">
        <f>RTD("tos.rtd", , "ASK", ".SPY160617C210")</f>
        <v>14.26</v>
      </c>
      <c r="B695">
        <f>RTD("tos.rtd", , "ASK_SIZE", ".SPY160617C210")</f>
        <v>1791</v>
      </c>
      <c r="C695">
        <f>RTD("tos.rtd", , "BID", ".SPY160617C210")</f>
        <v>14</v>
      </c>
      <c r="D695">
        <f>RTD("tos.rtd", , "BID_SIZE", ".SPY160617C210")</f>
        <v>14</v>
      </c>
      <c r="E695">
        <f>RTD("tos.rtd", , "VOLUME", ".SPY160617C210")</f>
        <v>2</v>
      </c>
      <c r="F695">
        <f>RTD("tos.rtd", , "OPEN_INT", ".SPY160617C210")</f>
        <v>4766</v>
      </c>
      <c r="G695">
        <f>RTD("tos.rtd", , "DELTA", ".SPY160617C210")</f>
        <v>0.51700000000000002</v>
      </c>
      <c r="H695">
        <f>RTD("tos.rtd", , "THETA", ".SPY160617C210")</f>
        <v>-1.43E-2</v>
      </c>
      <c r="I695">
        <f>RTD("tos.rtd", , "GAMMA", ".SPY160617C210")</f>
        <v>1.0970000000000001E-2</v>
      </c>
      <c r="J695">
        <f>RTD("tos.rtd", , "VEGA", ".SPY160617C210")</f>
        <v>0.87575999999999998</v>
      </c>
      <c r="K695">
        <f>RTD("tos.rtd", , "RHO", ".SPY160617C210")</f>
        <v>0.91076000000000001</v>
      </c>
      <c r="L695">
        <f>RTD("tos.rtd", , "ASK", ".SPY160617P210")</f>
        <v>15.93</v>
      </c>
      <c r="M695">
        <f>RTD("tos.rtd", , "ASK_SIZE", ".SPY160617P210")</f>
        <v>2033</v>
      </c>
      <c r="N695">
        <f>RTD("tos.rtd", , "BID", ".SPY160617P210")</f>
        <v>15.42</v>
      </c>
      <c r="O695">
        <f>RTD("tos.rtd", , "BID_SIZE", ".SPY160617P210")</f>
        <v>1707</v>
      </c>
      <c r="P695">
        <f>RTD("tos.rtd", , "VOLUME", ".SPY160617P210")</f>
        <v>1</v>
      </c>
      <c r="Q695">
        <f>RTD("tos.rtd", , "OPEN_INT", ".SPY160617P210")</f>
        <v>3385</v>
      </c>
      <c r="R695">
        <f>RTD("tos.rtd", , "DELTA", ".SPY160617P210")</f>
        <v>-0.47817999999999999</v>
      </c>
      <c r="S695">
        <f>RTD("tos.rtd", , "THETA", ".SPY160617P210")</f>
        <v>-2.1749999999999999E-2</v>
      </c>
      <c r="T695">
        <f>RTD("tos.rtd", , "GAMMA", ".SPY160617P210")</f>
        <v>1.052E-2</v>
      </c>
      <c r="U695">
        <f>RTD("tos.rtd", , "VEGA", ".SPY160617P210")</f>
        <v>0.87690000000000001</v>
      </c>
      <c r="V695">
        <f>RTD("tos.rtd", , "RHO", ".SPY160617P210")</f>
        <v>-1.31064</v>
      </c>
    </row>
    <row r="696" spans="1:22" x14ac:dyDescent="0.25">
      <c r="A696" t="str">
        <f>RTD("tos.rtd", , "ASK", ".SPY160617C210.5")</f>
        <v>N/A</v>
      </c>
      <c r="B696" t="str">
        <f>RTD("tos.rtd", , "ASK_SIZE", ".SPY160617C210.5")</f>
        <v>N/A</v>
      </c>
      <c r="C696" t="str">
        <f>RTD("tos.rtd", , "BID", ".SPY160617C210.5")</f>
        <v>N/A</v>
      </c>
      <c r="D696" t="str">
        <f>RTD("tos.rtd", , "BID_SIZE", ".SPY160617C210.5")</f>
        <v>N/A</v>
      </c>
      <c r="E696" t="str">
        <f>RTD("tos.rtd", , "VOLUME", ".SPY160617C210.5")</f>
        <v>N/A</v>
      </c>
      <c r="F696" t="str">
        <f>RTD("tos.rtd", , "OPEN_INT", ".SPY160617C210.5")</f>
        <v>N/A</v>
      </c>
      <c r="G696" t="str">
        <f>RTD("tos.rtd", , "DELTA", ".SPY160617C210.5")</f>
        <v>N/A</v>
      </c>
      <c r="H696" t="str">
        <f>RTD("tos.rtd", , "THETA", ".SPY160617C210.5")</f>
        <v>N/A</v>
      </c>
      <c r="I696" t="str">
        <f>RTD("tos.rtd", , "GAMMA", ".SPY160617C210.5")</f>
        <v>N/A</v>
      </c>
      <c r="J696" t="str">
        <f>RTD("tos.rtd", , "VEGA", ".SPY160617C210.5")</f>
        <v>N/A</v>
      </c>
      <c r="K696" t="str">
        <f>RTD("tos.rtd", , "RHO", ".SPY160617C210.5")</f>
        <v>N/A</v>
      </c>
      <c r="L696" t="str">
        <f>RTD("tos.rtd", , "ASK", ".SPY160617P210.5")</f>
        <v>N/A</v>
      </c>
      <c r="M696" t="str">
        <f>RTD("tos.rtd", , "ASK_SIZE", ".SPY160617P210.5")</f>
        <v>N/A</v>
      </c>
      <c r="N696" t="str">
        <f>RTD("tos.rtd", , "BID", ".SPY160617P210.5")</f>
        <v>N/A</v>
      </c>
      <c r="O696" t="str">
        <f>RTD("tos.rtd", , "BID_SIZE", ".SPY160617P210.5")</f>
        <v>N/A</v>
      </c>
      <c r="P696" t="str">
        <f>RTD("tos.rtd", , "VOLUME", ".SPY160617P210.5")</f>
        <v>N/A</v>
      </c>
      <c r="Q696" t="str">
        <f>RTD("tos.rtd", , "OPEN_INT", ".SPY160617P210.5")</f>
        <v>N/A</v>
      </c>
      <c r="R696" t="str">
        <f>RTD("tos.rtd", , "DELTA", ".SPY160617P210.5")</f>
        <v>N/A</v>
      </c>
      <c r="S696" t="str">
        <f>RTD("tos.rtd", , "THETA", ".SPY160617P210.5")</f>
        <v>N/A</v>
      </c>
      <c r="T696" t="str">
        <f>RTD("tos.rtd", , "GAMMA", ".SPY160617P210.5")</f>
        <v>N/A</v>
      </c>
      <c r="U696" t="str">
        <f>RTD("tos.rtd", , "VEGA", ".SPY160617P210.5")</f>
        <v>N/A</v>
      </c>
      <c r="V696" t="str">
        <f>RTD("tos.rtd", , "RHO", ".SPY160617P210.5")</f>
        <v>N/A</v>
      </c>
    </row>
    <row r="697" spans="1:22" x14ac:dyDescent="0.25">
      <c r="A697" t="str">
        <f>RTD("tos.rtd", , "ASK", ".SPY160617C211")</f>
        <v>N/A</v>
      </c>
      <c r="B697" t="str">
        <f>RTD("tos.rtd", , "ASK_SIZE", ".SPY160617C211")</f>
        <v>N/A</v>
      </c>
      <c r="C697" t="str">
        <f>RTD("tos.rtd", , "BID", ".SPY160617C211")</f>
        <v>N/A</v>
      </c>
      <c r="D697" t="str">
        <f>RTD("tos.rtd", , "BID_SIZE", ".SPY160617C211")</f>
        <v>N/A</v>
      </c>
      <c r="E697" t="str">
        <f>RTD("tos.rtd", , "VOLUME", ".SPY160617C211")</f>
        <v>N/A</v>
      </c>
      <c r="F697" t="str">
        <f>RTD("tos.rtd", , "OPEN_INT", ".SPY160617C211")</f>
        <v>N/A</v>
      </c>
      <c r="G697" t="str">
        <f>RTD("tos.rtd", , "DELTA", ".SPY160617C211")</f>
        <v>N/A</v>
      </c>
      <c r="H697" t="str">
        <f>RTD("tos.rtd", , "THETA", ".SPY160617C211")</f>
        <v>N/A</v>
      </c>
      <c r="I697" t="str">
        <f>RTD("tos.rtd", , "GAMMA", ".SPY160617C211")</f>
        <v>N/A</v>
      </c>
      <c r="J697" t="str">
        <f>RTD("tos.rtd", , "VEGA", ".SPY160617C211")</f>
        <v>N/A</v>
      </c>
      <c r="K697" t="str">
        <f>RTD("tos.rtd", , "RHO", ".SPY160617C211")</f>
        <v>N/A</v>
      </c>
      <c r="L697" t="str">
        <f>RTD("tos.rtd", , "ASK", ".SPY160617P211")</f>
        <v>N/A</v>
      </c>
      <c r="M697" t="str">
        <f>RTD("tos.rtd", , "ASK_SIZE", ".SPY160617P211")</f>
        <v>N/A</v>
      </c>
      <c r="N697" t="str">
        <f>RTD("tos.rtd", , "BID", ".SPY160617P211")</f>
        <v>N/A</v>
      </c>
      <c r="O697" t="str">
        <f>RTD("tos.rtd", , "BID_SIZE", ".SPY160617P211")</f>
        <v>N/A</v>
      </c>
      <c r="P697" t="str">
        <f>RTD("tos.rtd", , "VOLUME", ".SPY160617P211")</f>
        <v>N/A</v>
      </c>
      <c r="Q697" t="str">
        <f>RTD("tos.rtd", , "OPEN_INT", ".SPY160617P211")</f>
        <v>N/A</v>
      </c>
      <c r="R697" t="str">
        <f>RTD("tos.rtd", , "DELTA", ".SPY160617P211")</f>
        <v>N/A</v>
      </c>
      <c r="S697" t="str">
        <f>RTD("tos.rtd", , "THETA", ".SPY160617P211")</f>
        <v>N/A</v>
      </c>
      <c r="T697" t="str">
        <f>RTD("tos.rtd", , "GAMMA", ".SPY160617P211")</f>
        <v>N/A</v>
      </c>
      <c r="U697" t="str">
        <f>RTD("tos.rtd", , "VEGA", ".SPY160617P211")</f>
        <v>N/A</v>
      </c>
      <c r="V697" t="str">
        <f>RTD("tos.rtd", , "RHO", ".SPY160617P211")</f>
        <v>N/A</v>
      </c>
    </row>
    <row r="698" spans="1:22" x14ac:dyDescent="0.25">
      <c r="A698" t="str">
        <f>RTD("tos.rtd", , "ASK", ".SPY160617C211.5")</f>
        <v>N/A</v>
      </c>
      <c r="B698" t="str">
        <f>RTD("tos.rtd", , "ASK_SIZE", ".SPY160617C211.5")</f>
        <v>N/A</v>
      </c>
      <c r="C698" t="str">
        <f>RTD("tos.rtd", , "BID", ".SPY160617C211.5")</f>
        <v>N/A</v>
      </c>
      <c r="D698" t="str">
        <f>RTD("tos.rtd", , "BID_SIZE", ".SPY160617C211.5")</f>
        <v>N/A</v>
      </c>
      <c r="E698" t="str">
        <f>RTD("tos.rtd", , "VOLUME", ".SPY160617C211.5")</f>
        <v>N/A</v>
      </c>
      <c r="F698" t="str">
        <f>RTD("tos.rtd", , "OPEN_INT", ".SPY160617C211.5")</f>
        <v>N/A</v>
      </c>
      <c r="G698" t="str">
        <f>RTD("tos.rtd", , "DELTA", ".SPY160617C211.5")</f>
        <v>N/A</v>
      </c>
      <c r="H698" t="str">
        <f>RTD("tos.rtd", , "THETA", ".SPY160617C211.5")</f>
        <v>N/A</v>
      </c>
      <c r="I698" t="str">
        <f>RTD("tos.rtd", , "GAMMA", ".SPY160617C211.5")</f>
        <v>N/A</v>
      </c>
      <c r="J698" t="str">
        <f>RTD("tos.rtd", , "VEGA", ".SPY160617C211.5")</f>
        <v>N/A</v>
      </c>
      <c r="K698" t="str">
        <f>RTD("tos.rtd", , "RHO", ".SPY160617C211.5")</f>
        <v>N/A</v>
      </c>
      <c r="L698" t="str">
        <f>RTD("tos.rtd", , "ASK", ".SPY160617P211.5")</f>
        <v>N/A</v>
      </c>
      <c r="M698" t="str">
        <f>RTD("tos.rtd", , "ASK_SIZE", ".SPY160617P211.5")</f>
        <v>N/A</v>
      </c>
      <c r="N698" t="str">
        <f>RTD("tos.rtd", , "BID", ".SPY160617P211.5")</f>
        <v>N/A</v>
      </c>
      <c r="O698" t="str">
        <f>RTD("tos.rtd", , "BID_SIZE", ".SPY160617P211.5")</f>
        <v>N/A</v>
      </c>
      <c r="P698" t="str">
        <f>RTD("tos.rtd", , "VOLUME", ".SPY160617P211.5")</f>
        <v>N/A</v>
      </c>
      <c r="Q698" t="str">
        <f>RTD("tos.rtd", , "OPEN_INT", ".SPY160617P211.5")</f>
        <v>N/A</v>
      </c>
      <c r="R698" t="str">
        <f>RTD("tos.rtd", , "DELTA", ".SPY160617P211.5")</f>
        <v>N/A</v>
      </c>
      <c r="S698" t="str">
        <f>RTD("tos.rtd", , "THETA", ".SPY160617P211.5")</f>
        <v>N/A</v>
      </c>
      <c r="T698" t="str">
        <f>RTD("tos.rtd", , "GAMMA", ".SPY160617P211.5")</f>
        <v>N/A</v>
      </c>
      <c r="U698" t="str">
        <f>RTD("tos.rtd", , "VEGA", ".SPY160617P211.5")</f>
        <v>N/A</v>
      </c>
      <c r="V698" t="str">
        <f>RTD("tos.rtd", , "RHO", ".SPY160617P211.5")</f>
        <v>N/A</v>
      </c>
    </row>
    <row r="699" spans="1:22" x14ac:dyDescent="0.25">
      <c r="A699" t="str">
        <f>RTD("tos.rtd", , "ASK", ".SPY160617C212")</f>
        <v>N/A</v>
      </c>
      <c r="B699" t="str">
        <f>RTD("tos.rtd", , "ASK_SIZE", ".SPY160617C212")</f>
        <v>N/A</v>
      </c>
      <c r="C699" t="str">
        <f>RTD("tos.rtd", , "BID", ".SPY160617C212")</f>
        <v>N/A</v>
      </c>
      <c r="D699" t="str">
        <f>RTD("tos.rtd", , "BID_SIZE", ".SPY160617C212")</f>
        <v>N/A</v>
      </c>
      <c r="E699" t="str">
        <f>RTD("tos.rtd", , "VOLUME", ".SPY160617C212")</f>
        <v>N/A</v>
      </c>
      <c r="F699" t="str">
        <f>RTD("tos.rtd", , "OPEN_INT", ".SPY160617C212")</f>
        <v>N/A</v>
      </c>
      <c r="G699" t="str">
        <f>RTD("tos.rtd", , "DELTA", ".SPY160617C212")</f>
        <v>N/A</v>
      </c>
      <c r="H699" t="str">
        <f>RTD("tos.rtd", , "THETA", ".SPY160617C212")</f>
        <v>N/A</v>
      </c>
      <c r="I699" t="str">
        <f>RTD("tos.rtd", , "GAMMA", ".SPY160617C212")</f>
        <v>N/A</v>
      </c>
      <c r="J699" t="str">
        <f>RTD("tos.rtd", , "VEGA", ".SPY160617C212")</f>
        <v>N/A</v>
      </c>
      <c r="K699" t="str">
        <f>RTD("tos.rtd", , "RHO", ".SPY160617C212")</f>
        <v>N/A</v>
      </c>
      <c r="L699" t="str">
        <f>RTD("tos.rtd", , "ASK", ".SPY160617P212")</f>
        <v>N/A</v>
      </c>
      <c r="M699" t="str">
        <f>RTD("tos.rtd", , "ASK_SIZE", ".SPY160617P212")</f>
        <v>N/A</v>
      </c>
      <c r="N699" t="str">
        <f>RTD("tos.rtd", , "BID", ".SPY160617P212")</f>
        <v>N/A</v>
      </c>
      <c r="O699" t="str">
        <f>RTD("tos.rtd", , "BID_SIZE", ".SPY160617P212")</f>
        <v>N/A</v>
      </c>
      <c r="P699" t="str">
        <f>RTD("tos.rtd", , "VOLUME", ".SPY160617P212")</f>
        <v>N/A</v>
      </c>
      <c r="Q699" t="str">
        <f>RTD("tos.rtd", , "OPEN_INT", ".SPY160617P212")</f>
        <v>N/A</v>
      </c>
      <c r="R699" t="str">
        <f>RTD("tos.rtd", , "DELTA", ".SPY160617P212")</f>
        <v>N/A</v>
      </c>
      <c r="S699" t="str">
        <f>RTD("tos.rtd", , "THETA", ".SPY160617P212")</f>
        <v>N/A</v>
      </c>
      <c r="T699" t="str">
        <f>RTD("tos.rtd", , "GAMMA", ".SPY160617P212")</f>
        <v>N/A</v>
      </c>
      <c r="U699" t="str">
        <f>RTD("tos.rtd", , "VEGA", ".SPY160617P212")</f>
        <v>N/A</v>
      </c>
      <c r="V699" t="str">
        <f>RTD("tos.rtd", , "RHO", ".SPY160617P212")</f>
        <v>N/A</v>
      </c>
    </row>
    <row r="700" spans="1:22" x14ac:dyDescent="0.25">
      <c r="A700" t="str">
        <f>RTD("tos.rtd", , "ASK", ".SPY160617C212.5")</f>
        <v>N/A</v>
      </c>
      <c r="B700" t="str">
        <f>RTD("tos.rtd", , "ASK_SIZE", ".SPY160617C212.5")</f>
        <v>N/A</v>
      </c>
      <c r="C700" t="str">
        <f>RTD("tos.rtd", , "BID", ".SPY160617C212.5")</f>
        <v>N/A</v>
      </c>
      <c r="D700" t="str">
        <f>RTD("tos.rtd", , "BID_SIZE", ".SPY160617C212.5")</f>
        <v>N/A</v>
      </c>
      <c r="E700" t="str">
        <f>RTD("tos.rtd", , "VOLUME", ".SPY160617C212.5")</f>
        <v>N/A</v>
      </c>
      <c r="F700" t="str">
        <f>RTD("tos.rtd", , "OPEN_INT", ".SPY160617C212.5")</f>
        <v>N/A</v>
      </c>
      <c r="G700" t="str">
        <f>RTD("tos.rtd", , "DELTA", ".SPY160617C212.5")</f>
        <v>N/A</v>
      </c>
      <c r="H700" t="str">
        <f>RTD("tos.rtd", , "THETA", ".SPY160617C212.5")</f>
        <v>N/A</v>
      </c>
      <c r="I700" t="str">
        <f>RTD("tos.rtd", , "GAMMA", ".SPY160617C212.5")</f>
        <v>N/A</v>
      </c>
      <c r="J700" t="str">
        <f>RTD("tos.rtd", , "VEGA", ".SPY160617C212.5")</f>
        <v>N/A</v>
      </c>
      <c r="K700" t="str">
        <f>RTD("tos.rtd", , "RHO", ".SPY160617C212.5")</f>
        <v>N/A</v>
      </c>
      <c r="L700" t="str">
        <f>RTD("tos.rtd", , "ASK", ".SPY160617P212.5")</f>
        <v>N/A</v>
      </c>
      <c r="M700" t="str">
        <f>RTD("tos.rtd", , "ASK_SIZE", ".SPY160617P212.5")</f>
        <v>N/A</v>
      </c>
      <c r="N700" t="str">
        <f>RTD("tos.rtd", , "BID", ".SPY160617P212.5")</f>
        <v>N/A</v>
      </c>
      <c r="O700" t="str">
        <f>RTD("tos.rtd", , "BID_SIZE", ".SPY160617P212.5")</f>
        <v>N/A</v>
      </c>
      <c r="P700" t="str">
        <f>RTD("tos.rtd", , "VOLUME", ".SPY160617P212.5")</f>
        <v>N/A</v>
      </c>
      <c r="Q700" t="str">
        <f>RTD("tos.rtd", , "OPEN_INT", ".SPY160617P212.5")</f>
        <v>N/A</v>
      </c>
      <c r="R700" t="str">
        <f>RTD("tos.rtd", , "DELTA", ".SPY160617P212.5")</f>
        <v>N/A</v>
      </c>
      <c r="S700" t="str">
        <f>RTD("tos.rtd", , "THETA", ".SPY160617P212.5")</f>
        <v>N/A</v>
      </c>
      <c r="T700" t="str">
        <f>RTD("tos.rtd", , "GAMMA", ".SPY160617P212.5")</f>
        <v>N/A</v>
      </c>
      <c r="U700" t="str">
        <f>RTD("tos.rtd", , "VEGA", ".SPY160617P212.5")</f>
        <v>N/A</v>
      </c>
      <c r="V700" t="str">
        <f>RTD("tos.rtd", , "RHO", ".SPY160617P212.5")</f>
        <v>N/A</v>
      </c>
    </row>
    <row r="701" spans="1:22" x14ac:dyDescent="0.25">
      <c r="A701" t="str">
        <f>RTD("tos.rtd", , "ASK", ".SPY160617C213")</f>
        <v>N/A</v>
      </c>
      <c r="B701" t="str">
        <f>RTD("tos.rtd", , "ASK_SIZE", ".SPY160617C213")</f>
        <v>N/A</v>
      </c>
      <c r="C701" t="str">
        <f>RTD("tos.rtd", , "BID", ".SPY160617C213")</f>
        <v>N/A</v>
      </c>
      <c r="D701" t="str">
        <f>RTD("tos.rtd", , "BID_SIZE", ".SPY160617C213")</f>
        <v>N/A</v>
      </c>
      <c r="E701" t="str">
        <f>RTD("tos.rtd", , "VOLUME", ".SPY160617C213")</f>
        <v>N/A</v>
      </c>
      <c r="F701" t="str">
        <f>RTD("tos.rtd", , "OPEN_INT", ".SPY160617C213")</f>
        <v>N/A</v>
      </c>
      <c r="G701" t="str">
        <f>RTD("tos.rtd", , "DELTA", ".SPY160617C213")</f>
        <v>N/A</v>
      </c>
      <c r="H701" t="str">
        <f>RTD("tos.rtd", , "THETA", ".SPY160617C213")</f>
        <v>N/A</v>
      </c>
      <c r="I701" t="str">
        <f>RTD("tos.rtd", , "GAMMA", ".SPY160617C213")</f>
        <v>N/A</v>
      </c>
      <c r="J701" t="str">
        <f>RTD("tos.rtd", , "VEGA", ".SPY160617C213")</f>
        <v>N/A</v>
      </c>
      <c r="K701" t="str">
        <f>RTD("tos.rtd", , "RHO", ".SPY160617C213")</f>
        <v>N/A</v>
      </c>
      <c r="L701" t="str">
        <f>RTD("tos.rtd", , "ASK", ".SPY160617P213")</f>
        <v>N/A</v>
      </c>
      <c r="M701" t="str">
        <f>RTD("tos.rtd", , "ASK_SIZE", ".SPY160617P213")</f>
        <v>N/A</v>
      </c>
      <c r="N701" t="str">
        <f>RTD("tos.rtd", , "BID", ".SPY160617P213")</f>
        <v>N/A</v>
      </c>
      <c r="O701" t="str">
        <f>RTD("tos.rtd", , "BID_SIZE", ".SPY160617P213")</f>
        <v>N/A</v>
      </c>
      <c r="P701" t="str">
        <f>RTD("tos.rtd", , "VOLUME", ".SPY160617P213")</f>
        <v>N/A</v>
      </c>
      <c r="Q701" t="str">
        <f>RTD("tos.rtd", , "OPEN_INT", ".SPY160617P213")</f>
        <v>N/A</v>
      </c>
      <c r="R701" t="str">
        <f>RTD("tos.rtd", , "DELTA", ".SPY160617P213")</f>
        <v>N/A</v>
      </c>
      <c r="S701" t="str">
        <f>RTD("tos.rtd", , "THETA", ".SPY160617P213")</f>
        <v>N/A</v>
      </c>
      <c r="T701" t="str">
        <f>RTD("tos.rtd", , "GAMMA", ".SPY160617P213")</f>
        <v>N/A</v>
      </c>
      <c r="U701" t="str">
        <f>RTD("tos.rtd", , "VEGA", ".SPY160617P213")</f>
        <v>N/A</v>
      </c>
      <c r="V701" t="str">
        <f>RTD("tos.rtd", , "RHO", ".SPY160617P213")</f>
        <v>N/A</v>
      </c>
    </row>
    <row r="702" spans="1:22" x14ac:dyDescent="0.25">
      <c r="A702" t="str">
        <f>RTD("tos.rtd", , "ASK", ".SPY160617C213.5")</f>
        <v>N/A</v>
      </c>
      <c r="B702" t="str">
        <f>RTD("tos.rtd", , "ASK_SIZE", ".SPY160617C213.5")</f>
        <v>N/A</v>
      </c>
      <c r="C702" t="str">
        <f>RTD("tos.rtd", , "BID", ".SPY160617C213.5")</f>
        <v>N/A</v>
      </c>
      <c r="D702" t="str">
        <f>RTD("tos.rtd", , "BID_SIZE", ".SPY160617C213.5")</f>
        <v>N/A</v>
      </c>
      <c r="E702" t="str">
        <f>RTD("tos.rtd", , "VOLUME", ".SPY160617C213.5")</f>
        <v>N/A</v>
      </c>
      <c r="F702" t="str">
        <f>RTD("tos.rtd", , "OPEN_INT", ".SPY160617C213.5")</f>
        <v>N/A</v>
      </c>
      <c r="G702" t="str">
        <f>RTD("tos.rtd", , "DELTA", ".SPY160617C213.5")</f>
        <v>N/A</v>
      </c>
      <c r="H702" t="str">
        <f>RTD("tos.rtd", , "THETA", ".SPY160617C213.5")</f>
        <v>N/A</v>
      </c>
      <c r="I702" t="str">
        <f>RTD("tos.rtd", , "GAMMA", ".SPY160617C213.5")</f>
        <v>N/A</v>
      </c>
      <c r="J702" t="str">
        <f>RTD("tos.rtd", , "VEGA", ".SPY160617C213.5")</f>
        <v>N/A</v>
      </c>
      <c r="K702" t="str">
        <f>RTD("tos.rtd", , "RHO", ".SPY160617C213.5")</f>
        <v>N/A</v>
      </c>
      <c r="L702" t="str">
        <f>RTD("tos.rtd", , "ASK", ".SPY160617P213.5")</f>
        <v>N/A</v>
      </c>
      <c r="M702" t="str">
        <f>RTD("tos.rtd", , "ASK_SIZE", ".SPY160617P213.5")</f>
        <v>N/A</v>
      </c>
      <c r="N702" t="str">
        <f>RTD("tos.rtd", , "BID", ".SPY160617P213.5")</f>
        <v>N/A</v>
      </c>
      <c r="O702" t="str">
        <f>RTD("tos.rtd", , "BID_SIZE", ".SPY160617P213.5")</f>
        <v>N/A</v>
      </c>
      <c r="P702" t="str">
        <f>RTD("tos.rtd", , "VOLUME", ".SPY160617P213.5")</f>
        <v>N/A</v>
      </c>
      <c r="Q702" t="str">
        <f>RTD("tos.rtd", , "OPEN_INT", ".SPY160617P213.5")</f>
        <v>N/A</v>
      </c>
      <c r="R702" t="str">
        <f>RTD("tos.rtd", , "DELTA", ".SPY160617P213.5")</f>
        <v>N/A</v>
      </c>
      <c r="S702" t="str">
        <f>RTD("tos.rtd", , "THETA", ".SPY160617P213.5")</f>
        <v>N/A</v>
      </c>
      <c r="T702" t="str">
        <f>RTD("tos.rtd", , "GAMMA", ".SPY160617P213.5")</f>
        <v>N/A</v>
      </c>
      <c r="U702" t="str">
        <f>RTD("tos.rtd", , "VEGA", ".SPY160617P213.5")</f>
        <v>N/A</v>
      </c>
      <c r="V702" t="str">
        <f>RTD("tos.rtd", , "RHO", ".SPY160617P213.5")</f>
        <v>N/A</v>
      </c>
    </row>
    <row r="703" spans="1:22" x14ac:dyDescent="0.25">
      <c r="A703" t="str">
        <f>RTD("tos.rtd", , "ASK", ".SPY160617C214")</f>
        <v>N/A</v>
      </c>
      <c r="B703" t="str">
        <f>RTD("tos.rtd", , "ASK_SIZE", ".SPY160617C214")</f>
        <v>N/A</v>
      </c>
      <c r="C703" t="str">
        <f>RTD("tos.rtd", , "BID", ".SPY160617C214")</f>
        <v>N/A</v>
      </c>
      <c r="D703" t="str">
        <f>RTD("tos.rtd", , "BID_SIZE", ".SPY160617C214")</f>
        <v>N/A</v>
      </c>
      <c r="E703" t="str">
        <f>RTD("tos.rtd", , "VOLUME", ".SPY160617C214")</f>
        <v>N/A</v>
      </c>
      <c r="F703" t="str">
        <f>RTD("tos.rtd", , "OPEN_INT", ".SPY160617C214")</f>
        <v>N/A</v>
      </c>
      <c r="G703" t="str">
        <f>RTD("tos.rtd", , "DELTA", ".SPY160617C214")</f>
        <v>N/A</v>
      </c>
      <c r="H703" t="str">
        <f>RTD("tos.rtd", , "THETA", ".SPY160617C214")</f>
        <v>N/A</v>
      </c>
      <c r="I703" t="str">
        <f>RTD("tos.rtd", , "GAMMA", ".SPY160617C214")</f>
        <v>N/A</v>
      </c>
      <c r="J703" t="str">
        <f>RTD("tos.rtd", , "VEGA", ".SPY160617C214")</f>
        <v>N/A</v>
      </c>
      <c r="K703" t="str">
        <f>RTD("tos.rtd", , "RHO", ".SPY160617C214")</f>
        <v>N/A</v>
      </c>
      <c r="L703" t="str">
        <f>RTD("tos.rtd", , "ASK", ".SPY160617P214")</f>
        <v>N/A</v>
      </c>
      <c r="M703" t="str">
        <f>RTD("tos.rtd", , "ASK_SIZE", ".SPY160617P214")</f>
        <v>N/A</v>
      </c>
      <c r="N703" t="str">
        <f>RTD("tos.rtd", , "BID", ".SPY160617P214")</f>
        <v>N/A</v>
      </c>
      <c r="O703" t="str">
        <f>RTD("tos.rtd", , "BID_SIZE", ".SPY160617P214")</f>
        <v>N/A</v>
      </c>
      <c r="P703" t="str">
        <f>RTD("tos.rtd", , "VOLUME", ".SPY160617P214")</f>
        <v>N/A</v>
      </c>
      <c r="Q703" t="str">
        <f>RTD("tos.rtd", , "OPEN_INT", ".SPY160617P214")</f>
        <v>N/A</v>
      </c>
      <c r="R703" t="str">
        <f>RTD("tos.rtd", , "DELTA", ".SPY160617P214")</f>
        <v>N/A</v>
      </c>
      <c r="S703" t="str">
        <f>RTD("tos.rtd", , "THETA", ".SPY160617P214")</f>
        <v>N/A</v>
      </c>
      <c r="T703" t="str">
        <f>RTD("tos.rtd", , "GAMMA", ".SPY160617P214")</f>
        <v>N/A</v>
      </c>
      <c r="U703" t="str">
        <f>RTD("tos.rtd", , "VEGA", ".SPY160617P214")</f>
        <v>N/A</v>
      </c>
      <c r="V703" t="str">
        <f>RTD("tos.rtd", , "RHO", ".SPY160617P214")</f>
        <v>N/A</v>
      </c>
    </row>
    <row r="704" spans="1:22" x14ac:dyDescent="0.25">
      <c r="A704" t="str">
        <f>RTD("tos.rtd", , "ASK", ".SPY160617C214.5")</f>
        <v>N/A</v>
      </c>
      <c r="B704" t="str">
        <f>RTD("tos.rtd", , "ASK_SIZE", ".SPY160617C214.5")</f>
        <v>N/A</v>
      </c>
      <c r="C704" t="str">
        <f>RTD("tos.rtd", , "BID", ".SPY160617C214.5")</f>
        <v>N/A</v>
      </c>
      <c r="D704" t="str">
        <f>RTD("tos.rtd", , "BID_SIZE", ".SPY160617C214.5")</f>
        <v>N/A</v>
      </c>
      <c r="E704" t="str">
        <f>RTD("tos.rtd", , "VOLUME", ".SPY160617C214.5")</f>
        <v>N/A</v>
      </c>
      <c r="F704" t="str">
        <f>RTD("tos.rtd", , "OPEN_INT", ".SPY160617C214.5")</f>
        <v>N/A</v>
      </c>
      <c r="G704" t="str">
        <f>RTD("tos.rtd", , "DELTA", ".SPY160617C214.5")</f>
        <v>N/A</v>
      </c>
      <c r="H704" t="str">
        <f>RTD("tos.rtd", , "THETA", ".SPY160617C214.5")</f>
        <v>N/A</v>
      </c>
      <c r="I704" t="str">
        <f>RTD("tos.rtd", , "GAMMA", ".SPY160617C214.5")</f>
        <v>N/A</v>
      </c>
      <c r="J704" t="str">
        <f>RTD("tos.rtd", , "VEGA", ".SPY160617C214.5")</f>
        <v>N/A</v>
      </c>
      <c r="K704" t="str">
        <f>RTD("tos.rtd", , "RHO", ".SPY160617C214.5")</f>
        <v>N/A</v>
      </c>
      <c r="L704" t="str">
        <f>RTD("tos.rtd", , "ASK", ".SPY160617P214.5")</f>
        <v>N/A</v>
      </c>
      <c r="M704" t="str">
        <f>RTD("tos.rtd", , "ASK_SIZE", ".SPY160617P214.5")</f>
        <v>N/A</v>
      </c>
      <c r="N704" t="str">
        <f>RTD("tos.rtd", , "BID", ".SPY160617P214.5")</f>
        <v>N/A</v>
      </c>
      <c r="O704" t="str">
        <f>RTD("tos.rtd", , "BID_SIZE", ".SPY160617P214.5")</f>
        <v>N/A</v>
      </c>
      <c r="P704" t="str">
        <f>RTD("tos.rtd", , "VOLUME", ".SPY160617P214.5")</f>
        <v>N/A</v>
      </c>
      <c r="Q704" t="str">
        <f>RTD("tos.rtd", , "OPEN_INT", ".SPY160617P214.5")</f>
        <v>N/A</v>
      </c>
      <c r="R704" t="str">
        <f>RTD("tos.rtd", , "DELTA", ".SPY160617P214.5")</f>
        <v>N/A</v>
      </c>
      <c r="S704" t="str">
        <f>RTD("tos.rtd", , "THETA", ".SPY160617P214.5")</f>
        <v>N/A</v>
      </c>
      <c r="T704" t="str">
        <f>RTD("tos.rtd", , "GAMMA", ".SPY160617P214.5")</f>
        <v>N/A</v>
      </c>
      <c r="U704" t="str">
        <f>RTD("tos.rtd", , "VEGA", ".SPY160617P214.5")</f>
        <v>N/A</v>
      </c>
      <c r="V704" t="str">
        <f>RTD("tos.rtd", , "RHO", ".SPY160617P214.5")</f>
        <v>N/A</v>
      </c>
    </row>
    <row r="705" spans="1:22" x14ac:dyDescent="0.25">
      <c r="A705">
        <f>RTD("tos.rtd", , "ASK", ".SPY160617C215")</f>
        <v>11.44</v>
      </c>
      <c r="B705">
        <f>RTD("tos.rtd", , "ASK_SIZE", ".SPY160617C215")</f>
        <v>1785</v>
      </c>
      <c r="C705">
        <f>RTD("tos.rtd", , "BID", ".SPY160617C215")</f>
        <v>11.05</v>
      </c>
      <c r="D705">
        <f>RTD("tos.rtd", , "BID_SIZE", ".SPY160617C215")</f>
        <v>1718</v>
      </c>
      <c r="E705">
        <f>RTD("tos.rtd", , "VOLUME", ".SPY160617C215")</f>
        <v>1</v>
      </c>
      <c r="F705">
        <f>RTD("tos.rtd", , "OPEN_INT", ".SPY160617C215")</f>
        <v>3228</v>
      </c>
      <c r="G705">
        <f>RTD("tos.rtd", , "DELTA", ".SPY160617C215")</f>
        <v>0.45761000000000002</v>
      </c>
      <c r="H705">
        <f>RTD("tos.rtd", , "THETA", ".SPY160617C215")</f>
        <v>-1.3679999999999999E-2</v>
      </c>
      <c r="I705">
        <f>RTD("tos.rtd", , "GAMMA", ".SPY160617C215")</f>
        <v>1.1379999999999999E-2</v>
      </c>
      <c r="J705">
        <f>RTD("tos.rtd", , "VEGA", ".SPY160617C215")</f>
        <v>0.87404999999999999</v>
      </c>
      <c r="K705">
        <f>RTD("tos.rtd", , "RHO", ".SPY160617C215")</f>
        <v>0.84147000000000005</v>
      </c>
      <c r="L705">
        <f>RTD("tos.rtd", , "ASK", ".SPY160617P215")</f>
        <v>18.07</v>
      </c>
      <c r="M705">
        <f>RTD("tos.rtd", , "ASK_SIZE", ".SPY160617P215")</f>
        <v>358</v>
      </c>
      <c r="N705">
        <f>RTD("tos.rtd", , "BID", ".SPY160617P215")</f>
        <v>17.63</v>
      </c>
      <c r="O705">
        <f>RTD("tos.rtd", , "BID_SIZE", ".SPY160617P215")</f>
        <v>201</v>
      </c>
      <c r="P705">
        <f>RTD("tos.rtd", , "VOLUME", ".SPY160617P215")</f>
        <v>103</v>
      </c>
      <c r="Q705">
        <f>RTD("tos.rtd", , "OPEN_INT", ".SPY160617P215")</f>
        <v>955</v>
      </c>
      <c r="R705">
        <f>RTD("tos.rtd", , "DELTA", ".SPY160617P215")</f>
        <v>-0.53615000000000002</v>
      </c>
      <c r="S705">
        <f>RTD("tos.rtd", , "THETA", ".SPY160617P215")</f>
        <v>-2.1239999999999998E-2</v>
      </c>
      <c r="T705">
        <f>RTD("tos.rtd", , "GAMMA", ".SPY160617P215")</f>
        <v>1.0999999999999999E-2</v>
      </c>
      <c r="U705">
        <f>RTD("tos.rtd", , "VEGA", ".SPY160617P215")</f>
        <v>0.87133000000000005</v>
      </c>
      <c r="V705">
        <f>RTD("tos.rtd", , "RHO", ".SPY160617P215")</f>
        <v>-1.4728399999999999</v>
      </c>
    </row>
    <row r="706" spans="1:22" x14ac:dyDescent="0.25">
      <c r="A706" t="str">
        <f>RTD("tos.rtd", , "ASK", ".SPY160617C215.5")</f>
        <v>N/A</v>
      </c>
      <c r="B706" t="str">
        <f>RTD("tos.rtd", , "ASK_SIZE", ".SPY160617C215.5")</f>
        <v>N/A</v>
      </c>
      <c r="C706" t="str">
        <f>RTD("tos.rtd", , "BID", ".SPY160617C215.5")</f>
        <v>N/A</v>
      </c>
      <c r="D706" t="str">
        <f>RTD("tos.rtd", , "BID_SIZE", ".SPY160617C215.5")</f>
        <v>N/A</v>
      </c>
      <c r="E706" t="str">
        <f>RTD("tos.rtd", , "VOLUME", ".SPY160617C215.5")</f>
        <v>N/A</v>
      </c>
      <c r="F706" t="str">
        <f>RTD("tos.rtd", , "OPEN_INT", ".SPY160617C215.5")</f>
        <v>N/A</v>
      </c>
      <c r="G706" t="str">
        <f>RTD("tos.rtd", , "DELTA", ".SPY160617C215.5")</f>
        <v>N/A</v>
      </c>
      <c r="H706" t="str">
        <f>RTD("tos.rtd", , "THETA", ".SPY160617C215.5")</f>
        <v>N/A</v>
      </c>
      <c r="I706" t="str">
        <f>RTD("tos.rtd", , "GAMMA", ".SPY160617C215.5")</f>
        <v>N/A</v>
      </c>
      <c r="J706" t="str">
        <f>RTD("tos.rtd", , "VEGA", ".SPY160617C215.5")</f>
        <v>N/A</v>
      </c>
      <c r="K706" t="str">
        <f>RTD("tos.rtd", , "RHO", ".SPY160617C215.5")</f>
        <v>N/A</v>
      </c>
      <c r="L706" t="str">
        <f>RTD("tos.rtd", , "ASK", ".SPY160617P215.5")</f>
        <v>N/A</v>
      </c>
      <c r="M706" t="str">
        <f>RTD("tos.rtd", , "ASK_SIZE", ".SPY160617P215.5")</f>
        <v>N/A</v>
      </c>
      <c r="N706" t="str">
        <f>RTD("tos.rtd", , "BID", ".SPY160617P215.5")</f>
        <v>N/A</v>
      </c>
      <c r="O706" t="str">
        <f>RTD("tos.rtd", , "BID_SIZE", ".SPY160617P215.5")</f>
        <v>N/A</v>
      </c>
      <c r="P706" t="str">
        <f>RTD("tos.rtd", , "VOLUME", ".SPY160617P215.5")</f>
        <v>N/A</v>
      </c>
      <c r="Q706" t="str">
        <f>RTD("tos.rtd", , "OPEN_INT", ".SPY160617P215.5")</f>
        <v>N/A</v>
      </c>
      <c r="R706" t="str">
        <f>RTD("tos.rtd", , "DELTA", ".SPY160617P215.5")</f>
        <v>N/A</v>
      </c>
      <c r="S706" t="str">
        <f>RTD("tos.rtd", , "THETA", ".SPY160617P215.5")</f>
        <v>N/A</v>
      </c>
      <c r="T706" t="str">
        <f>RTD("tos.rtd", , "GAMMA", ".SPY160617P215.5")</f>
        <v>N/A</v>
      </c>
      <c r="U706" t="str">
        <f>RTD("tos.rtd", , "VEGA", ".SPY160617P215.5")</f>
        <v>N/A</v>
      </c>
      <c r="V706" t="str">
        <f>RTD("tos.rtd", , "RHO", ".SPY160617P215.5")</f>
        <v>N/A</v>
      </c>
    </row>
    <row r="707" spans="1:22" x14ac:dyDescent="0.25">
      <c r="A707" t="str">
        <f>RTD("tos.rtd", , "ASK", ".SPY160617C216")</f>
        <v>N/A</v>
      </c>
      <c r="B707" t="str">
        <f>RTD("tos.rtd", , "ASK_SIZE", ".SPY160617C216")</f>
        <v>N/A</v>
      </c>
      <c r="C707" t="str">
        <f>RTD("tos.rtd", , "BID", ".SPY160617C216")</f>
        <v>N/A</v>
      </c>
      <c r="D707" t="str">
        <f>RTD("tos.rtd", , "BID_SIZE", ".SPY160617C216")</f>
        <v>N/A</v>
      </c>
      <c r="E707" t="str">
        <f>RTD("tos.rtd", , "VOLUME", ".SPY160617C216")</f>
        <v>N/A</v>
      </c>
      <c r="F707" t="str">
        <f>RTD("tos.rtd", , "OPEN_INT", ".SPY160617C216")</f>
        <v>N/A</v>
      </c>
      <c r="G707" t="str">
        <f>RTD("tos.rtd", , "DELTA", ".SPY160617C216")</f>
        <v>N/A</v>
      </c>
      <c r="H707" t="str">
        <f>RTD("tos.rtd", , "THETA", ".SPY160617C216")</f>
        <v>N/A</v>
      </c>
      <c r="I707" t="str">
        <f>RTD("tos.rtd", , "GAMMA", ".SPY160617C216")</f>
        <v>N/A</v>
      </c>
      <c r="J707" t="str">
        <f>RTD("tos.rtd", , "VEGA", ".SPY160617C216")</f>
        <v>N/A</v>
      </c>
      <c r="K707" t="str">
        <f>RTD("tos.rtd", , "RHO", ".SPY160617C216")</f>
        <v>N/A</v>
      </c>
      <c r="L707" t="str">
        <f>RTD("tos.rtd", , "ASK", ".SPY160617P216")</f>
        <v>N/A</v>
      </c>
      <c r="M707" t="str">
        <f>RTD("tos.rtd", , "ASK_SIZE", ".SPY160617P216")</f>
        <v>N/A</v>
      </c>
      <c r="N707" t="str">
        <f>RTD("tos.rtd", , "BID", ".SPY160617P216")</f>
        <v>N/A</v>
      </c>
      <c r="O707" t="str">
        <f>RTD("tos.rtd", , "BID_SIZE", ".SPY160617P216")</f>
        <v>N/A</v>
      </c>
      <c r="P707" t="str">
        <f>RTD("tos.rtd", , "VOLUME", ".SPY160617P216")</f>
        <v>N/A</v>
      </c>
      <c r="Q707" t="str">
        <f>RTD("tos.rtd", , "OPEN_INT", ".SPY160617P216")</f>
        <v>N/A</v>
      </c>
      <c r="R707" t="str">
        <f>RTD("tos.rtd", , "DELTA", ".SPY160617P216")</f>
        <v>N/A</v>
      </c>
      <c r="S707" t="str">
        <f>RTD("tos.rtd", , "THETA", ".SPY160617P216")</f>
        <v>N/A</v>
      </c>
      <c r="T707" t="str">
        <f>RTD("tos.rtd", , "GAMMA", ".SPY160617P216")</f>
        <v>N/A</v>
      </c>
      <c r="U707" t="str">
        <f>RTD("tos.rtd", , "VEGA", ".SPY160617P216")</f>
        <v>N/A</v>
      </c>
      <c r="V707" t="str">
        <f>RTD("tos.rtd", , "RHO", ".SPY160617P216")</f>
        <v>N/A</v>
      </c>
    </row>
    <row r="708" spans="1:22" x14ac:dyDescent="0.25">
      <c r="A708" t="str">
        <f>RTD("tos.rtd", , "ASK", ".SPY160617C216.5")</f>
        <v>N/A</v>
      </c>
      <c r="B708" t="str">
        <f>RTD("tos.rtd", , "ASK_SIZE", ".SPY160617C216.5")</f>
        <v>N/A</v>
      </c>
      <c r="C708" t="str">
        <f>RTD("tos.rtd", , "BID", ".SPY160617C216.5")</f>
        <v>N/A</v>
      </c>
      <c r="D708" t="str">
        <f>RTD("tos.rtd", , "BID_SIZE", ".SPY160617C216.5")</f>
        <v>N/A</v>
      </c>
      <c r="E708" t="str">
        <f>RTD("tos.rtd", , "VOLUME", ".SPY160617C216.5")</f>
        <v>N/A</v>
      </c>
      <c r="F708" t="str">
        <f>RTD("tos.rtd", , "OPEN_INT", ".SPY160617C216.5")</f>
        <v>N/A</v>
      </c>
      <c r="G708" t="str">
        <f>RTD("tos.rtd", , "DELTA", ".SPY160617C216.5")</f>
        <v>N/A</v>
      </c>
      <c r="H708" t="str">
        <f>RTD("tos.rtd", , "THETA", ".SPY160617C216.5")</f>
        <v>N/A</v>
      </c>
      <c r="I708" t="str">
        <f>RTD("tos.rtd", , "GAMMA", ".SPY160617C216.5")</f>
        <v>N/A</v>
      </c>
      <c r="J708" t="str">
        <f>RTD("tos.rtd", , "VEGA", ".SPY160617C216.5")</f>
        <v>N/A</v>
      </c>
      <c r="K708" t="str">
        <f>RTD("tos.rtd", , "RHO", ".SPY160617C216.5")</f>
        <v>N/A</v>
      </c>
      <c r="L708" t="str">
        <f>RTD("tos.rtd", , "ASK", ".SPY160617P216.5")</f>
        <v>N/A</v>
      </c>
      <c r="M708" t="str">
        <f>RTD("tos.rtd", , "ASK_SIZE", ".SPY160617P216.5")</f>
        <v>N/A</v>
      </c>
      <c r="N708" t="str">
        <f>RTD("tos.rtd", , "BID", ".SPY160617P216.5")</f>
        <v>N/A</v>
      </c>
      <c r="O708" t="str">
        <f>RTD("tos.rtd", , "BID_SIZE", ".SPY160617P216.5")</f>
        <v>N/A</v>
      </c>
      <c r="P708" t="str">
        <f>RTD("tos.rtd", , "VOLUME", ".SPY160617P216.5")</f>
        <v>N/A</v>
      </c>
      <c r="Q708" t="str">
        <f>RTD("tos.rtd", , "OPEN_INT", ".SPY160617P216.5")</f>
        <v>N/A</v>
      </c>
      <c r="R708" t="str">
        <f>RTD("tos.rtd", , "DELTA", ".SPY160617P216.5")</f>
        <v>N/A</v>
      </c>
      <c r="S708" t="str">
        <f>RTD("tos.rtd", , "THETA", ".SPY160617P216.5")</f>
        <v>N/A</v>
      </c>
      <c r="T708" t="str">
        <f>RTD("tos.rtd", , "GAMMA", ".SPY160617P216.5")</f>
        <v>N/A</v>
      </c>
      <c r="U708" t="str">
        <f>RTD("tos.rtd", , "VEGA", ".SPY160617P216.5")</f>
        <v>N/A</v>
      </c>
      <c r="V708" t="str">
        <f>RTD("tos.rtd", , "RHO", ".SPY160617P216.5")</f>
        <v>N/A</v>
      </c>
    </row>
    <row r="709" spans="1:22" x14ac:dyDescent="0.25">
      <c r="A709" t="str">
        <f>RTD("tos.rtd", , "ASK", ".SPY160617C217")</f>
        <v>N/A</v>
      </c>
      <c r="B709" t="str">
        <f>RTD("tos.rtd", , "ASK_SIZE", ".SPY160617C217")</f>
        <v>N/A</v>
      </c>
      <c r="C709" t="str">
        <f>RTD("tos.rtd", , "BID", ".SPY160617C217")</f>
        <v>N/A</v>
      </c>
      <c r="D709" t="str">
        <f>RTD("tos.rtd", , "BID_SIZE", ".SPY160617C217")</f>
        <v>N/A</v>
      </c>
      <c r="E709" t="str">
        <f>RTD("tos.rtd", , "VOLUME", ".SPY160617C217")</f>
        <v>N/A</v>
      </c>
      <c r="F709" t="str">
        <f>RTD("tos.rtd", , "OPEN_INT", ".SPY160617C217")</f>
        <v>N/A</v>
      </c>
      <c r="G709" t="str">
        <f>RTD("tos.rtd", , "DELTA", ".SPY160617C217")</f>
        <v>N/A</v>
      </c>
      <c r="H709" t="str">
        <f>RTD("tos.rtd", , "THETA", ".SPY160617C217")</f>
        <v>N/A</v>
      </c>
      <c r="I709" t="str">
        <f>RTD("tos.rtd", , "GAMMA", ".SPY160617C217")</f>
        <v>N/A</v>
      </c>
      <c r="J709" t="str">
        <f>RTD("tos.rtd", , "VEGA", ".SPY160617C217")</f>
        <v>N/A</v>
      </c>
      <c r="K709" t="str">
        <f>RTD("tos.rtd", , "RHO", ".SPY160617C217")</f>
        <v>N/A</v>
      </c>
      <c r="L709" t="str">
        <f>RTD("tos.rtd", , "ASK", ".SPY160617P217")</f>
        <v>N/A</v>
      </c>
      <c r="M709" t="str">
        <f>RTD("tos.rtd", , "ASK_SIZE", ".SPY160617P217")</f>
        <v>N/A</v>
      </c>
      <c r="N709" t="str">
        <f>RTD("tos.rtd", , "BID", ".SPY160617P217")</f>
        <v>N/A</v>
      </c>
      <c r="O709" t="str">
        <f>RTD("tos.rtd", , "BID_SIZE", ".SPY160617P217")</f>
        <v>N/A</v>
      </c>
      <c r="P709" t="str">
        <f>RTD("tos.rtd", , "VOLUME", ".SPY160617P217")</f>
        <v>N/A</v>
      </c>
      <c r="Q709" t="str">
        <f>RTD("tos.rtd", , "OPEN_INT", ".SPY160617P217")</f>
        <v>N/A</v>
      </c>
      <c r="R709" t="str">
        <f>RTD("tos.rtd", , "DELTA", ".SPY160617P217")</f>
        <v>N/A</v>
      </c>
      <c r="S709" t="str">
        <f>RTD("tos.rtd", , "THETA", ".SPY160617P217")</f>
        <v>N/A</v>
      </c>
      <c r="T709" t="str">
        <f>RTD("tos.rtd", , "GAMMA", ".SPY160617P217")</f>
        <v>N/A</v>
      </c>
      <c r="U709" t="str">
        <f>RTD("tos.rtd", , "VEGA", ".SPY160617P217")</f>
        <v>N/A</v>
      </c>
      <c r="V709" t="str">
        <f>RTD("tos.rtd", , "RHO", ".SPY160617P217")</f>
        <v>N/A</v>
      </c>
    </row>
    <row r="710" spans="1:22" x14ac:dyDescent="0.25">
      <c r="A710" t="str">
        <f>RTD("tos.rtd", , "ASK", ".SPY160617C217.5")</f>
        <v>N/A</v>
      </c>
      <c r="B710" t="str">
        <f>RTD("tos.rtd", , "ASK_SIZE", ".SPY160617C217.5")</f>
        <v>N/A</v>
      </c>
      <c r="C710" t="str">
        <f>RTD("tos.rtd", , "BID", ".SPY160617C217.5")</f>
        <v>N/A</v>
      </c>
      <c r="D710" t="str">
        <f>RTD("tos.rtd", , "BID_SIZE", ".SPY160617C217.5")</f>
        <v>N/A</v>
      </c>
      <c r="E710" t="str">
        <f>RTD("tos.rtd", , "VOLUME", ".SPY160617C217.5")</f>
        <v>N/A</v>
      </c>
      <c r="F710" t="str">
        <f>RTD("tos.rtd", , "OPEN_INT", ".SPY160617C217.5")</f>
        <v>N/A</v>
      </c>
      <c r="G710" t="str">
        <f>RTD("tos.rtd", , "DELTA", ".SPY160617C217.5")</f>
        <v>N/A</v>
      </c>
      <c r="H710" t="str">
        <f>RTD("tos.rtd", , "THETA", ".SPY160617C217.5")</f>
        <v>N/A</v>
      </c>
      <c r="I710" t="str">
        <f>RTD("tos.rtd", , "GAMMA", ".SPY160617C217.5")</f>
        <v>N/A</v>
      </c>
      <c r="J710" t="str">
        <f>RTD("tos.rtd", , "VEGA", ".SPY160617C217.5")</f>
        <v>N/A</v>
      </c>
      <c r="K710" t="str">
        <f>RTD("tos.rtd", , "RHO", ".SPY160617C217.5")</f>
        <v>N/A</v>
      </c>
      <c r="L710" t="str">
        <f>RTD("tos.rtd", , "ASK", ".SPY160617P217.5")</f>
        <v>N/A</v>
      </c>
      <c r="M710" t="str">
        <f>RTD("tos.rtd", , "ASK_SIZE", ".SPY160617P217.5")</f>
        <v>N/A</v>
      </c>
      <c r="N710" t="str">
        <f>RTD("tos.rtd", , "BID", ".SPY160617P217.5")</f>
        <v>N/A</v>
      </c>
      <c r="O710" t="str">
        <f>RTD("tos.rtd", , "BID_SIZE", ".SPY160617P217.5")</f>
        <v>N/A</v>
      </c>
      <c r="P710" t="str">
        <f>RTD("tos.rtd", , "VOLUME", ".SPY160617P217.5")</f>
        <v>N/A</v>
      </c>
      <c r="Q710" t="str">
        <f>RTD("tos.rtd", , "OPEN_INT", ".SPY160617P217.5")</f>
        <v>N/A</v>
      </c>
      <c r="R710" t="str">
        <f>RTD("tos.rtd", , "DELTA", ".SPY160617P217.5")</f>
        <v>N/A</v>
      </c>
      <c r="S710" t="str">
        <f>RTD("tos.rtd", , "THETA", ".SPY160617P217.5")</f>
        <v>N/A</v>
      </c>
      <c r="T710" t="str">
        <f>RTD("tos.rtd", , "GAMMA", ".SPY160617P217.5")</f>
        <v>N/A</v>
      </c>
      <c r="U710" t="str">
        <f>RTD("tos.rtd", , "VEGA", ".SPY160617P217.5")</f>
        <v>N/A</v>
      </c>
      <c r="V710" t="str">
        <f>RTD("tos.rtd", , "RHO", ".SPY160617P217.5")</f>
        <v>N/A</v>
      </c>
    </row>
    <row r="711" spans="1:22" x14ac:dyDescent="0.25">
      <c r="A711" t="str">
        <f>RTD("tos.rtd", , "ASK", ".SPY160617C218")</f>
        <v>N/A</v>
      </c>
      <c r="B711" t="str">
        <f>RTD("tos.rtd", , "ASK_SIZE", ".SPY160617C218")</f>
        <v>N/A</v>
      </c>
      <c r="C711" t="str">
        <f>RTD("tos.rtd", , "BID", ".SPY160617C218")</f>
        <v>N/A</v>
      </c>
      <c r="D711" t="str">
        <f>RTD("tos.rtd", , "BID_SIZE", ".SPY160617C218")</f>
        <v>N/A</v>
      </c>
      <c r="E711" t="str">
        <f>RTD("tos.rtd", , "VOLUME", ".SPY160617C218")</f>
        <v>N/A</v>
      </c>
      <c r="F711" t="str">
        <f>RTD("tos.rtd", , "OPEN_INT", ".SPY160617C218")</f>
        <v>N/A</v>
      </c>
      <c r="G711" t="str">
        <f>RTD("tos.rtd", , "DELTA", ".SPY160617C218")</f>
        <v>N/A</v>
      </c>
      <c r="H711" t="str">
        <f>RTD("tos.rtd", , "THETA", ".SPY160617C218")</f>
        <v>N/A</v>
      </c>
      <c r="I711" t="str">
        <f>RTD("tos.rtd", , "GAMMA", ".SPY160617C218")</f>
        <v>N/A</v>
      </c>
      <c r="J711" t="str">
        <f>RTD("tos.rtd", , "VEGA", ".SPY160617C218")</f>
        <v>N/A</v>
      </c>
      <c r="K711" t="str">
        <f>RTD("tos.rtd", , "RHO", ".SPY160617C218")</f>
        <v>N/A</v>
      </c>
      <c r="L711" t="str">
        <f>RTD("tos.rtd", , "ASK", ".SPY160617P218")</f>
        <v>N/A</v>
      </c>
      <c r="M711" t="str">
        <f>RTD("tos.rtd", , "ASK_SIZE", ".SPY160617P218")</f>
        <v>N/A</v>
      </c>
      <c r="N711" t="str">
        <f>RTD("tos.rtd", , "BID", ".SPY160617P218")</f>
        <v>N/A</v>
      </c>
      <c r="O711" t="str">
        <f>RTD("tos.rtd", , "BID_SIZE", ".SPY160617P218")</f>
        <v>N/A</v>
      </c>
      <c r="P711" t="str">
        <f>RTD("tos.rtd", , "VOLUME", ".SPY160617P218")</f>
        <v>N/A</v>
      </c>
      <c r="Q711" t="str">
        <f>RTD("tos.rtd", , "OPEN_INT", ".SPY160617P218")</f>
        <v>N/A</v>
      </c>
      <c r="R711" t="str">
        <f>RTD("tos.rtd", , "DELTA", ".SPY160617P218")</f>
        <v>N/A</v>
      </c>
      <c r="S711" t="str">
        <f>RTD("tos.rtd", , "THETA", ".SPY160617P218")</f>
        <v>N/A</v>
      </c>
      <c r="T711" t="str">
        <f>RTD("tos.rtd", , "GAMMA", ".SPY160617P218")</f>
        <v>N/A</v>
      </c>
      <c r="U711" t="str">
        <f>RTD("tos.rtd", , "VEGA", ".SPY160617P218")</f>
        <v>N/A</v>
      </c>
      <c r="V711" t="str">
        <f>RTD("tos.rtd", , "RHO", ".SPY160617P218")</f>
        <v>N/A</v>
      </c>
    </row>
    <row r="712" spans="1:22" x14ac:dyDescent="0.25">
      <c r="A712" t="str">
        <f>RTD("tos.rtd", , "ASK", ".SPY160617C218.5")</f>
        <v>N/A</v>
      </c>
      <c r="B712" t="str">
        <f>RTD("tos.rtd", , "ASK_SIZE", ".SPY160617C218.5")</f>
        <v>N/A</v>
      </c>
      <c r="C712" t="str">
        <f>RTD("tos.rtd", , "BID", ".SPY160617C218.5")</f>
        <v>N/A</v>
      </c>
      <c r="D712" t="str">
        <f>RTD("tos.rtd", , "BID_SIZE", ".SPY160617C218.5")</f>
        <v>N/A</v>
      </c>
      <c r="E712" t="str">
        <f>RTD("tos.rtd", , "VOLUME", ".SPY160617C218.5")</f>
        <v>N/A</v>
      </c>
      <c r="F712" t="str">
        <f>RTD("tos.rtd", , "OPEN_INT", ".SPY160617C218.5")</f>
        <v>N/A</v>
      </c>
      <c r="G712" t="str">
        <f>RTD("tos.rtd", , "DELTA", ".SPY160617C218.5")</f>
        <v>N/A</v>
      </c>
      <c r="H712" t="str">
        <f>RTD("tos.rtd", , "THETA", ".SPY160617C218.5")</f>
        <v>N/A</v>
      </c>
      <c r="I712" t="str">
        <f>RTD("tos.rtd", , "GAMMA", ".SPY160617C218.5")</f>
        <v>N/A</v>
      </c>
      <c r="J712" t="str">
        <f>RTD("tos.rtd", , "VEGA", ".SPY160617C218.5")</f>
        <v>N/A</v>
      </c>
      <c r="K712" t="str">
        <f>RTD("tos.rtd", , "RHO", ".SPY160617C218.5")</f>
        <v>N/A</v>
      </c>
      <c r="L712" t="str">
        <f>RTD("tos.rtd", , "ASK", ".SPY160617P218.5")</f>
        <v>N/A</v>
      </c>
      <c r="M712" t="str">
        <f>RTD("tos.rtd", , "ASK_SIZE", ".SPY160617P218.5")</f>
        <v>N/A</v>
      </c>
      <c r="N712" t="str">
        <f>RTD("tos.rtd", , "BID", ".SPY160617P218.5")</f>
        <v>N/A</v>
      </c>
      <c r="O712" t="str">
        <f>RTD("tos.rtd", , "BID_SIZE", ".SPY160617P218.5")</f>
        <v>N/A</v>
      </c>
      <c r="P712" t="str">
        <f>RTD("tos.rtd", , "VOLUME", ".SPY160617P218.5")</f>
        <v>N/A</v>
      </c>
      <c r="Q712" t="str">
        <f>RTD("tos.rtd", , "OPEN_INT", ".SPY160617P218.5")</f>
        <v>N/A</v>
      </c>
      <c r="R712" t="str">
        <f>RTD("tos.rtd", , "DELTA", ".SPY160617P218.5")</f>
        <v>N/A</v>
      </c>
      <c r="S712" t="str">
        <f>RTD("tos.rtd", , "THETA", ".SPY160617P218.5")</f>
        <v>N/A</v>
      </c>
      <c r="T712" t="str">
        <f>RTD("tos.rtd", , "GAMMA", ".SPY160617P218.5")</f>
        <v>N/A</v>
      </c>
      <c r="U712" t="str">
        <f>RTD("tos.rtd", , "VEGA", ".SPY160617P218.5")</f>
        <v>N/A</v>
      </c>
      <c r="V712" t="str">
        <f>RTD("tos.rtd", , "RHO", ".SPY160617P218.5")</f>
        <v>N/A</v>
      </c>
    </row>
    <row r="713" spans="1:22" x14ac:dyDescent="0.25">
      <c r="A713" t="str">
        <f>RTD("tos.rtd", , "ASK", ".SPY160617C219")</f>
        <v>N/A</v>
      </c>
      <c r="B713" t="str">
        <f>RTD("tos.rtd", , "ASK_SIZE", ".SPY160617C219")</f>
        <v>N/A</v>
      </c>
      <c r="C713" t="str">
        <f>RTD("tos.rtd", , "BID", ".SPY160617C219")</f>
        <v>N/A</v>
      </c>
      <c r="D713" t="str">
        <f>RTD("tos.rtd", , "BID_SIZE", ".SPY160617C219")</f>
        <v>N/A</v>
      </c>
      <c r="E713" t="str">
        <f>RTD("tos.rtd", , "VOLUME", ".SPY160617C219")</f>
        <v>N/A</v>
      </c>
      <c r="F713" t="str">
        <f>RTD("tos.rtd", , "OPEN_INT", ".SPY160617C219")</f>
        <v>N/A</v>
      </c>
      <c r="G713" t="str">
        <f>RTD("tos.rtd", , "DELTA", ".SPY160617C219")</f>
        <v>N/A</v>
      </c>
      <c r="H713" t="str">
        <f>RTD("tos.rtd", , "THETA", ".SPY160617C219")</f>
        <v>N/A</v>
      </c>
      <c r="I713" t="str">
        <f>RTD("tos.rtd", , "GAMMA", ".SPY160617C219")</f>
        <v>N/A</v>
      </c>
      <c r="J713" t="str">
        <f>RTD("tos.rtd", , "VEGA", ".SPY160617C219")</f>
        <v>N/A</v>
      </c>
      <c r="K713" t="str">
        <f>RTD("tos.rtd", , "RHO", ".SPY160617C219")</f>
        <v>N/A</v>
      </c>
      <c r="L713" t="str">
        <f>RTD("tos.rtd", , "ASK", ".SPY160617P219")</f>
        <v>N/A</v>
      </c>
      <c r="M713" t="str">
        <f>RTD("tos.rtd", , "ASK_SIZE", ".SPY160617P219")</f>
        <v>N/A</v>
      </c>
      <c r="N713" t="str">
        <f>RTD("tos.rtd", , "BID", ".SPY160617P219")</f>
        <v>N/A</v>
      </c>
      <c r="O713" t="str">
        <f>RTD("tos.rtd", , "BID_SIZE", ".SPY160617P219")</f>
        <v>N/A</v>
      </c>
      <c r="P713" t="str">
        <f>RTD("tos.rtd", , "VOLUME", ".SPY160617P219")</f>
        <v>N/A</v>
      </c>
      <c r="Q713" t="str">
        <f>RTD("tos.rtd", , "OPEN_INT", ".SPY160617P219")</f>
        <v>N/A</v>
      </c>
      <c r="R713" t="str">
        <f>RTD("tos.rtd", , "DELTA", ".SPY160617P219")</f>
        <v>N/A</v>
      </c>
      <c r="S713" t="str">
        <f>RTD("tos.rtd", , "THETA", ".SPY160617P219")</f>
        <v>N/A</v>
      </c>
      <c r="T713" t="str">
        <f>RTD("tos.rtd", , "GAMMA", ".SPY160617P219")</f>
        <v>N/A</v>
      </c>
      <c r="U713" t="str">
        <f>RTD("tos.rtd", , "VEGA", ".SPY160617P219")</f>
        <v>N/A</v>
      </c>
      <c r="V713" t="str">
        <f>RTD("tos.rtd", , "RHO", ".SPY160617P219")</f>
        <v>N/A</v>
      </c>
    </row>
    <row r="714" spans="1:22" x14ac:dyDescent="0.25">
      <c r="A714" t="str">
        <f>RTD("tos.rtd", , "ASK", ".SPY160617C219.5")</f>
        <v>N/A</v>
      </c>
      <c r="B714" t="str">
        <f>RTD("tos.rtd", , "ASK_SIZE", ".SPY160617C219.5")</f>
        <v>N/A</v>
      </c>
      <c r="C714" t="str">
        <f>RTD("tos.rtd", , "BID", ".SPY160617C219.5")</f>
        <v>N/A</v>
      </c>
      <c r="D714" t="str">
        <f>RTD("tos.rtd", , "BID_SIZE", ".SPY160617C219.5")</f>
        <v>N/A</v>
      </c>
      <c r="E714" t="str">
        <f>RTD("tos.rtd", , "VOLUME", ".SPY160617C219.5")</f>
        <v>N/A</v>
      </c>
      <c r="F714" t="str">
        <f>RTD("tos.rtd", , "OPEN_INT", ".SPY160617C219.5")</f>
        <v>N/A</v>
      </c>
      <c r="G714" t="str">
        <f>RTD("tos.rtd", , "DELTA", ".SPY160617C219.5")</f>
        <v>N/A</v>
      </c>
      <c r="H714" t="str">
        <f>RTD("tos.rtd", , "THETA", ".SPY160617C219.5")</f>
        <v>N/A</v>
      </c>
      <c r="I714" t="str">
        <f>RTD("tos.rtd", , "GAMMA", ".SPY160617C219.5")</f>
        <v>N/A</v>
      </c>
      <c r="J714" t="str">
        <f>RTD("tos.rtd", , "VEGA", ".SPY160617C219.5")</f>
        <v>N/A</v>
      </c>
      <c r="K714" t="str">
        <f>RTD("tos.rtd", , "RHO", ".SPY160617C219.5")</f>
        <v>N/A</v>
      </c>
      <c r="L714" t="str">
        <f>RTD("tos.rtd", , "ASK", ".SPY160617P219.5")</f>
        <v>N/A</v>
      </c>
      <c r="M714" t="str">
        <f>RTD("tos.rtd", , "ASK_SIZE", ".SPY160617P219.5")</f>
        <v>N/A</v>
      </c>
      <c r="N714" t="str">
        <f>RTD("tos.rtd", , "BID", ".SPY160617P219.5")</f>
        <v>N/A</v>
      </c>
      <c r="O714" t="str">
        <f>RTD("tos.rtd", , "BID_SIZE", ".SPY160617P219.5")</f>
        <v>N/A</v>
      </c>
      <c r="P714" t="str">
        <f>RTD("tos.rtd", , "VOLUME", ".SPY160617P219.5")</f>
        <v>N/A</v>
      </c>
      <c r="Q714" t="str">
        <f>RTD("tos.rtd", , "OPEN_INT", ".SPY160617P219.5")</f>
        <v>N/A</v>
      </c>
      <c r="R714" t="str">
        <f>RTD("tos.rtd", , "DELTA", ".SPY160617P219.5")</f>
        <v>N/A</v>
      </c>
      <c r="S714" t="str">
        <f>RTD("tos.rtd", , "THETA", ".SPY160617P219.5")</f>
        <v>N/A</v>
      </c>
      <c r="T714" t="str">
        <f>RTD("tos.rtd", , "GAMMA", ".SPY160617P219.5")</f>
        <v>N/A</v>
      </c>
      <c r="U714" t="str">
        <f>RTD("tos.rtd", , "VEGA", ".SPY160617P219.5")</f>
        <v>N/A</v>
      </c>
      <c r="V714" t="str">
        <f>RTD("tos.rtd", , "RHO", ".SPY160617P219.5")</f>
        <v>N/A</v>
      </c>
    </row>
    <row r="715" spans="1:22" x14ac:dyDescent="0.25">
      <c r="A715" t="s">
        <v>17</v>
      </c>
      <c r="B715">
        <v>40</v>
      </c>
    </row>
    <row r="716" spans="1:22" x14ac:dyDescent="0.25">
      <c r="A716">
        <f>RTD("tos.rtd", ,"LAST", "SPY")</f>
        <v>211.32</v>
      </c>
    </row>
    <row r="717" spans="1:22" x14ac:dyDescent="0.25">
      <c r="A717">
        <f>RTD("tos.rtd", , "ASK", ".SPY160916C200")</f>
        <v>22.36</v>
      </c>
      <c r="B717">
        <f>RTD("tos.rtd", , "ASK_SIZE", ".SPY160916C200")</f>
        <v>196</v>
      </c>
      <c r="C717">
        <f>RTD("tos.rtd", , "BID", ".SPY160916C200")</f>
        <v>21.86</v>
      </c>
      <c r="D717">
        <f>RTD("tos.rtd", , "BID_SIZE", ".SPY160916C200")</f>
        <v>173</v>
      </c>
      <c r="E717">
        <f>RTD("tos.rtd", , "VOLUME", ".SPY160916C200")</f>
        <v>0</v>
      </c>
      <c r="F717">
        <f>RTD("tos.rtd", , "OPEN_INT", ".SPY160916C200")</f>
        <v>218</v>
      </c>
      <c r="G717">
        <f>RTD("tos.rtd", , "DELTA", ".SPY160916C200")</f>
        <v>0.61275999999999997</v>
      </c>
      <c r="H717">
        <f>RTD("tos.rtd", , "THETA", ".SPY160916C200")</f>
        <v>-1.3220000000000001E-2</v>
      </c>
      <c r="I717">
        <f>RTD("tos.rtd", , "GAMMA", ".SPY160916C200")</f>
        <v>8.7799999999999996E-3</v>
      </c>
      <c r="J717">
        <f>RTD("tos.rtd", , "VEGA", ".SPY160916C200")</f>
        <v>0.91990000000000005</v>
      </c>
      <c r="K717">
        <f>RTD("tos.rtd", , "RHO", ".SPY160916C200")</f>
        <v>1.1608000000000001</v>
      </c>
      <c r="L717">
        <f>RTD("tos.rtd", , "ASK", ".SPY160916P200")</f>
        <v>14.22</v>
      </c>
      <c r="M717">
        <f>RTD("tos.rtd", , "ASK_SIZE", ".SPY160916P200")</f>
        <v>1656</v>
      </c>
      <c r="N717">
        <f>RTD("tos.rtd", , "BID", ".SPY160916P200")</f>
        <v>13.71</v>
      </c>
      <c r="O717">
        <f>RTD("tos.rtd", , "BID_SIZE", ".SPY160916P200")</f>
        <v>1675</v>
      </c>
      <c r="P717">
        <f>RTD("tos.rtd", , "VOLUME", ".SPY160916P200")</f>
        <v>0</v>
      </c>
      <c r="Q717">
        <f>RTD("tos.rtd", , "OPEN_INT", ".SPY160916P200")</f>
        <v>50</v>
      </c>
      <c r="R717">
        <f>RTD("tos.rtd", , "DELTA", ".SPY160916P200")</f>
        <v>-0.38400000000000001</v>
      </c>
      <c r="S717">
        <f>RTD("tos.rtd", , "THETA", ".SPY160916P200")</f>
        <v>-2.017E-2</v>
      </c>
      <c r="T717">
        <f>RTD("tos.rtd", , "GAMMA", ".SPY160916P200")</f>
        <v>8.3000000000000001E-3</v>
      </c>
      <c r="U717">
        <f>RTD("tos.rtd", , "VEGA", ".SPY160916P200")</f>
        <v>0.93074999999999997</v>
      </c>
      <c r="V717">
        <f>RTD("tos.rtd", , "RHO", ".SPY160916P200")</f>
        <v>-1.3036099999999999</v>
      </c>
    </row>
    <row r="718" spans="1:22" x14ac:dyDescent="0.25">
      <c r="A718" t="str">
        <f>RTD("tos.rtd", , "ASK", ".SPY160916C200.5")</f>
        <v>N/A</v>
      </c>
      <c r="B718" t="str">
        <f>RTD("tos.rtd", , "ASK_SIZE", ".SPY160916C200.5")</f>
        <v>N/A</v>
      </c>
      <c r="C718" t="str">
        <f>RTD("tos.rtd", , "BID", ".SPY160916C200.5")</f>
        <v>N/A</v>
      </c>
      <c r="D718" t="str">
        <f>RTD("tos.rtd", , "BID_SIZE", ".SPY160916C200.5")</f>
        <v>N/A</v>
      </c>
      <c r="E718" t="str">
        <f>RTD("tos.rtd", , "VOLUME", ".SPY160916C200.5")</f>
        <v>N/A</v>
      </c>
      <c r="F718" t="str">
        <f>RTD("tos.rtd", , "OPEN_INT", ".SPY160916C200.5")</f>
        <v>N/A</v>
      </c>
      <c r="G718" t="str">
        <f>RTD("tos.rtd", , "DELTA", ".SPY160916C200.5")</f>
        <v>N/A</v>
      </c>
      <c r="H718" t="str">
        <f>RTD("tos.rtd", , "THETA", ".SPY160916C200.5")</f>
        <v>N/A</v>
      </c>
      <c r="I718" t="str">
        <f>RTD("tos.rtd", , "GAMMA", ".SPY160916C200.5")</f>
        <v>N/A</v>
      </c>
      <c r="J718" t="str">
        <f>RTD("tos.rtd", , "VEGA", ".SPY160916C200.5")</f>
        <v>N/A</v>
      </c>
      <c r="K718" t="str">
        <f>RTD("tos.rtd", , "RHO", ".SPY160916C200.5")</f>
        <v>N/A</v>
      </c>
      <c r="L718" t="str">
        <f>RTD("tos.rtd", , "ASK", ".SPY160916P200.5")</f>
        <v>N/A</v>
      </c>
      <c r="M718" t="str">
        <f>RTD("tos.rtd", , "ASK_SIZE", ".SPY160916P200.5")</f>
        <v>N/A</v>
      </c>
      <c r="N718" t="str">
        <f>RTD("tos.rtd", , "BID", ".SPY160916P200.5")</f>
        <v>N/A</v>
      </c>
      <c r="O718" t="str">
        <f>RTD("tos.rtd", , "BID_SIZE", ".SPY160916P200.5")</f>
        <v>N/A</v>
      </c>
      <c r="P718" t="str">
        <f>RTD("tos.rtd", , "VOLUME", ".SPY160916P200.5")</f>
        <v>N/A</v>
      </c>
      <c r="Q718" t="str">
        <f>RTD("tos.rtd", , "OPEN_INT", ".SPY160916P200.5")</f>
        <v>N/A</v>
      </c>
      <c r="R718" t="str">
        <f>RTD("tos.rtd", , "DELTA", ".SPY160916P200.5")</f>
        <v>N/A</v>
      </c>
      <c r="S718" t="str">
        <f>RTD("tos.rtd", , "THETA", ".SPY160916P200.5")</f>
        <v>N/A</v>
      </c>
      <c r="T718" t="str">
        <f>RTD("tos.rtd", , "GAMMA", ".SPY160916P200.5")</f>
        <v>N/A</v>
      </c>
      <c r="U718" t="str">
        <f>RTD("tos.rtd", , "VEGA", ".SPY160916P200.5")</f>
        <v>N/A</v>
      </c>
      <c r="V718" t="str">
        <f>RTD("tos.rtd", , "RHO", ".SPY160916P200.5")</f>
        <v>N/A</v>
      </c>
    </row>
    <row r="719" spans="1:22" x14ac:dyDescent="0.25">
      <c r="A719" t="str">
        <f>RTD("tos.rtd", , "ASK", ".SPY160916C201")</f>
        <v>N/A</v>
      </c>
      <c r="B719" t="str">
        <f>RTD("tos.rtd", , "ASK_SIZE", ".SPY160916C201")</f>
        <v>N/A</v>
      </c>
      <c r="C719" t="str">
        <f>RTD("tos.rtd", , "BID", ".SPY160916C201")</f>
        <v>N/A</v>
      </c>
      <c r="D719" t="str">
        <f>RTD("tos.rtd", , "BID_SIZE", ".SPY160916C201")</f>
        <v>N/A</v>
      </c>
      <c r="E719" t="str">
        <f>RTD("tos.rtd", , "VOLUME", ".SPY160916C201")</f>
        <v>N/A</v>
      </c>
      <c r="F719" t="str">
        <f>RTD("tos.rtd", , "OPEN_INT", ".SPY160916C201")</f>
        <v>N/A</v>
      </c>
      <c r="G719" t="str">
        <f>RTD("tos.rtd", , "DELTA", ".SPY160916C201")</f>
        <v>N/A</v>
      </c>
      <c r="H719" t="str">
        <f>RTD("tos.rtd", , "THETA", ".SPY160916C201")</f>
        <v>N/A</v>
      </c>
      <c r="I719" t="str">
        <f>RTD("tos.rtd", , "GAMMA", ".SPY160916C201")</f>
        <v>N/A</v>
      </c>
      <c r="J719" t="str">
        <f>RTD("tos.rtd", , "VEGA", ".SPY160916C201")</f>
        <v>N/A</v>
      </c>
      <c r="K719" t="str">
        <f>RTD("tos.rtd", , "RHO", ".SPY160916C201")</f>
        <v>N/A</v>
      </c>
      <c r="L719" t="str">
        <f>RTD("tos.rtd", , "ASK", ".SPY160916P201")</f>
        <v>N/A</v>
      </c>
      <c r="M719" t="str">
        <f>RTD("tos.rtd", , "ASK_SIZE", ".SPY160916P201")</f>
        <v>N/A</v>
      </c>
      <c r="N719" t="str">
        <f>RTD("tos.rtd", , "BID", ".SPY160916P201")</f>
        <v>N/A</v>
      </c>
      <c r="O719" t="str">
        <f>RTD("tos.rtd", , "BID_SIZE", ".SPY160916P201")</f>
        <v>N/A</v>
      </c>
      <c r="P719" t="str">
        <f>RTD("tos.rtd", , "VOLUME", ".SPY160916P201")</f>
        <v>N/A</v>
      </c>
      <c r="Q719" t="str">
        <f>RTD("tos.rtd", , "OPEN_INT", ".SPY160916P201")</f>
        <v>N/A</v>
      </c>
      <c r="R719" t="str">
        <f>RTD("tos.rtd", , "DELTA", ".SPY160916P201")</f>
        <v>N/A</v>
      </c>
      <c r="S719" t="str">
        <f>RTD("tos.rtd", , "THETA", ".SPY160916P201")</f>
        <v>N/A</v>
      </c>
      <c r="T719" t="str">
        <f>RTD("tos.rtd", , "GAMMA", ".SPY160916P201")</f>
        <v>N/A</v>
      </c>
      <c r="U719" t="str">
        <f>RTD("tos.rtd", , "VEGA", ".SPY160916P201")</f>
        <v>N/A</v>
      </c>
      <c r="V719" t="str">
        <f>RTD("tos.rtd", , "RHO", ".SPY160916P201")</f>
        <v>N/A</v>
      </c>
    </row>
    <row r="720" spans="1:22" x14ac:dyDescent="0.25">
      <c r="A720" t="str">
        <f>RTD("tos.rtd", , "ASK", ".SPY160916C201.5")</f>
        <v>N/A</v>
      </c>
      <c r="B720" t="str">
        <f>RTD("tos.rtd", , "ASK_SIZE", ".SPY160916C201.5")</f>
        <v>N/A</v>
      </c>
      <c r="C720" t="str">
        <f>RTD("tos.rtd", , "BID", ".SPY160916C201.5")</f>
        <v>N/A</v>
      </c>
      <c r="D720" t="str">
        <f>RTD("tos.rtd", , "BID_SIZE", ".SPY160916C201.5")</f>
        <v>N/A</v>
      </c>
      <c r="E720" t="str">
        <f>RTD("tos.rtd", , "VOLUME", ".SPY160916C201.5")</f>
        <v>N/A</v>
      </c>
      <c r="F720" t="str">
        <f>RTD("tos.rtd", , "OPEN_INT", ".SPY160916C201.5")</f>
        <v>N/A</v>
      </c>
      <c r="G720" t="str">
        <f>RTD("tos.rtd", , "DELTA", ".SPY160916C201.5")</f>
        <v>N/A</v>
      </c>
      <c r="H720" t="str">
        <f>RTD("tos.rtd", , "THETA", ".SPY160916C201.5")</f>
        <v>N/A</v>
      </c>
      <c r="I720" t="str">
        <f>RTD("tos.rtd", , "GAMMA", ".SPY160916C201.5")</f>
        <v>N/A</v>
      </c>
      <c r="J720" t="str">
        <f>RTD("tos.rtd", , "VEGA", ".SPY160916C201.5")</f>
        <v>N/A</v>
      </c>
      <c r="K720" t="str">
        <f>RTD("tos.rtd", , "RHO", ".SPY160916C201.5")</f>
        <v>N/A</v>
      </c>
      <c r="L720" t="str">
        <f>RTD("tos.rtd", , "ASK", ".SPY160916P201.5")</f>
        <v>N/A</v>
      </c>
      <c r="M720" t="str">
        <f>RTD("tos.rtd", , "ASK_SIZE", ".SPY160916P201.5")</f>
        <v>N/A</v>
      </c>
      <c r="N720" t="str">
        <f>RTD("tos.rtd", , "BID", ".SPY160916P201.5")</f>
        <v>N/A</v>
      </c>
      <c r="O720" t="str">
        <f>RTD("tos.rtd", , "BID_SIZE", ".SPY160916P201.5")</f>
        <v>N/A</v>
      </c>
      <c r="P720" t="str">
        <f>RTD("tos.rtd", , "VOLUME", ".SPY160916P201.5")</f>
        <v>N/A</v>
      </c>
      <c r="Q720" t="str">
        <f>RTD("tos.rtd", , "OPEN_INT", ".SPY160916P201.5")</f>
        <v>N/A</v>
      </c>
      <c r="R720" t="str">
        <f>RTD("tos.rtd", , "DELTA", ".SPY160916P201.5")</f>
        <v>N/A</v>
      </c>
      <c r="S720" t="str">
        <f>RTD("tos.rtd", , "THETA", ".SPY160916P201.5")</f>
        <v>N/A</v>
      </c>
      <c r="T720" t="str">
        <f>RTD("tos.rtd", , "GAMMA", ".SPY160916P201.5")</f>
        <v>N/A</v>
      </c>
      <c r="U720" t="str">
        <f>RTD("tos.rtd", , "VEGA", ".SPY160916P201.5")</f>
        <v>N/A</v>
      </c>
      <c r="V720" t="str">
        <f>RTD("tos.rtd", , "RHO", ".SPY160916P201.5")</f>
        <v>N/A</v>
      </c>
    </row>
    <row r="721" spans="1:22" x14ac:dyDescent="0.25">
      <c r="A721" t="str">
        <f>RTD("tos.rtd", , "ASK", ".SPY160916C202")</f>
        <v>N/A</v>
      </c>
      <c r="B721" t="str">
        <f>RTD("tos.rtd", , "ASK_SIZE", ".SPY160916C202")</f>
        <v>N/A</v>
      </c>
      <c r="C721" t="str">
        <f>RTD("tos.rtd", , "BID", ".SPY160916C202")</f>
        <v>N/A</v>
      </c>
      <c r="D721" t="str">
        <f>RTD("tos.rtd", , "BID_SIZE", ".SPY160916C202")</f>
        <v>N/A</v>
      </c>
      <c r="E721" t="str">
        <f>RTD("tos.rtd", , "VOLUME", ".SPY160916C202")</f>
        <v>N/A</v>
      </c>
      <c r="F721" t="str">
        <f>RTD("tos.rtd", , "OPEN_INT", ".SPY160916C202")</f>
        <v>N/A</v>
      </c>
      <c r="G721" t="str">
        <f>RTD("tos.rtd", , "DELTA", ".SPY160916C202")</f>
        <v>N/A</v>
      </c>
      <c r="H721" t="str">
        <f>RTD("tos.rtd", , "THETA", ".SPY160916C202")</f>
        <v>N/A</v>
      </c>
      <c r="I721" t="str">
        <f>RTD("tos.rtd", , "GAMMA", ".SPY160916C202")</f>
        <v>N/A</v>
      </c>
      <c r="J721" t="str">
        <f>RTD("tos.rtd", , "VEGA", ".SPY160916C202")</f>
        <v>N/A</v>
      </c>
      <c r="K721" t="str">
        <f>RTD("tos.rtd", , "RHO", ".SPY160916C202")</f>
        <v>N/A</v>
      </c>
      <c r="L721" t="str">
        <f>RTD("tos.rtd", , "ASK", ".SPY160916P202")</f>
        <v>N/A</v>
      </c>
      <c r="M721" t="str">
        <f>RTD("tos.rtd", , "ASK_SIZE", ".SPY160916P202")</f>
        <v>N/A</v>
      </c>
      <c r="N721" t="str">
        <f>RTD("tos.rtd", , "BID", ".SPY160916P202")</f>
        <v>N/A</v>
      </c>
      <c r="O721" t="str">
        <f>RTD("tos.rtd", , "BID_SIZE", ".SPY160916P202")</f>
        <v>N/A</v>
      </c>
      <c r="P721" t="str">
        <f>RTD("tos.rtd", , "VOLUME", ".SPY160916P202")</f>
        <v>N/A</v>
      </c>
      <c r="Q721" t="str">
        <f>RTD("tos.rtd", , "OPEN_INT", ".SPY160916P202")</f>
        <v>N/A</v>
      </c>
      <c r="R721" t="str">
        <f>RTD("tos.rtd", , "DELTA", ".SPY160916P202")</f>
        <v>N/A</v>
      </c>
      <c r="S721" t="str">
        <f>RTD("tos.rtd", , "THETA", ".SPY160916P202")</f>
        <v>N/A</v>
      </c>
      <c r="T721" t="str">
        <f>RTD("tos.rtd", , "GAMMA", ".SPY160916P202")</f>
        <v>N/A</v>
      </c>
      <c r="U721" t="str">
        <f>RTD("tos.rtd", , "VEGA", ".SPY160916P202")</f>
        <v>N/A</v>
      </c>
      <c r="V721" t="str">
        <f>RTD("tos.rtd", , "RHO", ".SPY160916P202")</f>
        <v>N/A</v>
      </c>
    </row>
    <row r="722" spans="1:22" x14ac:dyDescent="0.25">
      <c r="A722" t="str">
        <f>RTD("tos.rtd", , "ASK", ".SPY160916C202.5")</f>
        <v>N/A</v>
      </c>
      <c r="B722" t="str">
        <f>RTD("tos.rtd", , "ASK_SIZE", ".SPY160916C202.5")</f>
        <v>N/A</v>
      </c>
      <c r="C722" t="str">
        <f>RTD("tos.rtd", , "BID", ".SPY160916C202.5")</f>
        <v>N/A</v>
      </c>
      <c r="D722" t="str">
        <f>RTD("tos.rtd", , "BID_SIZE", ".SPY160916C202.5")</f>
        <v>N/A</v>
      </c>
      <c r="E722" t="str">
        <f>RTD("tos.rtd", , "VOLUME", ".SPY160916C202.5")</f>
        <v>N/A</v>
      </c>
      <c r="F722" t="str">
        <f>RTD("tos.rtd", , "OPEN_INT", ".SPY160916C202.5")</f>
        <v>N/A</v>
      </c>
      <c r="G722" t="str">
        <f>RTD("tos.rtd", , "DELTA", ".SPY160916C202.5")</f>
        <v>N/A</v>
      </c>
      <c r="H722" t="str">
        <f>RTD("tos.rtd", , "THETA", ".SPY160916C202.5")</f>
        <v>N/A</v>
      </c>
      <c r="I722" t="str">
        <f>RTD("tos.rtd", , "GAMMA", ".SPY160916C202.5")</f>
        <v>N/A</v>
      </c>
      <c r="J722" t="str">
        <f>RTD("tos.rtd", , "VEGA", ".SPY160916C202.5")</f>
        <v>N/A</v>
      </c>
      <c r="K722" t="str">
        <f>RTD("tos.rtd", , "RHO", ".SPY160916C202.5")</f>
        <v>N/A</v>
      </c>
      <c r="L722" t="str">
        <f>RTD("tos.rtd", , "ASK", ".SPY160916P202.5")</f>
        <v>N/A</v>
      </c>
      <c r="M722" t="str">
        <f>RTD("tos.rtd", , "ASK_SIZE", ".SPY160916P202.5")</f>
        <v>N/A</v>
      </c>
      <c r="N722" t="str">
        <f>RTD("tos.rtd", , "BID", ".SPY160916P202.5")</f>
        <v>N/A</v>
      </c>
      <c r="O722" t="str">
        <f>RTD("tos.rtd", , "BID_SIZE", ".SPY160916P202.5")</f>
        <v>N/A</v>
      </c>
      <c r="P722" t="str">
        <f>RTD("tos.rtd", , "VOLUME", ".SPY160916P202.5")</f>
        <v>N/A</v>
      </c>
      <c r="Q722" t="str">
        <f>RTD("tos.rtd", , "OPEN_INT", ".SPY160916P202.5")</f>
        <v>N/A</v>
      </c>
      <c r="R722" t="str">
        <f>RTD("tos.rtd", , "DELTA", ".SPY160916P202.5")</f>
        <v>N/A</v>
      </c>
      <c r="S722" t="str">
        <f>RTD("tos.rtd", , "THETA", ".SPY160916P202.5")</f>
        <v>N/A</v>
      </c>
      <c r="T722" t="str">
        <f>RTD("tos.rtd", , "GAMMA", ".SPY160916P202.5")</f>
        <v>N/A</v>
      </c>
      <c r="U722" t="str">
        <f>RTD("tos.rtd", , "VEGA", ".SPY160916P202.5")</f>
        <v>N/A</v>
      </c>
      <c r="V722" t="str">
        <f>RTD("tos.rtd", , "RHO", ".SPY160916P202.5")</f>
        <v>N/A</v>
      </c>
    </row>
    <row r="723" spans="1:22" x14ac:dyDescent="0.25">
      <c r="A723" t="str">
        <f>RTD("tos.rtd", , "ASK", ".SPY160916C203")</f>
        <v>N/A</v>
      </c>
      <c r="B723" t="str">
        <f>RTD("tos.rtd", , "ASK_SIZE", ".SPY160916C203")</f>
        <v>N/A</v>
      </c>
      <c r="C723" t="str">
        <f>RTD("tos.rtd", , "BID", ".SPY160916C203")</f>
        <v>N/A</v>
      </c>
      <c r="D723" t="str">
        <f>RTD("tos.rtd", , "BID_SIZE", ".SPY160916C203")</f>
        <v>N/A</v>
      </c>
      <c r="E723" t="str">
        <f>RTD("tos.rtd", , "VOLUME", ".SPY160916C203")</f>
        <v>N/A</v>
      </c>
      <c r="F723" t="str">
        <f>RTD("tos.rtd", , "OPEN_INT", ".SPY160916C203")</f>
        <v>N/A</v>
      </c>
      <c r="G723" t="str">
        <f>RTD("tos.rtd", , "DELTA", ".SPY160916C203")</f>
        <v>N/A</v>
      </c>
      <c r="H723" t="str">
        <f>RTD("tos.rtd", , "THETA", ".SPY160916C203")</f>
        <v>N/A</v>
      </c>
      <c r="I723" t="str">
        <f>RTD("tos.rtd", , "GAMMA", ".SPY160916C203")</f>
        <v>N/A</v>
      </c>
      <c r="J723" t="str">
        <f>RTD("tos.rtd", , "VEGA", ".SPY160916C203")</f>
        <v>N/A</v>
      </c>
      <c r="K723" t="str">
        <f>RTD("tos.rtd", , "RHO", ".SPY160916C203")</f>
        <v>N/A</v>
      </c>
      <c r="L723" t="str">
        <f>RTD("tos.rtd", , "ASK", ".SPY160916P203")</f>
        <v>N/A</v>
      </c>
      <c r="M723" t="str">
        <f>RTD("tos.rtd", , "ASK_SIZE", ".SPY160916P203")</f>
        <v>N/A</v>
      </c>
      <c r="N723" t="str">
        <f>RTD("tos.rtd", , "BID", ".SPY160916P203")</f>
        <v>N/A</v>
      </c>
      <c r="O723" t="str">
        <f>RTD("tos.rtd", , "BID_SIZE", ".SPY160916P203")</f>
        <v>N/A</v>
      </c>
      <c r="P723" t="str">
        <f>RTD("tos.rtd", , "VOLUME", ".SPY160916P203")</f>
        <v>N/A</v>
      </c>
      <c r="Q723" t="str">
        <f>RTD("tos.rtd", , "OPEN_INT", ".SPY160916P203")</f>
        <v>N/A</v>
      </c>
      <c r="R723" t="str">
        <f>RTD("tos.rtd", , "DELTA", ".SPY160916P203")</f>
        <v>N/A</v>
      </c>
      <c r="S723" t="str">
        <f>RTD("tos.rtd", , "THETA", ".SPY160916P203")</f>
        <v>N/A</v>
      </c>
      <c r="T723" t="str">
        <f>RTD("tos.rtd", , "GAMMA", ".SPY160916P203")</f>
        <v>N/A</v>
      </c>
      <c r="U723" t="str">
        <f>RTD("tos.rtd", , "VEGA", ".SPY160916P203")</f>
        <v>N/A</v>
      </c>
      <c r="V723" t="str">
        <f>RTD("tos.rtd", , "RHO", ".SPY160916P203")</f>
        <v>N/A</v>
      </c>
    </row>
    <row r="724" spans="1:22" x14ac:dyDescent="0.25">
      <c r="A724" t="str">
        <f>RTD("tos.rtd", , "ASK", ".SPY160916C203.5")</f>
        <v>N/A</v>
      </c>
      <c r="B724" t="str">
        <f>RTD("tos.rtd", , "ASK_SIZE", ".SPY160916C203.5")</f>
        <v>N/A</v>
      </c>
      <c r="C724" t="str">
        <f>RTD("tos.rtd", , "BID", ".SPY160916C203.5")</f>
        <v>N/A</v>
      </c>
      <c r="D724" t="str">
        <f>RTD("tos.rtd", , "BID_SIZE", ".SPY160916C203.5")</f>
        <v>N/A</v>
      </c>
      <c r="E724" t="str">
        <f>RTD("tos.rtd", , "VOLUME", ".SPY160916C203.5")</f>
        <v>N/A</v>
      </c>
      <c r="F724" t="str">
        <f>RTD("tos.rtd", , "OPEN_INT", ".SPY160916C203.5")</f>
        <v>N/A</v>
      </c>
      <c r="G724" t="str">
        <f>RTD("tos.rtd", , "DELTA", ".SPY160916C203.5")</f>
        <v>N/A</v>
      </c>
      <c r="H724" t="str">
        <f>RTD("tos.rtd", , "THETA", ".SPY160916C203.5")</f>
        <v>N/A</v>
      </c>
      <c r="I724" t="str">
        <f>RTD("tos.rtd", , "GAMMA", ".SPY160916C203.5")</f>
        <v>N/A</v>
      </c>
      <c r="J724" t="str">
        <f>RTD("tos.rtd", , "VEGA", ".SPY160916C203.5")</f>
        <v>N/A</v>
      </c>
      <c r="K724" t="str">
        <f>RTD("tos.rtd", , "RHO", ".SPY160916C203.5")</f>
        <v>N/A</v>
      </c>
      <c r="L724" t="str">
        <f>RTD("tos.rtd", , "ASK", ".SPY160916P203.5")</f>
        <v>N/A</v>
      </c>
      <c r="M724" t="str">
        <f>RTD("tos.rtd", , "ASK_SIZE", ".SPY160916P203.5")</f>
        <v>N/A</v>
      </c>
      <c r="N724" t="str">
        <f>RTD("tos.rtd", , "BID", ".SPY160916P203.5")</f>
        <v>N/A</v>
      </c>
      <c r="O724" t="str">
        <f>RTD("tos.rtd", , "BID_SIZE", ".SPY160916P203.5")</f>
        <v>N/A</v>
      </c>
      <c r="P724" t="str">
        <f>RTD("tos.rtd", , "VOLUME", ".SPY160916P203.5")</f>
        <v>N/A</v>
      </c>
      <c r="Q724" t="str">
        <f>RTD("tos.rtd", , "OPEN_INT", ".SPY160916P203.5")</f>
        <v>N/A</v>
      </c>
      <c r="R724" t="str">
        <f>RTD("tos.rtd", , "DELTA", ".SPY160916P203.5")</f>
        <v>N/A</v>
      </c>
      <c r="S724" t="str">
        <f>RTD("tos.rtd", , "THETA", ".SPY160916P203.5")</f>
        <v>N/A</v>
      </c>
      <c r="T724" t="str">
        <f>RTD("tos.rtd", , "GAMMA", ".SPY160916P203.5")</f>
        <v>N/A</v>
      </c>
      <c r="U724" t="str">
        <f>RTD("tos.rtd", , "VEGA", ".SPY160916P203.5")</f>
        <v>N/A</v>
      </c>
      <c r="V724" t="str">
        <f>RTD("tos.rtd", , "RHO", ".SPY160916P203.5")</f>
        <v>N/A</v>
      </c>
    </row>
    <row r="725" spans="1:22" x14ac:dyDescent="0.25">
      <c r="A725" t="str">
        <f>RTD("tos.rtd", , "ASK", ".SPY160916C204")</f>
        <v>N/A</v>
      </c>
      <c r="B725" t="str">
        <f>RTD("tos.rtd", , "ASK_SIZE", ".SPY160916C204")</f>
        <v>N/A</v>
      </c>
      <c r="C725" t="str">
        <f>RTD("tos.rtd", , "BID", ".SPY160916C204")</f>
        <v>N/A</v>
      </c>
      <c r="D725" t="str">
        <f>RTD("tos.rtd", , "BID_SIZE", ".SPY160916C204")</f>
        <v>N/A</v>
      </c>
      <c r="E725" t="str">
        <f>RTD("tos.rtd", , "VOLUME", ".SPY160916C204")</f>
        <v>N/A</v>
      </c>
      <c r="F725" t="str">
        <f>RTD("tos.rtd", , "OPEN_INT", ".SPY160916C204")</f>
        <v>N/A</v>
      </c>
      <c r="G725" t="str">
        <f>RTD("tos.rtd", , "DELTA", ".SPY160916C204")</f>
        <v>N/A</v>
      </c>
      <c r="H725" t="str">
        <f>RTD("tos.rtd", , "THETA", ".SPY160916C204")</f>
        <v>N/A</v>
      </c>
      <c r="I725" t="str">
        <f>RTD("tos.rtd", , "GAMMA", ".SPY160916C204")</f>
        <v>N/A</v>
      </c>
      <c r="J725" t="str">
        <f>RTD("tos.rtd", , "VEGA", ".SPY160916C204")</f>
        <v>N/A</v>
      </c>
      <c r="K725" t="str">
        <f>RTD("tos.rtd", , "RHO", ".SPY160916C204")</f>
        <v>N/A</v>
      </c>
      <c r="L725" t="str">
        <f>RTD("tos.rtd", , "ASK", ".SPY160916P204")</f>
        <v>N/A</v>
      </c>
      <c r="M725" t="str">
        <f>RTD("tos.rtd", , "ASK_SIZE", ".SPY160916P204")</f>
        <v>N/A</v>
      </c>
      <c r="N725" t="str">
        <f>RTD("tos.rtd", , "BID", ".SPY160916P204")</f>
        <v>N/A</v>
      </c>
      <c r="O725" t="str">
        <f>RTD("tos.rtd", , "BID_SIZE", ".SPY160916P204")</f>
        <v>N/A</v>
      </c>
      <c r="P725" t="str">
        <f>RTD("tos.rtd", , "VOLUME", ".SPY160916P204")</f>
        <v>N/A</v>
      </c>
      <c r="Q725" t="str">
        <f>RTD("tos.rtd", , "OPEN_INT", ".SPY160916P204")</f>
        <v>N/A</v>
      </c>
      <c r="R725" t="str">
        <f>RTD("tos.rtd", , "DELTA", ".SPY160916P204")</f>
        <v>N/A</v>
      </c>
      <c r="S725" t="str">
        <f>RTD("tos.rtd", , "THETA", ".SPY160916P204")</f>
        <v>N/A</v>
      </c>
      <c r="T725" t="str">
        <f>RTD("tos.rtd", , "GAMMA", ".SPY160916P204")</f>
        <v>N/A</v>
      </c>
      <c r="U725" t="str">
        <f>RTD("tos.rtd", , "VEGA", ".SPY160916P204")</f>
        <v>N/A</v>
      </c>
      <c r="V725" t="str">
        <f>RTD("tos.rtd", , "RHO", ".SPY160916P204")</f>
        <v>N/A</v>
      </c>
    </row>
    <row r="726" spans="1:22" x14ac:dyDescent="0.25">
      <c r="A726" t="str">
        <f>RTD("tos.rtd", , "ASK", ".SPY160916C204.5")</f>
        <v>N/A</v>
      </c>
      <c r="B726" t="str">
        <f>RTD("tos.rtd", , "ASK_SIZE", ".SPY160916C204.5")</f>
        <v>N/A</v>
      </c>
      <c r="C726" t="str">
        <f>RTD("tos.rtd", , "BID", ".SPY160916C204.5")</f>
        <v>N/A</v>
      </c>
      <c r="D726" t="str">
        <f>RTD("tos.rtd", , "BID_SIZE", ".SPY160916C204.5")</f>
        <v>N/A</v>
      </c>
      <c r="E726" t="str">
        <f>RTD("tos.rtd", , "VOLUME", ".SPY160916C204.5")</f>
        <v>N/A</v>
      </c>
      <c r="F726" t="str">
        <f>RTD("tos.rtd", , "OPEN_INT", ".SPY160916C204.5")</f>
        <v>N/A</v>
      </c>
      <c r="G726" t="str">
        <f>RTD("tos.rtd", , "DELTA", ".SPY160916C204.5")</f>
        <v>N/A</v>
      </c>
      <c r="H726" t="str">
        <f>RTD("tos.rtd", , "THETA", ".SPY160916C204.5")</f>
        <v>N/A</v>
      </c>
      <c r="I726" t="str">
        <f>RTD("tos.rtd", , "GAMMA", ".SPY160916C204.5")</f>
        <v>N/A</v>
      </c>
      <c r="J726" t="str">
        <f>RTD("tos.rtd", , "VEGA", ".SPY160916C204.5")</f>
        <v>N/A</v>
      </c>
      <c r="K726" t="str">
        <f>RTD("tos.rtd", , "RHO", ".SPY160916C204.5")</f>
        <v>N/A</v>
      </c>
      <c r="L726" t="str">
        <f>RTD("tos.rtd", , "ASK", ".SPY160916P204.5")</f>
        <v>N/A</v>
      </c>
      <c r="M726" t="str">
        <f>RTD("tos.rtd", , "ASK_SIZE", ".SPY160916P204.5")</f>
        <v>N/A</v>
      </c>
      <c r="N726" t="str">
        <f>RTD("tos.rtd", , "BID", ".SPY160916P204.5")</f>
        <v>N/A</v>
      </c>
      <c r="O726" t="str">
        <f>RTD("tos.rtd", , "BID_SIZE", ".SPY160916P204.5")</f>
        <v>N/A</v>
      </c>
      <c r="P726" t="str">
        <f>RTD("tos.rtd", , "VOLUME", ".SPY160916P204.5")</f>
        <v>N/A</v>
      </c>
      <c r="Q726" t="str">
        <f>RTD("tos.rtd", , "OPEN_INT", ".SPY160916P204.5")</f>
        <v>N/A</v>
      </c>
      <c r="R726" t="str">
        <f>RTD("tos.rtd", , "DELTA", ".SPY160916P204.5")</f>
        <v>N/A</v>
      </c>
      <c r="S726" t="str">
        <f>RTD("tos.rtd", , "THETA", ".SPY160916P204.5")</f>
        <v>N/A</v>
      </c>
      <c r="T726" t="str">
        <f>RTD("tos.rtd", , "GAMMA", ".SPY160916P204.5")</f>
        <v>N/A</v>
      </c>
      <c r="U726" t="str">
        <f>RTD("tos.rtd", , "VEGA", ".SPY160916P204.5")</f>
        <v>N/A</v>
      </c>
      <c r="V726" t="str">
        <f>RTD("tos.rtd", , "RHO", ".SPY160916P204.5")</f>
        <v>N/A</v>
      </c>
    </row>
    <row r="727" spans="1:22" x14ac:dyDescent="0.25">
      <c r="A727">
        <f>RTD("tos.rtd", , "ASK", ".SPY160916C205")</f>
        <v>19.13</v>
      </c>
      <c r="B727">
        <f>RTD("tos.rtd", , "ASK_SIZE", ".SPY160916C205")</f>
        <v>177</v>
      </c>
      <c r="C727">
        <f>RTD("tos.rtd", , "BID", ".SPY160916C205")</f>
        <v>18.61</v>
      </c>
      <c r="D727">
        <f>RTD("tos.rtd", , "BID_SIZE", ".SPY160916C205")</f>
        <v>201</v>
      </c>
      <c r="E727">
        <f>RTD("tos.rtd", , "VOLUME", ".SPY160916C205")</f>
        <v>0</v>
      </c>
      <c r="F727">
        <f>RTD("tos.rtd", , "OPEN_INT", ".SPY160916C205")</f>
        <v>121</v>
      </c>
      <c r="G727">
        <f>RTD("tos.rtd", , "DELTA", ".SPY160916C205")</f>
        <v>0.56654000000000004</v>
      </c>
      <c r="H727">
        <f>RTD("tos.rtd", , "THETA", ".SPY160916C205")</f>
        <v>-1.324E-2</v>
      </c>
      <c r="I727">
        <f>RTD("tos.rtd", , "GAMMA", ".SPY160916C205")</f>
        <v>9.2800000000000001E-3</v>
      </c>
      <c r="J727">
        <f>RTD("tos.rtd", , "VEGA", ".SPY160916C205")</f>
        <v>0.94845999999999997</v>
      </c>
      <c r="K727">
        <f>RTD("tos.rtd", , "RHO", ".SPY160916C205")</f>
        <v>1.12791</v>
      </c>
      <c r="L727">
        <f>RTD("tos.rtd", , "ASK", ".SPY160916P205")</f>
        <v>16.05</v>
      </c>
      <c r="M727">
        <f>RTD("tos.rtd", , "ASK_SIZE", ".SPY160916P205")</f>
        <v>1692</v>
      </c>
      <c r="N727">
        <f>RTD("tos.rtd", , "BID", ".SPY160916P205")</f>
        <v>15.51</v>
      </c>
      <c r="O727">
        <f>RTD("tos.rtd", , "BID_SIZE", ".SPY160916P205")</f>
        <v>1696</v>
      </c>
      <c r="P727">
        <f>RTD("tos.rtd", , "VOLUME", ".SPY160916P205")</f>
        <v>0</v>
      </c>
      <c r="Q727">
        <f>RTD("tos.rtd", , "OPEN_INT", ".SPY160916P205")</f>
        <v>103</v>
      </c>
      <c r="R727">
        <f>RTD("tos.rtd", , "DELTA", ".SPY160916P205")</f>
        <v>-0.42877999999999999</v>
      </c>
      <c r="S727">
        <f>RTD("tos.rtd", , "THETA", ".SPY160916P205")</f>
        <v>-2.0299999999999999E-2</v>
      </c>
      <c r="T727">
        <f>RTD("tos.rtd", , "GAMMA", ".SPY160916P205")</f>
        <v>8.8599999999999998E-3</v>
      </c>
      <c r="U727">
        <f>RTD("tos.rtd", , "VEGA", ".SPY160916P205")</f>
        <v>0.95413999999999999</v>
      </c>
      <c r="V727">
        <f>RTD("tos.rtd", , "RHO", ".SPY160916P205")</f>
        <v>-1.4584699999999999</v>
      </c>
    </row>
    <row r="728" spans="1:22" x14ac:dyDescent="0.25">
      <c r="A728" t="str">
        <f>RTD("tos.rtd", , "ASK", ".SPY160916C205.5")</f>
        <v>N/A</v>
      </c>
      <c r="B728" t="str">
        <f>RTD("tos.rtd", , "ASK_SIZE", ".SPY160916C205.5")</f>
        <v>N/A</v>
      </c>
      <c r="C728" t="str">
        <f>RTD("tos.rtd", , "BID", ".SPY160916C205.5")</f>
        <v>N/A</v>
      </c>
      <c r="D728" t="str">
        <f>RTD("tos.rtd", , "BID_SIZE", ".SPY160916C205.5")</f>
        <v>N/A</v>
      </c>
      <c r="E728" t="str">
        <f>RTD("tos.rtd", , "VOLUME", ".SPY160916C205.5")</f>
        <v>N/A</v>
      </c>
      <c r="F728" t="str">
        <f>RTD("tos.rtd", , "OPEN_INT", ".SPY160916C205.5")</f>
        <v>N/A</v>
      </c>
      <c r="G728" t="str">
        <f>RTD("tos.rtd", , "DELTA", ".SPY160916C205.5")</f>
        <v>N/A</v>
      </c>
      <c r="H728" t="str">
        <f>RTD("tos.rtd", , "THETA", ".SPY160916C205.5")</f>
        <v>N/A</v>
      </c>
      <c r="I728" t="str">
        <f>RTD("tos.rtd", , "GAMMA", ".SPY160916C205.5")</f>
        <v>N/A</v>
      </c>
      <c r="J728" t="str">
        <f>RTD("tos.rtd", , "VEGA", ".SPY160916C205.5")</f>
        <v>N/A</v>
      </c>
      <c r="K728" t="str">
        <f>RTD("tos.rtd", , "RHO", ".SPY160916C205.5")</f>
        <v>N/A</v>
      </c>
      <c r="L728" t="str">
        <f>RTD("tos.rtd", , "ASK", ".SPY160916P205.5")</f>
        <v>N/A</v>
      </c>
      <c r="M728" t="str">
        <f>RTD("tos.rtd", , "ASK_SIZE", ".SPY160916P205.5")</f>
        <v>N/A</v>
      </c>
      <c r="N728" t="str">
        <f>RTD("tos.rtd", , "BID", ".SPY160916P205.5")</f>
        <v>N/A</v>
      </c>
      <c r="O728" t="str">
        <f>RTD("tos.rtd", , "BID_SIZE", ".SPY160916P205.5")</f>
        <v>N/A</v>
      </c>
      <c r="P728" t="str">
        <f>RTD("tos.rtd", , "VOLUME", ".SPY160916P205.5")</f>
        <v>N/A</v>
      </c>
      <c r="Q728" t="str">
        <f>RTD("tos.rtd", , "OPEN_INT", ".SPY160916P205.5")</f>
        <v>N/A</v>
      </c>
      <c r="R728" t="str">
        <f>RTD("tos.rtd", , "DELTA", ".SPY160916P205.5")</f>
        <v>N/A</v>
      </c>
      <c r="S728" t="str">
        <f>RTD("tos.rtd", , "THETA", ".SPY160916P205.5")</f>
        <v>N/A</v>
      </c>
      <c r="T728" t="str">
        <f>RTD("tos.rtd", , "GAMMA", ".SPY160916P205.5")</f>
        <v>N/A</v>
      </c>
      <c r="U728" t="str">
        <f>RTD("tos.rtd", , "VEGA", ".SPY160916P205.5")</f>
        <v>N/A</v>
      </c>
      <c r="V728" t="str">
        <f>RTD("tos.rtd", , "RHO", ".SPY160916P205.5")</f>
        <v>N/A</v>
      </c>
    </row>
    <row r="729" spans="1:22" x14ac:dyDescent="0.25">
      <c r="A729" t="str">
        <f>RTD("tos.rtd", , "ASK", ".SPY160916C206")</f>
        <v>N/A</v>
      </c>
      <c r="B729" t="str">
        <f>RTD("tos.rtd", , "ASK_SIZE", ".SPY160916C206")</f>
        <v>N/A</v>
      </c>
      <c r="C729" t="str">
        <f>RTD("tos.rtd", , "BID", ".SPY160916C206")</f>
        <v>N/A</v>
      </c>
      <c r="D729" t="str">
        <f>RTD("tos.rtd", , "BID_SIZE", ".SPY160916C206")</f>
        <v>N/A</v>
      </c>
      <c r="E729" t="str">
        <f>RTD("tos.rtd", , "VOLUME", ".SPY160916C206")</f>
        <v>N/A</v>
      </c>
      <c r="F729" t="str">
        <f>RTD("tos.rtd", , "OPEN_INT", ".SPY160916C206")</f>
        <v>N/A</v>
      </c>
      <c r="G729" t="str">
        <f>RTD("tos.rtd", , "DELTA", ".SPY160916C206")</f>
        <v>N/A</v>
      </c>
      <c r="H729" t="str">
        <f>RTD("tos.rtd", , "THETA", ".SPY160916C206")</f>
        <v>N/A</v>
      </c>
      <c r="I729" t="str">
        <f>RTD("tos.rtd", , "GAMMA", ".SPY160916C206")</f>
        <v>N/A</v>
      </c>
      <c r="J729" t="str">
        <f>RTD("tos.rtd", , "VEGA", ".SPY160916C206")</f>
        <v>N/A</v>
      </c>
      <c r="K729" t="str">
        <f>RTD("tos.rtd", , "RHO", ".SPY160916C206")</f>
        <v>N/A</v>
      </c>
      <c r="L729" t="str">
        <f>RTD("tos.rtd", , "ASK", ".SPY160916P206")</f>
        <v>N/A</v>
      </c>
      <c r="M729" t="str">
        <f>RTD("tos.rtd", , "ASK_SIZE", ".SPY160916P206")</f>
        <v>N/A</v>
      </c>
      <c r="N729" t="str">
        <f>RTD("tos.rtd", , "BID", ".SPY160916P206")</f>
        <v>N/A</v>
      </c>
      <c r="O729" t="str">
        <f>RTD("tos.rtd", , "BID_SIZE", ".SPY160916P206")</f>
        <v>N/A</v>
      </c>
      <c r="P729" t="str">
        <f>RTD("tos.rtd", , "VOLUME", ".SPY160916P206")</f>
        <v>N/A</v>
      </c>
      <c r="Q729" t="str">
        <f>RTD("tos.rtd", , "OPEN_INT", ".SPY160916P206")</f>
        <v>N/A</v>
      </c>
      <c r="R729" t="str">
        <f>RTD("tos.rtd", , "DELTA", ".SPY160916P206")</f>
        <v>N/A</v>
      </c>
      <c r="S729" t="str">
        <f>RTD("tos.rtd", , "THETA", ".SPY160916P206")</f>
        <v>N/A</v>
      </c>
      <c r="T729" t="str">
        <f>RTD("tos.rtd", , "GAMMA", ".SPY160916P206")</f>
        <v>N/A</v>
      </c>
      <c r="U729" t="str">
        <f>RTD("tos.rtd", , "VEGA", ".SPY160916P206")</f>
        <v>N/A</v>
      </c>
      <c r="V729" t="str">
        <f>RTD("tos.rtd", , "RHO", ".SPY160916P206")</f>
        <v>N/A</v>
      </c>
    </row>
    <row r="730" spans="1:22" x14ac:dyDescent="0.25">
      <c r="A730" t="str">
        <f>RTD("tos.rtd", , "ASK", ".SPY160916C206.5")</f>
        <v>N/A</v>
      </c>
      <c r="B730" t="str">
        <f>RTD("tos.rtd", , "ASK_SIZE", ".SPY160916C206.5")</f>
        <v>N/A</v>
      </c>
      <c r="C730" t="str">
        <f>RTD("tos.rtd", , "BID", ".SPY160916C206.5")</f>
        <v>N/A</v>
      </c>
      <c r="D730" t="str">
        <f>RTD("tos.rtd", , "BID_SIZE", ".SPY160916C206.5")</f>
        <v>N/A</v>
      </c>
      <c r="E730" t="str">
        <f>RTD("tos.rtd", , "VOLUME", ".SPY160916C206.5")</f>
        <v>N/A</v>
      </c>
      <c r="F730" t="str">
        <f>RTD("tos.rtd", , "OPEN_INT", ".SPY160916C206.5")</f>
        <v>N/A</v>
      </c>
      <c r="G730" t="str">
        <f>RTD("tos.rtd", , "DELTA", ".SPY160916C206.5")</f>
        <v>N/A</v>
      </c>
      <c r="H730" t="str">
        <f>RTD("tos.rtd", , "THETA", ".SPY160916C206.5")</f>
        <v>N/A</v>
      </c>
      <c r="I730" t="str">
        <f>RTD("tos.rtd", , "GAMMA", ".SPY160916C206.5")</f>
        <v>N/A</v>
      </c>
      <c r="J730" t="str">
        <f>RTD("tos.rtd", , "VEGA", ".SPY160916C206.5")</f>
        <v>N/A</v>
      </c>
      <c r="K730" t="str">
        <f>RTD("tos.rtd", , "RHO", ".SPY160916C206.5")</f>
        <v>N/A</v>
      </c>
      <c r="L730" t="str">
        <f>RTD("tos.rtd", , "ASK", ".SPY160916P206.5")</f>
        <v>N/A</v>
      </c>
      <c r="M730" t="str">
        <f>RTD("tos.rtd", , "ASK_SIZE", ".SPY160916P206.5")</f>
        <v>N/A</v>
      </c>
      <c r="N730" t="str">
        <f>RTD("tos.rtd", , "BID", ".SPY160916P206.5")</f>
        <v>N/A</v>
      </c>
      <c r="O730" t="str">
        <f>RTD("tos.rtd", , "BID_SIZE", ".SPY160916P206.5")</f>
        <v>N/A</v>
      </c>
      <c r="P730" t="str">
        <f>RTD("tos.rtd", , "VOLUME", ".SPY160916P206.5")</f>
        <v>N/A</v>
      </c>
      <c r="Q730" t="str">
        <f>RTD("tos.rtd", , "OPEN_INT", ".SPY160916P206.5")</f>
        <v>N/A</v>
      </c>
      <c r="R730" t="str">
        <f>RTD("tos.rtd", , "DELTA", ".SPY160916P206.5")</f>
        <v>N/A</v>
      </c>
      <c r="S730" t="str">
        <f>RTD("tos.rtd", , "THETA", ".SPY160916P206.5")</f>
        <v>N/A</v>
      </c>
      <c r="T730" t="str">
        <f>RTD("tos.rtd", , "GAMMA", ".SPY160916P206.5")</f>
        <v>N/A</v>
      </c>
      <c r="U730" t="str">
        <f>RTD("tos.rtd", , "VEGA", ".SPY160916P206.5")</f>
        <v>N/A</v>
      </c>
      <c r="V730" t="str">
        <f>RTD("tos.rtd", , "RHO", ".SPY160916P206.5")</f>
        <v>N/A</v>
      </c>
    </row>
    <row r="731" spans="1:22" x14ac:dyDescent="0.25">
      <c r="A731" t="str">
        <f>RTD("tos.rtd", , "ASK", ".SPY160916C207")</f>
        <v>N/A</v>
      </c>
      <c r="B731" t="str">
        <f>RTD("tos.rtd", , "ASK_SIZE", ".SPY160916C207")</f>
        <v>N/A</v>
      </c>
      <c r="C731" t="str">
        <f>RTD("tos.rtd", , "BID", ".SPY160916C207")</f>
        <v>N/A</v>
      </c>
      <c r="D731" t="str">
        <f>RTD("tos.rtd", , "BID_SIZE", ".SPY160916C207")</f>
        <v>N/A</v>
      </c>
      <c r="E731" t="str">
        <f>RTD("tos.rtd", , "VOLUME", ".SPY160916C207")</f>
        <v>N/A</v>
      </c>
      <c r="F731" t="str">
        <f>RTD("tos.rtd", , "OPEN_INT", ".SPY160916C207")</f>
        <v>N/A</v>
      </c>
      <c r="G731" t="str">
        <f>RTD("tos.rtd", , "DELTA", ".SPY160916C207")</f>
        <v>N/A</v>
      </c>
      <c r="H731" t="str">
        <f>RTD("tos.rtd", , "THETA", ".SPY160916C207")</f>
        <v>N/A</v>
      </c>
      <c r="I731" t="str">
        <f>RTD("tos.rtd", , "GAMMA", ".SPY160916C207")</f>
        <v>N/A</v>
      </c>
      <c r="J731" t="str">
        <f>RTD("tos.rtd", , "VEGA", ".SPY160916C207")</f>
        <v>N/A</v>
      </c>
      <c r="K731" t="str">
        <f>RTD("tos.rtd", , "RHO", ".SPY160916C207")</f>
        <v>N/A</v>
      </c>
      <c r="L731" t="str">
        <f>RTD("tos.rtd", , "ASK", ".SPY160916P207")</f>
        <v>N/A</v>
      </c>
      <c r="M731" t="str">
        <f>RTD("tos.rtd", , "ASK_SIZE", ".SPY160916P207")</f>
        <v>N/A</v>
      </c>
      <c r="N731" t="str">
        <f>RTD("tos.rtd", , "BID", ".SPY160916P207")</f>
        <v>N/A</v>
      </c>
      <c r="O731" t="str">
        <f>RTD("tos.rtd", , "BID_SIZE", ".SPY160916P207")</f>
        <v>N/A</v>
      </c>
      <c r="P731" t="str">
        <f>RTD("tos.rtd", , "VOLUME", ".SPY160916P207")</f>
        <v>N/A</v>
      </c>
      <c r="Q731" t="str">
        <f>RTD("tos.rtd", , "OPEN_INT", ".SPY160916P207")</f>
        <v>N/A</v>
      </c>
      <c r="R731" t="str">
        <f>RTD("tos.rtd", , "DELTA", ".SPY160916P207")</f>
        <v>N/A</v>
      </c>
      <c r="S731" t="str">
        <f>RTD("tos.rtd", , "THETA", ".SPY160916P207")</f>
        <v>N/A</v>
      </c>
      <c r="T731" t="str">
        <f>RTD("tos.rtd", , "GAMMA", ".SPY160916P207")</f>
        <v>N/A</v>
      </c>
      <c r="U731" t="str">
        <f>RTD("tos.rtd", , "VEGA", ".SPY160916P207")</f>
        <v>N/A</v>
      </c>
      <c r="V731" t="str">
        <f>RTD("tos.rtd", , "RHO", ".SPY160916P207")</f>
        <v>N/A</v>
      </c>
    </row>
    <row r="732" spans="1:22" x14ac:dyDescent="0.25">
      <c r="A732" t="str">
        <f>RTD("tos.rtd", , "ASK", ".SPY160916C207.5")</f>
        <v>N/A</v>
      </c>
      <c r="B732" t="str">
        <f>RTD("tos.rtd", , "ASK_SIZE", ".SPY160916C207.5")</f>
        <v>N/A</v>
      </c>
      <c r="C732" t="str">
        <f>RTD("tos.rtd", , "BID", ".SPY160916C207.5")</f>
        <v>N/A</v>
      </c>
      <c r="D732" t="str">
        <f>RTD("tos.rtd", , "BID_SIZE", ".SPY160916C207.5")</f>
        <v>N/A</v>
      </c>
      <c r="E732" t="str">
        <f>RTD("tos.rtd", , "VOLUME", ".SPY160916C207.5")</f>
        <v>N/A</v>
      </c>
      <c r="F732" t="str">
        <f>RTD("tos.rtd", , "OPEN_INT", ".SPY160916C207.5")</f>
        <v>N/A</v>
      </c>
      <c r="G732" t="str">
        <f>RTD("tos.rtd", , "DELTA", ".SPY160916C207.5")</f>
        <v>N/A</v>
      </c>
      <c r="H732" t="str">
        <f>RTD("tos.rtd", , "THETA", ".SPY160916C207.5")</f>
        <v>N/A</v>
      </c>
      <c r="I732" t="str">
        <f>RTD("tos.rtd", , "GAMMA", ".SPY160916C207.5")</f>
        <v>N/A</v>
      </c>
      <c r="J732" t="str">
        <f>RTD("tos.rtd", , "VEGA", ".SPY160916C207.5")</f>
        <v>N/A</v>
      </c>
      <c r="K732" t="str">
        <f>RTD("tos.rtd", , "RHO", ".SPY160916C207.5")</f>
        <v>N/A</v>
      </c>
      <c r="L732" t="str">
        <f>RTD("tos.rtd", , "ASK", ".SPY160916P207.5")</f>
        <v>N/A</v>
      </c>
      <c r="M732" t="str">
        <f>RTD("tos.rtd", , "ASK_SIZE", ".SPY160916P207.5")</f>
        <v>N/A</v>
      </c>
      <c r="N732" t="str">
        <f>RTD("tos.rtd", , "BID", ".SPY160916P207.5")</f>
        <v>N/A</v>
      </c>
      <c r="O732" t="str">
        <f>RTD("tos.rtd", , "BID_SIZE", ".SPY160916P207.5")</f>
        <v>N/A</v>
      </c>
      <c r="P732" t="str">
        <f>RTD("tos.rtd", , "VOLUME", ".SPY160916P207.5")</f>
        <v>N/A</v>
      </c>
      <c r="Q732" t="str">
        <f>RTD("tos.rtd", , "OPEN_INT", ".SPY160916P207.5")</f>
        <v>N/A</v>
      </c>
      <c r="R732" t="str">
        <f>RTD("tos.rtd", , "DELTA", ".SPY160916P207.5")</f>
        <v>N/A</v>
      </c>
      <c r="S732" t="str">
        <f>RTD("tos.rtd", , "THETA", ".SPY160916P207.5")</f>
        <v>N/A</v>
      </c>
      <c r="T732" t="str">
        <f>RTD("tos.rtd", , "GAMMA", ".SPY160916P207.5")</f>
        <v>N/A</v>
      </c>
      <c r="U732" t="str">
        <f>RTD("tos.rtd", , "VEGA", ".SPY160916P207.5")</f>
        <v>N/A</v>
      </c>
      <c r="V732" t="str">
        <f>RTD("tos.rtd", , "RHO", ".SPY160916P207.5")</f>
        <v>N/A</v>
      </c>
    </row>
    <row r="733" spans="1:22" x14ac:dyDescent="0.25">
      <c r="A733" t="str">
        <f>RTD("tos.rtd", , "ASK", ".SPY160916C208")</f>
        <v>N/A</v>
      </c>
      <c r="B733" t="str">
        <f>RTD("tos.rtd", , "ASK_SIZE", ".SPY160916C208")</f>
        <v>N/A</v>
      </c>
      <c r="C733" t="str">
        <f>RTD("tos.rtd", , "BID", ".SPY160916C208")</f>
        <v>N/A</v>
      </c>
      <c r="D733" t="str">
        <f>RTD("tos.rtd", , "BID_SIZE", ".SPY160916C208")</f>
        <v>N/A</v>
      </c>
      <c r="E733" t="str">
        <f>RTD("tos.rtd", , "VOLUME", ".SPY160916C208")</f>
        <v>N/A</v>
      </c>
      <c r="F733" t="str">
        <f>RTD("tos.rtd", , "OPEN_INT", ".SPY160916C208")</f>
        <v>N/A</v>
      </c>
      <c r="G733" t="str">
        <f>RTD("tos.rtd", , "DELTA", ".SPY160916C208")</f>
        <v>N/A</v>
      </c>
      <c r="H733" t="str">
        <f>RTD("tos.rtd", , "THETA", ".SPY160916C208")</f>
        <v>N/A</v>
      </c>
      <c r="I733" t="str">
        <f>RTD("tos.rtd", , "GAMMA", ".SPY160916C208")</f>
        <v>N/A</v>
      </c>
      <c r="J733" t="str">
        <f>RTD("tos.rtd", , "VEGA", ".SPY160916C208")</f>
        <v>N/A</v>
      </c>
      <c r="K733" t="str">
        <f>RTD("tos.rtd", , "RHO", ".SPY160916C208")</f>
        <v>N/A</v>
      </c>
      <c r="L733" t="str">
        <f>RTD("tos.rtd", , "ASK", ".SPY160916P208")</f>
        <v>N/A</v>
      </c>
      <c r="M733" t="str">
        <f>RTD("tos.rtd", , "ASK_SIZE", ".SPY160916P208")</f>
        <v>N/A</v>
      </c>
      <c r="N733" t="str">
        <f>RTD("tos.rtd", , "BID", ".SPY160916P208")</f>
        <v>N/A</v>
      </c>
      <c r="O733" t="str">
        <f>RTD("tos.rtd", , "BID_SIZE", ".SPY160916P208")</f>
        <v>N/A</v>
      </c>
      <c r="P733" t="str">
        <f>RTD("tos.rtd", , "VOLUME", ".SPY160916P208")</f>
        <v>N/A</v>
      </c>
      <c r="Q733" t="str">
        <f>RTD("tos.rtd", , "OPEN_INT", ".SPY160916P208")</f>
        <v>N/A</v>
      </c>
      <c r="R733" t="str">
        <f>RTD("tos.rtd", , "DELTA", ".SPY160916P208")</f>
        <v>N/A</v>
      </c>
      <c r="S733" t="str">
        <f>RTD("tos.rtd", , "THETA", ".SPY160916P208")</f>
        <v>N/A</v>
      </c>
      <c r="T733" t="str">
        <f>RTD("tos.rtd", , "GAMMA", ".SPY160916P208")</f>
        <v>N/A</v>
      </c>
      <c r="U733" t="str">
        <f>RTD("tos.rtd", , "VEGA", ".SPY160916P208")</f>
        <v>N/A</v>
      </c>
      <c r="V733" t="str">
        <f>RTD("tos.rtd", , "RHO", ".SPY160916P208")</f>
        <v>N/A</v>
      </c>
    </row>
    <row r="734" spans="1:22" x14ac:dyDescent="0.25">
      <c r="A734" t="str">
        <f>RTD("tos.rtd", , "ASK", ".SPY160916C208.5")</f>
        <v>N/A</v>
      </c>
      <c r="B734" t="str">
        <f>RTD("tos.rtd", , "ASK_SIZE", ".SPY160916C208.5")</f>
        <v>N/A</v>
      </c>
      <c r="C734" t="str">
        <f>RTD("tos.rtd", , "BID", ".SPY160916C208.5")</f>
        <v>N/A</v>
      </c>
      <c r="D734" t="str">
        <f>RTD("tos.rtd", , "BID_SIZE", ".SPY160916C208.5")</f>
        <v>N/A</v>
      </c>
      <c r="E734" t="str">
        <f>RTD("tos.rtd", , "VOLUME", ".SPY160916C208.5")</f>
        <v>N/A</v>
      </c>
      <c r="F734" t="str">
        <f>RTD("tos.rtd", , "OPEN_INT", ".SPY160916C208.5")</f>
        <v>N/A</v>
      </c>
      <c r="G734" t="str">
        <f>RTD("tos.rtd", , "DELTA", ".SPY160916C208.5")</f>
        <v>N/A</v>
      </c>
      <c r="H734" t="str">
        <f>RTD("tos.rtd", , "THETA", ".SPY160916C208.5")</f>
        <v>N/A</v>
      </c>
      <c r="I734" t="str">
        <f>RTD("tos.rtd", , "GAMMA", ".SPY160916C208.5")</f>
        <v>N/A</v>
      </c>
      <c r="J734" t="str">
        <f>RTD("tos.rtd", , "VEGA", ".SPY160916C208.5")</f>
        <v>N/A</v>
      </c>
      <c r="K734" t="str">
        <f>RTD("tos.rtd", , "RHO", ".SPY160916C208.5")</f>
        <v>N/A</v>
      </c>
      <c r="L734" t="str">
        <f>RTD("tos.rtd", , "ASK", ".SPY160916P208.5")</f>
        <v>N/A</v>
      </c>
      <c r="M734" t="str">
        <f>RTD("tos.rtd", , "ASK_SIZE", ".SPY160916P208.5")</f>
        <v>N/A</v>
      </c>
      <c r="N734" t="str">
        <f>RTD("tos.rtd", , "BID", ".SPY160916P208.5")</f>
        <v>N/A</v>
      </c>
      <c r="O734" t="str">
        <f>RTD("tos.rtd", , "BID_SIZE", ".SPY160916P208.5")</f>
        <v>N/A</v>
      </c>
      <c r="P734" t="str">
        <f>RTD("tos.rtd", , "VOLUME", ".SPY160916P208.5")</f>
        <v>N/A</v>
      </c>
      <c r="Q734" t="str">
        <f>RTD("tos.rtd", , "OPEN_INT", ".SPY160916P208.5")</f>
        <v>N/A</v>
      </c>
      <c r="R734" t="str">
        <f>RTD("tos.rtd", , "DELTA", ".SPY160916P208.5")</f>
        <v>N/A</v>
      </c>
      <c r="S734" t="str">
        <f>RTD("tos.rtd", , "THETA", ".SPY160916P208.5")</f>
        <v>N/A</v>
      </c>
      <c r="T734" t="str">
        <f>RTD("tos.rtd", , "GAMMA", ".SPY160916P208.5")</f>
        <v>N/A</v>
      </c>
      <c r="U734" t="str">
        <f>RTD("tos.rtd", , "VEGA", ".SPY160916P208.5")</f>
        <v>N/A</v>
      </c>
      <c r="V734" t="str">
        <f>RTD("tos.rtd", , "RHO", ".SPY160916P208.5")</f>
        <v>N/A</v>
      </c>
    </row>
    <row r="735" spans="1:22" x14ac:dyDescent="0.25">
      <c r="A735" t="str">
        <f>RTD("tos.rtd", , "ASK", ".SPY160916C209")</f>
        <v>N/A</v>
      </c>
      <c r="B735" t="str">
        <f>RTD("tos.rtd", , "ASK_SIZE", ".SPY160916C209")</f>
        <v>N/A</v>
      </c>
      <c r="C735" t="str">
        <f>RTD("tos.rtd", , "BID", ".SPY160916C209")</f>
        <v>N/A</v>
      </c>
      <c r="D735" t="str">
        <f>RTD("tos.rtd", , "BID_SIZE", ".SPY160916C209")</f>
        <v>N/A</v>
      </c>
      <c r="E735" t="str">
        <f>RTD("tos.rtd", , "VOLUME", ".SPY160916C209")</f>
        <v>N/A</v>
      </c>
      <c r="F735" t="str">
        <f>RTD("tos.rtd", , "OPEN_INT", ".SPY160916C209")</f>
        <v>N/A</v>
      </c>
      <c r="G735" t="str">
        <f>RTD("tos.rtd", , "DELTA", ".SPY160916C209")</f>
        <v>N/A</v>
      </c>
      <c r="H735" t="str">
        <f>RTD("tos.rtd", , "THETA", ".SPY160916C209")</f>
        <v>N/A</v>
      </c>
      <c r="I735" t="str">
        <f>RTD("tos.rtd", , "GAMMA", ".SPY160916C209")</f>
        <v>N/A</v>
      </c>
      <c r="J735" t="str">
        <f>RTD("tos.rtd", , "VEGA", ".SPY160916C209")</f>
        <v>N/A</v>
      </c>
      <c r="K735" t="str">
        <f>RTD("tos.rtd", , "RHO", ".SPY160916C209")</f>
        <v>N/A</v>
      </c>
      <c r="L735" t="str">
        <f>RTD("tos.rtd", , "ASK", ".SPY160916P209")</f>
        <v>N/A</v>
      </c>
      <c r="M735" t="str">
        <f>RTD("tos.rtd", , "ASK_SIZE", ".SPY160916P209")</f>
        <v>N/A</v>
      </c>
      <c r="N735" t="str">
        <f>RTD("tos.rtd", , "BID", ".SPY160916P209")</f>
        <v>N/A</v>
      </c>
      <c r="O735" t="str">
        <f>RTD("tos.rtd", , "BID_SIZE", ".SPY160916P209")</f>
        <v>N/A</v>
      </c>
      <c r="P735" t="str">
        <f>RTD("tos.rtd", , "VOLUME", ".SPY160916P209")</f>
        <v>N/A</v>
      </c>
      <c r="Q735" t="str">
        <f>RTD("tos.rtd", , "OPEN_INT", ".SPY160916P209")</f>
        <v>N/A</v>
      </c>
      <c r="R735" t="str">
        <f>RTD("tos.rtd", , "DELTA", ".SPY160916P209")</f>
        <v>N/A</v>
      </c>
      <c r="S735" t="str">
        <f>RTD("tos.rtd", , "THETA", ".SPY160916P209")</f>
        <v>N/A</v>
      </c>
      <c r="T735" t="str">
        <f>RTD("tos.rtd", , "GAMMA", ".SPY160916P209")</f>
        <v>N/A</v>
      </c>
      <c r="U735" t="str">
        <f>RTD("tos.rtd", , "VEGA", ".SPY160916P209")</f>
        <v>N/A</v>
      </c>
      <c r="V735" t="str">
        <f>RTD("tos.rtd", , "RHO", ".SPY160916P209")</f>
        <v>N/A</v>
      </c>
    </row>
    <row r="736" spans="1:22" x14ac:dyDescent="0.25">
      <c r="A736" t="str">
        <f>RTD("tos.rtd", , "ASK", ".SPY160916C209.5")</f>
        <v>N/A</v>
      </c>
      <c r="B736" t="str">
        <f>RTD("tos.rtd", , "ASK_SIZE", ".SPY160916C209.5")</f>
        <v>N/A</v>
      </c>
      <c r="C736" t="str">
        <f>RTD("tos.rtd", , "BID", ".SPY160916C209.5")</f>
        <v>N/A</v>
      </c>
      <c r="D736" t="str">
        <f>RTD("tos.rtd", , "BID_SIZE", ".SPY160916C209.5")</f>
        <v>N/A</v>
      </c>
      <c r="E736" t="str">
        <f>RTD("tos.rtd", , "VOLUME", ".SPY160916C209.5")</f>
        <v>N/A</v>
      </c>
      <c r="F736" t="str">
        <f>RTD("tos.rtd", , "OPEN_INT", ".SPY160916C209.5")</f>
        <v>N/A</v>
      </c>
      <c r="G736" t="str">
        <f>RTD("tos.rtd", , "DELTA", ".SPY160916C209.5")</f>
        <v>N/A</v>
      </c>
      <c r="H736" t="str">
        <f>RTD("tos.rtd", , "THETA", ".SPY160916C209.5")</f>
        <v>N/A</v>
      </c>
      <c r="I736" t="str">
        <f>RTD("tos.rtd", , "GAMMA", ".SPY160916C209.5")</f>
        <v>N/A</v>
      </c>
      <c r="J736" t="str">
        <f>RTD("tos.rtd", , "VEGA", ".SPY160916C209.5")</f>
        <v>N/A</v>
      </c>
      <c r="K736" t="str">
        <f>RTD("tos.rtd", , "RHO", ".SPY160916C209.5")</f>
        <v>N/A</v>
      </c>
      <c r="L736" t="str">
        <f>RTD("tos.rtd", , "ASK", ".SPY160916P209.5")</f>
        <v>N/A</v>
      </c>
      <c r="M736" t="str">
        <f>RTD("tos.rtd", , "ASK_SIZE", ".SPY160916P209.5")</f>
        <v>N/A</v>
      </c>
      <c r="N736" t="str">
        <f>RTD("tos.rtd", , "BID", ".SPY160916P209.5")</f>
        <v>N/A</v>
      </c>
      <c r="O736" t="str">
        <f>RTD("tos.rtd", , "BID_SIZE", ".SPY160916P209.5")</f>
        <v>N/A</v>
      </c>
      <c r="P736" t="str">
        <f>RTD("tos.rtd", , "VOLUME", ".SPY160916P209.5")</f>
        <v>N/A</v>
      </c>
      <c r="Q736" t="str">
        <f>RTD("tos.rtd", , "OPEN_INT", ".SPY160916P209.5")</f>
        <v>N/A</v>
      </c>
      <c r="R736" t="str">
        <f>RTD("tos.rtd", , "DELTA", ".SPY160916P209.5")</f>
        <v>N/A</v>
      </c>
      <c r="S736" t="str">
        <f>RTD("tos.rtd", , "THETA", ".SPY160916P209.5")</f>
        <v>N/A</v>
      </c>
      <c r="T736" t="str">
        <f>RTD("tos.rtd", , "GAMMA", ".SPY160916P209.5")</f>
        <v>N/A</v>
      </c>
      <c r="U736" t="str">
        <f>RTD("tos.rtd", , "VEGA", ".SPY160916P209.5")</f>
        <v>N/A</v>
      </c>
      <c r="V736" t="str">
        <f>RTD("tos.rtd", , "RHO", ".SPY160916P209.5")</f>
        <v>N/A</v>
      </c>
    </row>
    <row r="737" spans="1:22" x14ac:dyDescent="0.25">
      <c r="A737">
        <f>RTD("tos.rtd", , "ASK", ".SPY160916C210")</f>
        <v>16.11</v>
      </c>
      <c r="B737">
        <f>RTD("tos.rtd", , "ASK_SIZE", ".SPY160916C210")</f>
        <v>1660</v>
      </c>
      <c r="C737">
        <f>RTD("tos.rtd", , "BID", ".SPY160916C210")</f>
        <v>15.67</v>
      </c>
      <c r="D737">
        <f>RTD("tos.rtd", , "BID_SIZE", ".SPY160916C210")</f>
        <v>153</v>
      </c>
      <c r="E737">
        <f>RTD("tos.rtd", , "VOLUME", ".SPY160916C210")</f>
        <v>0</v>
      </c>
      <c r="F737">
        <f>RTD("tos.rtd", , "OPEN_INT", ".SPY160916C210")</f>
        <v>71</v>
      </c>
      <c r="G737">
        <f>RTD("tos.rtd", , "DELTA", ".SPY160916C210")</f>
        <v>0.51737999999999995</v>
      </c>
      <c r="H737">
        <f>RTD("tos.rtd", , "THETA", ".SPY160916C210")</f>
        <v>-1.312E-2</v>
      </c>
      <c r="I737">
        <f>RTD("tos.rtd", , "GAMMA", ".SPY160916C210")</f>
        <v>9.6399999999999993E-3</v>
      </c>
      <c r="J737">
        <f>RTD("tos.rtd", , "VEGA", ".SPY160916C210")</f>
        <v>0.96406999999999998</v>
      </c>
      <c r="K737">
        <f>RTD("tos.rtd", , "RHO", ".SPY160916C210")</f>
        <v>1.07745</v>
      </c>
      <c r="L737">
        <f>RTD("tos.rtd", , "ASK", ".SPY160916P210")</f>
        <v>18.059999999999999</v>
      </c>
      <c r="M737">
        <f>RTD("tos.rtd", , "ASK_SIZE", ".SPY160916P210")</f>
        <v>1679</v>
      </c>
      <c r="N737">
        <f>RTD("tos.rtd", , "BID", ".SPY160916P210")</f>
        <v>17.53</v>
      </c>
      <c r="O737">
        <f>RTD("tos.rtd", , "BID_SIZE", ".SPY160916P210")</f>
        <v>1677</v>
      </c>
      <c r="P737">
        <f>RTD("tos.rtd", , "VOLUME", ".SPY160916P210")</f>
        <v>0</v>
      </c>
      <c r="Q737">
        <f>RTD("tos.rtd", , "OPEN_INT", ".SPY160916P210")</f>
        <v>870</v>
      </c>
      <c r="R737">
        <f>RTD("tos.rtd", , "DELTA", ".SPY160916P210")</f>
        <v>-0.47699999999999998</v>
      </c>
      <c r="S737">
        <f>RTD("tos.rtd", , "THETA", ".SPY160916P210")</f>
        <v>-2.0199999999999999E-2</v>
      </c>
      <c r="T737">
        <f>RTD("tos.rtd", , "GAMMA", ".SPY160916P210")</f>
        <v>9.3500000000000007E-3</v>
      </c>
      <c r="U737">
        <f>RTD("tos.rtd", , "VEGA", ".SPY160916P210")</f>
        <v>0.96494000000000002</v>
      </c>
      <c r="V737">
        <f>RTD("tos.rtd", , "RHO", ".SPY160916P210")</f>
        <v>-1.6259999999999999</v>
      </c>
    </row>
    <row r="738" spans="1:22" x14ac:dyDescent="0.25">
      <c r="A738" t="str">
        <f>RTD("tos.rtd", , "ASK", ".SPY160916C210.5")</f>
        <v>N/A</v>
      </c>
      <c r="B738" t="str">
        <f>RTD("tos.rtd", , "ASK_SIZE", ".SPY160916C210.5")</f>
        <v>N/A</v>
      </c>
      <c r="C738" t="str">
        <f>RTD("tos.rtd", , "BID", ".SPY160916C210.5")</f>
        <v>N/A</v>
      </c>
      <c r="D738" t="str">
        <f>RTD("tos.rtd", , "BID_SIZE", ".SPY160916C210.5")</f>
        <v>N/A</v>
      </c>
      <c r="E738" t="str">
        <f>RTD("tos.rtd", , "VOLUME", ".SPY160916C210.5")</f>
        <v>N/A</v>
      </c>
      <c r="F738" t="str">
        <f>RTD("tos.rtd", , "OPEN_INT", ".SPY160916C210.5")</f>
        <v>N/A</v>
      </c>
      <c r="G738" t="str">
        <f>RTD("tos.rtd", , "DELTA", ".SPY160916C210.5")</f>
        <v>N/A</v>
      </c>
      <c r="H738" t="str">
        <f>RTD("tos.rtd", , "THETA", ".SPY160916C210.5")</f>
        <v>N/A</v>
      </c>
      <c r="I738" t="str">
        <f>RTD("tos.rtd", , "GAMMA", ".SPY160916C210.5")</f>
        <v>N/A</v>
      </c>
      <c r="J738" t="str">
        <f>RTD("tos.rtd", , "VEGA", ".SPY160916C210.5")</f>
        <v>N/A</v>
      </c>
      <c r="K738" t="str">
        <f>RTD("tos.rtd", , "RHO", ".SPY160916C210.5")</f>
        <v>N/A</v>
      </c>
      <c r="L738" t="str">
        <f>RTD("tos.rtd", , "ASK", ".SPY160916P210.5")</f>
        <v>N/A</v>
      </c>
      <c r="M738" t="str">
        <f>RTD("tos.rtd", , "ASK_SIZE", ".SPY160916P210.5")</f>
        <v>N/A</v>
      </c>
      <c r="N738" t="str">
        <f>RTD("tos.rtd", , "BID", ".SPY160916P210.5")</f>
        <v>N/A</v>
      </c>
      <c r="O738" t="str">
        <f>RTD("tos.rtd", , "BID_SIZE", ".SPY160916P210.5")</f>
        <v>N/A</v>
      </c>
      <c r="P738" t="str">
        <f>RTD("tos.rtd", , "VOLUME", ".SPY160916P210.5")</f>
        <v>N/A</v>
      </c>
      <c r="Q738" t="str">
        <f>RTD("tos.rtd", , "OPEN_INT", ".SPY160916P210.5")</f>
        <v>N/A</v>
      </c>
      <c r="R738" t="str">
        <f>RTD("tos.rtd", , "DELTA", ".SPY160916P210.5")</f>
        <v>N/A</v>
      </c>
      <c r="S738" t="str">
        <f>RTD("tos.rtd", , "THETA", ".SPY160916P210.5")</f>
        <v>N/A</v>
      </c>
      <c r="T738" t="str">
        <f>RTD("tos.rtd", , "GAMMA", ".SPY160916P210.5")</f>
        <v>N/A</v>
      </c>
      <c r="U738" t="str">
        <f>RTD("tos.rtd", , "VEGA", ".SPY160916P210.5")</f>
        <v>N/A</v>
      </c>
      <c r="V738" t="str">
        <f>RTD("tos.rtd", , "RHO", ".SPY160916P210.5")</f>
        <v>N/A</v>
      </c>
    </row>
    <row r="739" spans="1:22" x14ac:dyDescent="0.25">
      <c r="A739" t="str">
        <f>RTD("tos.rtd", , "ASK", ".SPY160916C211")</f>
        <v>N/A</v>
      </c>
      <c r="B739" t="str">
        <f>RTD("tos.rtd", , "ASK_SIZE", ".SPY160916C211")</f>
        <v>N/A</v>
      </c>
      <c r="C739" t="str">
        <f>RTD("tos.rtd", , "BID", ".SPY160916C211")</f>
        <v>N/A</v>
      </c>
      <c r="D739" t="str">
        <f>RTD("tos.rtd", , "BID_SIZE", ".SPY160916C211")</f>
        <v>N/A</v>
      </c>
      <c r="E739" t="str">
        <f>RTD("tos.rtd", , "VOLUME", ".SPY160916C211")</f>
        <v>N/A</v>
      </c>
      <c r="F739" t="str">
        <f>RTD("tos.rtd", , "OPEN_INT", ".SPY160916C211")</f>
        <v>N/A</v>
      </c>
      <c r="G739" t="str">
        <f>RTD("tos.rtd", , "DELTA", ".SPY160916C211")</f>
        <v>N/A</v>
      </c>
      <c r="H739" t="str">
        <f>RTD("tos.rtd", , "THETA", ".SPY160916C211")</f>
        <v>N/A</v>
      </c>
      <c r="I739" t="str">
        <f>RTD("tos.rtd", , "GAMMA", ".SPY160916C211")</f>
        <v>N/A</v>
      </c>
      <c r="J739" t="str">
        <f>RTD("tos.rtd", , "VEGA", ".SPY160916C211")</f>
        <v>N/A</v>
      </c>
      <c r="K739" t="str">
        <f>RTD("tos.rtd", , "RHO", ".SPY160916C211")</f>
        <v>N/A</v>
      </c>
      <c r="L739" t="str">
        <f>RTD("tos.rtd", , "ASK", ".SPY160916P211")</f>
        <v>N/A</v>
      </c>
      <c r="M739" t="str">
        <f>RTD("tos.rtd", , "ASK_SIZE", ".SPY160916P211")</f>
        <v>N/A</v>
      </c>
      <c r="N739" t="str">
        <f>RTD("tos.rtd", , "BID", ".SPY160916P211")</f>
        <v>N/A</v>
      </c>
      <c r="O739" t="str">
        <f>RTD("tos.rtd", , "BID_SIZE", ".SPY160916P211")</f>
        <v>N/A</v>
      </c>
      <c r="P739" t="str">
        <f>RTD("tos.rtd", , "VOLUME", ".SPY160916P211")</f>
        <v>N/A</v>
      </c>
      <c r="Q739" t="str">
        <f>RTD("tos.rtd", , "OPEN_INT", ".SPY160916P211")</f>
        <v>N/A</v>
      </c>
      <c r="R739" t="str">
        <f>RTD("tos.rtd", , "DELTA", ".SPY160916P211")</f>
        <v>N/A</v>
      </c>
      <c r="S739" t="str">
        <f>RTD("tos.rtd", , "THETA", ".SPY160916P211")</f>
        <v>N/A</v>
      </c>
      <c r="T739" t="str">
        <f>RTD("tos.rtd", , "GAMMA", ".SPY160916P211")</f>
        <v>N/A</v>
      </c>
      <c r="U739" t="str">
        <f>RTD("tos.rtd", , "VEGA", ".SPY160916P211")</f>
        <v>N/A</v>
      </c>
      <c r="V739" t="str">
        <f>RTD("tos.rtd", , "RHO", ".SPY160916P211")</f>
        <v>N/A</v>
      </c>
    </row>
    <row r="740" spans="1:22" x14ac:dyDescent="0.25">
      <c r="A740" t="str">
        <f>RTD("tos.rtd", , "ASK", ".SPY160916C211.5")</f>
        <v>N/A</v>
      </c>
      <c r="B740" t="str">
        <f>RTD("tos.rtd", , "ASK_SIZE", ".SPY160916C211.5")</f>
        <v>N/A</v>
      </c>
      <c r="C740" t="str">
        <f>RTD("tos.rtd", , "BID", ".SPY160916C211.5")</f>
        <v>N/A</v>
      </c>
      <c r="D740" t="str">
        <f>RTD("tos.rtd", , "BID_SIZE", ".SPY160916C211.5")</f>
        <v>N/A</v>
      </c>
      <c r="E740" t="str">
        <f>RTD("tos.rtd", , "VOLUME", ".SPY160916C211.5")</f>
        <v>N/A</v>
      </c>
      <c r="F740" t="str">
        <f>RTD("tos.rtd", , "OPEN_INT", ".SPY160916C211.5")</f>
        <v>N/A</v>
      </c>
      <c r="G740" t="str">
        <f>RTD("tos.rtd", , "DELTA", ".SPY160916C211.5")</f>
        <v>N/A</v>
      </c>
      <c r="H740" t="str">
        <f>RTD("tos.rtd", , "THETA", ".SPY160916C211.5")</f>
        <v>N/A</v>
      </c>
      <c r="I740" t="str">
        <f>RTD("tos.rtd", , "GAMMA", ".SPY160916C211.5")</f>
        <v>N/A</v>
      </c>
      <c r="J740" t="str">
        <f>RTD("tos.rtd", , "VEGA", ".SPY160916C211.5")</f>
        <v>N/A</v>
      </c>
      <c r="K740" t="str">
        <f>RTD("tos.rtd", , "RHO", ".SPY160916C211.5")</f>
        <v>N/A</v>
      </c>
      <c r="L740" t="str">
        <f>RTD("tos.rtd", , "ASK", ".SPY160916P211.5")</f>
        <v>N/A</v>
      </c>
      <c r="M740" t="str">
        <f>RTD("tos.rtd", , "ASK_SIZE", ".SPY160916P211.5")</f>
        <v>N/A</v>
      </c>
      <c r="N740" t="str">
        <f>RTD("tos.rtd", , "BID", ".SPY160916P211.5")</f>
        <v>N/A</v>
      </c>
      <c r="O740" t="str">
        <f>RTD("tos.rtd", , "BID_SIZE", ".SPY160916P211.5")</f>
        <v>N/A</v>
      </c>
      <c r="P740" t="str">
        <f>RTD("tos.rtd", , "VOLUME", ".SPY160916P211.5")</f>
        <v>N/A</v>
      </c>
      <c r="Q740" t="str">
        <f>RTD("tos.rtd", , "OPEN_INT", ".SPY160916P211.5")</f>
        <v>N/A</v>
      </c>
      <c r="R740" t="str">
        <f>RTD("tos.rtd", , "DELTA", ".SPY160916P211.5")</f>
        <v>N/A</v>
      </c>
      <c r="S740" t="str">
        <f>RTD("tos.rtd", , "THETA", ".SPY160916P211.5")</f>
        <v>N/A</v>
      </c>
      <c r="T740" t="str">
        <f>RTD("tos.rtd", , "GAMMA", ".SPY160916P211.5")</f>
        <v>N/A</v>
      </c>
      <c r="U740" t="str">
        <f>RTD("tos.rtd", , "VEGA", ".SPY160916P211.5")</f>
        <v>N/A</v>
      </c>
      <c r="V740" t="str">
        <f>RTD("tos.rtd", , "RHO", ".SPY160916P211.5")</f>
        <v>N/A</v>
      </c>
    </row>
    <row r="741" spans="1:22" x14ac:dyDescent="0.25">
      <c r="A741" t="str">
        <f>RTD("tos.rtd", , "ASK", ".SPY160916C212")</f>
        <v>N/A</v>
      </c>
      <c r="B741" t="str">
        <f>RTD("tos.rtd", , "ASK_SIZE", ".SPY160916C212")</f>
        <v>N/A</v>
      </c>
      <c r="C741" t="str">
        <f>RTD("tos.rtd", , "BID", ".SPY160916C212")</f>
        <v>N/A</v>
      </c>
      <c r="D741" t="str">
        <f>RTD("tos.rtd", , "BID_SIZE", ".SPY160916C212")</f>
        <v>N/A</v>
      </c>
      <c r="E741" t="str">
        <f>RTD("tos.rtd", , "VOLUME", ".SPY160916C212")</f>
        <v>N/A</v>
      </c>
      <c r="F741" t="str">
        <f>RTD("tos.rtd", , "OPEN_INT", ".SPY160916C212")</f>
        <v>N/A</v>
      </c>
      <c r="G741" t="str">
        <f>RTD("tos.rtd", , "DELTA", ".SPY160916C212")</f>
        <v>N/A</v>
      </c>
      <c r="H741" t="str">
        <f>RTD("tos.rtd", , "THETA", ".SPY160916C212")</f>
        <v>N/A</v>
      </c>
      <c r="I741" t="str">
        <f>RTD("tos.rtd", , "GAMMA", ".SPY160916C212")</f>
        <v>N/A</v>
      </c>
      <c r="J741" t="str">
        <f>RTD("tos.rtd", , "VEGA", ".SPY160916C212")</f>
        <v>N/A</v>
      </c>
      <c r="K741" t="str">
        <f>RTD("tos.rtd", , "RHO", ".SPY160916C212")</f>
        <v>N/A</v>
      </c>
      <c r="L741" t="str">
        <f>RTD("tos.rtd", , "ASK", ".SPY160916P212")</f>
        <v>N/A</v>
      </c>
      <c r="M741" t="str">
        <f>RTD("tos.rtd", , "ASK_SIZE", ".SPY160916P212")</f>
        <v>N/A</v>
      </c>
      <c r="N741" t="str">
        <f>RTD("tos.rtd", , "BID", ".SPY160916P212")</f>
        <v>N/A</v>
      </c>
      <c r="O741" t="str">
        <f>RTD("tos.rtd", , "BID_SIZE", ".SPY160916P212")</f>
        <v>N/A</v>
      </c>
      <c r="P741" t="str">
        <f>RTD("tos.rtd", , "VOLUME", ".SPY160916P212")</f>
        <v>N/A</v>
      </c>
      <c r="Q741" t="str">
        <f>RTD("tos.rtd", , "OPEN_INT", ".SPY160916P212")</f>
        <v>N/A</v>
      </c>
      <c r="R741" t="str">
        <f>RTD("tos.rtd", , "DELTA", ".SPY160916P212")</f>
        <v>N/A</v>
      </c>
      <c r="S741" t="str">
        <f>RTD("tos.rtd", , "THETA", ".SPY160916P212")</f>
        <v>N/A</v>
      </c>
      <c r="T741" t="str">
        <f>RTD("tos.rtd", , "GAMMA", ".SPY160916P212")</f>
        <v>N/A</v>
      </c>
      <c r="U741" t="str">
        <f>RTD("tos.rtd", , "VEGA", ".SPY160916P212")</f>
        <v>N/A</v>
      </c>
      <c r="V741" t="str">
        <f>RTD("tos.rtd", , "RHO", ".SPY160916P212")</f>
        <v>N/A</v>
      </c>
    </row>
    <row r="742" spans="1:22" x14ac:dyDescent="0.25">
      <c r="A742" t="str">
        <f>RTD("tos.rtd", , "ASK", ".SPY160916C212.5")</f>
        <v>N/A</v>
      </c>
      <c r="B742" t="str">
        <f>RTD("tos.rtd", , "ASK_SIZE", ".SPY160916C212.5")</f>
        <v>N/A</v>
      </c>
      <c r="C742" t="str">
        <f>RTD("tos.rtd", , "BID", ".SPY160916C212.5")</f>
        <v>N/A</v>
      </c>
      <c r="D742" t="str">
        <f>RTD("tos.rtd", , "BID_SIZE", ".SPY160916C212.5")</f>
        <v>N/A</v>
      </c>
      <c r="E742" t="str">
        <f>RTD("tos.rtd", , "VOLUME", ".SPY160916C212.5")</f>
        <v>N/A</v>
      </c>
      <c r="F742" t="str">
        <f>RTD("tos.rtd", , "OPEN_INT", ".SPY160916C212.5")</f>
        <v>N/A</v>
      </c>
      <c r="G742" t="str">
        <f>RTD("tos.rtd", , "DELTA", ".SPY160916C212.5")</f>
        <v>N/A</v>
      </c>
      <c r="H742" t="str">
        <f>RTD("tos.rtd", , "THETA", ".SPY160916C212.5")</f>
        <v>N/A</v>
      </c>
      <c r="I742" t="str">
        <f>RTD("tos.rtd", , "GAMMA", ".SPY160916C212.5")</f>
        <v>N/A</v>
      </c>
      <c r="J742" t="str">
        <f>RTD("tos.rtd", , "VEGA", ".SPY160916C212.5")</f>
        <v>N/A</v>
      </c>
      <c r="K742" t="str">
        <f>RTD("tos.rtd", , "RHO", ".SPY160916C212.5")</f>
        <v>N/A</v>
      </c>
      <c r="L742" t="str">
        <f>RTD("tos.rtd", , "ASK", ".SPY160916P212.5")</f>
        <v>N/A</v>
      </c>
      <c r="M742" t="str">
        <f>RTD("tos.rtd", , "ASK_SIZE", ".SPY160916P212.5")</f>
        <v>N/A</v>
      </c>
      <c r="N742" t="str">
        <f>RTD("tos.rtd", , "BID", ".SPY160916P212.5")</f>
        <v>N/A</v>
      </c>
      <c r="O742" t="str">
        <f>RTD("tos.rtd", , "BID_SIZE", ".SPY160916P212.5")</f>
        <v>N/A</v>
      </c>
      <c r="P742" t="str">
        <f>RTD("tos.rtd", , "VOLUME", ".SPY160916P212.5")</f>
        <v>N/A</v>
      </c>
      <c r="Q742" t="str">
        <f>RTD("tos.rtd", , "OPEN_INT", ".SPY160916P212.5")</f>
        <v>N/A</v>
      </c>
      <c r="R742" t="str">
        <f>RTD("tos.rtd", , "DELTA", ".SPY160916P212.5")</f>
        <v>N/A</v>
      </c>
      <c r="S742" t="str">
        <f>RTD("tos.rtd", , "THETA", ".SPY160916P212.5")</f>
        <v>N/A</v>
      </c>
      <c r="T742" t="str">
        <f>RTD("tos.rtd", , "GAMMA", ".SPY160916P212.5")</f>
        <v>N/A</v>
      </c>
      <c r="U742" t="str">
        <f>RTD("tos.rtd", , "VEGA", ".SPY160916P212.5")</f>
        <v>N/A</v>
      </c>
      <c r="V742" t="str">
        <f>RTD("tos.rtd", , "RHO", ".SPY160916P212.5")</f>
        <v>N/A</v>
      </c>
    </row>
    <row r="743" spans="1:22" x14ac:dyDescent="0.25">
      <c r="A743" t="str">
        <f>RTD("tos.rtd", , "ASK", ".SPY160916C213")</f>
        <v>N/A</v>
      </c>
      <c r="B743" t="str">
        <f>RTD("tos.rtd", , "ASK_SIZE", ".SPY160916C213")</f>
        <v>N/A</v>
      </c>
      <c r="C743" t="str">
        <f>RTD("tos.rtd", , "BID", ".SPY160916C213")</f>
        <v>N/A</v>
      </c>
      <c r="D743" t="str">
        <f>RTD("tos.rtd", , "BID_SIZE", ".SPY160916C213")</f>
        <v>N/A</v>
      </c>
      <c r="E743" t="str">
        <f>RTD("tos.rtd", , "VOLUME", ".SPY160916C213")</f>
        <v>N/A</v>
      </c>
      <c r="F743" t="str">
        <f>RTD("tos.rtd", , "OPEN_INT", ".SPY160916C213")</f>
        <v>N/A</v>
      </c>
      <c r="G743" t="str">
        <f>RTD("tos.rtd", , "DELTA", ".SPY160916C213")</f>
        <v>N/A</v>
      </c>
      <c r="H743" t="str">
        <f>RTD("tos.rtd", , "THETA", ".SPY160916C213")</f>
        <v>N/A</v>
      </c>
      <c r="I743" t="str">
        <f>RTD("tos.rtd", , "GAMMA", ".SPY160916C213")</f>
        <v>N/A</v>
      </c>
      <c r="J743" t="str">
        <f>RTD("tos.rtd", , "VEGA", ".SPY160916C213")</f>
        <v>N/A</v>
      </c>
      <c r="K743" t="str">
        <f>RTD("tos.rtd", , "RHO", ".SPY160916C213")</f>
        <v>N/A</v>
      </c>
      <c r="L743" t="str">
        <f>RTD("tos.rtd", , "ASK", ".SPY160916P213")</f>
        <v>N/A</v>
      </c>
      <c r="M743" t="str">
        <f>RTD("tos.rtd", , "ASK_SIZE", ".SPY160916P213")</f>
        <v>N/A</v>
      </c>
      <c r="N743" t="str">
        <f>RTD("tos.rtd", , "BID", ".SPY160916P213")</f>
        <v>N/A</v>
      </c>
      <c r="O743" t="str">
        <f>RTD("tos.rtd", , "BID_SIZE", ".SPY160916P213")</f>
        <v>N/A</v>
      </c>
      <c r="P743" t="str">
        <f>RTD("tos.rtd", , "VOLUME", ".SPY160916P213")</f>
        <v>N/A</v>
      </c>
      <c r="Q743" t="str">
        <f>RTD("tos.rtd", , "OPEN_INT", ".SPY160916P213")</f>
        <v>N/A</v>
      </c>
      <c r="R743" t="str">
        <f>RTD("tos.rtd", , "DELTA", ".SPY160916P213")</f>
        <v>N/A</v>
      </c>
      <c r="S743" t="str">
        <f>RTD("tos.rtd", , "THETA", ".SPY160916P213")</f>
        <v>N/A</v>
      </c>
      <c r="T743" t="str">
        <f>RTD("tos.rtd", , "GAMMA", ".SPY160916P213")</f>
        <v>N/A</v>
      </c>
      <c r="U743" t="str">
        <f>RTD("tos.rtd", , "VEGA", ".SPY160916P213")</f>
        <v>N/A</v>
      </c>
      <c r="V743" t="str">
        <f>RTD("tos.rtd", , "RHO", ".SPY160916P213")</f>
        <v>N/A</v>
      </c>
    </row>
    <row r="744" spans="1:22" x14ac:dyDescent="0.25">
      <c r="A744" t="str">
        <f>RTD("tos.rtd", , "ASK", ".SPY160916C213.5")</f>
        <v>N/A</v>
      </c>
      <c r="B744" t="str">
        <f>RTD("tos.rtd", , "ASK_SIZE", ".SPY160916C213.5")</f>
        <v>N/A</v>
      </c>
      <c r="C744" t="str">
        <f>RTD("tos.rtd", , "BID", ".SPY160916C213.5")</f>
        <v>N/A</v>
      </c>
      <c r="D744" t="str">
        <f>RTD("tos.rtd", , "BID_SIZE", ".SPY160916C213.5")</f>
        <v>N/A</v>
      </c>
      <c r="E744" t="str">
        <f>RTD("tos.rtd", , "VOLUME", ".SPY160916C213.5")</f>
        <v>N/A</v>
      </c>
      <c r="F744" t="str">
        <f>RTD("tos.rtd", , "OPEN_INT", ".SPY160916C213.5")</f>
        <v>N/A</v>
      </c>
      <c r="G744" t="str">
        <f>RTD("tos.rtd", , "DELTA", ".SPY160916C213.5")</f>
        <v>N/A</v>
      </c>
      <c r="H744" t="str">
        <f>RTD("tos.rtd", , "THETA", ".SPY160916C213.5")</f>
        <v>N/A</v>
      </c>
      <c r="I744" t="str">
        <f>RTD("tos.rtd", , "GAMMA", ".SPY160916C213.5")</f>
        <v>N/A</v>
      </c>
      <c r="J744" t="str">
        <f>RTD("tos.rtd", , "VEGA", ".SPY160916C213.5")</f>
        <v>N/A</v>
      </c>
      <c r="K744" t="str">
        <f>RTD("tos.rtd", , "RHO", ".SPY160916C213.5")</f>
        <v>N/A</v>
      </c>
      <c r="L744" t="str">
        <f>RTD("tos.rtd", , "ASK", ".SPY160916P213.5")</f>
        <v>N/A</v>
      </c>
      <c r="M744" t="str">
        <f>RTD("tos.rtd", , "ASK_SIZE", ".SPY160916P213.5")</f>
        <v>N/A</v>
      </c>
      <c r="N744" t="str">
        <f>RTD("tos.rtd", , "BID", ".SPY160916P213.5")</f>
        <v>N/A</v>
      </c>
      <c r="O744" t="str">
        <f>RTD("tos.rtd", , "BID_SIZE", ".SPY160916P213.5")</f>
        <v>N/A</v>
      </c>
      <c r="P744" t="str">
        <f>RTD("tos.rtd", , "VOLUME", ".SPY160916P213.5")</f>
        <v>N/A</v>
      </c>
      <c r="Q744" t="str">
        <f>RTD("tos.rtd", , "OPEN_INT", ".SPY160916P213.5")</f>
        <v>N/A</v>
      </c>
      <c r="R744" t="str">
        <f>RTD("tos.rtd", , "DELTA", ".SPY160916P213.5")</f>
        <v>N/A</v>
      </c>
      <c r="S744" t="str">
        <f>RTD("tos.rtd", , "THETA", ".SPY160916P213.5")</f>
        <v>N/A</v>
      </c>
      <c r="T744" t="str">
        <f>RTD("tos.rtd", , "GAMMA", ".SPY160916P213.5")</f>
        <v>N/A</v>
      </c>
      <c r="U744" t="str">
        <f>RTD("tos.rtd", , "VEGA", ".SPY160916P213.5")</f>
        <v>N/A</v>
      </c>
      <c r="V744" t="str">
        <f>RTD("tos.rtd", , "RHO", ".SPY160916P213.5")</f>
        <v>N/A</v>
      </c>
    </row>
    <row r="745" spans="1:22" x14ac:dyDescent="0.25">
      <c r="A745" t="str">
        <f>RTD("tos.rtd", , "ASK", ".SPY160916C214")</f>
        <v>N/A</v>
      </c>
      <c r="B745" t="str">
        <f>RTD("tos.rtd", , "ASK_SIZE", ".SPY160916C214")</f>
        <v>N/A</v>
      </c>
      <c r="C745" t="str">
        <f>RTD("tos.rtd", , "BID", ".SPY160916C214")</f>
        <v>N/A</v>
      </c>
      <c r="D745" t="str">
        <f>RTD("tos.rtd", , "BID_SIZE", ".SPY160916C214")</f>
        <v>N/A</v>
      </c>
      <c r="E745" t="str">
        <f>RTD("tos.rtd", , "VOLUME", ".SPY160916C214")</f>
        <v>N/A</v>
      </c>
      <c r="F745" t="str">
        <f>RTD("tos.rtd", , "OPEN_INT", ".SPY160916C214")</f>
        <v>N/A</v>
      </c>
      <c r="G745" t="str">
        <f>RTD("tos.rtd", , "DELTA", ".SPY160916C214")</f>
        <v>N/A</v>
      </c>
      <c r="H745" t="str">
        <f>RTD("tos.rtd", , "THETA", ".SPY160916C214")</f>
        <v>N/A</v>
      </c>
      <c r="I745" t="str">
        <f>RTD("tos.rtd", , "GAMMA", ".SPY160916C214")</f>
        <v>N/A</v>
      </c>
      <c r="J745" t="str">
        <f>RTD("tos.rtd", , "VEGA", ".SPY160916C214")</f>
        <v>N/A</v>
      </c>
      <c r="K745" t="str">
        <f>RTD("tos.rtd", , "RHO", ".SPY160916C214")</f>
        <v>N/A</v>
      </c>
      <c r="L745" t="str">
        <f>RTD("tos.rtd", , "ASK", ".SPY160916P214")</f>
        <v>N/A</v>
      </c>
      <c r="M745" t="str">
        <f>RTD("tos.rtd", , "ASK_SIZE", ".SPY160916P214")</f>
        <v>N/A</v>
      </c>
      <c r="N745" t="str">
        <f>RTD("tos.rtd", , "BID", ".SPY160916P214")</f>
        <v>N/A</v>
      </c>
      <c r="O745" t="str">
        <f>RTD("tos.rtd", , "BID_SIZE", ".SPY160916P214")</f>
        <v>N/A</v>
      </c>
      <c r="P745" t="str">
        <f>RTD("tos.rtd", , "VOLUME", ".SPY160916P214")</f>
        <v>N/A</v>
      </c>
      <c r="Q745" t="str">
        <f>RTD("tos.rtd", , "OPEN_INT", ".SPY160916P214")</f>
        <v>N/A</v>
      </c>
      <c r="R745" t="str">
        <f>RTD("tos.rtd", , "DELTA", ".SPY160916P214")</f>
        <v>N/A</v>
      </c>
      <c r="S745" t="str">
        <f>RTD("tos.rtd", , "THETA", ".SPY160916P214")</f>
        <v>N/A</v>
      </c>
      <c r="T745" t="str">
        <f>RTD("tos.rtd", , "GAMMA", ".SPY160916P214")</f>
        <v>N/A</v>
      </c>
      <c r="U745" t="str">
        <f>RTD("tos.rtd", , "VEGA", ".SPY160916P214")</f>
        <v>N/A</v>
      </c>
      <c r="V745" t="str">
        <f>RTD("tos.rtd", , "RHO", ".SPY160916P214")</f>
        <v>N/A</v>
      </c>
    </row>
    <row r="746" spans="1:22" x14ac:dyDescent="0.25">
      <c r="A746" t="str">
        <f>RTD("tos.rtd", , "ASK", ".SPY160916C214.5")</f>
        <v>N/A</v>
      </c>
      <c r="B746" t="str">
        <f>RTD("tos.rtd", , "ASK_SIZE", ".SPY160916C214.5")</f>
        <v>N/A</v>
      </c>
      <c r="C746" t="str">
        <f>RTD("tos.rtd", , "BID", ".SPY160916C214.5")</f>
        <v>N/A</v>
      </c>
      <c r="D746" t="str">
        <f>RTD("tos.rtd", , "BID_SIZE", ".SPY160916C214.5")</f>
        <v>N/A</v>
      </c>
      <c r="E746" t="str">
        <f>RTD("tos.rtd", , "VOLUME", ".SPY160916C214.5")</f>
        <v>N/A</v>
      </c>
      <c r="F746" t="str">
        <f>RTD("tos.rtd", , "OPEN_INT", ".SPY160916C214.5")</f>
        <v>N/A</v>
      </c>
      <c r="G746" t="str">
        <f>RTD("tos.rtd", , "DELTA", ".SPY160916C214.5")</f>
        <v>N/A</v>
      </c>
      <c r="H746" t="str">
        <f>RTD("tos.rtd", , "THETA", ".SPY160916C214.5")</f>
        <v>N/A</v>
      </c>
      <c r="I746" t="str">
        <f>RTD("tos.rtd", , "GAMMA", ".SPY160916C214.5")</f>
        <v>N/A</v>
      </c>
      <c r="J746" t="str">
        <f>RTD("tos.rtd", , "VEGA", ".SPY160916C214.5")</f>
        <v>N/A</v>
      </c>
      <c r="K746" t="str">
        <f>RTD("tos.rtd", , "RHO", ".SPY160916C214.5")</f>
        <v>N/A</v>
      </c>
      <c r="L746" t="str">
        <f>RTD("tos.rtd", , "ASK", ".SPY160916P214.5")</f>
        <v>N/A</v>
      </c>
      <c r="M746" t="str">
        <f>RTD("tos.rtd", , "ASK_SIZE", ".SPY160916P214.5")</f>
        <v>N/A</v>
      </c>
      <c r="N746" t="str">
        <f>RTD("tos.rtd", , "BID", ".SPY160916P214.5")</f>
        <v>N/A</v>
      </c>
      <c r="O746" t="str">
        <f>RTD("tos.rtd", , "BID_SIZE", ".SPY160916P214.5")</f>
        <v>N/A</v>
      </c>
      <c r="P746" t="str">
        <f>RTD("tos.rtd", , "VOLUME", ".SPY160916P214.5")</f>
        <v>N/A</v>
      </c>
      <c r="Q746" t="str">
        <f>RTD("tos.rtd", , "OPEN_INT", ".SPY160916P214.5")</f>
        <v>N/A</v>
      </c>
      <c r="R746" t="str">
        <f>RTD("tos.rtd", , "DELTA", ".SPY160916P214.5")</f>
        <v>N/A</v>
      </c>
      <c r="S746" t="str">
        <f>RTD("tos.rtd", , "THETA", ".SPY160916P214.5")</f>
        <v>N/A</v>
      </c>
      <c r="T746" t="str">
        <f>RTD("tos.rtd", , "GAMMA", ".SPY160916P214.5")</f>
        <v>N/A</v>
      </c>
      <c r="U746" t="str">
        <f>RTD("tos.rtd", , "VEGA", ".SPY160916P214.5")</f>
        <v>N/A</v>
      </c>
      <c r="V746" t="str">
        <f>RTD("tos.rtd", , "RHO", ".SPY160916P214.5")</f>
        <v>N/A</v>
      </c>
    </row>
    <row r="747" spans="1:22" x14ac:dyDescent="0.25">
      <c r="A747">
        <f>RTD("tos.rtd", , "ASK", ".SPY160916C215")</f>
        <v>13.33</v>
      </c>
      <c r="B747">
        <f>RTD("tos.rtd", , "ASK_SIZE", ".SPY160916C215")</f>
        <v>1688</v>
      </c>
      <c r="C747">
        <f>RTD("tos.rtd", , "BID", ".SPY160916C215")</f>
        <v>12.75</v>
      </c>
      <c r="D747">
        <f>RTD("tos.rtd", , "BID_SIZE", ".SPY160916C215")</f>
        <v>1706</v>
      </c>
      <c r="E747">
        <f>RTD("tos.rtd", , "VOLUME", ".SPY160916C215")</f>
        <v>1</v>
      </c>
      <c r="F747">
        <f>RTD("tos.rtd", , "OPEN_INT", ".SPY160916C215")</f>
        <v>1432</v>
      </c>
      <c r="G747">
        <f>RTD("tos.rtd", , "DELTA", ".SPY160916C215")</f>
        <v>0.46516000000000002</v>
      </c>
      <c r="H747">
        <f>RTD("tos.rtd", , "THETA", ".SPY160916C215")</f>
        <v>-1.265E-2</v>
      </c>
      <c r="I747">
        <f>RTD("tos.rtd", , "GAMMA", ".SPY160916C215")</f>
        <v>9.9600000000000001E-3</v>
      </c>
      <c r="J747">
        <f>RTD("tos.rtd", , "VEGA", ".SPY160916C215")</f>
        <v>0.96411000000000002</v>
      </c>
      <c r="K747">
        <f>RTD("tos.rtd", , "RHO", ".SPY160916C215")</f>
        <v>1.00945</v>
      </c>
      <c r="L747">
        <f>RTD("tos.rtd", , "ASK", ".SPY160916P215")</f>
        <v>20.3</v>
      </c>
      <c r="M747">
        <f>RTD("tos.rtd", , "ASK_SIZE", ".SPY160916P215")</f>
        <v>181</v>
      </c>
      <c r="N747">
        <f>RTD("tos.rtd", , "BID", ".SPY160916P215")</f>
        <v>19.8</v>
      </c>
      <c r="O747">
        <f>RTD("tos.rtd", , "BID_SIZE", ".SPY160916P215")</f>
        <v>199</v>
      </c>
      <c r="P747">
        <f>RTD("tos.rtd", , "VOLUME", ".SPY160916P215")</f>
        <v>0</v>
      </c>
      <c r="Q747">
        <f>RTD("tos.rtd", , "OPEN_INT", ".SPY160916P215")</f>
        <v>480</v>
      </c>
      <c r="R747">
        <f>RTD("tos.rtd", , "DELTA", ".SPY160916P215")</f>
        <v>-0.52832000000000001</v>
      </c>
      <c r="S747">
        <f>RTD("tos.rtd", , "THETA", ".SPY160916P215")</f>
        <v>-1.9869999999999999E-2</v>
      </c>
      <c r="T747">
        <f>RTD("tos.rtd", , "GAMMA", ".SPY160916P215")</f>
        <v>9.7000000000000003E-3</v>
      </c>
      <c r="U747">
        <f>RTD("tos.rtd", , "VEGA", ".SPY160916P215")</f>
        <v>0.96025000000000005</v>
      </c>
      <c r="V747">
        <f>RTD("tos.rtd", , "RHO", ".SPY160916P215")</f>
        <v>-1.80586</v>
      </c>
    </row>
    <row r="748" spans="1:22" x14ac:dyDescent="0.25">
      <c r="A748" t="str">
        <f>RTD("tos.rtd", , "ASK", ".SPY160916C215.5")</f>
        <v>N/A</v>
      </c>
      <c r="B748" t="str">
        <f>RTD("tos.rtd", , "ASK_SIZE", ".SPY160916C215.5")</f>
        <v>N/A</v>
      </c>
      <c r="C748" t="str">
        <f>RTD("tos.rtd", , "BID", ".SPY160916C215.5")</f>
        <v>N/A</v>
      </c>
      <c r="D748" t="str">
        <f>RTD("tos.rtd", , "BID_SIZE", ".SPY160916C215.5")</f>
        <v>N/A</v>
      </c>
      <c r="E748" t="str">
        <f>RTD("tos.rtd", , "VOLUME", ".SPY160916C215.5")</f>
        <v>N/A</v>
      </c>
      <c r="F748" t="str">
        <f>RTD("tos.rtd", , "OPEN_INT", ".SPY160916C215.5")</f>
        <v>N/A</v>
      </c>
      <c r="G748" t="str">
        <f>RTD("tos.rtd", , "DELTA", ".SPY160916C215.5")</f>
        <v>N/A</v>
      </c>
      <c r="H748" t="str">
        <f>RTD("tos.rtd", , "THETA", ".SPY160916C215.5")</f>
        <v>N/A</v>
      </c>
      <c r="I748" t="str">
        <f>RTD("tos.rtd", , "GAMMA", ".SPY160916C215.5")</f>
        <v>N/A</v>
      </c>
      <c r="J748" t="str">
        <f>RTD("tos.rtd", , "VEGA", ".SPY160916C215.5")</f>
        <v>N/A</v>
      </c>
      <c r="K748" t="str">
        <f>RTD("tos.rtd", , "RHO", ".SPY160916C215.5")</f>
        <v>N/A</v>
      </c>
      <c r="L748" t="str">
        <f>RTD("tos.rtd", , "ASK", ".SPY160916P215.5")</f>
        <v>N/A</v>
      </c>
      <c r="M748" t="str">
        <f>RTD("tos.rtd", , "ASK_SIZE", ".SPY160916P215.5")</f>
        <v>N/A</v>
      </c>
      <c r="N748" t="str">
        <f>RTD("tos.rtd", , "BID", ".SPY160916P215.5")</f>
        <v>N/A</v>
      </c>
      <c r="O748" t="str">
        <f>RTD("tos.rtd", , "BID_SIZE", ".SPY160916P215.5")</f>
        <v>N/A</v>
      </c>
      <c r="P748" t="str">
        <f>RTD("tos.rtd", , "VOLUME", ".SPY160916P215.5")</f>
        <v>N/A</v>
      </c>
      <c r="Q748" t="str">
        <f>RTD("tos.rtd", , "OPEN_INT", ".SPY160916P215.5")</f>
        <v>N/A</v>
      </c>
      <c r="R748" t="str">
        <f>RTD("tos.rtd", , "DELTA", ".SPY160916P215.5")</f>
        <v>N/A</v>
      </c>
      <c r="S748" t="str">
        <f>RTD("tos.rtd", , "THETA", ".SPY160916P215.5")</f>
        <v>N/A</v>
      </c>
      <c r="T748" t="str">
        <f>RTD("tos.rtd", , "GAMMA", ".SPY160916P215.5")</f>
        <v>N/A</v>
      </c>
      <c r="U748" t="str">
        <f>RTD("tos.rtd", , "VEGA", ".SPY160916P215.5")</f>
        <v>N/A</v>
      </c>
      <c r="V748" t="str">
        <f>RTD("tos.rtd", , "RHO", ".SPY160916P215.5")</f>
        <v>N/A</v>
      </c>
    </row>
    <row r="749" spans="1:22" x14ac:dyDescent="0.25">
      <c r="A749" t="str">
        <f>RTD("tos.rtd", , "ASK", ".SPY160916C216")</f>
        <v>N/A</v>
      </c>
      <c r="B749" t="str">
        <f>RTD("tos.rtd", , "ASK_SIZE", ".SPY160916C216")</f>
        <v>N/A</v>
      </c>
      <c r="C749" t="str">
        <f>RTD("tos.rtd", , "BID", ".SPY160916C216")</f>
        <v>N/A</v>
      </c>
      <c r="D749" t="str">
        <f>RTD("tos.rtd", , "BID_SIZE", ".SPY160916C216")</f>
        <v>N/A</v>
      </c>
      <c r="E749" t="str">
        <f>RTD("tos.rtd", , "VOLUME", ".SPY160916C216")</f>
        <v>N/A</v>
      </c>
      <c r="F749" t="str">
        <f>RTD("tos.rtd", , "OPEN_INT", ".SPY160916C216")</f>
        <v>N/A</v>
      </c>
      <c r="G749" t="str">
        <f>RTD("tos.rtd", , "DELTA", ".SPY160916C216")</f>
        <v>N/A</v>
      </c>
      <c r="H749" t="str">
        <f>RTD("tos.rtd", , "THETA", ".SPY160916C216")</f>
        <v>N/A</v>
      </c>
      <c r="I749" t="str">
        <f>RTD("tos.rtd", , "GAMMA", ".SPY160916C216")</f>
        <v>N/A</v>
      </c>
      <c r="J749" t="str">
        <f>RTD("tos.rtd", , "VEGA", ".SPY160916C216")</f>
        <v>N/A</v>
      </c>
      <c r="K749" t="str">
        <f>RTD("tos.rtd", , "RHO", ".SPY160916C216")</f>
        <v>N/A</v>
      </c>
      <c r="L749" t="str">
        <f>RTD("tos.rtd", , "ASK", ".SPY160916P216")</f>
        <v>N/A</v>
      </c>
      <c r="M749" t="str">
        <f>RTD("tos.rtd", , "ASK_SIZE", ".SPY160916P216")</f>
        <v>N/A</v>
      </c>
      <c r="N749" t="str">
        <f>RTD("tos.rtd", , "BID", ".SPY160916P216")</f>
        <v>N/A</v>
      </c>
      <c r="O749" t="str">
        <f>RTD("tos.rtd", , "BID_SIZE", ".SPY160916P216")</f>
        <v>N/A</v>
      </c>
      <c r="P749" t="str">
        <f>RTD("tos.rtd", , "VOLUME", ".SPY160916P216")</f>
        <v>N/A</v>
      </c>
      <c r="Q749" t="str">
        <f>RTD("tos.rtd", , "OPEN_INT", ".SPY160916P216")</f>
        <v>N/A</v>
      </c>
      <c r="R749" t="str">
        <f>RTD("tos.rtd", , "DELTA", ".SPY160916P216")</f>
        <v>N/A</v>
      </c>
      <c r="S749" t="str">
        <f>RTD("tos.rtd", , "THETA", ".SPY160916P216")</f>
        <v>N/A</v>
      </c>
      <c r="T749" t="str">
        <f>RTD("tos.rtd", , "GAMMA", ".SPY160916P216")</f>
        <v>N/A</v>
      </c>
      <c r="U749" t="str">
        <f>RTD("tos.rtd", , "VEGA", ".SPY160916P216")</f>
        <v>N/A</v>
      </c>
      <c r="V749" t="str">
        <f>RTD("tos.rtd", , "RHO", ".SPY160916P216")</f>
        <v>N/A</v>
      </c>
    </row>
    <row r="750" spans="1:22" x14ac:dyDescent="0.25">
      <c r="A750" t="str">
        <f>RTD("tos.rtd", , "ASK", ".SPY160916C216.5")</f>
        <v>N/A</v>
      </c>
      <c r="B750" t="str">
        <f>RTD("tos.rtd", , "ASK_SIZE", ".SPY160916C216.5")</f>
        <v>N/A</v>
      </c>
      <c r="C750" t="str">
        <f>RTD("tos.rtd", , "BID", ".SPY160916C216.5")</f>
        <v>N/A</v>
      </c>
      <c r="D750" t="str">
        <f>RTD("tos.rtd", , "BID_SIZE", ".SPY160916C216.5")</f>
        <v>N/A</v>
      </c>
      <c r="E750" t="str">
        <f>RTD("tos.rtd", , "VOLUME", ".SPY160916C216.5")</f>
        <v>N/A</v>
      </c>
      <c r="F750" t="str">
        <f>RTD("tos.rtd", , "OPEN_INT", ".SPY160916C216.5")</f>
        <v>N/A</v>
      </c>
      <c r="G750" t="str">
        <f>RTD("tos.rtd", , "DELTA", ".SPY160916C216.5")</f>
        <v>N/A</v>
      </c>
      <c r="H750" t="str">
        <f>RTD("tos.rtd", , "THETA", ".SPY160916C216.5")</f>
        <v>N/A</v>
      </c>
      <c r="I750" t="str">
        <f>RTD("tos.rtd", , "GAMMA", ".SPY160916C216.5")</f>
        <v>N/A</v>
      </c>
      <c r="J750" t="str">
        <f>RTD("tos.rtd", , "VEGA", ".SPY160916C216.5")</f>
        <v>N/A</v>
      </c>
      <c r="K750" t="str">
        <f>RTD("tos.rtd", , "RHO", ".SPY160916C216.5")</f>
        <v>N/A</v>
      </c>
      <c r="L750" t="str">
        <f>RTD("tos.rtd", , "ASK", ".SPY160916P216.5")</f>
        <v>N/A</v>
      </c>
      <c r="M750" t="str">
        <f>RTD("tos.rtd", , "ASK_SIZE", ".SPY160916P216.5")</f>
        <v>N/A</v>
      </c>
      <c r="N750" t="str">
        <f>RTD("tos.rtd", , "BID", ".SPY160916P216.5")</f>
        <v>N/A</v>
      </c>
      <c r="O750" t="str">
        <f>RTD("tos.rtd", , "BID_SIZE", ".SPY160916P216.5")</f>
        <v>N/A</v>
      </c>
      <c r="P750" t="str">
        <f>RTD("tos.rtd", , "VOLUME", ".SPY160916P216.5")</f>
        <v>N/A</v>
      </c>
      <c r="Q750" t="str">
        <f>RTD("tos.rtd", , "OPEN_INT", ".SPY160916P216.5")</f>
        <v>N/A</v>
      </c>
      <c r="R750" t="str">
        <f>RTD("tos.rtd", , "DELTA", ".SPY160916P216.5")</f>
        <v>N/A</v>
      </c>
      <c r="S750" t="str">
        <f>RTD("tos.rtd", , "THETA", ".SPY160916P216.5")</f>
        <v>N/A</v>
      </c>
      <c r="T750" t="str">
        <f>RTD("tos.rtd", , "GAMMA", ".SPY160916P216.5")</f>
        <v>N/A</v>
      </c>
      <c r="U750" t="str">
        <f>RTD("tos.rtd", , "VEGA", ".SPY160916P216.5")</f>
        <v>N/A</v>
      </c>
      <c r="V750" t="str">
        <f>RTD("tos.rtd", , "RHO", ".SPY160916P216.5")</f>
        <v>N/A</v>
      </c>
    </row>
    <row r="751" spans="1:22" x14ac:dyDescent="0.25">
      <c r="A751" t="str">
        <f>RTD("tos.rtd", , "ASK", ".SPY160916C217")</f>
        <v>N/A</v>
      </c>
      <c r="B751" t="str">
        <f>RTD("tos.rtd", , "ASK_SIZE", ".SPY160916C217")</f>
        <v>N/A</v>
      </c>
      <c r="C751" t="str">
        <f>RTD("tos.rtd", , "BID", ".SPY160916C217")</f>
        <v>N/A</v>
      </c>
      <c r="D751" t="str">
        <f>RTD("tos.rtd", , "BID_SIZE", ".SPY160916C217")</f>
        <v>N/A</v>
      </c>
      <c r="E751" t="str">
        <f>RTD("tos.rtd", , "VOLUME", ".SPY160916C217")</f>
        <v>N/A</v>
      </c>
      <c r="F751" t="str">
        <f>RTD("tos.rtd", , "OPEN_INT", ".SPY160916C217")</f>
        <v>N/A</v>
      </c>
      <c r="G751" t="str">
        <f>RTD("tos.rtd", , "DELTA", ".SPY160916C217")</f>
        <v>N/A</v>
      </c>
      <c r="H751" t="str">
        <f>RTD("tos.rtd", , "THETA", ".SPY160916C217")</f>
        <v>N/A</v>
      </c>
      <c r="I751" t="str">
        <f>RTD("tos.rtd", , "GAMMA", ".SPY160916C217")</f>
        <v>N/A</v>
      </c>
      <c r="J751" t="str">
        <f>RTD("tos.rtd", , "VEGA", ".SPY160916C217")</f>
        <v>N/A</v>
      </c>
      <c r="K751" t="str">
        <f>RTD("tos.rtd", , "RHO", ".SPY160916C217")</f>
        <v>N/A</v>
      </c>
      <c r="L751" t="str">
        <f>RTD("tos.rtd", , "ASK", ".SPY160916P217")</f>
        <v>N/A</v>
      </c>
      <c r="M751" t="str">
        <f>RTD("tos.rtd", , "ASK_SIZE", ".SPY160916P217")</f>
        <v>N/A</v>
      </c>
      <c r="N751" t="str">
        <f>RTD("tos.rtd", , "BID", ".SPY160916P217")</f>
        <v>N/A</v>
      </c>
      <c r="O751" t="str">
        <f>RTD("tos.rtd", , "BID_SIZE", ".SPY160916P217")</f>
        <v>N/A</v>
      </c>
      <c r="P751" t="str">
        <f>RTD("tos.rtd", , "VOLUME", ".SPY160916P217")</f>
        <v>N/A</v>
      </c>
      <c r="Q751" t="str">
        <f>RTD("tos.rtd", , "OPEN_INT", ".SPY160916P217")</f>
        <v>N/A</v>
      </c>
      <c r="R751" t="str">
        <f>RTD("tos.rtd", , "DELTA", ".SPY160916P217")</f>
        <v>N/A</v>
      </c>
      <c r="S751" t="str">
        <f>RTD("tos.rtd", , "THETA", ".SPY160916P217")</f>
        <v>N/A</v>
      </c>
      <c r="T751" t="str">
        <f>RTD("tos.rtd", , "GAMMA", ".SPY160916P217")</f>
        <v>N/A</v>
      </c>
      <c r="U751" t="str">
        <f>RTD("tos.rtd", , "VEGA", ".SPY160916P217")</f>
        <v>N/A</v>
      </c>
      <c r="V751" t="str">
        <f>RTD("tos.rtd", , "RHO", ".SPY160916P217")</f>
        <v>N/A</v>
      </c>
    </row>
    <row r="752" spans="1:22" x14ac:dyDescent="0.25">
      <c r="A752" t="str">
        <f>RTD("tos.rtd", , "ASK", ".SPY160916C217.5")</f>
        <v>N/A</v>
      </c>
      <c r="B752" t="str">
        <f>RTD("tos.rtd", , "ASK_SIZE", ".SPY160916C217.5")</f>
        <v>N/A</v>
      </c>
      <c r="C752" t="str">
        <f>RTD("tos.rtd", , "BID", ".SPY160916C217.5")</f>
        <v>N/A</v>
      </c>
      <c r="D752" t="str">
        <f>RTD("tos.rtd", , "BID_SIZE", ".SPY160916C217.5")</f>
        <v>N/A</v>
      </c>
      <c r="E752" t="str">
        <f>RTD("tos.rtd", , "VOLUME", ".SPY160916C217.5")</f>
        <v>N/A</v>
      </c>
      <c r="F752" t="str">
        <f>RTD("tos.rtd", , "OPEN_INT", ".SPY160916C217.5")</f>
        <v>N/A</v>
      </c>
      <c r="G752" t="str">
        <f>RTD("tos.rtd", , "DELTA", ".SPY160916C217.5")</f>
        <v>N/A</v>
      </c>
      <c r="H752" t="str">
        <f>RTD("tos.rtd", , "THETA", ".SPY160916C217.5")</f>
        <v>N/A</v>
      </c>
      <c r="I752" t="str">
        <f>RTD("tos.rtd", , "GAMMA", ".SPY160916C217.5")</f>
        <v>N/A</v>
      </c>
      <c r="J752" t="str">
        <f>RTD("tos.rtd", , "VEGA", ".SPY160916C217.5")</f>
        <v>N/A</v>
      </c>
      <c r="K752" t="str">
        <f>RTD("tos.rtd", , "RHO", ".SPY160916C217.5")</f>
        <v>N/A</v>
      </c>
      <c r="L752" t="str">
        <f>RTD("tos.rtd", , "ASK", ".SPY160916P217.5")</f>
        <v>N/A</v>
      </c>
      <c r="M752" t="str">
        <f>RTD("tos.rtd", , "ASK_SIZE", ".SPY160916P217.5")</f>
        <v>N/A</v>
      </c>
      <c r="N752" t="str">
        <f>RTD("tos.rtd", , "BID", ".SPY160916P217.5")</f>
        <v>N/A</v>
      </c>
      <c r="O752" t="str">
        <f>RTD("tos.rtd", , "BID_SIZE", ".SPY160916P217.5")</f>
        <v>N/A</v>
      </c>
      <c r="P752" t="str">
        <f>RTD("tos.rtd", , "VOLUME", ".SPY160916P217.5")</f>
        <v>N/A</v>
      </c>
      <c r="Q752" t="str">
        <f>RTD("tos.rtd", , "OPEN_INT", ".SPY160916P217.5")</f>
        <v>N/A</v>
      </c>
      <c r="R752" t="str">
        <f>RTD("tos.rtd", , "DELTA", ".SPY160916P217.5")</f>
        <v>N/A</v>
      </c>
      <c r="S752" t="str">
        <f>RTD("tos.rtd", , "THETA", ".SPY160916P217.5")</f>
        <v>N/A</v>
      </c>
      <c r="T752" t="str">
        <f>RTD("tos.rtd", , "GAMMA", ".SPY160916P217.5")</f>
        <v>N/A</v>
      </c>
      <c r="U752" t="str">
        <f>RTD("tos.rtd", , "VEGA", ".SPY160916P217.5")</f>
        <v>N/A</v>
      </c>
      <c r="V752" t="str">
        <f>RTD("tos.rtd", , "RHO", ".SPY160916P217.5")</f>
        <v>N/A</v>
      </c>
    </row>
    <row r="753" spans="1:22" x14ac:dyDescent="0.25">
      <c r="A753" t="str">
        <f>RTD("tos.rtd", , "ASK", ".SPY160916C218")</f>
        <v>N/A</v>
      </c>
      <c r="B753" t="str">
        <f>RTD("tos.rtd", , "ASK_SIZE", ".SPY160916C218")</f>
        <v>N/A</v>
      </c>
      <c r="C753" t="str">
        <f>RTD("tos.rtd", , "BID", ".SPY160916C218")</f>
        <v>N/A</v>
      </c>
      <c r="D753" t="str">
        <f>RTD("tos.rtd", , "BID_SIZE", ".SPY160916C218")</f>
        <v>N/A</v>
      </c>
      <c r="E753" t="str">
        <f>RTD("tos.rtd", , "VOLUME", ".SPY160916C218")</f>
        <v>N/A</v>
      </c>
      <c r="F753" t="str">
        <f>RTD("tos.rtd", , "OPEN_INT", ".SPY160916C218")</f>
        <v>N/A</v>
      </c>
      <c r="G753" t="str">
        <f>RTD("tos.rtd", , "DELTA", ".SPY160916C218")</f>
        <v>N/A</v>
      </c>
      <c r="H753" t="str">
        <f>RTD("tos.rtd", , "THETA", ".SPY160916C218")</f>
        <v>N/A</v>
      </c>
      <c r="I753" t="str">
        <f>RTD("tos.rtd", , "GAMMA", ".SPY160916C218")</f>
        <v>N/A</v>
      </c>
      <c r="J753" t="str">
        <f>RTD("tos.rtd", , "VEGA", ".SPY160916C218")</f>
        <v>N/A</v>
      </c>
      <c r="K753" t="str">
        <f>RTD("tos.rtd", , "RHO", ".SPY160916C218")</f>
        <v>N/A</v>
      </c>
      <c r="L753" t="str">
        <f>RTD("tos.rtd", , "ASK", ".SPY160916P218")</f>
        <v>N/A</v>
      </c>
      <c r="M753" t="str">
        <f>RTD("tos.rtd", , "ASK_SIZE", ".SPY160916P218")</f>
        <v>N/A</v>
      </c>
      <c r="N753" t="str">
        <f>RTD("tos.rtd", , "BID", ".SPY160916P218")</f>
        <v>N/A</v>
      </c>
      <c r="O753" t="str">
        <f>RTD("tos.rtd", , "BID_SIZE", ".SPY160916P218")</f>
        <v>N/A</v>
      </c>
      <c r="P753" t="str">
        <f>RTD("tos.rtd", , "VOLUME", ".SPY160916P218")</f>
        <v>N/A</v>
      </c>
      <c r="Q753" t="str">
        <f>RTD("tos.rtd", , "OPEN_INT", ".SPY160916P218")</f>
        <v>N/A</v>
      </c>
      <c r="R753" t="str">
        <f>RTD("tos.rtd", , "DELTA", ".SPY160916P218")</f>
        <v>N/A</v>
      </c>
      <c r="S753" t="str">
        <f>RTD("tos.rtd", , "THETA", ".SPY160916P218")</f>
        <v>N/A</v>
      </c>
      <c r="T753" t="str">
        <f>RTD("tos.rtd", , "GAMMA", ".SPY160916P218")</f>
        <v>N/A</v>
      </c>
      <c r="U753" t="str">
        <f>RTD("tos.rtd", , "VEGA", ".SPY160916P218")</f>
        <v>N/A</v>
      </c>
      <c r="V753" t="str">
        <f>RTD("tos.rtd", , "RHO", ".SPY160916P218")</f>
        <v>N/A</v>
      </c>
    </row>
    <row r="754" spans="1:22" x14ac:dyDescent="0.25">
      <c r="A754" t="str">
        <f>RTD("tos.rtd", , "ASK", ".SPY160916C218.5")</f>
        <v>N/A</v>
      </c>
      <c r="B754" t="str">
        <f>RTD("tos.rtd", , "ASK_SIZE", ".SPY160916C218.5")</f>
        <v>N/A</v>
      </c>
      <c r="C754" t="str">
        <f>RTD("tos.rtd", , "BID", ".SPY160916C218.5")</f>
        <v>N/A</v>
      </c>
      <c r="D754" t="str">
        <f>RTD("tos.rtd", , "BID_SIZE", ".SPY160916C218.5")</f>
        <v>N/A</v>
      </c>
      <c r="E754" t="str">
        <f>RTD("tos.rtd", , "VOLUME", ".SPY160916C218.5")</f>
        <v>N/A</v>
      </c>
      <c r="F754" t="str">
        <f>RTD("tos.rtd", , "OPEN_INT", ".SPY160916C218.5")</f>
        <v>N/A</v>
      </c>
      <c r="G754" t="str">
        <f>RTD("tos.rtd", , "DELTA", ".SPY160916C218.5")</f>
        <v>N/A</v>
      </c>
      <c r="H754" t="str">
        <f>RTD("tos.rtd", , "THETA", ".SPY160916C218.5")</f>
        <v>N/A</v>
      </c>
      <c r="I754" t="str">
        <f>RTD("tos.rtd", , "GAMMA", ".SPY160916C218.5")</f>
        <v>N/A</v>
      </c>
      <c r="J754" t="str">
        <f>RTD("tos.rtd", , "VEGA", ".SPY160916C218.5")</f>
        <v>N/A</v>
      </c>
      <c r="K754" t="str">
        <f>RTD("tos.rtd", , "RHO", ".SPY160916C218.5")</f>
        <v>N/A</v>
      </c>
      <c r="L754" t="str">
        <f>RTD("tos.rtd", , "ASK", ".SPY160916P218.5")</f>
        <v>N/A</v>
      </c>
      <c r="M754" t="str">
        <f>RTD("tos.rtd", , "ASK_SIZE", ".SPY160916P218.5")</f>
        <v>N/A</v>
      </c>
      <c r="N754" t="str">
        <f>RTD("tos.rtd", , "BID", ".SPY160916P218.5")</f>
        <v>N/A</v>
      </c>
      <c r="O754" t="str">
        <f>RTD("tos.rtd", , "BID_SIZE", ".SPY160916P218.5")</f>
        <v>N/A</v>
      </c>
      <c r="P754" t="str">
        <f>RTD("tos.rtd", , "VOLUME", ".SPY160916P218.5")</f>
        <v>N/A</v>
      </c>
      <c r="Q754" t="str">
        <f>RTD("tos.rtd", , "OPEN_INT", ".SPY160916P218.5")</f>
        <v>N/A</v>
      </c>
      <c r="R754" t="str">
        <f>RTD("tos.rtd", , "DELTA", ".SPY160916P218.5")</f>
        <v>N/A</v>
      </c>
      <c r="S754" t="str">
        <f>RTD("tos.rtd", , "THETA", ".SPY160916P218.5")</f>
        <v>N/A</v>
      </c>
      <c r="T754" t="str">
        <f>RTD("tos.rtd", , "GAMMA", ".SPY160916P218.5")</f>
        <v>N/A</v>
      </c>
      <c r="U754" t="str">
        <f>RTD("tos.rtd", , "VEGA", ".SPY160916P218.5")</f>
        <v>N/A</v>
      </c>
      <c r="V754" t="str">
        <f>RTD("tos.rtd", , "RHO", ".SPY160916P218.5")</f>
        <v>N/A</v>
      </c>
    </row>
    <row r="755" spans="1:22" x14ac:dyDescent="0.25">
      <c r="A755" t="str">
        <f>RTD("tos.rtd", , "ASK", ".SPY160916C219")</f>
        <v>N/A</v>
      </c>
      <c r="B755" t="str">
        <f>RTD("tos.rtd", , "ASK_SIZE", ".SPY160916C219")</f>
        <v>N/A</v>
      </c>
      <c r="C755" t="str">
        <f>RTD("tos.rtd", , "BID", ".SPY160916C219")</f>
        <v>N/A</v>
      </c>
      <c r="D755" t="str">
        <f>RTD("tos.rtd", , "BID_SIZE", ".SPY160916C219")</f>
        <v>N/A</v>
      </c>
      <c r="E755" t="str">
        <f>RTD("tos.rtd", , "VOLUME", ".SPY160916C219")</f>
        <v>N/A</v>
      </c>
      <c r="F755" t="str">
        <f>RTD("tos.rtd", , "OPEN_INT", ".SPY160916C219")</f>
        <v>N/A</v>
      </c>
      <c r="G755" t="str">
        <f>RTD("tos.rtd", , "DELTA", ".SPY160916C219")</f>
        <v>N/A</v>
      </c>
      <c r="H755" t="str">
        <f>RTD("tos.rtd", , "THETA", ".SPY160916C219")</f>
        <v>N/A</v>
      </c>
      <c r="I755" t="str">
        <f>RTD("tos.rtd", , "GAMMA", ".SPY160916C219")</f>
        <v>N/A</v>
      </c>
      <c r="J755" t="str">
        <f>RTD("tos.rtd", , "VEGA", ".SPY160916C219")</f>
        <v>N/A</v>
      </c>
      <c r="K755" t="str">
        <f>RTD("tos.rtd", , "RHO", ".SPY160916C219")</f>
        <v>N/A</v>
      </c>
      <c r="L755" t="str">
        <f>RTD("tos.rtd", , "ASK", ".SPY160916P219")</f>
        <v>N/A</v>
      </c>
      <c r="M755" t="str">
        <f>RTD("tos.rtd", , "ASK_SIZE", ".SPY160916P219")</f>
        <v>N/A</v>
      </c>
      <c r="N755" t="str">
        <f>RTD("tos.rtd", , "BID", ".SPY160916P219")</f>
        <v>N/A</v>
      </c>
      <c r="O755" t="str">
        <f>RTD("tos.rtd", , "BID_SIZE", ".SPY160916P219")</f>
        <v>N/A</v>
      </c>
      <c r="P755" t="str">
        <f>RTD("tos.rtd", , "VOLUME", ".SPY160916P219")</f>
        <v>N/A</v>
      </c>
      <c r="Q755" t="str">
        <f>RTD("tos.rtd", , "OPEN_INT", ".SPY160916P219")</f>
        <v>N/A</v>
      </c>
      <c r="R755" t="str">
        <f>RTD("tos.rtd", , "DELTA", ".SPY160916P219")</f>
        <v>N/A</v>
      </c>
      <c r="S755" t="str">
        <f>RTD("tos.rtd", , "THETA", ".SPY160916P219")</f>
        <v>N/A</v>
      </c>
      <c r="T755" t="str">
        <f>RTD("tos.rtd", , "GAMMA", ".SPY160916P219")</f>
        <v>N/A</v>
      </c>
      <c r="U755" t="str">
        <f>RTD("tos.rtd", , "VEGA", ".SPY160916P219")</f>
        <v>N/A</v>
      </c>
      <c r="V755" t="str">
        <f>RTD("tos.rtd", , "RHO", ".SPY160916P219")</f>
        <v>N/A</v>
      </c>
    </row>
    <row r="756" spans="1:22" x14ac:dyDescent="0.25">
      <c r="A756" t="str">
        <f>RTD("tos.rtd", , "ASK", ".SPY160916C219.5")</f>
        <v>N/A</v>
      </c>
      <c r="B756" t="str">
        <f>RTD("tos.rtd", , "ASK_SIZE", ".SPY160916C219.5")</f>
        <v>N/A</v>
      </c>
      <c r="C756" t="str">
        <f>RTD("tos.rtd", , "BID", ".SPY160916C219.5")</f>
        <v>N/A</v>
      </c>
      <c r="D756" t="str">
        <f>RTD("tos.rtd", , "BID_SIZE", ".SPY160916C219.5")</f>
        <v>N/A</v>
      </c>
      <c r="E756" t="str">
        <f>RTD("tos.rtd", , "VOLUME", ".SPY160916C219.5")</f>
        <v>N/A</v>
      </c>
      <c r="F756" t="str">
        <f>RTD("tos.rtd", , "OPEN_INT", ".SPY160916C219.5")</f>
        <v>N/A</v>
      </c>
      <c r="G756" t="str">
        <f>RTD("tos.rtd", , "DELTA", ".SPY160916C219.5")</f>
        <v>N/A</v>
      </c>
      <c r="H756" t="str">
        <f>RTD("tos.rtd", , "THETA", ".SPY160916C219.5")</f>
        <v>N/A</v>
      </c>
      <c r="I756" t="str">
        <f>RTD("tos.rtd", , "GAMMA", ".SPY160916C219.5")</f>
        <v>N/A</v>
      </c>
      <c r="J756" t="str">
        <f>RTD("tos.rtd", , "VEGA", ".SPY160916C219.5")</f>
        <v>N/A</v>
      </c>
      <c r="K756" t="str">
        <f>RTD("tos.rtd", , "RHO", ".SPY160916C219.5")</f>
        <v>N/A</v>
      </c>
      <c r="L756" t="str">
        <f>RTD("tos.rtd", , "ASK", ".SPY160916P219.5")</f>
        <v>N/A</v>
      </c>
      <c r="M756" t="str">
        <f>RTD("tos.rtd", , "ASK_SIZE", ".SPY160916P219.5")</f>
        <v>N/A</v>
      </c>
      <c r="N756" t="str">
        <f>RTD("tos.rtd", , "BID", ".SPY160916P219.5")</f>
        <v>N/A</v>
      </c>
      <c r="O756" t="str">
        <f>RTD("tos.rtd", , "BID_SIZE", ".SPY160916P219.5")</f>
        <v>N/A</v>
      </c>
      <c r="P756" t="str">
        <f>RTD("tos.rtd", , "VOLUME", ".SPY160916P219.5")</f>
        <v>N/A</v>
      </c>
      <c r="Q756" t="str">
        <f>RTD("tos.rtd", , "OPEN_INT", ".SPY160916P219.5")</f>
        <v>N/A</v>
      </c>
      <c r="R756" t="str">
        <f>RTD("tos.rtd", , "DELTA", ".SPY160916P219.5")</f>
        <v>N/A</v>
      </c>
      <c r="S756" t="str">
        <f>RTD("tos.rtd", , "THETA", ".SPY160916P219.5")</f>
        <v>N/A</v>
      </c>
      <c r="T756" t="str">
        <f>RTD("tos.rtd", , "GAMMA", ".SPY160916P219.5")</f>
        <v>N/A</v>
      </c>
      <c r="U756" t="str">
        <f>RTD("tos.rtd", , "VEGA", ".SPY160916P219.5")</f>
        <v>N/A</v>
      </c>
      <c r="V756" t="str">
        <f>RTD("tos.rtd", , "RHO", ".SPY160916P219.5")</f>
        <v>N/A</v>
      </c>
    </row>
    <row r="757" spans="1:22" x14ac:dyDescent="0.25">
      <c r="A757" t="s">
        <v>18</v>
      </c>
      <c r="B757">
        <v>40</v>
      </c>
    </row>
    <row r="758" spans="1:22" x14ac:dyDescent="0.25">
      <c r="A758">
        <f>RTD("tos.rtd", ,"LAST", "SPY")</f>
        <v>211.32</v>
      </c>
    </row>
    <row r="759" spans="1:22" x14ac:dyDescent="0.25">
      <c r="A759">
        <f>RTD("tos.rtd", , "ASK", ".SPY161216C200")</f>
        <v>24.01</v>
      </c>
      <c r="B759">
        <f>RTD("tos.rtd", , "ASK_SIZE", ".SPY161216C200")</f>
        <v>304</v>
      </c>
      <c r="C759">
        <f>RTD("tos.rtd", , "BID", ".SPY161216C200")</f>
        <v>23.29</v>
      </c>
      <c r="D759">
        <f>RTD("tos.rtd", , "BID_SIZE", ".SPY161216C200")</f>
        <v>180</v>
      </c>
      <c r="E759">
        <f>RTD("tos.rtd", , "VOLUME", ".SPY161216C200")</f>
        <v>5</v>
      </c>
      <c r="F759">
        <f>RTD("tos.rtd", , "OPEN_INT", ".SPY161216C200")</f>
        <v>10673</v>
      </c>
      <c r="G759">
        <f>RTD("tos.rtd", , "DELTA", ".SPY161216C200")</f>
        <v>0.60504000000000002</v>
      </c>
      <c r="H759">
        <f>RTD("tos.rtd", , "THETA", ".SPY161216C200")</f>
        <v>-1.2279999999999999E-2</v>
      </c>
      <c r="I759">
        <f>RTD("tos.rtd", , "GAMMA", ".SPY161216C200")</f>
        <v>7.9699999999999997E-3</v>
      </c>
      <c r="J759">
        <f>RTD("tos.rtd", , "VEGA", ".SPY161216C200")</f>
        <v>1.0013099999999999</v>
      </c>
      <c r="K759">
        <f>RTD("tos.rtd", , "RHO", ".SPY161216C200")</f>
        <v>1.3191600000000001</v>
      </c>
      <c r="L759">
        <f>RTD("tos.rtd", , "ASK", ".SPY161216P200")</f>
        <v>16.260000000000002</v>
      </c>
      <c r="M759">
        <f>RTD("tos.rtd", , "ASK_SIZE", ".SPY161216P200")</f>
        <v>1219</v>
      </c>
      <c r="N759">
        <f>RTD("tos.rtd", , "BID", ".SPY161216P200")</f>
        <v>15.75</v>
      </c>
      <c r="O759">
        <f>RTD("tos.rtd", , "BID_SIZE", ".SPY161216P200")</f>
        <v>249</v>
      </c>
      <c r="P759">
        <f>RTD("tos.rtd", , "VOLUME", ".SPY161216P200")</f>
        <v>43</v>
      </c>
      <c r="Q759">
        <f>RTD("tos.rtd", , "OPEN_INT", ".SPY161216P200")</f>
        <v>34493</v>
      </c>
      <c r="R759">
        <f>RTD("tos.rtd", , "DELTA", ".SPY161216P200")</f>
        <v>-0.38989000000000001</v>
      </c>
      <c r="S759">
        <f>RTD("tos.rtd", , "THETA", ".SPY161216P200")</f>
        <v>-1.9099999999999999E-2</v>
      </c>
      <c r="T759">
        <f>RTD("tos.rtd", , "GAMMA", ".SPY161216P200")</f>
        <v>7.5300000000000002E-3</v>
      </c>
      <c r="U759">
        <f>RTD("tos.rtd", , "VEGA", ".SPY161216P200")</f>
        <v>1.01244</v>
      </c>
      <c r="V759">
        <f>RTD("tos.rtd", , "RHO", ".SPY161216P200")</f>
        <v>-1.5928500000000001</v>
      </c>
    </row>
    <row r="760" spans="1:22" x14ac:dyDescent="0.25">
      <c r="A760" t="str">
        <f>RTD("tos.rtd", , "ASK", ".SPY161216C200.5")</f>
        <v>N/A</v>
      </c>
      <c r="B760" t="str">
        <f>RTD("tos.rtd", , "ASK_SIZE", ".SPY161216C200.5")</f>
        <v>N/A</v>
      </c>
      <c r="C760" t="str">
        <f>RTD("tos.rtd", , "BID", ".SPY161216C200.5")</f>
        <v>N/A</v>
      </c>
      <c r="D760" t="str">
        <f>RTD("tos.rtd", , "BID_SIZE", ".SPY161216C200.5")</f>
        <v>N/A</v>
      </c>
      <c r="E760" t="str">
        <f>RTD("tos.rtd", , "VOLUME", ".SPY161216C200.5")</f>
        <v>N/A</v>
      </c>
      <c r="F760" t="str">
        <f>RTD("tos.rtd", , "OPEN_INT", ".SPY161216C200.5")</f>
        <v>N/A</v>
      </c>
      <c r="G760" t="str">
        <f>RTD("tos.rtd", , "DELTA", ".SPY161216C200.5")</f>
        <v>N/A</v>
      </c>
      <c r="H760" t="str">
        <f>RTD("tos.rtd", , "THETA", ".SPY161216C200.5")</f>
        <v>N/A</v>
      </c>
      <c r="I760" t="str">
        <f>RTD("tos.rtd", , "GAMMA", ".SPY161216C200.5")</f>
        <v>N/A</v>
      </c>
      <c r="J760" t="str">
        <f>RTD("tos.rtd", , "VEGA", ".SPY161216C200.5")</f>
        <v>N/A</v>
      </c>
      <c r="K760" t="str">
        <f>RTD("tos.rtd", , "RHO", ".SPY161216C200.5")</f>
        <v>N/A</v>
      </c>
      <c r="L760" t="str">
        <f>RTD("tos.rtd", , "ASK", ".SPY161216P200.5")</f>
        <v>N/A</v>
      </c>
      <c r="M760" t="str">
        <f>RTD("tos.rtd", , "ASK_SIZE", ".SPY161216P200.5")</f>
        <v>N/A</v>
      </c>
      <c r="N760" t="str">
        <f>RTD("tos.rtd", , "BID", ".SPY161216P200.5")</f>
        <v>N/A</v>
      </c>
      <c r="O760" t="str">
        <f>RTD("tos.rtd", , "BID_SIZE", ".SPY161216P200.5")</f>
        <v>N/A</v>
      </c>
      <c r="P760" t="str">
        <f>RTD("tos.rtd", , "VOLUME", ".SPY161216P200.5")</f>
        <v>N/A</v>
      </c>
      <c r="Q760" t="str">
        <f>RTD("tos.rtd", , "OPEN_INT", ".SPY161216P200.5")</f>
        <v>N/A</v>
      </c>
      <c r="R760" t="str">
        <f>RTD("tos.rtd", , "DELTA", ".SPY161216P200.5")</f>
        <v>N/A</v>
      </c>
      <c r="S760" t="str">
        <f>RTD("tos.rtd", , "THETA", ".SPY161216P200.5")</f>
        <v>N/A</v>
      </c>
      <c r="T760" t="str">
        <f>RTD("tos.rtd", , "GAMMA", ".SPY161216P200.5")</f>
        <v>N/A</v>
      </c>
      <c r="U760" t="str">
        <f>RTD("tos.rtd", , "VEGA", ".SPY161216P200.5")</f>
        <v>N/A</v>
      </c>
      <c r="V760" t="str">
        <f>RTD("tos.rtd", , "RHO", ".SPY161216P200.5")</f>
        <v>N/A</v>
      </c>
    </row>
    <row r="761" spans="1:22" x14ac:dyDescent="0.25">
      <c r="A761" t="str">
        <f>RTD("tos.rtd", , "ASK", ".SPY161216C201")</f>
        <v>N/A</v>
      </c>
      <c r="B761" t="str">
        <f>RTD("tos.rtd", , "ASK_SIZE", ".SPY161216C201")</f>
        <v>N/A</v>
      </c>
      <c r="C761" t="str">
        <f>RTD("tos.rtd", , "BID", ".SPY161216C201")</f>
        <v>N/A</v>
      </c>
      <c r="D761" t="str">
        <f>RTD("tos.rtd", , "BID_SIZE", ".SPY161216C201")</f>
        <v>N/A</v>
      </c>
      <c r="E761" t="str">
        <f>RTD("tos.rtd", , "VOLUME", ".SPY161216C201")</f>
        <v>N/A</v>
      </c>
      <c r="F761" t="str">
        <f>RTD("tos.rtd", , "OPEN_INT", ".SPY161216C201")</f>
        <v>N/A</v>
      </c>
      <c r="G761" t="str">
        <f>RTD("tos.rtd", , "DELTA", ".SPY161216C201")</f>
        <v>N/A</v>
      </c>
      <c r="H761" t="str">
        <f>RTD("tos.rtd", , "THETA", ".SPY161216C201")</f>
        <v>N/A</v>
      </c>
      <c r="I761" t="str">
        <f>RTD("tos.rtd", , "GAMMA", ".SPY161216C201")</f>
        <v>N/A</v>
      </c>
      <c r="J761" t="str">
        <f>RTD("tos.rtd", , "VEGA", ".SPY161216C201")</f>
        <v>N/A</v>
      </c>
      <c r="K761" t="str">
        <f>RTD("tos.rtd", , "RHO", ".SPY161216C201")</f>
        <v>N/A</v>
      </c>
      <c r="L761" t="str">
        <f>RTD("tos.rtd", , "ASK", ".SPY161216P201")</f>
        <v>N/A</v>
      </c>
      <c r="M761" t="str">
        <f>RTD("tos.rtd", , "ASK_SIZE", ".SPY161216P201")</f>
        <v>N/A</v>
      </c>
      <c r="N761" t="str">
        <f>RTD("tos.rtd", , "BID", ".SPY161216P201")</f>
        <v>N/A</v>
      </c>
      <c r="O761" t="str">
        <f>RTD("tos.rtd", , "BID_SIZE", ".SPY161216P201")</f>
        <v>N/A</v>
      </c>
      <c r="P761" t="str">
        <f>RTD("tos.rtd", , "VOLUME", ".SPY161216P201")</f>
        <v>N/A</v>
      </c>
      <c r="Q761" t="str">
        <f>RTD("tos.rtd", , "OPEN_INT", ".SPY161216P201")</f>
        <v>N/A</v>
      </c>
      <c r="R761" t="str">
        <f>RTD("tos.rtd", , "DELTA", ".SPY161216P201")</f>
        <v>N/A</v>
      </c>
      <c r="S761" t="str">
        <f>RTD("tos.rtd", , "THETA", ".SPY161216P201")</f>
        <v>N/A</v>
      </c>
      <c r="T761" t="str">
        <f>RTD("tos.rtd", , "GAMMA", ".SPY161216P201")</f>
        <v>N/A</v>
      </c>
      <c r="U761" t="str">
        <f>RTD("tos.rtd", , "VEGA", ".SPY161216P201")</f>
        <v>N/A</v>
      </c>
      <c r="V761" t="str">
        <f>RTD("tos.rtd", , "RHO", ".SPY161216P201")</f>
        <v>N/A</v>
      </c>
    </row>
    <row r="762" spans="1:22" x14ac:dyDescent="0.25">
      <c r="A762" t="str">
        <f>RTD("tos.rtd", , "ASK", ".SPY161216C201.5")</f>
        <v>N/A</v>
      </c>
      <c r="B762" t="str">
        <f>RTD("tos.rtd", , "ASK_SIZE", ".SPY161216C201.5")</f>
        <v>N/A</v>
      </c>
      <c r="C762" t="str">
        <f>RTD("tos.rtd", , "BID", ".SPY161216C201.5")</f>
        <v>N/A</v>
      </c>
      <c r="D762" t="str">
        <f>RTD("tos.rtd", , "BID_SIZE", ".SPY161216C201.5")</f>
        <v>N/A</v>
      </c>
      <c r="E762" t="str">
        <f>RTD("tos.rtd", , "VOLUME", ".SPY161216C201.5")</f>
        <v>N/A</v>
      </c>
      <c r="F762" t="str">
        <f>RTD("tos.rtd", , "OPEN_INT", ".SPY161216C201.5")</f>
        <v>N/A</v>
      </c>
      <c r="G762" t="str">
        <f>RTD("tos.rtd", , "DELTA", ".SPY161216C201.5")</f>
        <v>N/A</v>
      </c>
      <c r="H762" t="str">
        <f>RTD("tos.rtd", , "THETA", ".SPY161216C201.5")</f>
        <v>N/A</v>
      </c>
      <c r="I762" t="str">
        <f>RTD("tos.rtd", , "GAMMA", ".SPY161216C201.5")</f>
        <v>N/A</v>
      </c>
      <c r="J762" t="str">
        <f>RTD("tos.rtd", , "VEGA", ".SPY161216C201.5")</f>
        <v>N/A</v>
      </c>
      <c r="K762" t="str">
        <f>RTD("tos.rtd", , "RHO", ".SPY161216C201.5")</f>
        <v>N/A</v>
      </c>
      <c r="L762" t="str">
        <f>RTD("tos.rtd", , "ASK", ".SPY161216P201.5")</f>
        <v>N/A</v>
      </c>
      <c r="M762" t="str">
        <f>RTD("tos.rtd", , "ASK_SIZE", ".SPY161216P201.5")</f>
        <v>N/A</v>
      </c>
      <c r="N762" t="str">
        <f>RTD("tos.rtd", , "BID", ".SPY161216P201.5")</f>
        <v>N/A</v>
      </c>
      <c r="O762" t="str">
        <f>RTD("tos.rtd", , "BID_SIZE", ".SPY161216P201.5")</f>
        <v>N/A</v>
      </c>
      <c r="P762" t="str">
        <f>RTD("tos.rtd", , "VOLUME", ".SPY161216P201.5")</f>
        <v>N/A</v>
      </c>
      <c r="Q762" t="str">
        <f>RTD("tos.rtd", , "OPEN_INT", ".SPY161216P201.5")</f>
        <v>N/A</v>
      </c>
      <c r="R762" t="str">
        <f>RTD("tos.rtd", , "DELTA", ".SPY161216P201.5")</f>
        <v>N/A</v>
      </c>
      <c r="S762" t="str">
        <f>RTD("tos.rtd", , "THETA", ".SPY161216P201.5")</f>
        <v>N/A</v>
      </c>
      <c r="T762" t="str">
        <f>RTD("tos.rtd", , "GAMMA", ".SPY161216P201.5")</f>
        <v>N/A</v>
      </c>
      <c r="U762" t="str">
        <f>RTD("tos.rtd", , "VEGA", ".SPY161216P201.5")</f>
        <v>N/A</v>
      </c>
      <c r="V762" t="str">
        <f>RTD("tos.rtd", , "RHO", ".SPY161216P201.5")</f>
        <v>N/A</v>
      </c>
    </row>
    <row r="763" spans="1:22" x14ac:dyDescent="0.25">
      <c r="A763" t="str">
        <f>RTD("tos.rtd", , "ASK", ".SPY161216C202")</f>
        <v>N/A</v>
      </c>
      <c r="B763" t="str">
        <f>RTD("tos.rtd", , "ASK_SIZE", ".SPY161216C202")</f>
        <v>N/A</v>
      </c>
      <c r="C763" t="str">
        <f>RTD("tos.rtd", , "BID", ".SPY161216C202")</f>
        <v>N/A</v>
      </c>
      <c r="D763" t="str">
        <f>RTD("tos.rtd", , "BID_SIZE", ".SPY161216C202")</f>
        <v>N/A</v>
      </c>
      <c r="E763" t="str">
        <f>RTD("tos.rtd", , "VOLUME", ".SPY161216C202")</f>
        <v>N/A</v>
      </c>
      <c r="F763" t="str">
        <f>RTD("tos.rtd", , "OPEN_INT", ".SPY161216C202")</f>
        <v>N/A</v>
      </c>
      <c r="G763" t="str">
        <f>RTD("tos.rtd", , "DELTA", ".SPY161216C202")</f>
        <v>N/A</v>
      </c>
      <c r="H763" t="str">
        <f>RTD("tos.rtd", , "THETA", ".SPY161216C202")</f>
        <v>N/A</v>
      </c>
      <c r="I763" t="str">
        <f>RTD("tos.rtd", , "GAMMA", ".SPY161216C202")</f>
        <v>N/A</v>
      </c>
      <c r="J763" t="str">
        <f>RTD("tos.rtd", , "VEGA", ".SPY161216C202")</f>
        <v>N/A</v>
      </c>
      <c r="K763" t="str">
        <f>RTD("tos.rtd", , "RHO", ".SPY161216C202")</f>
        <v>N/A</v>
      </c>
      <c r="L763" t="str">
        <f>RTD("tos.rtd", , "ASK", ".SPY161216P202")</f>
        <v>N/A</v>
      </c>
      <c r="M763" t="str">
        <f>RTD("tos.rtd", , "ASK_SIZE", ".SPY161216P202")</f>
        <v>N/A</v>
      </c>
      <c r="N763" t="str">
        <f>RTD("tos.rtd", , "BID", ".SPY161216P202")</f>
        <v>N/A</v>
      </c>
      <c r="O763" t="str">
        <f>RTD("tos.rtd", , "BID_SIZE", ".SPY161216P202")</f>
        <v>N/A</v>
      </c>
      <c r="P763" t="str">
        <f>RTD("tos.rtd", , "VOLUME", ".SPY161216P202")</f>
        <v>N/A</v>
      </c>
      <c r="Q763" t="str">
        <f>RTD("tos.rtd", , "OPEN_INT", ".SPY161216P202")</f>
        <v>N/A</v>
      </c>
      <c r="R763" t="str">
        <f>RTD("tos.rtd", , "DELTA", ".SPY161216P202")</f>
        <v>N/A</v>
      </c>
      <c r="S763" t="str">
        <f>RTD("tos.rtd", , "THETA", ".SPY161216P202")</f>
        <v>N/A</v>
      </c>
      <c r="T763" t="str">
        <f>RTD("tos.rtd", , "GAMMA", ".SPY161216P202")</f>
        <v>N/A</v>
      </c>
      <c r="U763" t="str">
        <f>RTD("tos.rtd", , "VEGA", ".SPY161216P202")</f>
        <v>N/A</v>
      </c>
      <c r="V763" t="str">
        <f>RTD("tos.rtd", , "RHO", ".SPY161216P202")</f>
        <v>N/A</v>
      </c>
    </row>
    <row r="764" spans="1:22" x14ac:dyDescent="0.25">
      <c r="A764" t="str">
        <f>RTD("tos.rtd", , "ASK", ".SPY161216C202.5")</f>
        <v>N/A</v>
      </c>
      <c r="B764" t="str">
        <f>RTD("tos.rtd", , "ASK_SIZE", ".SPY161216C202.5")</f>
        <v>N/A</v>
      </c>
      <c r="C764" t="str">
        <f>RTD("tos.rtd", , "BID", ".SPY161216C202.5")</f>
        <v>N/A</v>
      </c>
      <c r="D764" t="str">
        <f>RTD("tos.rtd", , "BID_SIZE", ".SPY161216C202.5")</f>
        <v>N/A</v>
      </c>
      <c r="E764" t="str">
        <f>RTD("tos.rtd", , "VOLUME", ".SPY161216C202.5")</f>
        <v>N/A</v>
      </c>
      <c r="F764" t="str">
        <f>RTD("tos.rtd", , "OPEN_INT", ".SPY161216C202.5")</f>
        <v>N/A</v>
      </c>
      <c r="G764" t="str">
        <f>RTD("tos.rtd", , "DELTA", ".SPY161216C202.5")</f>
        <v>N/A</v>
      </c>
      <c r="H764" t="str">
        <f>RTD("tos.rtd", , "THETA", ".SPY161216C202.5")</f>
        <v>N/A</v>
      </c>
      <c r="I764" t="str">
        <f>RTD("tos.rtd", , "GAMMA", ".SPY161216C202.5")</f>
        <v>N/A</v>
      </c>
      <c r="J764" t="str">
        <f>RTD("tos.rtd", , "VEGA", ".SPY161216C202.5")</f>
        <v>N/A</v>
      </c>
      <c r="K764" t="str">
        <f>RTD("tos.rtd", , "RHO", ".SPY161216C202.5")</f>
        <v>N/A</v>
      </c>
      <c r="L764" t="str">
        <f>RTD("tos.rtd", , "ASK", ".SPY161216P202.5")</f>
        <v>N/A</v>
      </c>
      <c r="M764" t="str">
        <f>RTD("tos.rtd", , "ASK_SIZE", ".SPY161216P202.5")</f>
        <v>N/A</v>
      </c>
      <c r="N764" t="str">
        <f>RTD("tos.rtd", , "BID", ".SPY161216P202.5")</f>
        <v>N/A</v>
      </c>
      <c r="O764" t="str">
        <f>RTD("tos.rtd", , "BID_SIZE", ".SPY161216P202.5")</f>
        <v>N/A</v>
      </c>
      <c r="P764" t="str">
        <f>RTD("tos.rtd", , "VOLUME", ".SPY161216P202.5")</f>
        <v>N/A</v>
      </c>
      <c r="Q764" t="str">
        <f>RTD("tos.rtd", , "OPEN_INT", ".SPY161216P202.5")</f>
        <v>N/A</v>
      </c>
      <c r="R764" t="str">
        <f>RTD("tos.rtd", , "DELTA", ".SPY161216P202.5")</f>
        <v>N/A</v>
      </c>
      <c r="S764" t="str">
        <f>RTD("tos.rtd", , "THETA", ".SPY161216P202.5")</f>
        <v>N/A</v>
      </c>
      <c r="T764" t="str">
        <f>RTD("tos.rtd", , "GAMMA", ".SPY161216P202.5")</f>
        <v>N/A</v>
      </c>
      <c r="U764" t="str">
        <f>RTD("tos.rtd", , "VEGA", ".SPY161216P202.5")</f>
        <v>N/A</v>
      </c>
      <c r="V764" t="str">
        <f>RTD("tos.rtd", , "RHO", ".SPY161216P202.5")</f>
        <v>N/A</v>
      </c>
    </row>
    <row r="765" spans="1:22" x14ac:dyDescent="0.25">
      <c r="A765" t="str">
        <f>RTD("tos.rtd", , "ASK", ".SPY161216C203")</f>
        <v>N/A</v>
      </c>
      <c r="B765" t="str">
        <f>RTD("tos.rtd", , "ASK_SIZE", ".SPY161216C203")</f>
        <v>N/A</v>
      </c>
      <c r="C765" t="str">
        <f>RTD("tos.rtd", , "BID", ".SPY161216C203")</f>
        <v>N/A</v>
      </c>
      <c r="D765" t="str">
        <f>RTD("tos.rtd", , "BID_SIZE", ".SPY161216C203")</f>
        <v>N/A</v>
      </c>
      <c r="E765" t="str">
        <f>RTD("tos.rtd", , "VOLUME", ".SPY161216C203")</f>
        <v>N/A</v>
      </c>
      <c r="F765" t="str">
        <f>RTD("tos.rtd", , "OPEN_INT", ".SPY161216C203")</f>
        <v>N/A</v>
      </c>
      <c r="G765" t="str">
        <f>RTD("tos.rtd", , "DELTA", ".SPY161216C203")</f>
        <v>N/A</v>
      </c>
      <c r="H765" t="str">
        <f>RTD("tos.rtd", , "THETA", ".SPY161216C203")</f>
        <v>N/A</v>
      </c>
      <c r="I765" t="str">
        <f>RTD("tos.rtd", , "GAMMA", ".SPY161216C203")</f>
        <v>N/A</v>
      </c>
      <c r="J765" t="str">
        <f>RTD("tos.rtd", , "VEGA", ".SPY161216C203")</f>
        <v>N/A</v>
      </c>
      <c r="K765" t="str">
        <f>RTD("tos.rtd", , "RHO", ".SPY161216C203")</f>
        <v>N/A</v>
      </c>
      <c r="L765" t="str">
        <f>RTD("tos.rtd", , "ASK", ".SPY161216P203")</f>
        <v>N/A</v>
      </c>
      <c r="M765" t="str">
        <f>RTD("tos.rtd", , "ASK_SIZE", ".SPY161216P203")</f>
        <v>N/A</v>
      </c>
      <c r="N765" t="str">
        <f>RTD("tos.rtd", , "BID", ".SPY161216P203")</f>
        <v>N/A</v>
      </c>
      <c r="O765" t="str">
        <f>RTD("tos.rtd", , "BID_SIZE", ".SPY161216P203")</f>
        <v>N/A</v>
      </c>
      <c r="P765" t="str">
        <f>RTD("tos.rtd", , "VOLUME", ".SPY161216P203")</f>
        <v>N/A</v>
      </c>
      <c r="Q765" t="str">
        <f>RTD("tos.rtd", , "OPEN_INT", ".SPY161216P203")</f>
        <v>N/A</v>
      </c>
      <c r="R765" t="str">
        <f>RTD("tos.rtd", , "DELTA", ".SPY161216P203")</f>
        <v>N/A</v>
      </c>
      <c r="S765" t="str">
        <f>RTD("tos.rtd", , "THETA", ".SPY161216P203")</f>
        <v>N/A</v>
      </c>
      <c r="T765" t="str">
        <f>RTD("tos.rtd", , "GAMMA", ".SPY161216P203")</f>
        <v>N/A</v>
      </c>
      <c r="U765" t="str">
        <f>RTD("tos.rtd", , "VEGA", ".SPY161216P203")</f>
        <v>N/A</v>
      </c>
      <c r="V765" t="str">
        <f>RTD("tos.rtd", , "RHO", ".SPY161216P203")</f>
        <v>N/A</v>
      </c>
    </row>
    <row r="766" spans="1:22" x14ac:dyDescent="0.25">
      <c r="A766" t="str">
        <f>RTD("tos.rtd", , "ASK", ".SPY161216C203.5")</f>
        <v>N/A</v>
      </c>
      <c r="B766" t="str">
        <f>RTD("tos.rtd", , "ASK_SIZE", ".SPY161216C203.5")</f>
        <v>N/A</v>
      </c>
      <c r="C766" t="str">
        <f>RTD("tos.rtd", , "BID", ".SPY161216C203.5")</f>
        <v>N/A</v>
      </c>
      <c r="D766" t="str">
        <f>RTD("tos.rtd", , "BID_SIZE", ".SPY161216C203.5")</f>
        <v>N/A</v>
      </c>
      <c r="E766" t="str">
        <f>RTD("tos.rtd", , "VOLUME", ".SPY161216C203.5")</f>
        <v>N/A</v>
      </c>
      <c r="F766" t="str">
        <f>RTD("tos.rtd", , "OPEN_INT", ".SPY161216C203.5")</f>
        <v>N/A</v>
      </c>
      <c r="G766" t="str">
        <f>RTD("tos.rtd", , "DELTA", ".SPY161216C203.5")</f>
        <v>N/A</v>
      </c>
      <c r="H766" t="str">
        <f>RTD("tos.rtd", , "THETA", ".SPY161216C203.5")</f>
        <v>N/A</v>
      </c>
      <c r="I766" t="str">
        <f>RTD("tos.rtd", , "GAMMA", ".SPY161216C203.5")</f>
        <v>N/A</v>
      </c>
      <c r="J766" t="str">
        <f>RTD("tos.rtd", , "VEGA", ".SPY161216C203.5")</f>
        <v>N/A</v>
      </c>
      <c r="K766" t="str">
        <f>RTD("tos.rtd", , "RHO", ".SPY161216C203.5")</f>
        <v>N/A</v>
      </c>
      <c r="L766" t="str">
        <f>RTD("tos.rtd", , "ASK", ".SPY161216P203.5")</f>
        <v>N/A</v>
      </c>
      <c r="M766" t="str">
        <f>RTD("tos.rtd", , "ASK_SIZE", ".SPY161216P203.5")</f>
        <v>N/A</v>
      </c>
      <c r="N766" t="str">
        <f>RTD("tos.rtd", , "BID", ".SPY161216P203.5")</f>
        <v>N/A</v>
      </c>
      <c r="O766" t="str">
        <f>RTD("tos.rtd", , "BID_SIZE", ".SPY161216P203.5")</f>
        <v>N/A</v>
      </c>
      <c r="P766" t="str">
        <f>RTD("tos.rtd", , "VOLUME", ".SPY161216P203.5")</f>
        <v>N/A</v>
      </c>
      <c r="Q766" t="str">
        <f>RTD("tos.rtd", , "OPEN_INT", ".SPY161216P203.5")</f>
        <v>N/A</v>
      </c>
      <c r="R766" t="str">
        <f>RTD("tos.rtd", , "DELTA", ".SPY161216P203.5")</f>
        <v>N/A</v>
      </c>
      <c r="S766" t="str">
        <f>RTD("tos.rtd", , "THETA", ".SPY161216P203.5")</f>
        <v>N/A</v>
      </c>
      <c r="T766" t="str">
        <f>RTD("tos.rtd", , "GAMMA", ".SPY161216P203.5")</f>
        <v>N/A</v>
      </c>
      <c r="U766" t="str">
        <f>RTD("tos.rtd", , "VEGA", ".SPY161216P203.5")</f>
        <v>N/A</v>
      </c>
      <c r="V766" t="str">
        <f>RTD("tos.rtd", , "RHO", ".SPY161216P203.5")</f>
        <v>N/A</v>
      </c>
    </row>
    <row r="767" spans="1:22" x14ac:dyDescent="0.25">
      <c r="A767" t="str">
        <f>RTD("tos.rtd", , "ASK", ".SPY161216C204")</f>
        <v>N/A</v>
      </c>
      <c r="B767" t="str">
        <f>RTD("tos.rtd", , "ASK_SIZE", ".SPY161216C204")</f>
        <v>N/A</v>
      </c>
      <c r="C767" t="str">
        <f>RTD("tos.rtd", , "BID", ".SPY161216C204")</f>
        <v>N/A</v>
      </c>
      <c r="D767" t="str">
        <f>RTD("tos.rtd", , "BID_SIZE", ".SPY161216C204")</f>
        <v>N/A</v>
      </c>
      <c r="E767" t="str">
        <f>RTD("tos.rtd", , "VOLUME", ".SPY161216C204")</f>
        <v>N/A</v>
      </c>
      <c r="F767" t="str">
        <f>RTD("tos.rtd", , "OPEN_INT", ".SPY161216C204")</f>
        <v>N/A</v>
      </c>
      <c r="G767" t="str">
        <f>RTD("tos.rtd", , "DELTA", ".SPY161216C204")</f>
        <v>N/A</v>
      </c>
      <c r="H767" t="str">
        <f>RTD("tos.rtd", , "THETA", ".SPY161216C204")</f>
        <v>N/A</v>
      </c>
      <c r="I767" t="str">
        <f>RTD("tos.rtd", , "GAMMA", ".SPY161216C204")</f>
        <v>N/A</v>
      </c>
      <c r="J767" t="str">
        <f>RTD("tos.rtd", , "VEGA", ".SPY161216C204")</f>
        <v>N/A</v>
      </c>
      <c r="K767" t="str">
        <f>RTD("tos.rtd", , "RHO", ".SPY161216C204")</f>
        <v>N/A</v>
      </c>
      <c r="L767" t="str">
        <f>RTD("tos.rtd", , "ASK", ".SPY161216P204")</f>
        <v>N/A</v>
      </c>
      <c r="M767" t="str">
        <f>RTD("tos.rtd", , "ASK_SIZE", ".SPY161216P204")</f>
        <v>N/A</v>
      </c>
      <c r="N767" t="str">
        <f>RTD("tos.rtd", , "BID", ".SPY161216P204")</f>
        <v>N/A</v>
      </c>
      <c r="O767" t="str">
        <f>RTD("tos.rtd", , "BID_SIZE", ".SPY161216P204")</f>
        <v>N/A</v>
      </c>
      <c r="P767" t="str">
        <f>RTD("tos.rtd", , "VOLUME", ".SPY161216P204")</f>
        <v>N/A</v>
      </c>
      <c r="Q767" t="str">
        <f>RTD("tos.rtd", , "OPEN_INT", ".SPY161216P204")</f>
        <v>N/A</v>
      </c>
      <c r="R767" t="str">
        <f>RTD("tos.rtd", , "DELTA", ".SPY161216P204")</f>
        <v>N/A</v>
      </c>
      <c r="S767" t="str">
        <f>RTD("tos.rtd", , "THETA", ".SPY161216P204")</f>
        <v>N/A</v>
      </c>
      <c r="T767" t="str">
        <f>RTD("tos.rtd", , "GAMMA", ".SPY161216P204")</f>
        <v>N/A</v>
      </c>
      <c r="U767" t="str">
        <f>RTD("tos.rtd", , "VEGA", ".SPY161216P204")</f>
        <v>N/A</v>
      </c>
      <c r="V767" t="str">
        <f>RTD("tos.rtd", , "RHO", ".SPY161216P204")</f>
        <v>N/A</v>
      </c>
    </row>
    <row r="768" spans="1:22" x14ac:dyDescent="0.25">
      <c r="A768" t="str">
        <f>RTD("tos.rtd", , "ASK", ".SPY161216C204.5")</f>
        <v>N/A</v>
      </c>
      <c r="B768" t="str">
        <f>RTD("tos.rtd", , "ASK_SIZE", ".SPY161216C204.5")</f>
        <v>N/A</v>
      </c>
      <c r="C768" t="str">
        <f>RTD("tos.rtd", , "BID", ".SPY161216C204.5")</f>
        <v>N/A</v>
      </c>
      <c r="D768" t="str">
        <f>RTD("tos.rtd", , "BID_SIZE", ".SPY161216C204.5")</f>
        <v>N/A</v>
      </c>
      <c r="E768" t="str">
        <f>RTD("tos.rtd", , "VOLUME", ".SPY161216C204.5")</f>
        <v>N/A</v>
      </c>
      <c r="F768" t="str">
        <f>RTD("tos.rtd", , "OPEN_INT", ".SPY161216C204.5")</f>
        <v>N/A</v>
      </c>
      <c r="G768" t="str">
        <f>RTD("tos.rtd", , "DELTA", ".SPY161216C204.5")</f>
        <v>N/A</v>
      </c>
      <c r="H768" t="str">
        <f>RTD("tos.rtd", , "THETA", ".SPY161216C204.5")</f>
        <v>N/A</v>
      </c>
      <c r="I768" t="str">
        <f>RTD("tos.rtd", , "GAMMA", ".SPY161216C204.5")</f>
        <v>N/A</v>
      </c>
      <c r="J768" t="str">
        <f>RTD("tos.rtd", , "VEGA", ".SPY161216C204.5")</f>
        <v>N/A</v>
      </c>
      <c r="K768" t="str">
        <f>RTD("tos.rtd", , "RHO", ".SPY161216C204.5")</f>
        <v>N/A</v>
      </c>
      <c r="L768" t="str">
        <f>RTD("tos.rtd", , "ASK", ".SPY161216P204.5")</f>
        <v>N/A</v>
      </c>
      <c r="M768" t="str">
        <f>RTD("tos.rtd", , "ASK_SIZE", ".SPY161216P204.5")</f>
        <v>N/A</v>
      </c>
      <c r="N768" t="str">
        <f>RTD("tos.rtd", , "BID", ".SPY161216P204.5")</f>
        <v>N/A</v>
      </c>
      <c r="O768" t="str">
        <f>RTD("tos.rtd", , "BID_SIZE", ".SPY161216P204.5")</f>
        <v>N/A</v>
      </c>
      <c r="P768" t="str">
        <f>RTD("tos.rtd", , "VOLUME", ".SPY161216P204.5")</f>
        <v>N/A</v>
      </c>
      <c r="Q768" t="str">
        <f>RTD("tos.rtd", , "OPEN_INT", ".SPY161216P204.5")</f>
        <v>N/A</v>
      </c>
      <c r="R768" t="str">
        <f>RTD("tos.rtd", , "DELTA", ".SPY161216P204.5")</f>
        <v>N/A</v>
      </c>
      <c r="S768" t="str">
        <f>RTD("tos.rtd", , "THETA", ".SPY161216P204.5")</f>
        <v>N/A</v>
      </c>
      <c r="T768" t="str">
        <f>RTD("tos.rtd", , "GAMMA", ".SPY161216P204.5")</f>
        <v>N/A</v>
      </c>
      <c r="U768" t="str">
        <f>RTD("tos.rtd", , "VEGA", ".SPY161216P204.5")</f>
        <v>N/A</v>
      </c>
      <c r="V768" t="str">
        <f>RTD("tos.rtd", , "RHO", ".SPY161216P204.5")</f>
        <v>N/A</v>
      </c>
    </row>
    <row r="769" spans="1:22" x14ac:dyDescent="0.25">
      <c r="A769">
        <f>RTD("tos.rtd", , "ASK", ".SPY161216C205")</f>
        <v>20.56</v>
      </c>
      <c r="B769">
        <f>RTD("tos.rtd", , "ASK_SIZE", ".SPY161216C205")</f>
        <v>57</v>
      </c>
      <c r="C769">
        <f>RTD("tos.rtd", , "BID", ".SPY161216C205")</f>
        <v>20.22</v>
      </c>
      <c r="D769">
        <f>RTD("tos.rtd", , "BID_SIZE", ".SPY161216C205")</f>
        <v>167</v>
      </c>
      <c r="E769">
        <f>RTD("tos.rtd", , "VOLUME", ".SPY161216C205")</f>
        <v>2</v>
      </c>
      <c r="F769">
        <f>RTD("tos.rtd", , "OPEN_INT", ".SPY161216C205")</f>
        <v>13403</v>
      </c>
      <c r="G769">
        <f>RTD("tos.rtd", , "DELTA", ".SPY161216C205")</f>
        <v>0.56269999999999998</v>
      </c>
      <c r="H769">
        <f>RTD("tos.rtd", , "THETA", ".SPY161216C205")</f>
        <v>-1.223E-2</v>
      </c>
      <c r="I769">
        <f>RTD("tos.rtd", , "GAMMA", ".SPY161216C205")</f>
        <v>8.4100000000000008E-3</v>
      </c>
      <c r="J769">
        <f>RTD("tos.rtd", , "VEGA", ".SPY161216C205")</f>
        <v>1.02834</v>
      </c>
      <c r="K769">
        <f>RTD("tos.rtd", , "RHO", ".SPY161216C205")</f>
        <v>1.2862800000000001</v>
      </c>
      <c r="L769">
        <f>RTD("tos.rtd", , "ASK", ".SPY161216P205")</f>
        <v>17.95</v>
      </c>
      <c r="M769">
        <f>RTD("tos.rtd", , "ASK_SIZE", ".SPY161216P205")</f>
        <v>151</v>
      </c>
      <c r="N769">
        <f>RTD("tos.rtd", , "BID", ".SPY161216P205")</f>
        <v>17.41</v>
      </c>
      <c r="O769">
        <f>RTD("tos.rtd", , "BID_SIZE", ".SPY161216P205")</f>
        <v>1153</v>
      </c>
      <c r="P769">
        <f>RTD("tos.rtd", , "VOLUME", ".SPY161216P205")</f>
        <v>0</v>
      </c>
      <c r="Q769">
        <f>RTD("tos.rtd", , "OPEN_INT", ".SPY161216P205")</f>
        <v>13556</v>
      </c>
      <c r="R769">
        <f>RTD("tos.rtd", , "DELTA", ".SPY161216P205")</f>
        <v>-0.43128</v>
      </c>
      <c r="S769">
        <f>RTD("tos.rtd", , "THETA", ".SPY161216P205")</f>
        <v>-1.9040000000000001E-2</v>
      </c>
      <c r="T769">
        <f>RTD("tos.rtd", , "GAMMA", ".SPY161216P205")</f>
        <v>8.0800000000000004E-3</v>
      </c>
      <c r="U769">
        <f>RTD("tos.rtd", , "VEGA", ".SPY161216P205")</f>
        <v>1.0342</v>
      </c>
      <c r="V769">
        <f>RTD("tos.rtd", , "RHO", ".SPY161216P205")</f>
        <v>-1.7616700000000001</v>
      </c>
    </row>
    <row r="770" spans="1:22" x14ac:dyDescent="0.25">
      <c r="A770" t="str">
        <f>RTD("tos.rtd", , "ASK", ".SPY161216C205.5")</f>
        <v>N/A</v>
      </c>
      <c r="B770" t="str">
        <f>RTD("tos.rtd", , "ASK_SIZE", ".SPY161216C205.5")</f>
        <v>N/A</v>
      </c>
      <c r="C770" t="str">
        <f>RTD("tos.rtd", , "BID", ".SPY161216C205.5")</f>
        <v>N/A</v>
      </c>
      <c r="D770" t="str">
        <f>RTD("tos.rtd", , "BID_SIZE", ".SPY161216C205.5")</f>
        <v>N/A</v>
      </c>
      <c r="E770" t="str">
        <f>RTD("tos.rtd", , "VOLUME", ".SPY161216C205.5")</f>
        <v>N/A</v>
      </c>
      <c r="F770" t="str">
        <f>RTD("tos.rtd", , "OPEN_INT", ".SPY161216C205.5")</f>
        <v>N/A</v>
      </c>
      <c r="G770" t="str">
        <f>RTD("tos.rtd", , "DELTA", ".SPY161216C205.5")</f>
        <v>N/A</v>
      </c>
      <c r="H770" t="str">
        <f>RTD("tos.rtd", , "THETA", ".SPY161216C205.5")</f>
        <v>N/A</v>
      </c>
      <c r="I770" t="str">
        <f>RTD("tos.rtd", , "GAMMA", ".SPY161216C205.5")</f>
        <v>N/A</v>
      </c>
      <c r="J770" t="str">
        <f>RTD("tos.rtd", , "VEGA", ".SPY161216C205.5")</f>
        <v>N/A</v>
      </c>
      <c r="K770" t="str">
        <f>RTD("tos.rtd", , "RHO", ".SPY161216C205.5")</f>
        <v>N/A</v>
      </c>
      <c r="L770" t="str">
        <f>RTD("tos.rtd", , "ASK", ".SPY161216P205.5")</f>
        <v>N/A</v>
      </c>
      <c r="M770" t="str">
        <f>RTD("tos.rtd", , "ASK_SIZE", ".SPY161216P205.5")</f>
        <v>N/A</v>
      </c>
      <c r="N770" t="str">
        <f>RTD("tos.rtd", , "BID", ".SPY161216P205.5")</f>
        <v>N/A</v>
      </c>
      <c r="O770" t="str">
        <f>RTD("tos.rtd", , "BID_SIZE", ".SPY161216P205.5")</f>
        <v>N/A</v>
      </c>
      <c r="P770" t="str">
        <f>RTD("tos.rtd", , "VOLUME", ".SPY161216P205.5")</f>
        <v>N/A</v>
      </c>
      <c r="Q770" t="str">
        <f>RTD("tos.rtd", , "OPEN_INT", ".SPY161216P205.5")</f>
        <v>N/A</v>
      </c>
      <c r="R770" t="str">
        <f>RTD("tos.rtd", , "DELTA", ".SPY161216P205.5")</f>
        <v>N/A</v>
      </c>
      <c r="S770" t="str">
        <f>RTD("tos.rtd", , "THETA", ".SPY161216P205.5")</f>
        <v>N/A</v>
      </c>
      <c r="T770" t="str">
        <f>RTD("tos.rtd", , "GAMMA", ".SPY161216P205.5")</f>
        <v>N/A</v>
      </c>
      <c r="U770" t="str">
        <f>RTD("tos.rtd", , "VEGA", ".SPY161216P205.5")</f>
        <v>N/A</v>
      </c>
      <c r="V770" t="str">
        <f>RTD("tos.rtd", , "RHO", ".SPY161216P205.5")</f>
        <v>N/A</v>
      </c>
    </row>
    <row r="771" spans="1:22" x14ac:dyDescent="0.25">
      <c r="A771" t="str">
        <f>RTD("tos.rtd", , "ASK", ".SPY161216C206")</f>
        <v>N/A</v>
      </c>
      <c r="B771" t="str">
        <f>RTD("tos.rtd", , "ASK_SIZE", ".SPY161216C206")</f>
        <v>N/A</v>
      </c>
      <c r="C771" t="str">
        <f>RTD("tos.rtd", , "BID", ".SPY161216C206")</f>
        <v>N/A</v>
      </c>
      <c r="D771" t="str">
        <f>RTD("tos.rtd", , "BID_SIZE", ".SPY161216C206")</f>
        <v>N/A</v>
      </c>
      <c r="E771" t="str">
        <f>RTD("tos.rtd", , "VOLUME", ".SPY161216C206")</f>
        <v>N/A</v>
      </c>
      <c r="F771" t="str">
        <f>RTD("tos.rtd", , "OPEN_INT", ".SPY161216C206")</f>
        <v>N/A</v>
      </c>
      <c r="G771" t="str">
        <f>RTD("tos.rtd", , "DELTA", ".SPY161216C206")</f>
        <v>N/A</v>
      </c>
      <c r="H771" t="str">
        <f>RTD("tos.rtd", , "THETA", ".SPY161216C206")</f>
        <v>N/A</v>
      </c>
      <c r="I771" t="str">
        <f>RTD("tos.rtd", , "GAMMA", ".SPY161216C206")</f>
        <v>N/A</v>
      </c>
      <c r="J771" t="str">
        <f>RTD("tos.rtd", , "VEGA", ".SPY161216C206")</f>
        <v>N/A</v>
      </c>
      <c r="K771" t="str">
        <f>RTD("tos.rtd", , "RHO", ".SPY161216C206")</f>
        <v>N/A</v>
      </c>
      <c r="L771" t="str">
        <f>RTD("tos.rtd", , "ASK", ".SPY161216P206")</f>
        <v>N/A</v>
      </c>
      <c r="M771" t="str">
        <f>RTD("tos.rtd", , "ASK_SIZE", ".SPY161216P206")</f>
        <v>N/A</v>
      </c>
      <c r="N771" t="str">
        <f>RTD("tos.rtd", , "BID", ".SPY161216P206")</f>
        <v>N/A</v>
      </c>
      <c r="O771" t="str">
        <f>RTD("tos.rtd", , "BID_SIZE", ".SPY161216P206")</f>
        <v>N/A</v>
      </c>
      <c r="P771" t="str">
        <f>RTD("tos.rtd", , "VOLUME", ".SPY161216P206")</f>
        <v>N/A</v>
      </c>
      <c r="Q771" t="str">
        <f>RTD("tos.rtd", , "OPEN_INT", ".SPY161216P206")</f>
        <v>N/A</v>
      </c>
      <c r="R771" t="str">
        <f>RTD("tos.rtd", , "DELTA", ".SPY161216P206")</f>
        <v>N/A</v>
      </c>
      <c r="S771" t="str">
        <f>RTD("tos.rtd", , "THETA", ".SPY161216P206")</f>
        <v>N/A</v>
      </c>
      <c r="T771" t="str">
        <f>RTD("tos.rtd", , "GAMMA", ".SPY161216P206")</f>
        <v>N/A</v>
      </c>
      <c r="U771" t="str">
        <f>RTD("tos.rtd", , "VEGA", ".SPY161216P206")</f>
        <v>N/A</v>
      </c>
      <c r="V771" t="str">
        <f>RTD("tos.rtd", , "RHO", ".SPY161216P206")</f>
        <v>N/A</v>
      </c>
    </row>
    <row r="772" spans="1:22" x14ac:dyDescent="0.25">
      <c r="A772" t="str">
        <f>RTD("tos.rtd", , "ASK", ".SPY161216C206.5")</f>
        <v>N/A</v>
      </c>
      <c r="B772" t="str">
        <f>RTD("tos.rtd", , "ASK_SIZE", ".SPY161216C206.5")</f>
        <v>N/A</v>
      </c>
      <c r="C772" t="str">
        <f>RTD("tos.rtd", , "BID", ".SPY161216C206.5")</f>
        <v>N/A</v>
      </c>
      <c r="D772" t="str">
        <f>RTD("tos.rtd", , "BID_SIZE", ".SPY161216C206.5")</f>
        <v>N/A</v>
      </c>
      <c r="E772" t="str">
        <f>RTD("tos.rtd", , "VOLUME", ".SPY161216C206.5")</f>
        <v>N/A</v>
      </c>
      <c r="F772" t="str">
        <f>RTD("tos.rtd", , "OPEN_INT", ".SPY161216C206.5")</f>
        <v>N/A</v>
      </c>
      <c r="G772" t="str">
        <f>RTD("tos.rtd", , "DELTA", ".SPY161216C206.5")</f>
        <v>N/A</v>
      </c>
      <c r="H772" t="str">
        <f>RTD("tos.rtd", , "THETA", ".SPY161216C206.5")</f>
        <v>N/A</v>
      </c>
      <c r="I772" t="str">
        <f>RTD("tos.rtd", , "GAMMA", ".SPY161216C206.5")</f>
        <v>N/A</v>
      </c>
      <c r="J772" t="str">
        <f>RTD("tos.rtd", , "VEGA", ".SPY161216C206.5")</f>
        <v>N/A</v>
      </c>
      <c r="K772" t="str">
        <f>RTD("tos.rtd", , "RHO", ".SPY161216C206.5")</f>
        <v>N/A</v>
      </c>
      <c r="L772" t="str">
        <f>RTD("tos.rtd", , "ASK", ".SPY161216P206.5")</f>
        <v>N/A</v>
      </c>
      <c r="M772" t="str">
        <f>RTD("tos.rtd", , "ASK_SIZE", ".SPY161216P206.5")</f>
        <v>N/A</v>
      </c>
      <c r="N772" t="str">
        <f>RTD("tos.rtd", , "BID", ".SPY161216P206.5")</f>
        <v>N/A</v>
      </c>
      <c r="O772" t="str">
        <f>RTD("tos.rtd", , "BID_SIZE", ".SPY161216P206.5")</f>
        <v>N/A</v>
      </c>
      <c r="P772" t="str">
        <f>RTD("tos.rtd", , "VOLUME", ".SPY161216P206.5")</f>
        <v>N/A</v>
      </c>
      <c r="Q772" t="str">
        <f>RTD("tos.rtd", , "OPEN_INT", ".SPY161216P206.5")</f>
        <v>N/A</v>
      </c>
      <c r="R772" t="str">
        <f>RTD("tos.rtd", , "DELTA", ".SPY161216P206.5")</f>
        <v>N/A</v>
      </c>
      <c r="S772" t="str">
        <f>RTD("tos.rtd", , "THETA", ".SPY161216P206.5")</f>
        <v>N/A</v>
      </c>
      <c r="T772" t="str">
        <f>RTD("tos.rtd", , "GAMMA", ".SPY161216P206.5")</f>
        <v>N/A</v>
      </c>
      <c r="U772" t="str">
        <f>RTD("tos.rtd", , "VEGA", ".SPY161216P206.5")</f>
        <v>N/A</v>
      </c>
      <c r="V772" t="str">
        <f>RTD("tos.rtd", , "RHO", ".SPY161216P206.5")</f>
        <v>N/A</v>
      </c>
    </row>
    <row r="773" spans="1:22" x14ac:dyDescent="0.25">
      <c r="A773" t="str">
        <f>RTD("tos.rtd", , "ASK", ".SPY161216C207")</f>
        <v>N/A</v>
      </c>
      <c r="B773" t="str">
        <f>RTD("tos.rtd", , "ASK_SIZE", ".SPY161216C207")</f>
        <v>N/A</v>
      </c>
      <c r="C773" t="str">
        <f>RTD("tos.rtd", , "BID", ".SPY161216C207")</f>
        <v>N/A</v>
      </c>
      <c r="D773" t="str">
        <f>RTD("tos.rtd", , "BID_SIZE", ".SPY161216C207")</f>
        <v>N/A</v>
      </c>
      <c r="E773" t="str">
        <f>RTD("tos.rtd", , "VOLUME", ".SPY161216C207")</f>
        <v>N/A</v>
      </c>
      <c r="F773" t="str">
        <f>RTD("tos.rtd", , "OPEN_INT", ".SPY161216C207")</f>
        <v>N/A</v>
      </c>
      <c r="G773" t="str">
        <f>RTD("tos.rtd", , "DELTA", ".SPY161216C207")</f>
        <v>N/A</v>
      </c>
      <c r="H773" t="str">
        <f>RTD("tos.rtd", , "THETA", ".SPY161216C207")</f>
        <v>N/A</v>
      </c>
      <c r="I773" t="str">
        <f>RTD("tos.rtd", , "GAMMA", ".SPY161216C207")</f>
        <v>N/A</v>
      </c>
      <c r="J773" t="str">
        <f>RTD("tos.rtd", , "VEGA", ".SPY161216C207")</f>
        <v>N/A</v>
      </c>
      <c r="K773" t="str">
        <f>RTD("tos.rtd", , "RHO", ".SPY161216C207")</f>
        <v>N/A</v>
      </c>
      <c r="L773" t="str">
        <f>RTD("tos.rtd", , "ASK", ".SPY161216P207")</f>
        <v>N/A</v>
      </c>
      <c r="M773" t="str">
        <f>RTD("tos.rtd", , "ASK_SIZE", ".SPY161216P207")</f>
        <v>N/A</v>
      </c>
      <c r="N773" t="str">
        <f>RTD("tos.rtd", , "BID", ".SPY161216P207")</f>
        <v>N/A</v>
      </c>
      <c r="O773" t="str">
        <f>RTD("tos.rtd", , "BID_SIZE", ".SPY161216P207")</f>
        <v>N/A</v>
      </c>
      <c r="P773" t="str">
        <f>RTD("tos.rtd", , "VOLUME", ".SPY161216P207")</f>
        <v>N/A</v>
      </c>
      <c r="Q773" t="str">
        <f>RTD("tos.rtd", , "OPEN_INT", ".SPY161216P207")</f>
        <v>N/A</v>
      </c>
      <c r="R773" t="str">
        <f>RTD("tos.rtd", , "DELTA", ".SPY161216P207")</f>
        <v>N/A</v>
      </c>
      <c r="S773" t="str">
        <f>RTD("tos.rtd", , "THETA", ".SPY161216P207")</f>
        <v>N/A</v>
      </c>
      <c r="T773" t="str">
        <f>RTD("tos.rtd", , "GAMMA", ".SPY161216P207")</f>
        <v>N/A</v>
      </c>
      <c r="U773" t="str">
        <f>RTD("tos.rtd", , "VEGA", ".SPY161216P207")</f>
        <v>N/A</v>
      </c>
      <c r="V773" t="str">
        <f>RTD("tos.rtd", , "RHO", ".SPY161216P207")</f>
        <v>N/A</v>
      </c>
    </row>
    <row r="774" spans="1:22" x14ac:dyDescent="0.25">
      <c r="A774" t="str">
        <f>RTD("tos.rtd", , "ASK", ".SPY161216C207.5")</f>
        <v>N/A</v>
      </c>
      <c r="B774" t="str">
        <f>RTD("tos.rtd", , "ASK_SIZE", ".SPY161216C207.5")</f>
        <v>N/A</v>
      </c>
      <c r="C774" t="str">
        <f>RTD("tos.rtd", , "BID", ".SPY161216C207.5")</f>
        <v>N/A</v>
      </c>
      <c r="D774" t="str">
        <f>RTD("tos.rtd", , "BID_SIZE", ".SPY161216C207.5")</f>
        <v>N/A</v>
      </c>
      <c r="E774" t="str">
        <f>RTD("tos.rtd", , "VOLUME", ".SPY161216C207.5")</f>
        <v>N/A</v>
      </c>
      <c r="F774" t="str">
        <f>RTD("tos.rtd", , "OPEN_INT", ".SPY161216C207.5")</f>
        <v>N/A</v>
      </c>
      <c r="G774" t="str">
        <f>RTD("tos.rtd", , "DELTA", ".SPY161216C207.5")</f>
        <v>N/A</v>
      </c>
      <c r="H774" t="str">
        <f>RTD("tos.rtd", , "THETA", ".SPY161216C207.5")</f>
        <v>N/A</v>
      </c>
      <c r="I774" t="str">
        <f>RTD("tos.rtd", , "GAMMA", ".SPY161216C207.5")</f>
        <v>N/A</v>
      </c>
      <c r="J774" t="str">
        <f>RTD("tos.rtd", , "VEGA", ".SPY161216C207.5")</f>
        <v>N/A</v>
      </c>
      <c r="K774" t="str">
        <f>RTD("tos.rtd", , "RHO", ".SPY161216C207.5")</f>
        <v>N/A</v>
      </c>
      <c r="L774" t="str">
        <f>RTD("tos.rtd", , "ASK", ".SPY161216P207.5")</f>
        <v>N/A</v>
      </c>
      <c r="M774" t="str">
        <f>RTD("tos.rtd", , "ASK_SIZE", ".SPY161216P207.5")</f>
        <v>N/A</v>
      </c>
      <c r="N774" t="str">
        <f>RTD("tos.rtd", , "BID", ".SPY161216P207.5")</f>
        <v>N/A</v>
      </c>
      <c r="O774" t="str">
        <f>RTD("tos.rtd", , "BID_SIZE", ".SPY161216P207.5")</f>
        <v>N/A</v>
      </c>
      <c r="P774" t="str">
        <f>RTD("tos.rtd", , "VOLUME", ".SPY161216P207.5")</f>
        <v>N/A</v>
      </c>
      <c r="Q774" t="str">
        <f>RTD("tos.rtd", , "OPEN_INT", ".SPY161216P207.5")</f>
        <v>N/A</v>
      </c>
      <c r="R774" t="str">
        <f>RTD("tos.rtd", , "DELTA", ".SPY161216P207.5")</f>
        <v>N/A</v>
      </c>
      <c r="S774" t="str">
        <f>RTD("tos.rtd", , "THETA", ".SPY161216P207.5")</f>
        <v>N/A</v>
      </c>
      <c r="T774" t="str">
        <f>RTD("tos.rtd", , "GAMMA", ".SPY161216P207.5")</f>
        <v>N/A</v>
      </c>
      <c r="U774" t="str">
        <f>RTD("tos.rtd", , "VEGA", ".SPY161216P207.5")</f>
        <v>N/A</v>
      </c>
      <c r="V774" t="str">
        <f>RTD("tos.rtd", , "RHO", ".SPY161216P207.5")</f>
        <v>N/A</v>
      </c>
    </row>
    <row r="775" spans="1:22" x14ac:dyDescent="0.25">
      <c r="A775" t="str">
        <f>RTD("tos.rtd", , "ASK", ".SPY161216C208")</f>
        <v>N/A</v>
      </c>
      <c r="B775" t="str">
        <f>RTD("tos.rtd", , "ASK_SIZE", ".SPY161216C208")</f>
        <v>N/A</v>
      </c>
      <c r="C775" t="str">
        <f>RTD("tos.rtd", , "BID", ".SPY161216C208")</f>
        <v>N/A</v>
      </c>
      <c r="D775" t="str">
        <f>RTD("tos.rtd", , "BID_SIZE", ".SPY161216C208")</f>
        <v>N/A</v>
      </c>
      <c r="E775" t="str">
        <f>RTD("tos.rtd", , "VOLUME", ".SPY161216C208")</f>
        <v>N/A</v>
      </c>
      <c r="F775" t="str">
        <f>RTD("tos.rtd", , "OPEN_INT", ".SPY161216C208")</f>
        <v>N/A</v>
      </c>
      <c r="G775" t="str">
        <f>RTD("tos.rtd", , "DELTA", ".SPY161216C208")</f>
        <v>N/A</v>
      </c>
      <c r="H775" t="str">
        <f>RTD("tos.rtd", , "THETA", ".SPY161216C208")</f>
        <v>N/A</v>
      </c>
      <c r="I775" t="str">
        <f>RTD("tos.rtd", , "GAMMA", ".SPY161216C208")</f>
        <v>N/A</v>
      </c>
      <c r="J775" t="str">
        <f>RTD("tos.rtd", , "VEGA", ".SPY161216C208")</f>
        <v>N/A</v>
      </c>
      <c r="K775" t="str">
        <f>RTD("tos.rtd", , "RHO", ".SPY161216C208")</f>
        <v>N/A</v>
      </c>
      <c r="L775" t="str">
        <f>RTD("tos.rtd", , "ASK", ".SPY161216P208")</f>
        <v>N/A</v>
      </c>
      <c r="M775" t="str">
        <f>RTD("tos.rtd", , "ASK_SIZE", ".SPY161216P208")</f>
        <v>N/A</v>
      </c>
      <c r="N775" t="str">
        <f>RTD("tos.rtd", , "BID", ".SPY161216P208")</f>
        <v>N/A</v>
      </c>
      <c r="O775" t="str">
        <f>RTD("tos.rtd", , "BID_SIZE", ".SPY161216P208")</f>
        <v>N/A</v>
      </c>
      <c r="P775" t="str">
        <f>RTD("tos.rtd", , "VOLUME", ".SPY161216P208")</f>
        <v>N/A</v>
      </c>
      <c r="Q775" t="str">
        <f>RTD("tos.rtd", , "OPEN_INT", ".SPY161216P208")</f>
        <v>N/A</v>
      </c>
      <c r="R775" t="str">
        <f>RTD("tos.rtd", , "DELTA", ".SPY161216P208")</f>
        <v>N/A</v>
      </c>
      <c r="S775" t="str">
        <f>RTD("tos.rtd", , "THETA", ".SPY161216P208")</f>
        <v>N/A</v>
      </c>
      <c r="T775" t="str">
        <f>RTD("tos.rtd", , "GAMMA", ".SPY161216P208")</f>
        <v>N/A</v>
      </c>
      <c r="U775" t="str">
        <f>RTD("tos.rtd", , "VEGA", ".SPY161216P208")</f>
        <v>N/A</v>
      </c>
      <c r="V775" t="str">
        <f>RTD("tos.rtd", , "RHO", ".SPY161216P208")</f>
        <v>N/A</v>
      </c>
    </row>
    <row r="776" spans="1:22" x14ac:dyDescent="0.25">
      <c r="A776" t="str">
        <f>RTD("tos.rtd", , "ASK", ".SPY161216C208.5")</f>
        <v>N/A</v>
      </c>
      <c r="B776" t="str">
        <f>RTD("tos.rtd", , "ASK_SIZE", ".SPY161216C208.5")</f>
        <v>N/A</v>
      </c>
      <c r="C776" t="str">
        <f>RTD("tos.rtd", , "BID", ".SPY161216C208.5")</f>
        <v>N/A</v>
      </c>
      <c r="D776" t="str">
        <f>RTD("tos.rtd", , "BID_SIZE", ".SPY161216C208.5")</f>
        <v>N/A</v>
      </c>
      <c r="E776" t="str">
        <f>RTD("tos.rtd", , "VOLUME", ".SPY161216C208.5")</f>
        <v>N/A</v>
      </c>
      <c r="F776" t="str">
        <f>RTD("tos.rtd", , "OPEN_INT", ".SPY161216C208.5")</f>
        <v>N/A</v>
      </c>
      <c r="G776" t="str">
        <f>RTD("tos.rtd", , "DELTA", ".SPY161216C208.5")</f>
        <v>N/A</v>
      </c>
      <c r="H776" t="str">
        <f>RTD("tos.rtd", , "THETA", ".SPY161216C208.5")</f>
        <v>N/A</v>
      </c>
      <c r="I776" t="str">
        <f>RTD("tos.rtd", , "GAMMA", ".SPY161216C208.5")</f>
        <v>N/A</v>
      </c>
      <c r="J776" t="str">
        <f>RTD("tos.rtd", , "VEGA", ".SPY161216C208.5")</f>
        <v>N/A</v>
      </c>
      <c r="K776" t="str">
        <f>RTD("tos.rtd", , "RHO", ".SPY161216C208.5")</f>
        <v>N/A</v>
      </c>
      <c r="L776" t="str">
        <f>RTD("tos.rtd", , "ASK", ".SPY161216P208.5")</f>
        <v>N/A</v>
      </c>
      <c r="M776" t="str">
        <f>RTD("tos.rtd", , "ASK_SIZE", ".SPY161216P208.5")</f>
        <v>N/A</v>
      </c>
      <c r="N776" t="str">
        <f>RTD("tos.rtd", , "BID", ".SPY161216P208.5")</f>
        <v>N/A</v>
      </c>
      <c r="O776" t="str">
        <f>RTD("tos.rtd", , "BID_SIZE", ".SPY161216P208.5")</f>
        <v>N/A</v>
      </c>
      <c r="P776" t="str">
        <f>RTD("tos.rtd", , "VOLUME", ".SPY161216P208.5")</f>
        <v>N/A</v>
      </c>
      <c r="Q776" t="str">
        <f>RTD("tos.rtd", , "OPEN_INT", ".SPY161216P208.5")</f>
        <v>N/A</v>
      </c>
      <c r="R776" t="str">
        <f>RTD("tos.rtd", , "DELTA", ".SPY161216P208.5")</f>
        <v>N/A</v>
      </c>
      <c r="S776" t="str">
        <f>RTD("tos.rtd", , "THETA", ".SPY161216P208.5")</f>
        <v>N/A</v>
      </c>
      <c r="T776" t="str">
        <f>RTD("tos.rtd", , "GAMMA", ".SPY161216P208.5")</f>
        <v>N/A</v>
      </c>
      <c r="U776" t="str">
        <f>RTD("tos.rtd", , "VEGA", ".SPY161216P208.5")</f>
        <v>N/A</v>
      </c>
      <c r="V776" t="str">
        <f>RTD("tos.rtd", , "RHO", ".SPY161216P208.5")</f>
        <v>N/A</v>
      </c>
    </row>
    <row r="777" spans="1:22" x14ac:dyDescent="0.25">
      <c r="A777" t="str">
        <f>RTD("tos.rtd", , "ASK", ".SPY161216C209")</f>
        <v>N/A</v>
      </c>
      <c r="B777" t="str">
        <f>RTD("tos.rtd", , "ASK_SIZE", ".SPY161216C209")</f>
        <v>N/A</v>
      </c>
      <c r="C777" t="str">
        <f>RTD("tos.rtd", , "BID", ".SPY161216C209")</f>
        <v>N/A</v>
      </c>
      <c r="D777" t="str">
        <f>RTD("tos.rtd", , "BID_SIZE", ".SPY161216C209")</f>
        <v>N/A</v>
      </c>
      <c r="E777" t="str">
        <f>RTD("tos.rtd", , "VOLUME", ".SPY161216C209")</f>
        <v>N/A</v>
      </c>
      <c r="F777" t="str">
        <f>RTD("tos.rtd", , "OPEN_INT", ".SPY161216C209")</f>
        <v>N/A</v>
      </c>
      <c r="G777" t="str">
        <f>RTD("tos.rtd", , "DELTA", ".SPY161216C209")</f>
        <v>N/A</v>
      </c>
      <c r="H777" t="str">
        <f>RTD("tos.rtd", , "THETA", ".SPY161216C209")</f>
        <v>N/A</v>
      </c>
      <c r="I777" t="str">
        <f>RTD("tos.rtd", , "GAMMA", ".SPY161216C209")</f>
        <v>N/A</v>
      </c>
      <c r="J777" t="str">
        <f>RTD("tos.rtd", , "VEGA", ".SPY161216C209")</f>
        <v>N/A</v>
      </c>
      <c r="K777" t="str">
        <f>RTD("tos.rtd", , "RHO", ".SPY161216C209")</f>
        <v>N/A</v>
      </c>
      <c r="L777" t="str">
        <f>RTD("tos.rtd", , "ASK", ".SPY161216P209")</f>
        <v>N/A</v>
      </c>
      <c r="M777" t="str">
        <f>RTD("tos.rtd", , "ASK_SIZE", ".SPY161216P209")</f>
        <v>N/A</v>
      </c>
      <c r="N777" t="str">
        <f>RTD("tos.rtd", , "BID", ".SPY161216P209")</f>
        <v>N/A</v>
      </c>
      <c r="O777" t="str">
        <f>RTD("tos.rtd", , "BID_SIZE", ".SPY161216P209")</f>
        <v>N/A</v>
      </c>
      <c r="P777" t="str">
        <f>RTD("tos.rtd", , "VOLUME", ".SPY161216P209")</f>
        <v>N/A</v>
      </c>
      <c r="Q777" t="str">
        <f>RTD("tos.rtd", , "OPEN_INT", ".SPY161216P209")</f>
        <v>N/A</v>
      </c>
      <c r="R777" t="str">
        <f>RTD("tos.rtd", , "DELTA", ".SPY161216P209")</f>
        <v>N/A</v>
      </c>
      <c r="S777" t="str">
        <f>RTD("tos.rtd", , "THETA", ".SPY161216P209")</f>
        <v>N/A</v>
      </c>
      <c r="T777" t="str">
        <f>RTD("tos.rtd", , "GAMMA", ".SPY161216P209")</f>
        <v>N/A</v>
      </c>
      <c r="U777" t="str">
        <f>RTD("tos.rtd", , "VEGA", ".SPY161216P209")</f>
        <v>N/A</v>
      </c>
      <c r="V777" t="str">
        <f>RTD("tos.rtd", , "RHO", ".SPY161216P209")</f>
        <v>N/A</v>
      </c>
    </row>
    <row r="778" spans="1:22" x14ac:dyDescent="0.25">
      <c r="A778" t="str">
        <f>RTD("tos.rtd", , "ASK", ".SPY161216C209.5")</f>
        <v>N/A</v>
      </c>
      <c r="B778" t="str">
        <f>RTD("tos.rtd", , "ASK_SIZE", ".SPY161216C209.5")</f>
        <v>N/A</v>
      </c>
      <c r="C778" t="str">
        <f>RTD("tos.rtd", , "BID", ".SPY161216C209.5")</f>
        <v>N/A</v>
      </c>
      <c r="D778" t="str">
        <f>RTD("tos.rtd", , "BID_SIZE", ".SPY161216C209.5")</f>
        <v>N/A</v>
      </c>
      <c r="E778" t="str">
        <f>RTD("tos.rtd", , "VOLUME", ".SPY161216C209.5")</f>
        <v>N/A</v>
      </c>
      <c r="F778" t="str">
        <f>RTD("tos.rtd", , "OPEN_INT", ".SPY161216C209.5")</f>
        <v>N/A</v>
      </c>
      <c r="G778" t="str">
        <f>RTD("tos.rtd", , "DELTA", ".SPY161216C209.5")</f>
        <v>N/A</v>
      </c>
      <c r="H778" t="str">
        <f>RTD("tos.rtd", , "THETA", ".SPY161216C209.5")</f>
        <v>N/A</v>
      </c>
      <c r="I778" t="str">
        <f>RTD("tos.rtd", , "GAMMA", ".SPY161216C209.5")</f>
        <v>N/A</v>
      </c>
      <c r="J778" t="str">
        <f>RTD("tos.rtd", , "VEGA", ".SPY161216C209.5")</f>
        <v>N/A</v>
      </c>
      <c r="K778" t="str">
        <f>RTD("tos.rtd", , "RHO", ".SPY161216C209.5")</f>
        <v>N/A</v>
      </c>
      <c r="L778" t="str">
        <f>RTD("tos.rtd", , "ASK", ".SPY161216P209.5")</f>
        <v>N/A</v>
      </c>
      <c r="M778" t="str">
        <f>RTD("tos.rtd", , "ASK_SIZE", ".SPY161216P209.5")</f>
        <v>N/A</v>
      </c>
      <c r="N778" t="str">
        <f>RTD("tos.rtd", , "BID", ".SPY161216P209.5")</f>
        <v>N/A</v>
      </c>
      <c r="O778" t="str">
        <f>RTD("tos.rtd", , "BID_SIZE", ".SPY161216P209.5")</f>
        <v>N/A</v>
      </c>
      <c r="P778" t="str">
        <f>RTD("tos.rtd", , "VOLUME", ".SPY161216P209.5")</f>
        <v>N/A</v>
      </c>
      <c r="Q778" t="str">
        <f>RTD("tos.rtd", , "OPEN_INT", ".SPY161216P209.5")</f>
        <v>N/A</v>
      </c>
      <c r="R778" t="str">
        <f>RTD("tos.rtd", , "DELTA", ".SPY161216P209.5")</f>
        <v>N/A</v>
      </c>
      <c r="S778" t="str">
        <f>RTD("tos.rtd", , "THETA", ".SPY161216P209.5")</f>
        <v>N/A</v>
      </c>
      <c r="T778" t="str">
        <f>RTD("tos.rtd", , "GAMMA", ".SPY161216P209.5")</f>
        <v>N/A</v>
      </c>
      <c r="U778" t="str">
        <f>RTD("tos.rtd", , "VEGA", ".SPY161216P209.5")</f>
        <v>N/A</v>
      </c>
      <c r="V778" t="str">
        <f>RTD("tos.rtd", , "RHO", ".SPY161216P209.5")</f>
        <v>N/A</v>
      </c>
    </row>
    <row r="779" spans="1:22" x14ac:dyDescent="0.25">
      <c r="A779">
        <f>RTD("tos.rtd", , "ASK", ".SPY161216C210")</f>
        <v>17.600000000000001</v>
      </c>
      <c r="B779">
        <f>RTD("tos.rtd", , "ASK_SIZE", ".SPY161216C210")</f>
        <v>75</v>
      </c>
      <c r="C779">
        <f>RTD("tos.rtd", , "BID", ".SPY161216C210")</f>
        <v>17.239999999999998</v>
      </c>
      <c r="D779">
        <f>RTD("tos.rtd", , "BID_SIZE", ".SPY161216C210")</f>
        <v>1112</v>
      </c>
      <c r="E779">
        <f>RTD("tos.rtd", , "VOLUME", ".SPY161216C210")</f>
        <v>0</v>
      </c>
      <c r="F779">
        <f>RTD("tos.rtd", , "OPEN_INT", ".SPY161216C210")</f>
        <v>4303</v>
      </c>
      <c r="G779">
        <f>RTD("tos.rtd", , "DELTA", ".SPY161216C210")</f>
        <v>0.51787000000000005</v>
      </c>
      <c r="H779">
        <f>RTD("tos.rtd", , "THETA", ".SPY161216C210")</f>
        <v>-1.21E-2</v>
      </c>
      <c r="I779">
        <f>RTD("tos.rtd", , "GAMMA", ".SPY161216C210")</f>
        <v>8.7200000000000003E-3</v>
      </c>
      <c r="J779">
        <f>RTD("tos.rtd", , "VEGA", ".SPY161216C210")</f>
        <v>1.0436700000000001</v>
      </c>
      <c r="K779">
        <f>RTD("tos.rtd", , "RHO", ".SPY161216C210")</f>
        <v>1.2363</v>
      </c>
      <c r="L779">
        <f>RTD("tos.rtd", , "ASK", ".SPY161216P210")</f>
        <v>20.010000000000002</v>
      </c>
      <c r="M779">
        <f>RTD("tos.rtd", , "ASK_SIZE", ".SPY161216P210")</f>
        <v>186</v>
      </c>
      <c r="N779">
        <f>RTD("tos.rtd", , "BID", ".SPY161216P210")</f>
        <v>19.48</v>
      </c>
      <c r="O779">
        <f>RTD("tos.rtd", , "BID_SIZE", ".SPY161216P210")</f>
        <v>1141</v>
      </c>
      <c r="P779">
        <f>RTD("tos.rtd", , "VOLUME", ".SPY161216P210")</f>
        <v>0</v>
      </c>
      <c r="Q779">
        <f>RTD("tos.rtd", , "OPEN_INT", ".SPY161216P210")</f>
        <v>6537</v>
      </c>
      <c r="R779">
        <f>RTD("tos.rtd", , "DELTA", ".SPY161216P210")</f>
        <v>-0.47550999999999999</v>
      </c>
      <c r="S779">
        <f>RTD("tos.rtd", , "THETA", ".SPY161216P210")</f>
        <v>-1.8970000000000001E-2</v>
      </c>
      <c r="T779">
        <f>RTD("tos.rtd", , "GAMMA", ".SPY161216P210")</f>
        <v>8.4799999999999997E-3</v>
      </c>
      <c r="U779">
        <f>RTD("tos.rtd", , "VEGA", ".SPY161216P210")</f>
        <v>1.0442100000000001</v>
      </c>
      <c r="V779">
        <f>RTD("tos.rtd", , "RHO", ".SPY161216P210")</f>
        <v>-1.9466600000000001</v>
      </c>
    </row>
    <row r="780" spans="1:22" x14ac:dyDescent="0.25">
      <c r="A780" t="str">
        <f>RTD("tos.rtd", , "ASK", ".SPY161216C210.5")</f>
        <v>N/A</v>
      </c>
      <c r="B780" t="str">
        <f>RTD("tos.rtd", , "ASK_SIZE", ".SPY161216C210.5")</f>
        <v>N/A</v>
      </c>
      <c r="C780" t="str">
        <f>RTD("tos.rtd", , "BID", ".SPY161216C210.5")</f>
        <v>N/A</v>
      </c>
      <c r="D780" t="str">
        <f>RTD("tos.rtd", , "BID_SIZE", ".SPY161216C210.5")</f>
        <v>N/A</v>
      </c>
      <c r="E780" t="str">
        <f>RTD("tos.rtd", , "VOLUME", ".SPY161216C210.5")</f>
        <v>N/A</v>
      </c>
      <c r="F780" t="str">
        <f>RTD("tos.rtd", , "OPEN_INT", ".SPY161216C210.5")</f>
        <v>N/A</v>
      </c>
      <c r="G780" t="str">
        <f>RTD("tos.rtd", , "DELTA", ".SPY161216C210.5")</f>
        <v>N/A</v>
      </c>
      <c r="H780" t="str">
        <f>RTD("tos.rtd", , "THETA", ".SPY161216C210.5")</f>
        <v>N/A</v>
      </c>
      <c r="I780" t="str">
        <f>RTD("tos.rtd", , "GAMMA", ".SPY161216C210.5")</f>
        <v>N/A</v>
      </c>
      <c r="J780" t="str">
        <f>RTD("tos.rtd", , "VEGA", ".SPY161216C210.5")</f>
        <v>N/A</v>
      </c>
      <c r="K780" t="str">
        <f>RTD("tos.rtd", , "RHO", ".SPY161216C210.5")</f>
        <v>N/A</v>
      </c>
      <c r="L780" t="str">
        <f>RTD("tos.rtd", , "ASK", ".SPY161216P210.5")</f>
        <v>N/A</v>
      </c>
      <c r="M780" t="str">
        <f>RTD("tos.rtd", , "ASK_SIZE", ".SPY161216P210.5")</f>
        <v>N/A</v>
      </c>
      <c r="N780" t="str">
        <f>RTD("tos.rtd", , "BID", ".SPY161216P210.5")</f>
        <v>N/A</v>
      </c>
      <c r="O780" t="str">
        <f>RTD("tos.rtd", , "BID_SIZE", ".SPY161216P210.5")</f>
        <v>N/A</v>
      </c>
      <c r="P780" t="str">
        <f>RTD("tos.rtd", , "VOLUME", ".SPY161216P210.5")</f>
        <v>N/A</v>
      </c>
      <c r="Q780" t="str">
        <f>RTD("tos.rtd", , "OPEN_INT", ".SPY161216P210.5")</f>
        <v>N/A</v>
      </c>
      <c r="R780" t="str">
        <f>RTD("tos.rtd", , "DELTA", ".SPY161216P210.5")</f>
        <v>N/A</v>
      </c>
      <c r="S780" t="str">
        <f>RTD("tos.rtd", , "THETA", ".SPY161216P210.5")</f>
        <v>N/A</v>
      </c>
      <c r="T780" t="str">
        <f>RTD("tos.rtd", , "GAMMA", ".SPY161216P210.5")</f>
        <v>N/A</v>
      </c>
      <c r="U780" t="str">
        <f>RTD("tos.rtd", , "VEGA", ".SPY161216P210.5")</f>
        <v>N/A</v>
      </c>
      <c r="V780" t="str">
        <f>RTD("tos.rtd", , "RHO", ".SPY161216P210.5")</f>
        <v>N/A</v>
      </c>
    </row>
    <row r="781" spans="1:22" x14ac:dyDescent="0.25">
      <c r="A781" t="str">
        <f>RTD("tos.rtd", , "ASK", ".SPY161216C211")</f>
        <v>N/A</v>
      </c>
      <c r="B781" t="str">
        <f>RTD("tos.rtd", , "ASK_SIZE", ".SPY161216C211")</f>
        <v>N/A</v>
      </c>
      <c r="C781" t="str">
        <f>RTD("tos.rtd", , "BID", ".SPY161216C211")</f>
        <v>N/A</v>
      </c>
      <c r="D781" t="str">
        <f>RTD("tos.rtd", , "BID_SIZE", ".SPY161216C211")</f>
        <v>N/A</v>
      </c>
      <c r="E781" t="str">
        <f>RTD("tos.rtd", , "VOLUME", ".SPY161216C211")</f>
        <v>N/A</v>
      </c>
      <c r="F781" t="str">
        <f>RTD("tos.rtd", , "OPEN_INT", ".SPY161216C211")</f>
        <v>N/A</v>
      </c>
      <c r="G781" t="str">
        <f>RTD("tos.rtd", , "DELTA", ".SPY161216C211")</f>
        <v>N/A</v>
      </c>
      <c r="H781" t="str">
        <f>RTD("tos.rtd", , "THETA", ".SPY161216C211")</f>
        <v>N/A</v>
      </c>
      <c r="I781" t="str">
        <f>RTD("tos.rtd", , "GAMMA", ".SPY161216C211")</f>
        <v>N/A</v>
      </c>
      <c r="J781" t="str">
        <f>RTD("tos.rtd", , "VEGA", ".SPY161216C211")</f>
        <v>N/A</v>
      </c>
      <c r="K781" t="str">
        <f>RTD("tos.rtd", , "RHO", ".SPY161216C211")</f>
        <v>N/A</v>
      </c>
      <c r="L781" t="str">
        <f>RTD("tos.rtd", , "ASK", ".SPY161216P211")</f>
        <v>N/A</v>
      </c>
      <c r="M781" t="str">
        <f>RTD("tos.rtd", , "ASK_SIZE", ".SPY161216P211")</f>
        <v>N/A</v>
      </c>
      <c r="N781" t="str">
        <f>RTD("tos.rtd", , "BID", ".SPY161216P211")</f>
        <v>N/A</v>
      </c>
      <c r="O781" t="str">
        <f>RTD("tos.rtd", , "BID_SIZE", ".SPY161216P211")</f>
        <v>N/A</v>
      </c>
      <c r="P781" t="str">
        <f>RTD("tos.rtd", , "VOLUME", ".SPY161216P211")</f>
        <v>N/A</v>
      </c>
      <c r="Q781" t="str">
        <f>RTD("tos.rtd", , "OPEN_INT", ".SPY161216P211")</f>
        <v>N/A</v>
      </c>
      <c r="R781" t="str">
        <f>RTD("tos.rtd", , "DELTA", ".SPY161216P211")</f>
        <v>N/A</v>
      </c>
      <c r="S781" t="str">
        <f>RTD("tos.rtd", , "THETA", ".SPY161216P211")</f>
        <v>N/A</v>
      </c>
      <c r="T781" t="str">
        <f>RTD("tos.rtd", , "GAMMA", ".SPY161216P211")</f>
        <v>N/A</v>
      </c>
      <c r="U781" t="str">
        <f>RTD("tos.rtd", , "VEGA", ".SPY161216P211")</f>
        <v>N/A</v>
      </c>
      <c r="V781" t="str">
        <f>RTD("tos.rtd", , "RHO", ".SPY161216P211")</f>
        <v>N/A</v>
      </c>
    </row>
    <row r="782" spans="1:22" x14ac:dyDescent="0.25">
      <c r="A782" t="str">
        <f>RTD("tos.rtd", , "ASK", ".SPY161216C211.5")</f>
        <v>N/A</v>
      </c>
      <c r="B782" t="str">
        <f>RTD("tos.rtd", , "ASK_SIZE", ".SPY161216C211.5")</f>
        <v>N/A</v>
      </c>
      <c r="C782" t="str">
        <f>RTD("tos.rtd", , "BID", ".SPY161216C211.5")</f>
        <v>N/A</v>
      </c>
      <c r="D782" t="str">
        <f>RTD("tos.rtd", , "BID_SIZE", ".SPY161216C211.5")</f>
        <v>N/A</v>
      </c>
      <c r="E782" t="str">
        <f>RTD("tos.rtd", , "VOLUME", ".SPY161216C211.5")</f>
        <v>N/A</v>
      </c>
      <c r="F782" t="str">
        <f>RTD("tos.rtd", , "OPEN_INT", ".SPY161216C211.5")</f>
        <v>N/A</v>
      </c>
      <c r="G782" t="str">
        <f>RTD("tos.rtd", , "DELTA", ".SPY161216C211.5")</f>
        <v>N/A</v>
      </c>
      <c r="H782" t="str">
        <f>RTD("tos.rtd", , "THETA", ".SPY161216C211.5")</f>
        <v>N/A</v>
      </c>
      <c r="I782" t="str">
        <f>RTD("tos.rtd", , "GAMMA", ".SPY161216C211.5")</f>
        <v>N/A</v>
      </c>
      <c r="J782" t="str">
        <f>RTD("tos.rtd", , "VEGA", ".SPY161216C211.5")</f>
        <v>N/A</v>
      </c>
      <c r="K782" t="str">
        <f>RTD("tos.rtd", , "RHO", ".SPY161216C211.5")</f>
        <v>N/A</v>
      </c>
      <c r="L782" t="str">
        <f>RTD("tos.rtd", , "ASK", ".SPY161216P211.5")</f>
        <v>N/A</v>
      </c>
      <c r="M782" t="str">
        <f>RTD("tos.rtd", , "ASK_SIZE", ".SPY161216P211.5")</f>
        <v>N/A</v>
      </c>
      <c r="N782" t="str">
        <f>RTD("tos.rtd", , "BID", ".SPY161216P211.5")</f>
        <v>N/A</v>
      </c>
      <c r="O782" t="str">
        <f>RTD("tos.rtd", , "BID_SIZE", ".SPY161216P211.5")</f>
        <v>N/A</v>
      </c>
      <c r="P782" t="str">
        <f>RTD("tos.rtd", , "VOLUME", ".SPY161216P211.5")</f>
        <v>N/A</v>
      </c>
      <c r="Q782" t="str">
        <f>RTD("tos.rtd", , "OPEN_INT", ".SPY161216P211.5")</f>
        <v>N/A</v>
      </c>
      <c r="R782" t="str">
        <f>RTD("tos.rtd", , "DELTA", ".SPY161216P211.5")</f>
        <v>N/A</v>
      </c>
      <c r="S782" t="str">
        <f>RTD("tos.rtd", , "THETA", ".SPY161216P211.5")</f>
        <v>N/A</v>
      </c>
      <c r="T782" t="str">
        <f>RTD("tos.rtd", , "GAMMA", ".SPY161216P211.5")</f>
        <v>N/A</v>
      </c>
      <c r="U782" t="str">
        <f>RTD("tos.rtd", , "VEGA", ".SPY161216P211.5")</f>
        <v>N/A</v>
      </c>
      <c r="V782" t="str">
        <f>RTD("tos.rtd", , "RHO", ".SPY161216P211.5")</f>
        <v>N/A</v>
      </c>
    </row>
    <row r="783" spans="1:22" x14ac:dyDescent="0.25">
      <c r="A783" t="str">
        <f>RTD("tos.rtd", , "ASK", ".SPY161216C212")</f>
        <v>N/A</v>
      </c>
      <c r="B783" t="str">
        <f>RTD("tos.rtd", , "ASK_SIZE", ".SPY161216C212")</f>
        <v>N/A</v>
      </c>
      <c r="C783" t="str">
        <f>RTD("tos.rtd", , "BID", ".SPY161216C212")</f>
        <v>N/A</v>
      </c>
      <c r="D783" t="str">
        <f>RTD("tos.rtd", , "BID_SIZE", ".SPY161216C212")</f>
        <v>N/A</v>
      </c>
      <c r="E783" t="str">
        <f>RTD("tos.rtd", , "VOLUME", ".SPY161216C212")</f>
        <v>N/A</v>
      </c>
      <c r="F783" t="str">
        <f>RTD("tos.rtd", , "OPEN_INT", ".SPY161216C212")</f>
        <v>N/A</v>
      </c>
      <c r="G783" t="str">
        <f>RTD("tos.rtd", , "DELTA", ".SPY161216C212")</f>
        <v>N/A</v>
      </c>
      <c r="H783" t="str">
        <f>RTD("tos.rtd", , "THETA", ".SPY161216C212")</f>
        <v>N/A</v>
      </c>
      <c r="I783" t="str">
        <f>RTD("tos.rtd", , "GAMMA", ".SPY161216C212")</f>
        <v>N/A</v>
      </c>
      <c r="J783" t="str">
        <f>RTD("tos.rtd", , "VEGA", ".SPY161216C212")</f>
        <v>N/A</v>
      </c>
      <c r="K783" t="str">
        <f>RTD("tos.rtd", , "RHO", ".SPY161216C212")</f>
        <v>N/A</v>
      </c>
      <c r="L783" t="str">
        <f>RTD("tos.rtd", , "ASK", ".SPY161216P212")</f>
        <v>N/A</v>
      </c>
      <c r="M783" t="str">
        <f>RTD("tos.rtd", , "ASK_SIZE", ".SPY161216P212")</f>
        <v>N/A</v>
      </c>
      <c r="N783" t="str">
        <f>RTD("tos.rtd", , "BID", ".SPY161216P212")</f>
        <v>N/A</v>
      </c>
      <c r="O783" t="str">
        <f>RTD("tos.rtd", , "BID_SIZE", ".SPY161216P212")</f>
        <v>N/A</v>
      </c>
      <c r="P783" t="str">
        <f>RTD("tos.rtd", , "VOLUME", ".SPY161216P212")</f>
        <v>N/A</v>
      </c>
      <c r="Q783" t="str">
        <f>RTD("tos.rtd", , "OPEN_INT", ".SPY161216P212")</f>
        <v>N/A</v>
      </c>
      <c r="R783" t="str">
        <f>RTD("tos.rtd", , "DELTA", ".SPY161216P212")</f>
        <v>N/A</v>
      </c>
      <c r="S783" t="str">
        <f>RTD("tos.rtd", , "THETA", ".SPY161216P212")</f>
        <v>N/A</v>
      </c>
      <c r="T783" t="str">
        <f>RTD("tos.rtd", , "GAMMA", ".SPY161216P212")</f>
        <v>N/A</v>
      </c>
      <c r="U783" t="str">
        <f>RTD("tos.rtd", , "VEGA", ".SPY161216P212")</f>
        <v>N/A</v>
      </c>
      <c r="V783" t="str">
        <f>RTD("tos.rtd", , "RHO", ".SPY161216P212")</f>
        <v>N/A</v>
      </c>
    </row>
    <row r="784" spans="1:22" x14ac:dyDescent="0.25">
      <c r="A784" t="str">
        <f>RTD("tos.rtd", , "ASK", ".SPY161216C212.5")</f>
        <v>N/A</v>
      </c>
      <c r="B784" t="str">
        <f>RTD("tos.rtd", , "ASK_SIZE", ".SPY161216C212.5")</f>
        <v>N/A</v>
      </c>
      <c r="C784" t="str">
        <f>RTD("tos.rtd", , "BID", ".SPY161216C212.5")</f>
        <v>N/A</v>
      </c>
      <c r="D784" t="str">
        <f>RTD("tos.rtd", , "BID_SIZE", ".SPY161216C212.5")</f>
        <v>N/A</v>
      </c>
      <c r="E784" t="str">
        <f>RTD("tos.rtd", , "VOLUME", ".SPY161216C212.5")</f>
        <v>N/A</v>
      </c>
      <c r="F784" t="str">
        <f>RTD("tos.rtd", , "OPEN_INT", ".SPY161216C212.5")</f>
        <v>N/A</v>
      </c>
      <c r="G784" t="str">
        <f>RTD("tos.rtd", , "DELTA", ".SPY161216C212.5")</f>
        <v>N/A</v>
      </c>
      <c r="H784" t="str">
        <f>RTD("tos.rtd", , "THETA", ".SPY161216C212.5")</f>
        <v>N/A</v>
      </c>
      <c r="I784" t="str">
        <f>RTD("tos.rtd", , "GAMMA", ".SPY161216C212.5")</f>
        <v>N/A</v>
      </c>
      <c r="J784" t="str">
        <f>RTD("tos.rtd", , "VEGA", ".SPY161216C212.5")</f>
        <v>N/A</v>
      </c>
      <c r="K784" t="str">
        <f>RTD("tos.rtd", , "RHO", ".SPY161216C212.5")</f>
        <v>N/A</v>
      </c>
      <c r="L784" t="str">
        <f>RTD("tos.rtd", , "ASK", ".SPY161216P212.5")</f>
        <v>N/A</v>
      </c>
      <c r="M784" t="str">
        <f>RTD("tos.rtd", , "ASK_SIZE", ".SPY161216P212.5")</f>
        <v>N/A</v>
      </c>
      <c r="N784" t="str">
        <f>RTD("tos.rtd", , "BID", ".SPY161216P212.5")</f>
        <v>N/A</v>
      </c>
      <c r="O784" t="str">
        <f>RTD("tos.rtd", , "BID_SIZE", ".SPY161216P212.5")</f>
        <v>N/A</v>
      </c>
      <c r="P784" t="str">
        <f>RTD("tos.rtd", , "VOLUME", ".SPY161216P212.5")</f>
        <v>N/A</v>
      </c>
      <c r="Q784" t="str">
        <f>RTD("tos.rtd", , "OPEN_INT", ".SPY161216P212.5")</f>
        <v>N/A</v>
      </c>
      <c r="R784" t="str">
        <f>RTD("tos.rtd", , "DELTA", ".SPY161216P212.5")</f>
        <v>N/A</v>
      </c>
      <c r="S784" t="str">
        <f>RTD("tos.rtd", , "THETA", ".SPY161216P212.5")</f>
        <v>N/A</v>
      </c>
      <c r="T784" t="str">
        <f>RTD("tos.rtd", , "GAMMA", ".SPY161216P212.5")</f>
        <v>N/A</v>
      </c>
      <c r="U784" t="str">
        <f>RTD("tos.rtd", , "VEGA", ".SPY161216P212.5")</f>
        <v>N/A</v>
      </c>
      <c r="V784" t="str">
        <f>RTD("tos.rtd", , "RHO", ".SPY161216P212.5")</f>
        <v>N/A</v>
      </c>
    </row>
    <row r="785" spans="1:22" x14ac:dyDescent="0.25">
      <c r="A785" t="str">
        <f>RTD("tos.rtd", , "ASK", ".SPY161216C213")</f>
        <v>N/A</v>
      </c>
      <c r="B785" t="str">
        <f>RTD("tos.rtd", , "ASK_SIZE", ".SPY161216C213")</f>
        <v>N/A</v>
      </c>
      <c r="C785" t="str">
        <f>RTD("tos.rtd", , "BID", ".SPY161216C213")</f>
        <v>N/A</v>
      </c>
      <c r="D785" t="str">
        <f>RTD("tos.rtd", , "BID_SIZE", ".SPY161216C213")</f>
        <v>N/A</v>
      </c>
      <c r="E785" t="str">
        <f>RTD("tos.rtd", , "VOLUME", ".SPY161216C213")</f>
        <v>N/A</v>
      </c>
      <c r="F785" t="str">
        <f>RTD("tos.rtd", , "OPEN_INT", ".SPY161216C213")</f>
        <v>N/A</v>
      </c>
      <c r="G785" t="str">
        <f>RTD("tos.rtd", , "DELTA", ".SPY161216C213")</f>
        <v>N/A</v>
      </c>
      <c r="H785" t="str">
        <f>RTD("tos.rtd", , "THETA", ".SPY161216C213")</f>
        <v>N/A</v>
      </c>
      <c r="I785" t="str">
        <f>RTD("tos.rtd", , "GAMMA", ".SPY161216C213")</f>
        <v>N/A</v>
      </c>
      <c r="J785" t="str">
        <f>RTD("tos.rtd", , "VEGA", ".SPY161216C213")</f>
        <v>N/A</v>
      </c>
      <c r="K785" t="str">
        <f>RTD("tos.rtd", , "RHO", ".SPY161216C213")</f>
        <v>N/A</v>
      </c>
      <c r="L785" t="str">
        <f>RTD("tos.rtd", , "ASK", ".SPY161216P213")</f>
        <v>N/A</v>
      </c>
      <c r="M785" t="str">
        <f>RTD("tos.rtd", , "ASK_SIZE", ".SPY161216P213")</f>
        <v>N/A</v>
      </c>
      <c r="N785" t="str">
        <f>RTD("tos.rtd", , "BID", ".SPY161216P213")</f>
        <v>N/A</v>
      </c>
      <c r="O785" t="str">
        <f>RTD("tos.rtd", , "BID_SIZE", ".SPY161216P213")</f>
        <v>N/A</v>
      </c>
      <c r="P785" t="str">
        <f>RTD("tos.rtd", , "VOLUME", ".SPY161216P213")</f>
        <v>N/A</v>
      </c>
      <c r="Q785" t="str">
        <f>RTD("tos.rtd", , "OPEN_INT", ".SPY161216P213")</f>
        <v>N/A</v>
      </c>
      <c r="R785" t="str">
        <f>RTD("tos.rtd", , "DELTA", ".SPY161216P213")</f>
        <v>N/A</v>
      </c>
      <c r="S785" t="str">
        <f>RTD("tos.rtd", , "THETA", ".SPY161216P213")</f>
        <v>N/A</v>
      </c>
      <c r="T785" t="str">
        <f>RTD("tos.rtd", , "GAMMA", ".SPY161216P213")</f>
        <v>N/A</v>
      </c>
      <c r="U785" t="str">
        <f>RTD("tos.rtd", , "VEGA", ".SPY161216P213")</f>
        <v>N/A</v>
      </c>
      <c r="V785" t="str">
        <f>RTD("tos.rtd", , "RHO", ".SPY161216P213")</f>
        <v>N/A</v>
      </c>
    </row>
    <row r="786" spans="1:22" x14ac:dyDescent="0.25">
      <c r="A786" t="str">
        <f>RTD("tos.rtd", , "ASK", ".SPY161216C213.5")</f>
        <v>N/A</v>
      </c>
      <c r="B786" t="str">
        <f>RTD("tos.rtd", , "ASK_SIZE", ".SPY161216C213.5")</f>
        <v>N/A</v>
      </c>
      <c r="C786" t="str">
        <f>RTD("tos.rtd", , "BID", ".SPY161216C213.5")</f>
        <v>N/A</v>
      </c>
      <c r="D786" t="str">
        <f>RTD("tos.rtd", , "BID_SIZE", ".SPY161216C213.5")</f>
        <v>N/A</v>
      </c>
      <c r="E786" t="str">
        <f>RTD("tos.rtd", , "VOLUME", ".SPY161216C213.5")</f>
        <v>N/A</v>
      </c>
      <c r="F786" t="str">
        <f>RTD("tos.rtd", , "OPEN_INT", ".SPY161216C213.5")</f>
        <v>N/A</v>
      </c>
      <c r="G786" t="str">
        <f>RTD("tos.rtd", , "DELTA", ".SPY161216C213.5")</f>
        <v>N/A</v>
      </c>
      <c r="H786" t="str">
        <f>RTD("tos.rtd", , "THETA", ".SPY161216C213.5")</f>
        <v>N/A</v>
      </c>
      <c r="I786" t="str">
        <f>RTD("tos.rtd", , "GAMMA", ".SPY161216C213.5")</f>
        <v>N/A</v>
      </c>
      <c r="J786" t="str">
        <f>RTD("tos.rtd", , "VEGA", ".SPY161216C213.5")</f>
        <v>N/A</v>
      </c>
      <c r="K786" t="str">
        <f>RTD("tos.rtd", , "RHO", ".SPY161216C213.5")</f>
        <v>N/A</v>
      </c>
      <c r="L786" t="str">
        <f>RTD("tos.rtd", , "ASK", ".SPY161216P213.5")</f>
        <v>N/A</v>
      </c>
      <c r="M786" t="str">
        <f>RTD("tos.rtd", , "ASK_SIZE", ".SPY161216P213.5")</f>
        <v>N/A</v>
      </c>
      <c r="N786" t="str">
        <f>RTD("tos.rtd", , "BID", ".SPY161216P213.5")</f>
        <v>N/A</v>
      </c>
      <c r="O786" t="str">
        <f>RTD("tos.rtd", , "BID_SIZE", ".SPY161216P213.5")</f>
        <v>N/A</v>
      </c>
      <c r="P786" t="str">
        <f>RTD("tos.rtd", , "VOLUME", ".SPY161216P213.5")</f>
        <v>N/A</v>
      </c>
      <c r="Q786" t="str">
        <f>RTD("tos.rtd", , "OPEN_INT", ".SPY161216P213.5")</f>
        <v>N/A</v>
      </c>
      <c r="R786" t="str">
        <f>RTD("tos.rtd", , "DELTA", ".SPY161216P213.5")</f>
        <v>N/A</v>
      </c>
      <c r="S786" t="str">
        <f>RTD("tos.rtd", , "THETA", ".SPY161216P213.5")</f>
        <v>N/A</v>
      </c>
      <c r="T786" t="str">
        <f>RTD("tos.rtd", , "GAMMA", ".SPY161216P213.5")</f>
        <v>N/A</v>
      </c>
      <c r="U786" t="str">
        <f>RTD("tos.rtd", , "VEGA", ".SPY161216P213.5")</f>
        <v>N/A</v>
      </c>
      <c r="V786" t="str">
        <f>RTD("tos.rtd", , "RHO", ".SPY161216P213.5")</f>
        <v>N/A</v>
      </c>
    </row>
    <row r="787" spans="1:22" x14ac:dyDescent="0.25">
      <c r="A787" t="str">
        <f>RTD("tos.rtd", , "ASK", ".SPY161216C214")</f>
        <v>N/A</v>
      </c>
      <c r="B787" t="str">
        <f>RTD("tos.rtd", , "ASK_SIZE", ".SPY161216C214")</f>
        <v>N/A</v>
      </c>
      <c r="C787" t="str">
        <f>RTD("tos.rtd", , "BID", ".SPY161216C214")</f>
        <v>N/A</v>
      </c>
      <c r="D787" t="str">
        <f>RTD("tos.rtd", , "BID_SIZE", ".SPY161216C214")</f>
        <v>N/A</v>
      </c>
      <c r="E787" t="str">
        <f>RTD("tos.rtd", , "VOLUME", ".SPY161216C214")</f>
        <v>N/A</v>
      </c>
      <c r="F787" t="str">
        <f>RTD("tos.rtd", , "OPEN_INT", ".SPY161216C214")</f>
        <v>N/A</v>
      </c>
      <c r="G787" t="str">
        <f>RTD("tos.rtd", , "DELTA", ".SPY161216C214")</f>
        <v>N/A</v>
      </c>
      <c r="H787" t="str">
        <f>RTD("tos.rtd", , "THETA", ".SPY161216C214")</f>
        <v>N/A</v>
      </c>
      <c r="I787" t="str">
        <f>RTD("tos.rtd", , "GAMMA", ".SPY161216C214")</f>
        <v>N/A</v>
      </c>
      <c r="J787" t="str">
        <f>RTD("tos.rtd", , "VEGA", ".SPY161216C214")</f>
        <v>N/A</v>
      </c>
      <c r="K787" t="str">
        <f>RTD("tos.rtd", , "RHO", ".SPY161216C214")</f>
        <v>N/A</v>
      </c>
      <c r="L787" t="str">
        <f>RTD("tos.rtd", , "ASK", ".SPY161216P214")</f>
        <v>N/A</v>
      </c>
      <c r="M787" t="str">
        <f>RTD("tos.rtd", , "ASK_SIZE", ".SPY161216P214")</f>
        <v>N/A</v>
      </c>
      <c r="N787" t="str">
        <f>RTD("tos.rtd", , "BID", ".SPY161216P214")</f>
        <v>N/A</v>
      </c>
      <c r="O787" t="str">
        <f>RTD("tos.rtd", , "BID_SIZE", ".SPY161216P214")</f>
        <v>N/A</v>
      </c>
      <c r="P787" t="str">
        <f>RTD("tos.rtd", , "VOLUME", ".SPY161216P214")</f>
        <v>N/A</v>
      </c>
      <c r="Q787" t="str">
        <f>RTD("tos.rtd", , "OPEN_INT", ".SPY161216P214")</f>
        <v>N/A</v>
      </c>
      <c r="R787" t="str">
        <f>RTD("tos.rtd", , "DELTA", ".SPY161216P214")</f>
        <v>N/A</v>
      </c>
      <c r="S787" t="str">
        <f>RTD("tos.rtd", , "THETA", ".SPY161216P214")</f>
        <v>N/A</v>
      </c>
      <c r="T787" t="str">
        <f>RTD("tos.rtd", , "GAMMA", ".SPY161216P214")</f>
        <v>N/A</v>
      </c>
      <c r="U787" t="str">
        <f>RTD("tos.rtd", , "VEGA", ".SPY161216P214")</f>
        <v>N/A</v>
      </c>
      <c r="V787" t="str">
        <f>RTD("tos.rtd", , "RHO", ".SPY161216P214")</f>
        <v>N/A</v>
      </c>
    </row>
    <row r="788" spans="1:22" x14ac:dyDescent="0.25">
      <c r="A788" t="str">
        <f>RTD("tos.rtd", , "ASK", ".SPY161216C214.5")</f>
        <v>N/A</v>
      </c>
      <c r="B788" t="str">
        <f>RTD("tos.rtd", , "ASK_SIZE", ".SPY161216C214.5")</f>
        <v>N/A</v>
      </c>
      <c r="C788" t="str">
        <f>RTD("tos.rtd", , "BID", ".SPY161216C214.5")</f>
        <v>N/A</v>
      </c>
      <c r="D788" t="str">
        <f>RTD("tos.rtd", , "BID_SIZE", ".SPY161216C214.5")</f>
        <v>N/A</v>
      </c>
      <c r="E788" t="str">
        <f>RTD("tos.rtd", , "VOLUME", ".SPY161216C214.5")</f>
        <v>N/A</v>
      </c>
      <c r="F788" t="str">
        <f>RTD("tos.rtd", , "OPEN_INT", ".SPY161216C214.5")</f>
        <v>N/A</v>
      </c>
      <c r="G788" t="str">
        <f>RTD("tos.rtd", , "DELTA", ".SPY161216C214.5")</f>
        <v>N/A</v>
      </c>
      <c r="H788" t="str">
        <f>RTD("tos.rtd", , "THETA", ".SPY161216C214.5")</f>
        <v>N/A</v>
      </c>
      <c r="I788" t="str">
        <f>RTD("tos.rtd", , "GAMMA", ".SPY161216C214.5")</f>
        <v>N/A</v>
      </c>
      <c r="J788" t="str">
        <f>RTD("tos.rtd", , "VEGA", ".SPY161216C214.5")</f>
        <v>N/A</v>
      </c>
      <c r="K788" t="str">
        <f>RTD("tos.rtd", , "RHO", ".SPY161216C214.5")</f>
        <v>N/A</v>
      </c>
      <c r="L788" t="str">
        <f>RTD("tos.rtd", , "ASK", ".SPY161216P214.5")</f>
        <v>N/A</v>
      </c>
      <c r="M788" t="str">
        <f>RTD("tos.rtd", , "ASK_SIZE", ".SPY161216P214.5")</f>
        <v>N/A</v>
      </c>
      <c r="N788" t="str">
        <f>RTD("tos.rtd", , "BID", ".SPY161216P214.5")</f>
        <v>N/A</v>
      </c>
      <c r="O788" t="str">
        <f>RTD("tos.rtd", , "BID_SIZE", ".SPY161216P214.5")</f>
        <v>N/A</v>
      </c>
      <c r="P788" t="str">
        <f>RTD("tos.rtd", , "VOLUME", ".SPY161216P214.5")</f>
        <v>N/A</v>
      </c>
      <c r="Q788" t="str">
        <f>RTD("tos.rtd", , "OPEN_INT", ".SPY161216P214.5")</f>
        <v>N/A</v>
      </c>
      <c r="R788" t="str">
        <f>RTD("tos.rtd", , "DELTA", ".SPY161216P214.5")</f>
        <v>N/A</v>
      </c>
      <c r="S788" t="str">
        <f>RTD("tos.rtd", , "THETA", ".SPY161216P214.5")</f>
        <v>N/A</v>
      </c>
      <c r="T788" t="str">
        <f>RTD("tos.rtd", , "GAMMA", ".SPY161216P214.5")</f>
        <v>N/A</v>
      </c>
      <c r="U788" t="str">
        <f>RTD("tos.rtd", , "VEGA", ".SPY161216P214.5")</f>
        <v>N/A</v>
      </c>
      <c r="V788" t="str">
        <f>RTD("tos.rtd", , "RHO", ".SPY161216P214.5")</f>
        <v>N/A</v>
      </c>
    </row>
    <row r="789" spans="1:22" x14ac:dyDescent="0.25">
      <c r="A789">
        <f>RTD("tos.rtd", , "ASK", ".SPY161216C215")</f>
        <v>14.85</v>
      </c>
      <c r="B789">
        <f>RTD("tos.rtd", , "ASK_SIZE", ".SPY161216C215")</f>
        <v>53</v>
      </c>
      <c r="C789">
        <f>RTD("tos.rtd", , "BID", ".SPY161216C215")</f>
        <v>14.49</v>
      </c>
      <c r="D789">
        <f>RTD("tos.rtd", , "BID_SIZE", ".SPY161216C215")</f>
        <v>1113</v>
      </c>
      <c r="E789">
        <f>RTD("tos.rtd", , "VOLUME", ".SPY161216C215")</f>
        <v>0</v>
      </c>
      <c r="F789">
        <f>RTD("tos.rtd", , "OPEN_INT", ".SPY161216C215")</f>
        <v>6727</v>
      </c>
      <c r="G789">
        <f>RTD("tos.rtd", , "DELTA", ".SPY161216C215")</f>
        <v>0.47103</v>
      </c>
      <c r="H789">
        <f>RTD("tos.rtd", , "THETA", ".SPY161216C215")</f>
        <v>-1.179E-2</v>
      </c>
      <c r="I789">
        <f>RTD("tos.rtd", , "GAMMA", ".SPY161216C215")</f>
        <v>8.9300000000000004E-3</v>
      </c>
      <c r="J789">
        <f>RTD("tos.rtd", , "VEGA", ".SPY161216C215")</f>
        <v>1.0451900000000001</v>
      </c>
      <c r="K789">
        <f>RTD("tos.rtd", , "RHO", ".SPY161216C215")</f>
        <v>1.1700900000000001</v>
      </c>
      <c r="L789">
        <f>RTD("tos.rtd", , "ASK", ".SPY161216P215")</f>
        <v>22.28</v>
      </c>
      <c r="M789">
        <f>RTD("tos.rtd", , "ASK_SIZE", ".SPY161216P215")</f>
        <v>186</v>
      </c>
      <c r="N789">
        <f>RTD("tos.rtd", , "BID", ".SPY161216P215")</f>
        <v>21.76</v>
      </c>
      <c r="O789">
        <f>RTD("tos.rtd", , "BID_SIZE", ".SPY161216P215")</f>
        <v>294</v>
      </c>
      <c r="P789">
        <f>RTD("tos.rtd", , "VOLUME", ".SPY161216P215")</f>
        <v>0</v>
      </c>
      <c r="Q789">
        <f>RTD("tos.rtd", , "OPEN_INT", ".SPY161216P215")</f>
        <v>2574</v>
      </c>
      <c r="R789">
        <f>RTD("tos.rtd", , "DELTA", ".SPY161216P215")</f>
        <v>-0.52227000000000001</v>
      </c>
      <c r="S789">
        <f>RTD("tos.rtd", , "THETA", ".SPY161216P215")</f>
        <v>-1.8720000000000001E-2</v>
      </c>
      <c r="T789">
        <f>RTD("tos.rtd", , "GAMMA", ".SPY161216P215")</f>
        <v>8.7799999999999996E-3</v>
      </c>
      <c r="U789">
        <f>RTD("tos.rtd", , "VEGA", ".SPY161216P215")</f>
        <v>1.0400799999999999</v>
      </c>
      <c r="V789">
        <f>RTD("tos.rtd", , "RHO", ".SPY161216P215")</f>
        <v>-2.1438199999999998</v>
      </c>
    </row>
    <row r="790" spans="1:22" x14ac:dyDescent="0.25">
      <c r="A790" t="str">
        <f>RTD("tos.rtd", , "ASK", ".SPY161216C215.5")</f>
        <v>N/A</v>
      </c>
      <c r="B790" t="str">
        <f>RTD("tos.rtd", , "ASK_SIZE", ".SPY161216C215.5")</f>
        <v>N/A</v>
      </c>
      <c r="C790" t="str">
        <f>RTD("tos.rtd", , "BID", ".SPY161216C215.5")</f>
        <v>N/A</v>
      </c>
      <c r="D790" t="str">
        <f>RTD("tos.rtd", , "BID_SIZE", ".SPY161216C215.5")</f>
        <v>N/A</v>
      </c>
      <c r="E790" t="str">
        <f>RTD("tos.rtd", , "VOLUME", ".SPY161216C215.5")</f>
        <v>N/A</v>
      </c>
      <c r="F790" t="str">
        <f>RTD("tos.rtd", , "OPEN_INT", ".SPY161216C215.5")</f>
        <v>N/A</v>
      </c>
      <c r="G790" t="str">
        <f>RTD("tos.rtd", , "DELTA", ".SPY161216C215.5")</f>
        <v>N/A</v>
      </c>
      <c r="H790" t="str">
        <f>RTD("tos.rtd", , "THETA", ".SPY161216C215.5")</f>
        <v>N/A</v>
      </c>
      <c r="I790" t="str">
        <f>RTD("tos.rtd", , "GAMMA", ".SPY161216C215.5")</f>
        <v>N/A</v>
      </c>
      <c r="J790" t="str">
        <f>RTD("tos.rtd", , "VEGA", ".SPY161216C215.5")</f>
        <v>N/A</v>
      </c>
      <c r="K790" t="str">
        <f>RTD("tos.rtd", , "RHO", ".SPY161216C215.5")</f>
        <v>N/A</v>
      </c>
      <c r="L790" t="str">
        <f>RTD("tos.rtd", , "ASK", ".SPY161216P215.5")</f>
        <v>N/A</v>
      </c>
      <c r="M790" t="str">
        <f>RTD("tos.rtd", , "ASK_SIZE", ".SPY161216P215.5")</f>
        <v>N/A</v>
      </c>
      <c r="N790" t="str">
        <f>RTD("tos.rtd", , "BID", ".SPY161216P215.5")</f>
        <v>N/A</v>
      </c>
      <c r="O790" t="str">
        <f>RTD("tos.rtd", , "BID_SIZE", ".SPY161216P215.5")</f>
        <v>N/A</v>
      </c>
      <c r="P790" t="str">
        <f>RTD("tos.rtd", , "VOLUME", ".SPY161216P215.5")</f>
        <v>N/A</v>
      </c>
      <c r="Q790" t="str">
        <f>RTD("tos.rtd", , "OPEN_INT", ".SPY161216P215.5")</f>
        <v>N/A</v>
      </c>
      <c r="R790" t="str">
        <f>RTD("tos.rtd", , "DELTA", ".SPY161216P215.5")</f>
        <v>N/A</v>
      </c>
      <c r="S790" t="str">
        <f>RTD("tos.rtd", , "THETA", ".SPY161216P215.5")</f>
        <v>N/A</v>
      </c>
      <c r="T790" t="str">
        <f>RTD("tos.rtd", , "GAMMA", ".SPY161216P215.5")</f>
        <v>N/A</v>
      </c>
      <c r="U790" t="str">
        <f>RTD("tos.rtd", , "VEGA", ".SPY161216P215.5")</f>
        <v>N/A</v>
      </c>
      <c r="V790" t="str">
        <f>RTD("tos.rtd", , "RHO", ".SPY161216P215.5")</f>
        <v>N/A</v>
      </c>
    </row>
    <row r="791" spans="1:22" x14ac:dyDescent="0.25">
      <c r="A791" t="str">
        <f>RTD("tos.rtd", , "ASK", ".SPY161216C216")</f>
        <v>N/A</v>
      </c>
      <c r="B791" t="str">
        <f>RTD("tos.rtd", , "ASK_SIZE", ".SPY161216C216")</f>
        <v>N/A</v>
      </c>
      <c r="C791" t="str">
        <f>RTD("tos.rtd", , "BID", ".SPY161216C216")</f>
        <v>N/A</v>
      </c>
      <c r="D791" t="str">
        <f>RTD("tos.rtd", , "BID_SIZE", ".SPY161216C216")</f>
        <v>N/A</v>
      </c>
      <c r="E791" t="str">
        <f>RTD("tos.rtd", , "VOLUME", ".SPY161216C216")</f>
        <v>N/A</v>
      </c>
      <c r="F791" t="str">
        <f>RTD("tos.rtd", , "OPEN_INT", ".SPY161216C216")</f>
        <v>N/A</v>
      </c>
      <c r="G791" t="str">
        <f>RTD("tos.rtd", , "DELTA", ".SPY161216C216")</f>
        <v>N/A</v>
      </c>
      <c r="H791" t="str">
        <f>RTD("tos.rtd", , "THETA", ".SPY161216C216")</f>
        <v>N/A</v>
      </c>
      <c r="I791" t="str">
        <f>RTD("tos.rtd", , "GAMMA", ".SPY161216C216")</f>
        <v>N/A</v>
      </c>
      <c r="J791" t="str">
        <f>RTD("tos.rtd", , "VEGA", ".SPY161216C216")</f>
        <v>N/A</v>
      </c>
      <c r="K791" t="str">
        <f>RTD("tos.rtd", , "RHO", ".SPY161216C216")</f>
        <v>N/A</v>
      </c>
      <c r="L791" t="str">
        <f>RTD("tos.rtd", , "ASK", ".SPY161216P216")</f>
        <v>N/A</v>
      </c>
      <c r="M791" t="str">
        <f>RTD("tos.rtd", , "ASK_SIZE", ".SPY161216P216")</f>
        <v>N/A</v>
      </c>
      <c r="N791" t="str">
        <f>RTD("tos.rtd", , "BID", ".SPY161216P216")</f>
        <v>N/A</v>
      </c>
      <c r="O791" t="str">
        <f>RTD("tos.rtd", , "BID_SIZE", ".SPY161216P216")</f>
        <v>N/A</v>
      </c>
      <c r="P791" t="str">
        <f>RTD("tos.rtd", , "VOLUME", ".SPY161216P216")</f>
        <v>N/A</v>
      </c>
      <c r="Q791" t="str">
        <f>RTD("tos.rtd", , "OPEN_INT", ".SPY161216P216")</f>
        <v>N/A</v>
      </c>
      <c r="R791" t="str">
        <f>RTD("tos.rtd", , "DELTA", ".SPY161216P216")</f>
        <v>N/A</v>
      </c>
      <c r="S791" t="str">
        <f>RTD("tos.rtd", , "THETA", ".SPY161216P216")</f>
        <v>N/A</v>
      </c>
      <c r="T791" t="str">
        <f>RTD("tos.rtd", , "GAMMA", ".SPY161216P216")</f>
        <v>N/A</v>
      </c>
      <c r="U791" t="str">
        <f>RTD("tos.rtd", , "VEGA", ".SPY161216P216")</f>
        <v>N/A</v>
      </c>
      <c r="V791" t="str">
        <f>RTD("tos.rtd", , "RHO", ".SPY161216P216")</f>
        <v>N/A</v>
      </c>
    </row>
    <row r="792" spans="1:22" x14ac:dyDescent="0.25">
      <c r="A792" t="str">
        <f>RTD("tos.rtd", , "ASK", ".SPY161216C216.5")</f>
        <v>N/A</v>
      </c>
      <c r="B792" t="str">
        <f>RTD("tos.rtd", , "ASK_SIZE", ".SPY161216C216.5")</f>
        <v>N/A</v>
      </c>
      <c r="C792" t="str">
        <f>RTD("tos.rtd", , "BID", ".SPY161216C216.5")</f>
        <v>N/A</v>
      </c>
      <c r="D792" t="str">
        <f>RTD("tos.rtd", , "BID_SIZE", ".SPY161216C216.5")</f>
        <v>N/A</v>
      </c>
      <c r="E792" t="str">
        <f>RTD("tos.rtd", , "VOLUME", ".SPY161216C216.5")</f>
        <v>N/A</v>
      </c>
      <c r="F792" t="str">
        <f>RTD("tos.rtd", , "OPEN_INT", ".SPY161216C216.5")</f>
        <v>N/A</v>
      </c>
      <c r="G792" t="str">
        <f>RTD("tos.rtd", , "DELTA", ".SPY161216C216.5")</f>
        <v>N/A</v>
      </c>
      <c r="H792" t="str">
        <f>RTD("tos.rtd", , "THETA", ".SPY161216C216.5")</f>
        <v>N/A</v>
      </c>
      <c r="I792" t="str">
        <f>RTD("tos.rtd", , "GAMMA", ".SPY161216C216.5")</f>
        <v>N/A</v>
      </c>
      <c r="J792" t="str">
        <f>RTD("tos.rtd", , "VEGA", ".SPY161216C216.5")</f>
        <v>N/A</v>
      </c>
      <c r="K792" t="str">
        <f>RTD("tos.rtd", , "RHO", ".SPY161216C216.5")</f>
        <v>N/A</v>
      </c>
      <c r="L792" t="str">
        <f>RTD("tos.rtd", , "ASK", ".SPY161216P216.5")</f>
        <v>N/A</v>
      </c>
      <c r="M792" t="str">
        <f>RTD("tos.rtd", , "ASK_SIZE", ".SPY161216P216.5")</f>
        <v>N/A</v>
      </c>
      <c r="N792" t="str">
        <f>RTD("tos.rtd", , "BID", ".SPY161216P216.5")</f>
        <v>N/A</v>
      </c>
      <c r="O792" t="str">
        <f>RTD("tos.rtd", , "BID_SIZE", ".SPY161216P216.5")</f>
        <v>N/A</v>
      </c>
      <c r="P792" t="str">
        <f>RTD("tos.rtd", , "VOLUME", ".SPY161216P216.5")</f>
        <v>N/A</v>
      </c>
      <c r="Q792" t="str">
        <f>RTD("tos.rtd", , "OPEN_INT", ".SPY161216P216.5")</f>
        <v>N/A</v>
      </c>
      <c r="R792" t="str">
        <f>RTD("tos.rtd", , "DELTA", ".SPY161216P216.5")</f>
        <v>N/A</v>
      </c>
      <c r="S792" t="str">
        <f>RTD("tos.rtd", , "THETA", ".SPY161216P216.5")</f>
        <v>N/A</v>
      </c>
      <c r="T792" t="str">
        <f>RTD("tos.rtd", , "GAMMA", ".SPY161216P216.5")</f>
        <v>N/A</v>
      </c>
      <c r="U792" t="str">
        <f>RTD("tos.rtd", , "VEGA", ".SPY161216P216.5")</f>
        <v>N/A</v>
      </c>
      <c r="V792" t="str">
        <f>RTD("tos.rtd", , "RHO", ".SPY161216P216.5")</f>
        <v>N/A</v>
      </c>
    </row>
    <row r="793" spans="1:22" x14ac:dyDescent="0.25">
      <c r="A793" t="str">
        <f>RTD("tos.rtd", , "ASK", ".SPY161216C217")</f>
        <v>N/A</v>
      </c>
      <c r="B793" t="str">
        <f>RTD("tos.rtd", , "ASK_SIZE", ".SPY161216C217")</f>
        <v>N/A</v>
      </c>
      <c r="C793" t="str">
        <f>RTD("tos.rtd", , "BID", ".SPY161216C217")</f>
        <v>N/A</v>
      </c>
      <c r="D793" t="str">
        <f>RTD("tos.rtd", , "BID_SIZE", ".SPY161216C217")</f>
        <v>N/A</v>
      </c>
      <c r="E793" t="str">
        <f>RTD("tos.rtd", , "VOLUME", ".SPY161216C217")</f>
        <v>N/A</v>
      </c>
      <c r="F793" t="str">
        <f>RTD("tos.rtd", , "OPEN_INT", ".SPY161216C217")</f>
        <v>N/A</v>
      </c>
      <c r="G793" t="str">
        <f>RTD("tos.rtd", , "DELTA", ".SPY161216C217")</f>
        <v>N/A</v>
      </c>
      <c r="H793" t="str">
        <f>RTD("tos.rtd", , "THETA", ".SPY161216C217")</f>
        <v>N/A</v>
      </c>
      <c r="I793" t="str">
        <f>RTD("tos.rtd", , "GAMMA", ".SPY161216C217")</f>
        <v>N/A</v>
      </c>
      <c r="J793" t="str">
        <f>RTD("tos.rtd", , "VEGA", ".SPY161216C217")</f>
        <v>N/A</v>
      </c>
      <c r="K793" t="str">
        <f>RTD("tos.rtd", , "RHO", ".SPY161216C217")</f>
        <v>N/A</v>
      </c>
      <c r="L793" t="str">
        <f>RTD("tos.rtd", , "ASK", ".SPY161216P217")</f>
        <v>N/A</v>
      </c>
      <c r="M793" t="str">
        <f>RTD("tos.rtd", , "ASK_SIZE", ".SPY161216P217")</f>
        <v>N/A</v>
      </c>
      <c r="N793" t="str">
        <f>RTD("tos.rtd", , "BID", ".SPY161216P217")</f>
        <v>N/A</v>
      </c>
      <c r="O793" t="str">
        <f>RTD("tos.rtd", , "BID_SIZE", ".SPY161216P217")</f>
        <v>N/A</v>
      </c>
      <c r="P793" t="str">
        <f>RTD("tos.rtd", , "VOLUME", ".SPY161216P217")</f>
        <v>N/A</v>
      </c>
      <c r="Q793" t="str">
        <f>RTD("tos.rtd", , "OPEN_INT", ".SPY161216P217")</f>
        <v>N/A</v>
      </c>
      <c r="R793" t="str">
        <f>RTD("tos.rtd", , "DELTA", ".SPY161216P217")</f>
        <v>N/A</v>
      </c>
      <c r="S793" t="str">
        <f>RTD("tos.rtd", , "THETA", ".SPY161216P217")</f>
        <v>N/A</v>
      </c>
      <c r="T793" t="str">
        <f>RTD("tos.rtd", , "GAMMA", ".SPY161216P217")</f>
        <v>N/A</v>
      </c>
      <c r="U793" t="str">
        <f>RTD("tos.rtd", , "VEGA", ".SPY161216P217")</f>
        <v>N/A</v>
      </c>
      <c r="V793" t="str">
        <f>RTD("tos.rtd", , "RHO", ".SPY161216P217")</f>
        <v>N/A</v>
      </c>
    </row>
    <row r="794" spans="1:22" x14ac:dyDescent="0.25">
      <c r="A794" t="str">
        <f>RTD("tos.rtd", , "ASK", ".SPY161216C217.5")</f>
        <v>N/A</v>
      </c>
      <c r="B794" t="str">
        <f>RTD("tos.rtd", , "ASK_SIZE", ".SPY161216C217.5")</f>
        <v>N/A</v>
      </c>
      <c r="C794" t="str">
        <f>RTD("tos.rtd", , "BID", ".SPY161216C217.5")</f>
        <v>N/A</v>
      </c>
      <c r="D794" t="str">
        <f>RTD("tos.rtd", , "BID_SIZE", ".SPY161216C217.5")</f>
        <v>N/A</v>
      </c>
      <c r="E794" t="str">
        <f>RTD("tos.rtd", , "VOLUME", ".SPY161216C217.5")</f>
        <v>N/A</v>
      </c>
      <c r="F794" t="str">
        <f>RTD("tos.rtd", , "OPEN_INT", ".SPY161216C217.5")</f>
        <v>N/A</v>
      </c>
      <c r="G794" t="str">
        <f>RTD("tos.rtd", , "DELTA", ".SPY161216C217.5")</f>
        <v>N/A</v>
      </c>
      <c r="H794" t="str">
        <f>RTD("tos.rtd", , "THETA", ".SPY161216C217.5")</f>
        <v>N/A</v>
      </c>
      <c r="I794" t="str">
        <f>RTD("tos.rtd", , "GAMMA", ".SPY161216C217.5")</f>
        <v>N/A</v>
      </c>
      <c r="J794" t="str">
        <f>RTD("tos.rtd", , "VEGA", ".SPY161216C217.5")</f>
        <v>N/A</v>
      </c>
      <c r="K794" t="str">
        <f>RTD("tos.rtd", , "RHO", ".SPY161216C217.5")</f>
        <v>N/A</v>
      </c>
      <c r="L794" t="str">
        <f>RTD("tos.rtd", , "ASK", ".SPY161216P217.5")</f>
        <v>N/A</v>
      </c>
      <c r="M794" t="str">
        <f>RTD("tos.rtd", , "ASK_SIZE", ".SPY161216P217.5")</f>
        <v>N/A</v>
      </c>
      <c r="N794" t="str">
        <f>RTD("tos.rtd", , "BID", ".SPY161216P217.5")</f>
        <v>N/A</v>
      </c>
      <c r="O794" t="str">
        <f>RTD("tos.rtd", , "BID_SIZE", ".SPY161216P217.5")</f>
        <v>N/A</v>
      </c>
      <c r="P794" t="str">
        <f>RTD("tos.rtd", , "VOLUME", ".SPY161216P217.5")</f>
        <v>N/A</v>
      </c>
      <c r="Q794" t="str">
        <f>RTD("tos.rtd", , "OPEN_INT", ".SPY161216P217.5")</f>
        <v>N/A</v>
      </c>
      <c r="R794" t="str">
        <f>RTD("tos.rtd", , "DELTA", ".SPY161216P217.5")</f>
        <v>N/A</v>
      </c>
      <c r="S794" t="str">
        <f>RTD("tos.rtd", , "THETA", ".SPY161216P217.5")</f>
        <v>N/A</v>
      </c>
      <c r="T794" t="str">
        <f>RTD("tos.rtd", , "GAMMA", ".SPY161216P217.5")</f>
        <v>N/A</v>
      </c>
      <c r="U794" t="str">
        <f>RTD("tos.rtd", , "VEGA", ".SPY161216P217.5")</f>
        <v>N/A</v>
      </c>
      <c r="V794" t="str">
        <f>RTD("tos.rtd", , "RHO", ".SPY161216P217.5")</f>
        <v>N/A</v>
      </c>
    </row>
    <row r="795" spans="1:22" x14ac:dyDescent="0.25">
      <c r="A795" t="str">
        <f>RTD("tos.rtd", , "ASK", ".SPY161216C218")</f>
        <v>N/A</v>
      </c>
      <c r="B795" t="str">
        <f>RTD("tos.rtd", , "ASK_SIZE", ".SPY161216C218")</f>
        <v>N/A</v>
      </c>
      <c r="C795" t="str">
        <f>RTD("tos.rtd", , "BID", ".SPY161216C218")</f>
        <v>N/A</v>
      </c>
      <c r="D795" t="str">
        <f>RTD("tos.rtd", , "BID_SIZE", ".SPY161216C218")</f>
        <v>N/A</v>
      </c>
      <c r="E795" t="str">
        <f>RTD("tos.rtd", , "VOLUME", ".SPY161216C218")</f>
        <v>N/A</v>
      </c>
      <c r="F795" t="str">
        <f>RTD("tos.rtd", , "OPEN_INT", ".SPY161216C218")</f>
        <v>N/A</v>
      </c>
      <c r="G795" t="str">
        <f>RTD("tos.rtd", , "DELTA", ".SPY161216C218")</f>
        <v>N/A</v>
      </c>
      <c r="H795" t="str">
        <f>RTD("tos.rtd", , "THETA", ".SPY161216C218")</f>
        <v>N/A</v>
      </c>
      <c r="I795" t="str">
        <f>RTD("tos.rtd", , "GAMMA", ".SPY161216C218")</f>
        <v>N/A</v>
      </c>
      <c r="J795" t="str">
        <f>RTD("tos.rtd", , "VEGA", ".SPY161216C218")</f>
        <v>N/A</v>
      </c>
      <c r="K795" t="str">
        <f>RTD("tos.rtd", , "RHO", ".SPY161216C218")</f>
        <v>N/A</v>
      </c>
      <c r="L795" t="str">
        <f>RTD("tos.rtd", , "ASK", ".SPY161216P218")</f>
        <v>N/A</v>
      </c>
      <c r="M795" t="str">
        <f>RTD("tos.rtd", , "ASK_SIZE", ".SPY161216P218")</f>
        <v>N/A</v>
      </c>
      <c r="N795" t="str">
        <f>RTD("tos.rtd", , "BID", ".SPY161216P218")</f>
        <v>N/A</v>
      </c>
      <c r="O795" t="str">
        <f>RTD("tos.rtd", , "BID_SIZE", ".SPY161216P218")</f>
        <v>N/A</v>
      </c>
      <c r="P795" t="str">
        <f>RTD("tos.rtd", , "VOLUME", ".SPY161216P218")</f>
        <v>N/A</v>
      </c>
      <c r="Q795" t="str">
        <f>RTD("tos.rtd", , "OPEN_INT", ".SPY161216P218")</f>
        <v>N/A</v>
      </c>
      <c r="R795" t="str">
        <f>RTD("tos.rtd", , "DELTA", ".SPY161216P218")</f>
        <v>N/A</v>
      </c>
      <c r="S795" t="str">
        <f>RTD("tos.rtd", , "THETA", ".SPY161216P218")</f>
        <v>N/A</v>
      </c>
      <c r="T795" t="str">
        <f>RTD("tos.rtd", , "GAMMA", ".SPY161216P218")</f>
        <v>N/A</v>
      </c>
      <c r="U795" t="str">
        <f>RTD("tos.rtd", , "VEGA", ".SPY161216P218")</f>
        <v>N/A</v>
      </c>
      <c r="V795" t="str">
        <f>RTD("tos.rtd", , "RHO", ".SPY161216P218")</f>
        <v>N/A</v>
      </c>
    </row>
    <row r="796" spans="1:22" x14ac:dyDescent="0.25">
      <c r="A796" t="str">
        <f>RTD("tos.rtd", , "ASK", ".SPY161216C218.5")</f>
        <v>N/A</v>
      </c>
      <c r="B796" t="str">
        <f>RTD("tos.rtd", , "ASK_SIZE", ".SPY161216C218.5")</f>
        <v>N/A</v>
      </c>
      <c r="C796" t="str">
        <f>RTD("tos.rtd", , "BID", ".SPY161216C218.5")</f>
        <v>N/A</v>
      </c>
      <c r="D796" t="str">
        <f>RTD("tos.rtd", , "BID_SIZE", ".SPY161216C218.5")</f>
        <v>N/A</v>
      </c>
      <c r="E796" t="str">
        <f>RTD("tos.rtd", , "VOLUME", ".SPY161216C218.5")</f>
        <v>N/A</v>
      </c>
      <c r="F796" t="str">
        <f>RTD("tos.rtd", , "OPEN_INT", ".SPY161216C218.5")</f>
        <v>N/A</v>
      </c>
      <c r="G796" t="str">
        <f>RTD("tos.rtd", , "DELTA", ".SPY161216C218.5")</f>
        <v>N/A</v>
      </c>
      <c r="H796" t="str">
        <f>RTD("tos.rtd", , "THETA", ".SPY161216C218.5")</f>
        <v>N/A</v>
      </c>
      <c r="I796" t="str">
        <f>RTD("tos.rtd", , "GAMMA", ".SPY161216C218.5")</f>
        <v>N/A</v>
      </c>
      <c r="J796" t="str">
        <f>RTD("tos.rtd", , "VEGA", ".SPY161216C218.5")</f>
        <v>N/A</v>
      </c>
      <c r="K796" t="str">
        <f>RTD("tos.rtd", , "RHO", ".SPY161216C218.5")</f>
        <v>N/A</v>
      </c>
      <c r="L796" t="str">
        <f>RTD("tos.rtd", , "ASK", ".SPY161216P218.5")</f>
        <v>N/A</v>
      </c>
      <c r="M796" t="str">
        <f>RTD("tos.rtd", , "ASK_SIZE", ".SPY161216P218.5")</f>
        <v>N/A</v>
      </c>
      <c r="N796" t="str">
        <f>RTD("tos.rtd", , "BID", ".SPY161216P218.5")</f>
        <v>N/A</v>
      </c>
      <c r="O796" t="str">
        <f>RTD("tos.rtd", , "BID_SIZE", ".SPY161216P218.5")</f>
        <v>N/A</v>
      </c>
      <c r="P796" t="str">
        <f>RTD("tos.rtd", , "VOLUME", ".SPY161216P218.5")</f>
        <v>N/A</v>
      </c>
      <c r="Q796" t="str">
        <f>RTD("tos.rtd", , "OPEN_INT", ".SPY161216P218.5")</f>
        <v>N/A</v>
      </c>
      <c r="R796" t="str">
        <f>RTD("tos.rtd", , "DELTA", ".SPY161216P218.5")</f>
        <v>N/A</v>
      </c>
      <c r="S796" t="str">
        <f>RTD("tos.rtd", , "THETA", ".SPY161216P218.5")</f>
        <v>N/A</v>
      </c>
      <c r="T796" t="str">
        <f>RTD("tos.rtd", , "GAMMA", ".SPY161216P218.5")</f>
        <v>N/A</v>
      </c>
      <c r="U796" t="str">
        <f>RTD("tos.rtd", , "VEGA", ".SPY161216P218.5")</f>
        <v>N/A</v>
      </c>
      <c r="V796" t="str">
        <f>RTD("tos.rtd", , "RHO", ".SPY161216P218.5")</f>
        <v>N/A</v>
      </c>
    </row>
    <row r="797" spans="1:22" x14ac:dyDescent="0.25">
      <c r="A797" t="str">
        <f>RTD("tos.rtd", , "ASK", ".SPY161216C219")</f>
        <v>N/A</v>
      </c>
      <c r="B797" t="str">
        <f>RTD("tos.rtd", , "ASK_SIZE", ".SPY161216C219")</f>
        <v>N/A</v>
      </c>
      <c r="C797" t="str">
        <f>RTD("tos.rtd", , "BID", ".SPY161216C219")</f>
        <v>N/A</v>
      </c>
      <c r="D797" t="str">
        <f>RTD("tos.rtd", , "BID_SIZE", ".SPY161216C219")</f>
        <v>N/A</v>
      </c>
      <c r="E797" t="str">
        <f>RTD("tos.rtd", , "VOLUME", ".SPY161216C219")</f>
        <v>N/A</v>
      </c>
      <c r="F797" t="str">
        <f>RTD("tos.rtd", , "OPEN_INT", ".SPY161216C219")</f>
        <v>N/A</v>
      </c>
      <c r="G797" t="str">
        <f>RTD("tos.rtd", , "DELTA", ".SPY161216C219")</f>
        <v>N/A</v>
      </c>
      <c r="H797" t="str">
        <f>RTD("tos.rtd", , "THETA", ".SPY161216C219")</f>
        <v>N/A</v>
      </c>
      <c r="I797" t="str">
        <f>RTD("tos.rtd", , "GAMMA", ".SPY161216C219")</f>
        <v>N/A</v>
      </c>
      <c r="J797" t="str">
        <f>RTD("tos.rtd", , "VEGA", ".SPY161216C219")</f>
        <v>N/A</v>
      </c>
      <c r="K797" t="str">
        <f>RTD("tos.rtd", , "RHO", ".SPY161216C219")</f>
        <v>N/A</v>
      </c>
      <c r="L797" t="str">
        <f>RTD("tos.rtd", , "ASK", ".SPY161216P219")</f>
        <v>N/A</v>
      </c>
      <c r="M797" t="str">
        <f>RTD("tos.rtd", , "ASK_SIZE", ".SPY161216P219")</f>
        <v>N/A</v>
      </c>
      <c r="N797" t="str">
        <f>RTD("tos.rtd", , "BID", ".SPY161216P219")</f>
        <v>N/A</v>
      </c>
      <c r="O797" t="str">
        <f>RTD("tos.rtd", , "BID_SIZE", ".SPY161216P219")</f>
        <v>N/A</v>
      </c>
      <c r="P797" t="str">
        <f>RTD("tos.rtd", , "VOLUME", ".SPY161216P219")</f>
        <v>N/A</v>
      </c>
      <c r="Q797" t="str">
        <f>RTD("tos.rtd", , "OPEN_INT", ".SPY161216P219")</f>
        <v>N/A</v>
      </c>
      <c r="R797" t="str">
        <f>RTD("tos.rtd", , "DELTA", ".SPY161216P219")</f>
        <v>N/A</v>
      </c>
      <c r="S797" t="str">
        <f>RTD("tos.rtd", , "THETA", ".SPY161216P219")</f>
        <v>N/A</v>
      </c>
      <c r="T797" t="str">
        <f>RTD("tos.rtd", , "GAMMA", ".SPY161216P219")</f>
        <v>N/A</v>
      </c>
      <c r="U797" t="str">
        <f>RTD("tos.rtd", , "VEGA", ".SPY161216P219")</f>
        <v>N/A</v>
      </c>
      <c r="V797" t="str">
        <f>RTD("tos.rtd", , "RHO", ".SPY161216P219")</f>
        <v>N/A</v>
      </c>
    </row>
    <row r="798" spans="1:22" x14ac:dyDescent="0.25">
      <c r="A798" t="str">
        <f>RTD("tos.rtd", , "ASK", ".SPY161216C219.5")</f>
        <v>N/A</v>
      </c>
      <c r="B798" t="str">
        <f>RTD("tos.rtd", , "ASK_SIZE", ".SPY161216C219.5")</f>
        <v>N/A</v>
      </c>
      <c r="C798" t="str">
        <f>RTD("tos.rtd", , "BID", ".SPY161216C219.5")</f>
        <v>N/A</v>
      </c>
      <c r="D798" t="str">
        <f>RTD("tos.rtd", , "BID_SIZE", ".SPY161216C219.5")</f>
        <v>N/A</v>
      </c>
      <c r="E798" t="str">
        <f>RTD("tos.rtd", , "VOLUME", ".SPY161216C219.5")</f>
        <v>N/A</v>
      </c>
      <c r="F798" t="str">
        <f>RTD("tos.rtd", , "OPEN_INT", ".SPY161216C219.5")</f>
        <v>N/A</v>
      </c>
      <c r="G798" t="str">
        <f>RTD("tos.rtd", , "DELTA", ".SPY161216C219.5")</f>
        <v>N/A</v>
      </c>
      <c r="H798" t="str">
        <f>RTD("tos.rtd", , "THETA", ".SPY161216C219.5")</f>
        <v>N/A</v>
      </c>
      <c r="I798" t="str">
        <f>RTD("tos.rtd", , "GAMMA", ".SPY161216C219.5")</f>
        <v>N/A</v>
      </c>
      <c r="J798" t="str">
        <f>RTD("tos.rtd", , "VEGA", ".SPY161216C219.5")</f>
        <v>N/A</v>
      </c>
      <c r="K798" t="str">
        <f>RTD("tos.rtd", , "RHO", ".SPY161216C219.5")</f>
        <v>N/A</v>
      </c>
      <c r="L798" t="str">
        <f>RTD("tos.rtd", , "ASK", ".SPY161216P219.5")</f>
        <v>N/A</v>
      </c>
      <c r="M798" t="str">
        <f>RTD("tos.rtd", , "ASK_SIZE", ".SPY161216P219.5")</f>
        <v>N/A</v>
      </c>
      <c r="N798" t="str">
        <f>RTD("tos.rtd", , "BID", ".SPY161216P219.5")</f>
        <v>N/A</v>
      </c>
      <c r="O798" t="str">
        <f>RTD("tos.rtd", , "BID_SIZE", ".SPY161216P219.5")</f>
        <v>N/A</v>
      </c>
      <c r="P798" t="str">
        <f>RTD("tos.rtd", , "VOLUME", ".SPY161216P219.5")</f>
        <v>N/A</v>
      </c>
      <c r="Q798" t="str">
        <f>RTD("tos.rtd", , "OPEN_INT", ".SPY161216P219.5")</f>
        <v>N/A</v>
      </c>
      <c r="R798" t="str">
        <f>RTD("tos.rtd", , "DELTA", ".SPY161216P219.5")</f>
        <v>N/A</v>
      </c>
      <c r="S798" t="str">
        <f>RTD("tos.rtd", , "THETA", ".SPY161216P219.5")</f>
        <v>N/A</v>
      </c>
      <c r="T798" t="str">
        <f>RTD("tos.rtd", , "GAMMA", ".SPY161216P219.5")</f>
        <v>N/A</v>
      </c>
      <c r="U798" t="str">
        <f>RTD("tos.rtd", , "VEGA", ".SPY161216P219.5")</f>
        <v>N/A</v>
      </c>
      <c r="V798" t="str">
        <f>RTD("tos.rtd", , "RHO", ".SPY161216P219.5")</f>
        <v>N/A</v>
      </c>
    </row>
    <row r="799" spans="1:22" x14ac:dyDescent="0.25">
      <c r="A799" t="s">
        <v>19</v>
      </c>
      <c r="B799">
        <v>40</v>
      </c>
    </row>
    <row r="800" spans="1:22" x14ac:dyDescent="0.25">
      <c r="A800">
        <f>RTD("tos.rtd", ,"LAST", "SPY")</f>
        <v>211.32</v>
      </c>
    </row>
    <row r="801" spans="1:22" x14ac:dyDescent="0.25">
      <c r="A801">
        <f>RTD("tos.rtd", , "ASK", ".SPY170120C200")</f>
        <v>24.59</v>
      </c>
      <c r="B801">
        <f>RTD("tos.rtd", , "ASK_SIZE", ".SPY170120C200")</f>
        <v>234</v>
      </c>
      <c r="C801">
        <f>RTD("tos.rtd", , "BID", ".SPY170120C200")</f>
        <v>23.84</v>
      </c>
      <c r="D801">
        <f>RTD("tos.rtd", , "BID_SIZE", ".SPY170120C200")</f>
        <v>171</v>
      </c>
      <c r="E801">
        <f>RTD("tos.rtd", , "VOLUME", ".SPY170120C200")</f>
        <v>0</v>
      </c>
      <c r="F801">
        <f>RTD("tos.rtd", , "OPEN_INT", ".SPY170120C200")</f>
        <v>672</v>
      </c>
      <c r="G801">
        <f>RTD("tos.rtd", , "DELTA", ".SPY170120C200")</f>
        <v>0.60265999999999997</v>
      </c>
      <c r="H801">
        <f>RTD("tos.rtd", , "THETA", ".SPY170120C200")</f>
        <v>-1.197E-2</v>
      </c>
      <c r="I801">
        <f>RTD("tos.rtd", , "GAMMA", ".SPY170120C200")</f>
        <v>7.7200000000000003E-3</v>
      </c>
      <c r="J801">
        <f>RTD("tos.rtd", , "VEGA", ".SPY170120C200")</f>
        <v>1.03051</v>
      </c>
      <c r="K801">
        <f>RTD("tos.rtd", , "RHO", ".SPY170120C200")</f>
        <v>1.37799</v>
      </c>
      <c r="L801">
        <f>RTD("tos.rtd", , "ASK", ".SPY170120P200")</f>
        <v>16.72</v>
      </c>
      <c r="M801">
        <f>RTD("tos.rtd", , "ASK_SIZE", ".SPY170120P200")</f>
        <v>275</v>
      </c>
      <c r="N801">
        <f>RTD("tos.rtd", , "BID", ".SPY170120P200")</f>
        <v>16.600000000000001</v>
      </c>
      <c r="O801">
        <f>RTD("tos.rtd", , "BID_SIZE", ".SPY170120P200")</f>
        <v>1</v>
      </c>
      <c r="P801">
        <f>RTD("tos.rtd", , "VOLUME", ".SPY170120P200")</f>
        <v>0</v>
      </c>
      <c r="Q801">
        <f>RTD("tos.rtd", , "OPEN_INT", ".SPY170120P200")</f>
        <v>4927</v>
      </c>
      <c r="R801">
        <f>RTD("tos.rtd", , "DELTA", ".SPY170120P200")</f>
        <v>-0.39158999999999999</v>
      </c>
      <c r="S801">
        <f>RTD("tos.rtd", , "THETA", ".SPY170120P200")</f>
        <v>-1.865E-2</v>
      </c>
      <c r="T801">
        <f>RTD("tos.rtd", , "GAMMA", ".SPY170120P200")</f>
        <v>7.3200000000000001E-3</v>
      </c>
      <c r="U801">
        <f>RTD("tos.rtd", , "VEGA", ".SPY170120P200")</f>
        <v>1.0417400000000001</v>
      </c>
      <c r="V801">
        <f>RTD("tos.rtd", , "RHO", ".SPY170120P200")</f>
        <v>-1.7040299999999999</v>
      </c>
    </row>
    <row r="802" spans="1:22" x14ac:dyDescent="0.25">
      <c r="A802" t="str">
        <f>RTD("tos.rtd", , "ASK", ".SPY170120C200.5")</f>
        <v>N/A</v>
      </c>
      <c r="B802" t="str">
        <f>RTD("tos.rtd", , "ASK_SIZE", ".SPY170120C200.5")</f>
        <v>N/A</v>
      </c>
      <c r="C802" t="str">
        <f>RTD("tos.rtd", , "BID", ".SPY170120C200.5")</f>
        <v>N/A</v>
      </c>
      <c r="D802" t="str">
        <f>RTD("tos.rtd", , "BID_SIZE", ".SPY170120C200.5")</f>
        <v>N/A</v>
      </c>
      <c r="E802" t="str">
        <f>RTD("tos.rtd", , "VOLUME", ".SPY170120C200.5")</f>
        <v>N/A</v>
      </c>
      <c r="F802" t="str">
        <f>RTD("tos.rtd", , "OPEN_INT", ".SPY170120C200.5")</f>
        <v>N/A</v>
      </c>
      <c r="G802" t="str">
        <f>RTD("tos.rtd", , "DELTA", ".SPY170120C200.5")</f>
        <v>N/A</v>
      </c>
      <c r="H802" t="str">
        <f>RTD("tos.rtd", , "THETA", ".SPY170120C200.5")</f>
        <v>N/A</v>
      </c>
      <c r="I802" t="str">
        <f>RTD("tos.rtd", , "GAMMA", ".SPY170120C200.5")</f>
        <v>N/A</v>
      </c>
      <c r="J802" t="str">
        <f>RTD("tos.rtd", , "VEGA", ".SPY170120C200.5")</f>
        <v>N/A</v>
      </c>
      <c r="K802" t="str">
        <f>RTD("tos.rtd", , "RHO", ".SPY170120C200.5")</f>
        <v>N/A</v>
      </c>
      <c r="L802" t="str">
        <f>RTD("tos.rtd", , "ASK", ".SPY170120P200.5")</f>
        <v>N/A</v>
      </c>
      <c r="M802" t="str">
        <f>RTD("tos.rtd", , "ASK_SIZE", ".SPY170120P200.5")</f>
        <v>N/A</v>
      </c>
      <c r="N802" t="str">
        <f>RTD("tos.rtd", , "BID", ".SPY170120P200.5")</f>
        <v>N/A</v>
      </c>
      <c r="O802" t="str">
        <f>RTD("tos.rtd", , "BID_SIZE", ".SPY170120P200.5")</f>
        <v>N/A</v>
      </c>
      <c r="P802" t="str">
        <f>RTD("tos.rtd", , "VOLUME", ".SPY170120P200.5")</f>
        <v>N/A</v>
      </c>
      <c r="Q802" t="str">
        <f>RTD("tos.rtd", , "OPEN_INT", ".SPY170120P200.5")</f>
        <v>N/A</v>
      </c>
      <c r="R802" t="str">
        <f>RTD("tos.rtd", , "DELTA", ".SPY170120P200.5")</f>
        <v>N/A</v>
      </c>
      <c r="S802" t="str">
        <f>RTD("tos.rtd", , "THETA", ".SPY170120P200.5")</f>
        <v>N/A</v>
      </c>
      <c r="T802" t="str">
        <f>RTD("tos.rtd", , "GAMMA", ".SPY170120P200.5")</f>
        <v>N/A</v>
      </c>
      <c r="U802" t="str">
        <f>RTD("tos.rtd", , "VEGA", ".SPY170120P200.5")</f>
        <v>N/A</v>
      </c>
      <c r="V802" t="str">
        <f>RTD("tos.rtd", , "RHO", ".SPY170120P200.5")</f>
        <v>N/A</v>
      </c>
    </row>
    <row r="803" spans="1:22" x14ac:dyDescent="0.25">
      <c r="A803" t="str">
        <f>RTD("tos.rtd", , "ASK", ".SPY170120C201")</f>
        <v>N/A</v>
      </c>
      <c r="B803" t="str">
        <f>RTD("tos.rtd", , "ASK_SIZE", ".SPY170120C201")</f>
        <v>N/A</v>
      </c>
      <c r="C803" t="str">
        <f>RTD("tos.rtd", , "BID", ".SPY170120C201")</f>
        <v>N/A</v>
      </c>
      <c r="D803" t="str">
        <f>RTD("tos.rtd", , "BID_SIZE", ".SPY170120C201")</f>
        <v>N/A</v>
      </c>
      <c r="E803" t="str">
        <f>RTD("tos.rtd", , "VOLUME", ".SPY170120C201")</f>
        <v>N/A</v>
      </c>
      <c r="F803" t="str">
        <f>RTD("tos.rtd", , "OPEN_INT", ".SPY170120C201")</f>
        <v>N/A</v>
      </c>
      <c r="G803" t="str">
        <f>RTD("tos.rtd", , "DELTA", ".SPY170120C201")</f>
        <v>N/A</v>
      </c>
      <c r="H803" t="str">
        <f>RTD("tos.rtd", , "THETA", ".SPY170120C201")</f>
        <v>N/A</v>
      </c>
      <c r="I803" t="str">
        <f>RTD("tos.rtd", , "GAMMA", ".SPY170120C201")</f>
        <v>N/A</v>
      </c>
      <c r="J803" t="str">
        <f>RTD("tos.rtd", , "VEGA", ".SPY170120C201")</f>
        <v>N/A</v>
      </c>
      <c r="K803" t="str">
        <f>RTD("tos.rtd", , "RHO", ".SPY170120C201")</f>
        <v>N/A</v>
      </c>
      <c r="L803" t="str">
        <f>RTD("tos.rtd", , "ASK", ".SPY170120P201")</f>
        <v>N/A</v>
      </c>
      <c r="M803" t="str">
        <f>RTD("tos.rtd", , "ASK_SIZE", ".SPY170120P201")</f>
        <v>N/A</v>
      </c>
      <c r="N803" t="str">
        <f>RTD("tos.rtd", , "BID", ".SPY170120P201")</f>
        <v>N/A</v>
      </c>
      <c r="O803" t="str">
        <f>RTD("tos.rtd", , "BID_SIZE", ".SPY170120P201")</f>
        <v>N/A</v>
      </c>
      <c r="P803" t="str">
        <f>RTD("tos.rtd", , "VOLUME", ".SPY170120P201")</f>
        <v>N/A</v>
      </c>
      <c r="Q803" t="str">
        <f>RTD("tos.rtd", , "OPEN_INT", ".SPY170120P201")</f>
        <v>N/A</v>
      </c>
      <c r="R803" t="str">
        <f>RTD("tos.rtd", , "DELTA", ".SPY170120P201")</f>
        <v>N/A</v>
      </c>
      <c r="S803" t="str">
        <f>RTD("tos.rtd", , "THETA", ".SPY170120P201")</f>
        <v>N/A</v>
      </c>
      <c r="T803" t="str">
        <f>RTD("tos.rtd", , "GAMMA", ".SPY170120P201")</f>
        <v>N/A</v>
      </c>
      <c r="U803" t="str">
        <f>RTD("tos.rtd", , "VEGA", ".SPY170120P201")</f>
        <v>N/A</v>
      </c>
      <c r="V803" t="str">
        <f>RTD("tos.rtd", , "RHO", ".SPY170120P201")</f>
        <v>N/A</v>
      </c>
    </row>
    <row r="804" spans="1:22" x14ac:dyDescent="0.25">
      <c r="A804" t="str">
        <f>RTD("tos.rtd", , "ASK", ".SPY170120C201.5")</f>
        <v>N/A</v>
      </c>
      <c r="B804" t="str">
        <f>RTD("tos.rtd", , "ASK_SIZE", ".SPY170120C201.5")</f>
        <v>N/A</v>
      </c>
      <c r="C804" t="str">
        <f>RTD("tos.rtd", , "BID", ".SPY170120C201.5")</f>
        <v>N/A</v>
      </c>
      <c r="D804" t="str">
        <f>RTD("tos.rtd", , "BID_SIZE", ".SPY170120C201.5")</f>
        <v>N/A</v>
      </c>
      <c r="E804" t="str">
        <f>RTD("tos.rtd", , "VOLUME", ".SPY170120C201.5")</f>
        <v>N/A</v>
      </c>
      <c r="F804" t="str">
        <f>RTD("tos.rtd", , "OPEN_INT", ".SPY170120C201.5")</f>
        <v>N/A</v>
      </c>
      <c r="G804" t="str">
        <f>RTD("tos.rtd", , "DELTA", ".SPY170120C201.5")</f>
        <v>N/A</v>
      </c>
      <c r="H804" t="str">
        <f>RTD("tos.rtd", , "THETA", ".SPY170120C201.5")</f>
        <v>N/A</v>
      </c>
      <c r="I804" t="str">
        <f>RTD("tos.rtd", , "GAMMA", ".SPY170120C201.5")</f>
        <v>N/A</v>
      </c>
      <c r="J804" t="str">
        <f>RTD("tos.rtd", , "VEGA", ".SPY170120C201.5")</f>
        <v>N/A</v>
      </c>
      <c r="K804" t="str">
        <f>RTD("tos.rtd", , "RHO", ".SPY170120C201.5")</f>
        <v>N/A</v>
      </c>
      <c r="L804" t="str">
        <f>RTD("tos.rtd", , "ASK", ".SPY170120P201.5")</f>
        <v>N/A</v>
      </c>
      <c r="M804" t="str">
        <f>RTD("tos.rtd", , "ASK_SIZE", ".SPY170120P201.5")</f>
        <v>N/A</v>
      </c>
      <c r="N804" t="str">
        <f>RTD("tos.rtd", , "BID", ".SPY170120P201.5")</f>
        <v>N/A</v>
      </c>
      <c r="O804" t="str">
        <f>RTD("tos.rtd", , "BID_SIZE", ".SPY170120P201.5")</f>
        <v>N/A</v>
      </c>
      <c r="P804" t="str">
        <f>RTD("tos.rtd", , "VOLUME", ".SPY170120P201.5")</f>
        <v>N/A</v>
      </c>
      <c r="Q804" t="str">
        <f>RTD("tos.rtd", , "OPEN_INT", ".SPY170120P201.5")</f>
        <v>N/A</v>
      </c>
      <c r="R804" t="str">
        <f>RTD("tos.rtd", , "DELTA", ".SPY170120P201.5")</f>
        <v>N/A</v>
      </c>
      <c r="S804" t="str">
        <f>RTD("tos.rtd", , "THETA", ".SPY170120P201.5")</f>
        <v>N/A</v>
      </c>
      <c r="T804" t="str">
        <f>RTD("tos.rtd", , "GAMMA", ".SPY170120P201.5")</f>
        <v>N/A</v>
      </c>
      <c r="U804" t="str">
        <f>RTD("tos.rtd", , "VEGA", ".SPY170120P201.5")</f>
        <v>N/A</v>
      </c>
      <c r="V804" t="str">
        <f>RTD("tos.rtd", , "RHO", ".SPY170120P201.5")</f>
        <v>N/A</v>
      </c>
    </row>
    <row r="805" spans="1:22" x14ac:dyDescent="0.25">
      <c r="A805" t="str">
        <f>RTD("tos.rtd", , "ASK", ".SPY170120C202")</f>
        <v>N/A</v>
      </c>
      <c r="B805" t="str">
        <f>RTD("tos.rtd", , "ASK_SIZE", ".SPY170120C202")</f>
        <v>N/A</v>
      </c>
      <c r="C805" t="str">
        <f>RTD("tos.rtd", , "BID", ".SPY170120C202")</f>
        <v>N/A</v>
      </c>
      <c r="D805" t="str">
        <f>RTD("tos.rtd", , "BID_SIZE", ".SPY170120C202")</f>
        <v>N/A</v>
      </c>
      <c r="E805" t="str">
        <f>RTD("tos.rtd", , "VOLUME", ".SPY170120C202")</f>
        <v>N/A</v>
      </c>
      <c r="F805" t="str">
        <f>RTD("tos.rtd", , "OPEN_INT", ".SPY170120C202")</f>
        <v>N/A</v>
      </c>
      <c r="G805" t="str">
        <f>RTD("tos.rtd", , "DELTA", ".SPY170120C202")</f>
        <v>N/A</v>
      </c>
      <c r="H805" t="str">
        <f>RTD("tos.rtd", , "THETA", ".SPY170120C202")</f>
        <v>N/A</v>
      </c>
      <c r="I805" t="str">
        <f>RTD("tos.rtd", , "GAMMA", ".SPY170120C202")</f>
        <v>N/A</v>
      </c>
      <c r="J805" t="str">
        <f>RTD("tos.rtd", , "VEGA", ".SPY170120C202")</f>
        <v>N/A</v>
      </c>
      <c r="K805" t="str">
        <f>RTD("tos.rtd", , "RHO", ".SPY170120C202")</f>
        <v>N/A</v>
      </c>
      <c r="L805" t="str">
        <f>RTD("tos.rtd", , "ASK", ".SPY170120P202")</f>
        <v>N/A</v>
      </c>
      <c r="M805" t="str">
        <f>RTD("tos.rtd", , "ASK_SIZE", ".SPY170120P202")</f>
        <v>N/A</v>
      </c>
      <c r="N805" t="str">
        <f>RTD("tos.rtd", , "BID", ".SPY170120P202")</f>
        <v>N/A</v>
      </c>
      <c r="O805" t="str">
        <f>RTD("tos.rtd", , "BID_SIZE", ".SPY170120P202")</f>
        <v>N/A</v>
      </c>
      <c r="P805" t="str">
        <f>RTD("tos.rtd", , "VOLUME", ".SPY170120P202")</f>
        <v>N/A</v>
      </c>
      <c r="Q805" t="str">
        <f>RTD("tos.rtd", , "OPEN_INT", ".SPY170120P202")</f>
        <v>N/A</v>
      </c>
      <c r="R805" t="str">
        <f>RTD("tos.rtd", , "DELTA", ".SPY170120P202")</f>
        <v>N/A</v>
      </c>
      <c r="S805" t="str">
        <f>RTD("tos.rtd", , "THETA", ".SPY170120P202")</f>
        <v>N/A</v>
      </c>
      <c r="T805" t="str">
        <f>RTD("tos.rtd", , "GAMMA", ".SPY170120P202")</f>
        <v>N/A</v>
      </c>
      <c r="U805" t="str">
        <f>RTD("tos.rtd", , "VEGA", ".SPY170120P202")</f>
        <v>N/A</v>
      </c>
      <c r="V805" t="str">
        <f>RTD("tos.rtd", , "RHO", ".SPY170120P202")</f>
        <v>N/A</v>
      </c>
    </row>
    <row r="806" spans="1:22" x14ac:dyDescent="0.25">
      <c r="A806" t="str">
        <f>RTD("tos.rtd", , "ASK", ".SPY170120C202.5")</f>
        <v>N/A</v>
      </c>
      <c r="B806" t="str">
        <f>RTD("tos.rtd", , "ASK_SIZE", ".SPY170120C202.5")</f>
        <v>N/A</v>
      </c>
      <c r="C806" t="str">
        <f>RTD("tos.rtd", , "BID", ".SPY170120C202.5")</f>
        <v>N/A</v>
      </c>
      <c r="D806" t="str">
        <f>RTD("tos.rtd", , "BID_SIZE", ".SPY170120C202.5")</f>
        <v>N/A</v>
      </c>
      <c r="E806" t="str">
        <f>RTD("tos.rtd", , "VOLUME", ".SPY170120C202.5")</f>
        <v>N/A</v>
      </c>
      <c r="F806" t="str">
        <f>RTD("tos.rtd", , "OPEN_INT", ".SPY170120C202.5")</f>
        <v>N/A</v>
      </c>
      <c r="G806" t="str">
        <f>RTD("tos.rtd", , "DELTA", ".SPY170120C202.5")</f>
        <v>N/A</v>
      </c>
      <c r="H806" t="str">
        <f>RTD("tos.rtd", , "THETA", ".SPY170120C202.5")</f>
        <v>N/A</v>
      </c>
      <c r="I806" t="str">
        <f>RTD("tos.rtd", , "GAMMA", ".SPY170120C202.5")</f>
        <v>N/A</v>
      </c>
      <c r="J806" t="str">
        <f>RTD("tos.rtd", , "VEGA", ".SPY170120C202.5")</f>
        <v>N/A</v>
      </c>
      <c r="K806" t="str">
        <f>RTD("tos.rtd", , "RHO", ".SPY170120C202.5")</f>
        <v>N/A</v>
      </c>
      <c r="L806" t="str">
        <f>RTD("tos.rtd", , "ASK", ".SPY170120P202.5")</f>
        <v>N/A</v>
      </c>
      <c r="M806" t="str">
        <f>RTD("tos.rtd", , "ASK_SIZE", ".SPY170120P202.5")</f>
        <v>N/A</v>
      </c>
      <c r="N806" t="str">
        <f>RTD("tos.rtd", , "BID", ".SPY170120P202.5")</f>
        <v>N/A</v>
      </c>
      <c r="O806" t="str">
        <f>RTD("tos.rtd", , "BID_SIZE", ".SPY170120P202.5")</f>
        <v>N/A</v>
      </c>
      <c r="P806" t="str">
        <f>RTD("tos.rtd", , "VOLUME", ".SPY170120P202.5")</f>
        <v>N/A</v>
      </c>
      <c r="Q806" t="str">
        <f>RTD("tos.rtd", , "OPEN_INT", ".SPY170120P202.5")</f>
        <v>N/A</v>
      </c>
      <c r="R806" t="str">
        <f>RTD("tos.rtd", , "DELTA", ".SPY170120P202.5")</f>
        <v>N/A</v>
      </c>
      <c r="S806" t="str">
        <f>RTD("tos.rtd", , "THETA", ".SPY170120P202.5")</f>
        <v>N/A</v>
      </c>
      <c r="T806" t="str">
        <f>RTD("tos.rtd", , "GAMMA", ".SPY170120P202.5")</f>
        <v>N/A</v>
      </c>
      <c r="U806" t="str">
        <f>RTD("tos.rtd", , "VEGA", ".SPY170120P202.5")</f>
        <v>N/A</v>
      </c>
      <c r="V806" t="str">
        <f>RTD("tos.rtd", , "RHO", ".SPY170120P202.5")</f>
        <v>N/A</v>
      </c>
    </row>
    <row r="807" spans="1:22" x14ac:dyDescent="0.25">
      <c r="A807" t="str">
        <f>RTD("tos.rtd", , "ASK", ".SPY170120C203")</f>
        <v>N/A</v>
      </c>
      <c r="B807" t="str">
        <f>RTD("tos.rtd", , "ASK_SIZE", ".SPY170120C203")</f>
        <v>N/A</v>
      </c>
      <c r="C807" t="str">
        <f>RTD("tos.rtd", , "BID", ".SPY170120C203")</f>
        <v>N/A</v>
      </c>
      <c r="D807" t="str">
        <f>RTD("tos.rtd", , "BID_SIZE", ".SPY170120C203")</f>
        <v>N/A</v>
      </c>
      <c r="E807" t="str">
        <f>RTD("tos.rtd", , "VOLUME", ".SPY170120C203")</f>
        <v>N/A</v>
      </c>
      <c r="F807" t="str">
        <f>RTD("tos.rtd", , "OPEN_INT", ".SPY170120C203")</f>
        <v>N/A</v>
      </c>
      <c r="G807" t="str">
        <f>RTD("tos.rtd", , "DELTA", ".SPY170120C203")</f>
        <v>N/A</v>
      </c>
      <c r="H807" t="str">
        <f>RTD("tos.rtd", , "THETA", ".SPY170120C203")</f>
        <v>N/A</v>
      </c>
      <c r="I807" t="str">
        <f>RTD("tos.rtd", , "GAMMA", ".SPY170120C203")</f>
        <v>N/A</v>
      </c>
      <c r="J807" t="str">
        <f>RTD("tos.rtd", , "VEGA", ".SPY170120C203")</f>
        <v>N/A</v>
      </c>
      <c r="K807" t="str">
        <f>RTD("tos.rtd", , "RHO", ".SPY170120C203")</f>
        <v>N/A</v>
      </c>
      <c r="L807" t="str">
        <f>RTD("tos.rtd", , "ASK", ".SPY170120P203")</f>
        <v>N/A</v>
      </c>
      <c r="M807" t="str">
        <f>RTD("tos.rtd", , "ASK_SIZE", ".SPY170120P203")</f>
        <v>N/A</v>
      </c>
      <c r="N807" t="str">
        <f>RTD("tos.rtd", , "BID", ".SPY170120P203")</f>
        <v>N/A</v>
      </c>
      <c r="O807" t="str">
        <f>RTD("tos.rtd", , "BID_SIZE", ".SPY170120P203")</f>
        <v>N/A</v>
      </c>
      <c r="P807" t="str">
        <f>RTD("tos.rtd", , "VOLUME", ".SPY170120P203")</f>
        <v>N/A</v>
      </c>
      <c r="Q807" t="str">
        <f>RTD("tos.rtd", , "OPEN_INT", ".SPY170120P203")</f>
        <v>N/A</v>
      </c>
      <c r="R807" t="str">
        <f>RTD("tos.rtd", , "DELTA", ".SPY170120P203")</f>
        <v>N/A</v>
      </c>
      <c r="S807" t="str">
        <f>RTD("tos.rtd", , "THETA", ".SPY170120P203")</f>
        <v>N/A</v>
      </c>
      <c r="T807" t="str">
        <f>RTD("tos.rtd", , "GAMMA", ".SPY170120P203")</f>
        <v>N/A</v>
      </c>
      <c r="U807" t="str">
        <f>RTD("tos.rtd", , "VEGA", ".SPY170120P203")</f>
        <v>N/A</v>
      </c>
      <c r="V807" t="str">
        <f>RTD("tos.rtd", , "RHO", ".SPY170120P203")</f>
        <v>N/A</v>
      </c>
    </row>
    <row r="808" spans="1:22" x14ac:dyDescent="0.25">
      <c r="A808" t="str">
        <f>RTD("tos.rtd", , "ASK", ".SPY170120C203.5")</f>
        <v>N/A</v>
      </c>
      <c r="B808" t="str">
        <f>RTD("tos.rtd", , "ASK_SIZE", ".SPY170120C203.5")</f>
        <v>N/A</v>
      </c>
      <c r="C808" t="str">
        <f>RTD("tos.rtd", , "BID", ".SPY170120C203.5")</f>
        <v>N/A</v>
      </c>
      <c r="D808" t="str">
        <f>RTD("tos.rtd", , "BID_SIZE", ".SPY170120C203.5")</f>
        <v>N/A</v>
      </c>
      <c r="E808" t="str">
        <f>RTD("tos.rtd", , "VOLUME", ".SPY170120C203.5")</f>
        <v>N/A</v>
      </c>
      <c r="F808" t="str">
        <f>RTD("tos.rtd", , "OPEN_INT", ".SPY170120C203.5")</f>
        <v>N/A</v>
      </c>
      <c r="G808" t="str">
        <f>RTD("tos.rtd", , "DELTA", ".SPY170120C203.5")</f>
        <v>N/A</v>
      </c>
      <c r="H808" t="str">
        <f>RTD("tos.rtd", , "THETA", ".SPY170120C203.5")</f>
        <v>N/A</v>
      </c>
      <c r="I808" t="str">
        <f>RTD("tos.rtd", , "GAMMA", ".SPY170120C203.5")</f>
        <v>N/A</v>
      </c>
      <c r="J808" t="str">
        <f>RTD("tos.rtd", , "VEGA", ".SPY170120C203.5")</f>
        <v>N/A</v>
      </c>
      <c r="K808" t="str">
        <f>RTD("tos.rtd", , "RHO", ".SPY170120C203.5")</f>
        <v>N/A</v>
      </c>
      <c r="L808" t="str">
        <f>RTD("tos.rtd", , "ASK", ".SPY170120P203.5")</f>
        <v>N/A</v>
      </c>
      <c r="M808" t="str">
        <f>RTD("tos.rtd", , "ASK_SIZE", ".SPY170120P203.5")</f>
        <v>N/A</v>
      </c>
      <c r="N808" t="str">
        <f>RTD("tos.rtd", , "BID", ".SPY170120P203.5")</f>
        <v>N/A</v>
      </c>
      <c r="O808" t="str">
        <f>RTD("tos.rtd", , "BID_SIZE", ".SPY170120P203.5")</f>
        <v>N/A</v>
      </c>
      <c r="P808" t="str">
        <f>RTD("tos.rtd", , "VOLUME", ".SPY170120P203.5")</f>
        <v>N/A</v>
      </c>
      <c r="Q808" t="str">
        <f>RTD("tos.rtd", , "OPEN_INT", ".SPY170120P203.5")</f>
        <v>N/A</v>
      </c>
      <c r="R808" t="str">
        <f>RTD("tos.rtd", , "DELTA", ".SPY170120P203.5")</f>
        <v>N/A</v>
      </c>
      <c r="S808" t="str">
        <f>RTD("tos.rtd", , "THETA", ".SPY170120P203.5")</f>
        <v>N/A</v>
      </c>
      <c r="T808" t="str">
        <f>RTD("tos.rtd", , "GAMMA", ".SPY170120P203.5")</f>
        <v>N/A</v>
      </c>
      <c r="U808" t="str">
        <f>RTD("tos.rtd", , "VEGA", ".SPY170120P203.5")</f>
        <v>N/A</v>
      </c>
      <c r="V808" t="str">
        <f>RTD("tos.rtd", , "RHO", ".SPY170120P203.5")</f>
        <v>N/A</v>
      </c>
    </row>
    <row r="809" spans="1:22" x14ac:dyDescent="0.25">
      <c r="A809" t="str">
        <f>RTD("tos.rtd", , "ASK", ".SPY170120C204")</f>
        <v>N/A</v>
      </c>
      <c r="B809" t="str">
        <f>RTD("tos.rtd", , "ASK_SIZE", ".SPY170120C204")</f>
        <v>N/A</v>
      </c>
      <c r="C809" t="str">
        <f>RTD("tos.rtd", , "BID", ".SPY170120C204")</f>
        <v>N/A</v>
      </c>
      <c r="D809" t="str">
        <f>RTD("tos.rtd", , "BID_SIZE", ".SPY170120C204")</f>
        <v>N/A</v>
      </c>
      <c r="E809" t="str">
        <f>RTD("tos.rtd", , "VOLUME", ".SPY170120C204")</f>
        <v>N/A</v>
      </c>
      <c r="F809" t="str">
        <f>RTD("tos.rtd", , "OPEN_INT", ".SPY170120C204")</f>
        <v>N/A</v>
      </c>
      <c r="G809" t="str">
        <f>RTD("tos.rtd", , "DELTA", ".SPY170120C204")</f>
        <v>N/A</v>
      </c>
      <c r="H809" t="str">
        <f>RTD("tos.rtd", , "THETA", ".SPY170120C204")</f>
        <v>N/A</v>
      </c>
      <c r="I809" t="str">
        <f>RTD("tos.rtd", , "GAMMA", ".SPY170120C204")</f>
        <v>N/A</v>
      </c>
      <c r="J809" t="str">
        <f>RTD("tos.rtd", , "VEGA", ".SPY170120C204")</f>
        <v>N/A</v>
      </c>
      <c r="K809" t="str">
        <f>RTD("tos.rtd", , "RHO", ".SPY170120C204")</f>
        <v>N/A</v>
      </c>
      <c r="L809" t="str">
        <f>RTD("tos.rtd", , "ASK", ".SPY170120P204")</f>
        <v>N/A</v>
      </c>
      <c r="M809" t="str">
        <f>RTD("tos.rtd", , "ASK_SIZE", ".SPY170120P204")</f>
        <v>N/A</v>
      </c>
      <c r="N809" t="str">
        <f>RTD("tos.rtd", , "BID", ".SPY170120P204")</f>
        <v>N/A</v>
      </c>
      <c r="O809" t="str">
        <f>RTD("tos.rtd", , "BID_SIZE", ".SPY170120P204")</f>
        <v>N/A</v>
      </c>
      <c r="P809" t="str">
        <f>RTD("tos.rtd", , "VOLUME", ".SPY170120P204")</f>
        <v>N/A</v>
      </c>
      <c r="Q809" t="str">
        <f>RTD("tos.rtd", , "OPEN_INT", ".SPY170120P204")</f>
        <v>N/A</v>
      </c>
      <c r="R809" t="str">
        <f>RTD("tos.rtd", , "DELTA", ".SPY170120P204")</f>
        <v>N/A</v>
      </c>
      <c r="S809" t="str">
        <f>RTD("tos.rtd", , "THETA", ".SPY170120P204")</f>
        <v>N/A</v>
      </c>
      <c r="T809" t="str">
        <f>RTD("tos.rtd", , "GAMMA", ".SPY170120P204")</f>
        <v>N/A</v>
      </c>
      <c r="U809" t="str">
        <f>RTD("tos.rtd", , "VEGA", ".SPY170120P204")</f>
        <v>N/A</v>
      </c>
      <c r="V809" t="str">
        <f>RTD("tos.rtd", , "RHO", ".SPY170120P204")</f>
        <v>N/A</v>
      </c>
    </row>
    <row r="810" spans="1:22" x14ac:dyDescent="0.25">
      <c r="A810" t="str">
        <f>RTD("tos.rtd", , "ASK", ".SPY170120C204.5")</f>
        <v>N/A</v>
      </c>
      <c r="B810" t="str">
        <f>RTD("tos.rtd", , "ASK_SIZE", ".SPY170120C204.5")</f>
        <v>N/A</v>
      </c>
      <c r="C810" t="str">
        <f>RTD("tos.rtd", , "BID", ".SPY170120C204.5")</f>
        <v>N/A</v>
      </c>
      <c r="D810" t="str">
        <f>RTD("tos.rtd", , "BID_SIZE", ".SPY170120C204.5")</f>
        <v>N/A</v>
      </c>
      <c r="E810" t="str">
        <f>RTD("tos.rtd", , "VOLUME", ".SPY170120C204.5")</f>
        <v>N/A</v>
      </c>
      <c r="F810" t="str">
        <f>RTD("tos.rtd", , "OPEN_INT", ".SPY170120C204.5")</f>
        <v>N/A</v>
      </c>
      <c r="G810" t="str">
        <f>RTD("tos.rtd", , "DELTA", ".SPY170120C204.5")</f>
        <v>N/A</v>
      </c>
      <c r="H810" t="str">
        <f>RTD("tos.rtd", , "THETA", ".SPY170120C204.5")</f>
        <v>N/A</v>
      </c>
      <c r="I810" t="str">
        <f>RTD("tos.rtd", , "GAMMA", ".SPY170120C204.5")</f>
        <v>N/A</v>
      </c>
      <c r="J810" t="str">
        <f>RTD("tos.rtd", , "VEGA", ".SPY170120C204.5")</f>
        <v>N/A</v>
      </c>
      <c r="K810" t="str">
        <f>RTD("tos.rtd", , "RHO", ".SPY170120C204.5")</f>
        <v>N/A</v>
      </c>
      <c r="L810" t="str">
        <f>RTD("tos.rtd", , "ASK", ".SPY170120P204.5")</f>
        <v>N/A</v>
      </c>
      <c r="M810" t="str">
        <f>RTD("tos.rtd", , "ASK_SIZE", ".SPY170120P204.5")</f>
        <v>N/A</v>
      </c>
      <c r="N810" t="str">
        <f>RTD("tos.rtd", , "BID", ".SPY170120P204.5")</f>
        <v>N/A</v>
      </c>
      <c r="O810" t="str">
        <f>RTD("tos.rtd", , "BID_SIZE", ".SPY170120P204.5")</f>
        <v>N/A</v>
      </c>
      <c r="P810" t="str">
        <f>RTD("tos.rtd", , "VOLUME", ".SPY170120P204.5")</f>
        <v>N/A</v>
      </c>
      <c r="Q810" t="str">
        <f>RTD("tos.rtd", , "OPEN_INT", ".SPY170120P204.5")</f>
        <v>N/A</v>
      </c>
      <c r="R810" t="str">
        <f>RTD("tos.rtd", , "DELTA", ".SPY170120P204.5")</f>
        <v>N/A</v>
      </c>
      <c r="S810" t="str">
        <f>RTD("tos.rtd", , "THETA", ".SPY170120P204.5")</f>
        <v>N/A</v>
      </c>
      <c r="T810" t="str">
        <f>RTD("tos.rtd", , "GAMMA", ".SPY170120P204.5")</f>
        <v>N/A</v>
      </c>
      <c r="U810" t="str">
        <f>RTD("tos.rtd", , "VEGA", ".SPY170120P204.5")</f>
        <v>N/A</v>
      </c>
      <c r="V810" t="str">
        <f>RTD("tos.rtd", , "RHO", ".SPY170120P204.5")</f>
        <v>N/A</v>
      </c>
    </row>
    <row r="811" spans="1:22" x14ac:dyDescent="0.25">
      <c r="A811">
        <f>RTD("tos.rtd", , "ASK", ".SPY170120C205")</f>
        <v>21.1</v>
      </c>
      <c r="B811">
        <f>RTD("tos.rtd", , "ASK_SIZE", ".SPY170120C205")</f>
        <v>111</v>
      </c>
      <c r="C811">
        <f>RTD("tos.rtd", , "BID", ".SPY170120C205")</f>
        <v>20.69</v>
      </c>
      <c r="D811">
        <f>RTD("tos.rtd", , "BID_SIZE", ".SPY170120C205")</f>
        <v>200</v>
      </c>
      <c r="E811">
        <f>RTD("tos.rtd", , "VOLUME", ".SPY170120C205")</f>
        <v>0</v>
      </c>
      <c r="F811">
        <f>RTD("tos.rtd", , "OPEN_INT", ".SPY170120C205")</f>
        <v>1430</v>
      </c>
      <c r="G811">
        <f>RTD("tos.rtd", , "DELTA", ".SPY170120C205")</f>
        <v>0.56152999999999997</v>
      </c>
      <c r="H811">
        <f>RTD("tos.rtd", , "THETA", ".SPY170120C205")</f>
        <v>-1.1849999999999999E-2</v>
      </c>
      <c r="I811">
        <f>RTD("tos.rtd", , "GAMMA", ".SPY170120C205")</f>
        <v>8.1499999999999993E-3</v>
      </c>
      <c r="J811">
        <f>RTD("tos.rtd", , "VEGA", ".SPY170120C205")</f>
        <v>1.05708</v>
      </c>
      <c r="K811">
        <f>RTD("tos.rtd", , "RHO", ".SPY170120C205")</f>
        <v>1.3452599999999999</v>
      </c>
      <c r="L811">
        <f>RTD("tos.rtd", , "ASK", ".SPY170120P205")</f>
        <v>18.809999999999999</v>
      </c>
      <c r="M811">
        <f>RTD("tos.rtd", , "ASK_SIZE", ".SPY170120P205")</f>
        <v>1340</v>
      </c>
      <c r="N811">
        <f>RTD("tos.rtd", , "BID", ".SPY170120P205")</f>
        <v>17.95</v>
      </c>
      <c r="O811">
        <f>RTD("tos.rtd", , "BID_SIZE", ".SPY170120P205")</f>
        <v>1083</v>
      </c>
      <c r="P811">
        <f>RTD("tos.rtd", , "VOLUME", ".SPY170120P205")</f>
        <v>371</v>
      </c>
      <c r="Q811">
        <f>RTD("tos.rtd", , "OPEN_INT", ".SPY170120P205")</f>
        <v>1261</v>
      </c>
      <c r="R811">
        <f>RTD("tos.rtd", , "DELTA", ".SPY170120P205")</f>
        <v>-0.43192999999999998</v>
      </c>
      <c r="S811">
        <f>RTD("tos.rtd", , "THETA", ".SPY170120P205")</f>
        <v>-1.8620000000000001E-2</v>
      </c>
      <c r="T811">
        <f>RTD("tos.rtd", , "GAMMA", ".SPY170120P205")</f>
        <v>7.8200000000000006E-3</v>
      </c>
      <c r="U811">
        <f>RTD("tos.rtd", , "VEGA", ".SPY170120P205")</f>
        <v>1.0630200000000001</v>
      </c>
      <c r="V811">
        <f>RTD("tos.rtd", , "RHO", ".SPY170120P205")</f>
        <v>-1.8798299999999999</v>
      </c>
    </row>
    <row r="812" spans="1:22" x14ac:dyDescent="0.25">
      <c r="A812" t="str">
        <f>RTD("tos.rtd", , "ASK", ".SPY170120C205.5")</f>
        <v>N/A</v>
      </c>
      <c r="B812" t="str">
        <f>RTD("tos.rtd", , "ASK_SIZE", ".SPY170120C205.5")</f>
        <v>N/A</v>
      </c>
      <c r="C812" t="str">
        <f>RTD("tos.rtd", , "BID", ".SPY170120C205.5")</f>
        <v>N/A</v>
      </c>
      <c r="D812" t="str">
        <f>RTD("tos.rtd", , "BID_SIZE", ".SPY170120C205.5")</f>
        <v>N/A</v>
      </c>
      <c r="E812" t="str">
        <f>RTD("tos.rtd", , "VOLUME", ".SPY170120C205.5")</f>
        <v>N/A</v>
      </c>
      <c r="F812" t="str">
        <f>RTD("tos.rtd", , "OPEN_INT", ".SPY170120C205.5")</f>
        <v>N/A</v>
      </c>
      <c r="G812" t="str">
        <f>RTD("tos.rtd", , "DELTA", ".SPY170120C205.5")</f>
        <v>N/A</v>
      </c>
      <c r="H812" t="str">
        <f>RTD("tos.rtd", , "THETA", ".SPY170120C205.5")</f>
        <v>N/A</v>
      </c>
      <c r="I812" t="str">
        <f>RTD("tos.rtd", , "GAMMA", ".SPY170120C205.5")</f>
        <v>N/A</v>
      </c>
      <c r="J812" t="str">
        <f>RTD("tos.rtd", , "VEGA", ".SPY170120C205.5")</f>
        <v>N/A</v>
      </c>
      <c r="K812" t="str">
        <f>RTD("tos.rtd", , "RHO", ".SPY170120C205.5")</f>
        <v>N/A</v>
      </c>
      <c r="L812" t="str">
        <f>RTD("tos.rtd", , "ASK", ".SPY170120P205.5")</f>
        <v>N/A</v>
      </c>
      <c r="M812" t="str">
        <f>RTD("tos.rtd", , "ASK_SIZE", ".SPY170120P205.5")</f>
        <v>N/A</v>
      </c>
      <c r="N812" t="str">
        <f>RTD("tos.rtd", , "BID", ".SPY170120P205.5")</f>
        <v>N/A</v>
      </c>
      <c r="O812" t="str">
        <f>RTD("tos.rtd", , "BID_SIZE", ".SPY170120P205.5")</f>
        <v>N/A</v>
      </c>
      <c r="P812" t="str">
        <f>RTD("tos.rtd", , "VOLUME", ".SPY170120P205.5")</f>
        <v>N/A</v>
      </c>
      <c r="Q812" t="str">
        <f>RTD("tos.rtd", , "OPEN_INT", ".SPY170120P205.5")</f>
        <v>N/A</v>
      </c>
      <c r="R812" t="str">
        <f>RTD("tos.rtd", , "DELTA", ".SPY170120P205.5")</f>
        <v>N/A</v>
      </c>
      <c r="S812" t="str">
        <f>RTD("tos.rtd", , "THETA", ".SPY170120P205.5")</f>
        <v>N/A</v>
      </c>
      <c r="T812" t="str">
        <f>RTD("tos.rtd", , "GAMMA", ".SPY170120P205.5")</f>
        <v>N/A</v>
      </c>
      <c r="U812" t="str">
        <f>RTD("tos.rtd", , "VEGA", ".SPY170120P205.5")</f>
        <v>N/A</v>
      </c>
      <c r="V812" t="str">
        <f>RTD("tos.rtd", , "RHO", ".SPY170120P205.5")</f>
        <v>N/A</v>
      </c>
    </row>
    <row r="813" spans="1:22" x14ac:dyDescent="0.25">
      <c r="A813" t="str">
        <f>RTD("tos.rtd", , "ASK", ".SPY170120C206")</f>
        <v>N/A</v>
      </c>
      <c r="B813" t="str">
        <f>RTD("tos.rtd", , "ASK_SIZE", ".SPY170120C206")</f>
        <v>N/A</v>
      </c>
      <c r="C813" t="str">
        <f>RTD("tos.rtd", , "BID", ".SPY170120C206")</f>
        <v>N/A</v>
      </c>
      <c r="D813" t="str">
        <f>RTD("tos.rtd", , "BID_SIZE", ".SPY170120C206")</f>
        <v>N/A</v>
      </c>
      <c r="E813" t="str">
        <f>RTD("tos.rtd", , "VOLUME", ".SPY170120C206")</f>
        <v>N/A</v>
      </c>
      <c r="F813" t="str">
        <f>RTD("tos.rtd", , "OPEN_INT", ".SPY170120C206")</f>
        <v>N/A</v>
      </c>
      <c r="G813" t="str">
        <f>RTD("tos.rtd", , "DELTA", ".SPY170120C206")</f>
        <v>N/A</v>
      </c>
      <c r="H813" t="str">
        <f>RTD("tos.rtd", , "THETA", ".SPY170120C206")</f>
        <v>N/A</v>
      </c>
      <c r="I813" t="str">
        <f>RTD("tos.rtd", , "GAMMA", ".SPY170120C206")</f>
        <v>N/A</v>
      </c>
      <c r="J813" t="str">
        <f>RTD("tos.rtd", , "VEGA", ".SPY170120C206")</f>
        <v>N/A</v>
      </c>
      <c r="K813" t="str">
        <f>RTD("tos.rtd", , "RHO", ".SPY170120C206")</f>
        <v>N/A</v>
      </c>
      <c r="L813" t="str">
        <f>RTD("tos.rtd", , "ASK", ".SPY170120P206")</f>
        <v>N/A</v>
      </c>
      <c r="M813" t="str">
        <f>RTD("tos.rtd", , "ASK_SIZE", ".SPY170120P206")</f>
        <v>N/A</v>
      </c>
      <c r="N813" t="str">
        <f>RTD("tos.rtd", , "BID", ".SPY170120P206")</f>
        <v>N/A</v>
      </c>
      <c r="O813" t="str">
        <f>RTD("tos.rtd", , "BID_SIZE", ".SPY170120P206")</f>
        <v>N/A</v>
      </c>
      <c r="P813" t="str">
        <f>RTD("tos.rtd", , "VOLUME", ".SPY170120P206")</f>
        <v>N/A</v>
      </c>
      <c r="Q813" t="str">
        <f>RTD("tos.rtd", , "OPEN_INT", ".SPY170120P206")</f>
        <v>N/A</v>
      </c>
      <c r="R813" t="str">
        <f>RTD("tos.rtd", , "DELTA", ".SPY170120P206")</f>
        <v>N/A</v>
      </c>
      <c r="S813" t="str">
        <f>RTD("tos.rtd", , "THETA", ".SPY170120P206")</f>
        <v>N/A</v>
      </c>
      <c r="T813" t="str">
        <f>RTD("tos.rtd", , "GAMMA", ".SPY170120P206")</f>
        <v>N/A</v>
      </c>
      <c r="U813" t="str">
        <f>RTD("tos.rtd", , "VEGA", ".SPY170120P206")</f>
        <v>N/A</v>
      </c>
      <c r="V813" t="str">
        <f>RTD("tos.rtd", , "RHO", ".SPY170120P206")</f>
        <v>N/A</v>
      </c>
    </row>
    <row r="814" spans="1:22" x14ac:dyDescent="0.25">
      <c r="A814" t="str">
        <f>RTD("tos.rtd", , "ASK", ".SPY170120C206.5")</f>
        <v>N/A</v>
      </c>
      <c r="B814" t="str">
        <f>RTD("tos.rtd", , "ASK_SIZE", ".SPY170120C206.5")</f>
        <v>N/A</v>
      </c>
      <c r="C814" t="str">
        <f>RTD("tos.rtd", , "BID", ".SPY170120C206.5")</f>
        <v>N/A</v>
      </c>
      <c r="D814" t="str">
        <f>RTD("tos.rtd", , "BID_SIZE", ".SPY170120C206.5")</f>
        <v>N/A</v>
      </c>
      <c r="E814" t="str">
        <f>RTD("tos.rtd", , "VOLUME", ".SPY170120C206.5")</f>
        <v>N/A</v>
      </c>
      <c r="F814" t="str">
        <f>RTD("tos.rtd", , "OPEN_INT", ".SPY170120C206.5")</f>
        <v>N/A</v>
      </c>
      <c r="G814" t="str">
        <f>RTD("tos.rtd", , "DELTA", ".SPY170120C206.5")</f>
        <v>N/A</v>
      </c>
      <c r="H814" t="str">
        <f>RTD("tos.rtd", , "THETA", ".SPY170120C206.5")</f>
        <v>N/A</v>
      </c>
      <c r="I814" t="str">
        <f>RTD("tos.rtd", , "GAMMA", ".SPY170120C206.5")</f>
        <v>N/A</v>
      </c>
      <c r="J814" t="str">
        <f>RTD("tos.rtd", , "VEGA", ".SPY170120C206.5")</f>
        <v>N/A</v>
      </c>
      <c r="K814" t="str">
        <f>RTD("tos.rtd", , "RHO", ".SPY170120C206.5")</f>
        <v>N/A</v>
      </c>
      <c r="L814" t="str">
        <f>RTD("tos.rtd", , "ASK", ".SPY170120P206.5")</f>
        <v>N/A</v>
      </c>
      <c r="M814" t="str">
        <f>RTD("tos.rtd", , "ASK_SIZE", ".SPY170120P206.5")</f>
        <v>N/A</v>
      </c>
      <c r="N814" t="str">
        <f>RTD("tos.rtd", , "BID", ".SPY170120P206.5")</f>
        <v>N/A</v>
      </c>
      <c r="O814" t="str">
        <f>RTD("tos.rtd", , "BID_SIZE", ".SPY170120P206.5")</f>
        <v>N/A</v>
      </c>
      <c r="P814" t="str">
        <f>RTD("tos.rtd", , "VOLUME", ".SPY170120P206.5")</f>
        <v>N/A</v>
      </c>
      <c r="Q814" t="str">
        <f>RTD("tos.rtd", , "OPEN_INT", ".SPY170120P206.5")</f>
        <v>N/A</v>
      </c>
      <c r="R814" t="str">
        <f>RTD("tos.rtd", , "DELTA", ".SPY170120P206.5")</f>
        <v>N/A</v>
      </c>
      <c r="S814" t="str">
        <f>RTD("tos.rtd", , "THETA", ".SPY170120P206.5")</f>
        <v>N/A</v>
      </c>
      <c r="T814" t="str">
        <f>RTD("tos.rtd", , "GAMMA", ".SPY170120P206.5")</f>
        <v>N/A</v>
      </c>
      <c r="U814" t="str">
        <f>RTD("tos.rtd", , "VEGA", ".SPY170120P206.5")</f>
        <v>N/A</v>
      </c>
      <c r="V814" t="str">
        <f>RTD("tos.rtd", , "RHO", ".SPY170120P206.5")</f>
        <v>N/A</v>
      </c>
    </row>
    <row r="815" spans="1:22" x14ac:dyDescent="0.25">
      <c r="A815" t="str">
        <f>RTD("tos.rtd", , "ASK", ".SPY170120C207")</f>
        <v>N/A</v>
      </c>
      <c r="B815" t="str">
        <f>RTD("tos.rtd", , "ASK_SIZE", ".SPY170120C207")</f>
        <v>N/A</v>
      </c>
      <c r="C815" t="str">
        <f>RTD("tos.rtd", , "BID", ".SPY170120C207")</f>
        <v>N/A</v>
      </c>
      <c r="D815" t="str">
        <f>RTD("tos.rtd", , "BID_SIZE", ".SPY170120C207")</f>
        <v>N/A</v>
      </c>
      <c r="E815" t="str">
        <f>RTD("tos.rtd", , "VOLUME", ".SPY170120C207")</f>
        <v>N/A</v>
      </c>
      <c r="F815" t="str">
        <f>RTD("tos.rtd", , "OPEN_INT", ".SPY170120C207")</f>
        <v>N/A</v>
      </c>
      <c r="G815" t="str">
        <f>RTD("tos.rtd", , "DELTA", ".SPY170120C207")</f>
        <v>N/A</v>
      </c>
      <c r="H815" t="str">
        <f>RTD("tos.rtd", , "THETA", ".SPY170120C207")</f>
        <v>N/A</v>
      </c>
      <c r="I815" t="str">
        <f>RTD("tos.rtd", , "GAMMA", ".SPY170120C207")</f>
        <v>N/A</v>
      </c>
      <c r="J815" t="str">
        <f>RTD("tos.rtd", , "VEGA", ".SPY170120C207")</f>
        <v>N/A</v>
      </c>
      <c r="K815" t="str">
        <f>RTD("tos.rtd", , "RHO", ".SPY170120C207")</f>
        <v>N/A</v>
      </c>
      <c r="L815" t="str">
        <f>RTD("tos.rtd", , "ASK", ".SPY170120P207")</f>
        <v>N/A</v>
      </c>
      <c r="M815" t="str">
        <f>RTD("tos.rtd", , "ASK_SIZE", ".SPY170120P207")</f>
        <v>N/A</v>
      </c>
      <c r="N815" t="str">
        <f>RTD("tos.rtd", , "BID", ".SPY170120P207")</f>
        <v>N/A</v>
      </c>
      <c r="O815" t="str">
        <f>RTD("tos.rtd", , "BID_SIZE", ".SPY170120P207")</f>
        <v>N/A</v>
      </c>
      <c r="P815" t="str">
        <f>RTD("tos.rtd", , "VOLUME", ".SPY170120P207")</f>
        <v>N/A</v>
      </c>
      <c r="Q815" t="str">
        <f>RTD("tos.rtd", , "OPEN_INT", ".SPY170120P207")</f>
        <v>N/A</v>
      </c>
      <c r="R815" t="str">
        <f>RTD("tos.rtd", , "DELTA", ".SPY170120P207")</f>
        <v>N/A</v>
      </c>
      <c r="S815" t="str">
        <f>RTD("tos.rtd", , "THETA", ".SPY170120P207")</f>
        <v>N/A</v>
      </c>
      <c r="T815" t="str">
        <f>RTD("tos.rtd", , "GAMMA", ".SPY170120P207")</f>
        <v>N/A</v>
      </c>
      <c r="U815" t="str">
        <f>RTD("tos.rtd", , "VEGA", ".SPY170120P207")</f>
        <v>N/A</v>
      </c>
      <c r="V815" t="str">
        <f>RTD("tos.rtd", , "RHO", ".SPY170120P207")</f>
        <v>N/A</v>
      </c>
    </row>
    <row r="816" spans="1:22" x14ac:dyDescent="0.25">
      <c r="A816" t="str">
        <f>RTD("tos.rtd", , "ASK", ".SPY170120C207.5")</f>
        <v>N/A</v>
      </c>
      <c r="B816" t="str">
        <f>RTD("tos.rtd", , "ASK_SIZE", ".SPY170120C207.5")</f>
        <v>N/A</v>
      </c>
      <c r="C816" t="str">
        <f>RTD("tos.rtd", , "BID", ".SPY170120C207.5")</f>
        <v>N/A</v>
      </c>
      <c r="D816" t="str">
        <f>RTD("tos.rtd", , "BID_SIZE", ".SPY170120C207.5")</f>
        <v>N/A</v>
      </c>
      <c r="E816" t="str">
        <f>RTD("tos.rtd", , "VOLUME", ".SPY170120C207.5")</f>
        <v>N/A</v>
      </c>
      <c r="F816" t="str">
        <f>RTD("tos.rtd", , "OPEN_INT", ".SPY170120C207.5")</f>
        <v>N/A</v>
      </c>
      <c r="G816" t="str">
        <f>RTD("tos.rtd", , "DELTA", ".SPY170120C207.5")</f>
        <v>N/A</v>
      </c>
      <c r="H816" t="str">
        <f>RTD("tos.rtd", , "THETA", ".SPY170120C207.5")</f>
        <v>N/A</v>
      </c>
      <c r="I816" t="str">
        <f>RTD("tos.rtd", , "GAMMA", ".SPY170120C207.5")</f>
        <v>N/A</v>
      </c>
      <c r="J816" t="str">
        <f>RTD("tos.rtd", , "VEGA", ".SPY170120C207.5")</f>
        <v>N/A</v>
      </c>
      <c r="K816" t="str">
        <f>RTD("tos.rtd", , "RHO", ".SPY170120C207.5")</f>
        <v>N/A</v>
      </c>
      <c r="L816" t="str">
        <f>RTD("tos.rtd", , "ASK", ".SPY170120P207.5")</f>
        <v>N/A</v>
      </c>
      <c r="M816" t="str">
        <f>RTD("tos.rtd", , "ASK_SIZE", ".SPY170120P207.5")</f>
        <v>N/A</v>
      </c>
      <c r="N816" t="str">
        <f>RTD("tos.rtd", , "BID", ".SPY170120P207.5")</f>
        <v>N/A</v>
      </c>
      <c r="O816" t="str">
        <f>RTD("tos.rtd", , "BID_SIZE", ".SPY170120P207.5")</f>
        <v>N/A</v>
      </c>
      <c r="P816" t="str">
        <f>RTD("tos.rtd", , "VOLUME", ".SPY170120P207.5")</f>
        <v>N/A</v>
      </c>
      <c r="Q816" t="str">
        <f>RTD("tos.rtd", , "OPEN_INT", ".SPY170120P207.5")</f>
        <v>N/A</v>
      </c>
      <c r="R816" t="str">
        <f>RTD("tos.rtd", , "DELTA", ".SPY170120P207.5")</f>
        <v>N/A</v>
      </c>
      <c r="S816" t="str">
        <f>RTD("tos.rtd", , "THETA", ".SPY170120P207.5")</f>
        <v>N/A</v>
      </c>
      <c r="T816" t="str">
        <f>RTD("tos.rtd", , "GAMMA", ".SPY170120P207.5")</f>
        <v>N/A</v>
      </c>
      <c r="U816" t="str">
        <f>RTD("tos.rtd", , "VEGA", ".SPY170120P207.5")</f>
        <v>N/A</v>
      </c>
      <c r="V816" t="str">
        <f>RTD("tos.rtd", , "RHO", ".SPY170120P207.5")</f>
        <v>N/A</v>
      </c>
    </row>
    <row r="817" spans="1:22" x14ac:dyDescent="0.25">
      <c r="A817" t="str">
        <f>RTD("tos.rtd", , "ASK", ".SPY170120C208")</f>
        <v>N/A</v>
      </c>
      <c r="B817" t="str">
        <f>RTD("tos.rtd", , "ASK_SIZE", ".SPY170120C208")</f>
        <v>N/A</v>
      </c>
      <c r="C817" t="str">
        <f>RTD("tos.rtd", , "BID", ".SPY170120C208")</f>
        <v>N/A</v>
      </c>
      <c r="D817" t="str">
        <f>RTD("tos.rtd", , "BID_SIZE", ".SPY170120C208")</f>
        <v>N/A</v>
      </c>
      <c r="E817" t="str">
        <f>RTD("tos.rtd", , "VOLUME", ".SPY170120C208")</f>
        <v>N/A</v>
      </c>
      <c r="F817" t="str">
        <f>RTD("tos.rtd", , "OPEN_INT", ".SPY170120C208")</f>
        <v>N/A</v>
      </c>
      <c r="G817" t="str">
        <f>RTD("tos.rtd", , "DELTA", ".SPY170120C208")</f>
        <v>N/A</v>
      </c>
      <c r="H817" t="str">
        <f>RTD("tos.rtd", , "THETA", ".SPY170120C208")</f>
        <v>N/A</v>
      </c>
      <c r="I817" t="str">
        <f>RTD("tos.rtd", , "GAMMA", ".SPY170120C208")</f>
        <v>N/A</v>
      </c>
      <c r="J817" t="str">
        <f>RTD("tos.rtd", , "VEGA", ".SPY170120C208")</f>
        <v>N/A</v>
      </c>
      <c r="K817" t="str">
        <f>RTD("tos.rtd", , "RHO", ".SPY170120C208")</f>
        <v>N/A</v>
      </c>
      <c r="L817" t="str">
        <f>RTD("tos.rtd", , "ASK", ".SPY170120P208")</f>
        <v>N/A</v>
      </c>
      <c r="M817" t="str">
        <f>RTD("tos.rtd", , "ASK_SIZE", ".SPY170120P208")</f>
        <v>N/A</v>
      </c>
      <c r="N817" t="str">
        <f>RTD("tos.rtd", , "BID", ".SPY170120P208")</f>
        <v>N/A</v>
      </c>
      <c r="O817" t="str">
        <f>RTD("tos.rtd", , "BID_SIZE", ".SPY170120P208")</f>
        <v>N/A</v>
      </c>
      <c r="P817" t="str">
        <f>RTD("tos.rtd", , "VOLUME", ".SPY170120P208")</f>
        <v>N/A</v>
      </c>
      <c r="Q817" t="str">
        <f>RTD("tos.rtd", , "OPEN_INT", ".SPY170120P208")</f>
        <v>N/A</v>
      </c>
      <c r="R817" t="str">
        <f>RTD("tos.rtd", , "DELTA", ".SPY170120P208")</f>
        <v>N/A</v>
      </c>
      <c r="S817" t="str">
        <f>RTD("tos.rtd", , "THETA", ".SPY170120P208")</f>
        <v>N/A</v>
      </c>
      <c r="T817" t="str">
        <f>RTD("tos.rtd", , "GAMMA", ".SPY170120P208")</f>
        <v>N/A</v>
      </c>
      <c r="U817" t="str">
        <f>RTD("tos.rtd", , "VEGA", ".SPY170120P208")</f>
        <v>N/A</v>
      </c>
      <c r="V817" t="str">
        <f>RTD("tos.rtd", , "RHO", ".SPY170120P208")</f>
        <v>N/A</v>
      </c>
    </row>
    <row r="818" spans="1:22" x14ac:dyDescent="0.25">
      <c r="A818" t="str">
        <f>RTD("tos.rtd", , "ASK", ".SPY170120C208.5")</f>
        <v>N/A</v>
      </c>
      <c r="B818" t="str">
        <f>RTD("tos.rtd", , "ASK_SIZE", ".SPY170120C208.5")</f>
        <v>N/A</v>
      </c>
      <c r="C818" t="str">
        <f>RTD("tos.rtd", , "BID", ".SPY170120C208.5")</f>
        <v>N/A</v>
      </c>
      <c r="D818" t="str">
        <f>RTD("tos.rtd", , "BID_SIZE", ".SPY170120C208.5")</f>
        <v>N/A</v>
      </c>
      <c r="E818" t="str">
        <f>RTD("tos.rtd", , "VOLUME", ".SPY170120C208.5")</f>
        <v>N/A</v>
      </c>
      <c r="F818" t="str">
        <f>RTD("tos.rtd", , "OPEN_INT", ".SPY170120C208.5")</f>
        <v>N/A</v>
      </c>
      <c r="G818" t="str">
        <f>RTD("tos.rtd", , "DELTA", ".SPY170120C208.5")</f>
        <v>N/A</v>
      </c>
      <c r="H818" t="str">
        <f>RTD("tos.rtd", , "THETA", ".SPY170120C208.5")</f>
        <v>N/A</v>
      </c>
      <c r="I818" t="str">
        <f>RTD("tos.rtd", , "GAMMA", ".SPY170120C208.5")</f>
        <v>N/A</v>
      </c>
      <c r="J818" t="str">
        <f>RTD("tos.rtd", , "VEGA", ".SPY170120C208.5")</f>
        <v>N/A</v>
      </c>
      <c r="K818" t="str">
        <f>RTD("tos.rtd", , "RHO", ".SPY170120C208.5")</f>
        <v>N/A</v>
      </c>
      <c r="L818" t="str">
        <f>RTD("tos.rtd", , "ASK", ".SPY170120P208.5")</f>
        <v>N/A</v>
      </c>
      <c r="M818" t="str">
        <f>RTD("tos.rtd", , "ASK_SIZE", ".SPY170120P208.5")</f>
        <v>N/A</v>
      </c>
      <c r="N818" t="str">
        <f>RTD("tos.rtd", , "BID", ".SPY170120P208.5")</f>
        <v>N/A</v>
      </c>
      <c r="O818" t="str">
        <f>RTD("tos.rtd", , "BID_SIZE", ".SPY170120P208.5")</f>
        <v>N/A</v>
      </c>
      <c r="P818" t="str">
        <f>RTD("tos.rtd", , "VOLUME", ".SPY170120P208.5")</f>
        <v>N/A</v>
      </c>
      <c r="Q818" t="str">
        <f>RTD("tos.rtd", , "OPEN_INT", ".SPY170120P208.5")</f>
        <v>N/A</v>
      </c>
      <c r="R818" t="str">
        <f>RTD("tos.rtd", , "DELTA", ".SPY170120P208.5")</f>
        <v>N/A</v>
      </c>
      <c r="S818" t="str">
        <f>RTD("tos.rtd", , "THETA", ".SPY170120P208.5")</f>
        <v>N/A</v>
      </c>
      <c r="T818" t="str">
        <f>RTD("tos.rtd", , "GAMMA", ".SPY170120P208.5")</f>
        <v>N/A</v>
      </c>
      <c r="U818" t="str">
        <f>RTD("tos.rtd", , "VEGA", ".SPY170120P208.5")</f>
        <v>N/A</v>
      </c>
      <c r="V818" t="str">
        <f>RTD("tos.rtd", , "RHO", ".SPY170120P208.5")</f>
        <v>N/A</v>
      </c>
    </row>
    <row r="819" spans="1:22" x14ac:dyDescent="0.25">
      <c r="A819" t="str">
        <f>RTD("tos.rtd", , "ASK", ".SPY170120C209")</f>
        <v>N/A</v>
      </c>
      <c r="B819" t="str">
        <f>RTD("tos.rtd", , "ASK_SIZE", ".SPY170120C209")</f>
        <v>N/A</v>
      </c>
      <c r="C819" t="str">
        <f>RTD("tos.rtd", , "BID", ".SPY170120C209")</f>
        <v>N/A</v>
      </c>
      <c r="D819" t="str">
        <f>RTD("tos.rtd", , "BID_SIZE", ".SPY170120C209")</f>
        <v>N/A</v>
      </c>
      <c r="E819" t="str">
        <f>RTD("tos.rtd", , "VOLUME", ".SPY170120C209")</f>
        <v>N/A</v>
      </c>
      <c r="F819" t="str">
        <f>RTD("tos.rtd", , "OPEN_INT", ".SPY170120C209")</f>
        <v>N/A</v>
      </c>
      <c r="G819" t="str">
        <f>RTD("tos.rtd", , "DELTA", ".SPY170120C209")</f>
        <v>N/A</v>
      </c>
      <c r="H819" t="str">
        <f>RTD("tos.rtd", , "THETA", ".SPY170120C209")</f>
        <v>N/A</v>
      </c>
      <c r="I819" t="str">
        <f>RTD("tos.rtd", , "GAMMA", ".SPY170120C209")</f>
        <v>N/A</v>
      </c>
      <c r="J819" t="str">
        <f>RTD("tos.rtd", , "VEGA", ".SPY170120C209")</f>
        <v>N/A</v>
      </c>
      <c r="K819" t="str">
        <f>RTD("tos.rtd", , "RHO", ".SPY170120C209")</f>
        <v>N/A</v>
      </c>
      <c r="L819" t="str">
        <f>RTD("tos.rtd", , "ASK", ".SPY170120P209")</f>
        <v>N/A</v>
      </c>
      <c r="M819" t="str">
        <f>RTD("tos.rtd", , "ASK_SIZE", ".SPY170120P209")</f>
        <v>N/A</v>
      </c>
      <c r="N819" t="str">
        <f>RTD("tos.rtd", , "BID", ".SPY170120P209")</f>
        <v>N/A</v>
      </c>
      <c r="O819" t="str">
        <f>RTD("tos.rtd", , "BID_SIZE", ".SPY170120P209")</f>
        <v>N/A</v>
      </c>
      <c r="P819" t="str">
        <f>RTD("tos.rtd", , "VOLUME", ".SPY170120P209")</f>
        <v>N/A</v>
      </c>
      <c r="Q819" t="str">
        <f>RTD("tos.rtd", , "OPEN_INT", ".SPY170120P209")</f>
        <v>N/A</v>
      </c>
      <c r="R819" t="str">
        <f>RTD("tos.rtd", , "DELTA", ".SPY170120P209")</f>
        <v>N/A</v>
      </c>
      <c r="S819" t="str">
        <f>RTD("tos.rtd", , "THETA", ".SPY170120P209")</f>
        <v>N/A</v>
      </c>
      <c r="T819" t="str">
        <f>RTD("tos.rtd", , "GAMMA", ".SPY170120P209")</f>
        <v>N/A</v>
      </c>
      <c r="U819" t="str">
        <f>RTD("tos.rtd", , "VEGA", ".SPY170120P209")</f>
        <v>N/A</v>
      </c>
      <c r="V819" t="str">
        <f>RTD("tos.rtd", , "RHO", ".SPY170120P209")</f>
        <v>N/A</v>
      </c>
    </row>
    <row r="820" spans="1:22" x14ac:dyDescent="0.25">
      <c r="A820" t="str">
        <f>RTD("tos.rtd", , "ASK", ".SPY170120C209.5")</f>
        <v>N/A</v>
      </c>
      <c r="B820" t="str">
        <f>RTD("tos.rtd", , "ASK_SIZE", ".SPY170120C209.5")</f>
        <v>N/A</v>
      </c>
      <c r="C820" t="str">
        <f>RTD("tos.rtd", , "BID", ".SPY170120C209.5")</f>
        <v>N/A</v>
      </c>
      <c r="D820" t="str">
        <f>RTD("tos.rtd", , "BID_SIZE", ".SPY170120C209.5")</f>
        <v>N/A</v>
      </c>
      <c r="E820" t="str">
        <f>RTD("tos.rtd", , "VOLUME", ".SPY170120C209.5")</f>
        <v>N/A</v>
      </c>
      <c r="F820" t="str">
        <f>RTD("tos.rtd", , "OPEN_INT", ".SPY170120C209.5")</f>
        <v>N/A</v>
      </c>
      <c r="G820" t="str">
        <f>RTD("tos.rtd", , "DELTA", ".SPY170120C209.5")</f>
        <v>N/A</v>
      </c>
      <c r="H820" t="str">
        <f>RTD("tos.rtd", , "THETA", ".SPY170120C209.5")</f>
        <v>N/A</v>
      </c>
      <c r="I820" t="str">
        <f>RTD("tos.rtd", , "GAMMA", ".SPY170120C209.5")</f>
        <v>N/A</v>
      </c>
      <c r="J820" t="str">
        <f>RTD("tos.rtd", , "VEGA", ".SPY170120C209.5")</f>
        <v>N/A</v>
      </c>
      <c r="K820" t="str">
        <f>RTD("tos.rtd", , "RHO", ".SPY170120C209.5")</f>
        <v>N/A</v>
      </c>
      <c r="L820" t="str">
        <f>RTD("tos.rtd", , "ASK", ".SPY170120P209.5")</f>
        <v>N/A</v>
      </c>
      <c r="M820" t="str">
        <f>RTD("tos.rtd", , "ASK_SIZE", ".SPY170120P209.5")</f>
        <v>N/A</v>
      </c>
      <c r="N820" t="str">
        <f>RTD("tos.rtd", , "BID", ".SPY170120P209.5")</f>
        <v>N/A</v>
      </c>
      <c r="O820" t="str">
        <f>RTD("tos.rtd", , "BID_SIZE", ".SPY170120P209.5")</f>
        <v>N/A</v>
      </c>
      <c r="P820" t="str">
        <f>RTD("tos.rtd", , "VOLUME", ".SPY170120P209.5")</f>
        <v>N/A</v>
      </c>
      <c r="Q820" t="str">
        <f>RTD("tos.rtd", , "OPEN_INT", ".SPY170120P209.5")</f>
        <v>N/A</v>
      </c>
      <c r="R820" t="str">
        <f>RTD("tos.rtd", , "DELTA", ".SPY170120P209.5")</f>
        <v>N/A</v>
      </c>
      <c r="S820" t="str">
        <f>RTD("tos.rtd", , "THETA", ".SPY170120P209.5")</f>
        <v>N/A</v>
      </c>
      <c r="T820" t="str">
        <f>RTD("tos.rtd", , "GAMMA", ".SPY170120P209.5")</f>
        <v>N/A</v>
      </c>
      <c r="U820" t="str">
        <f>RTD("tos.rtd", , "VEGA", ".SPY170120P209.5")</f>
        <v>N/A</v>
      </c>
      <c r="V820" t="str">
        <f>RTD("tos.rtd", , "RHO", ".SPY170120P209.5")</f>
        <v>N/A</v>
      </c>
    </row>
    <row r="821" spans="1:22" x14ac:dyDescent="0.25">
      <c r="A821">
        <f>RTD("tos.rtd", , "ASK", ".SPY170120C210")</f>
        <v>18.13</v>
      </c>
      <c r="B821">
        <f>RTD("tos.rtd", , "ASK_SIZE", ".SPY170120C210")</f>
        <v>60</v>
      </c>
      <c r="C821">
        <f>RTD("tos.rtd", , "BID", ".SPY170120C210")</f>
        <v>17.739999999999998</v>
      </c>
      <c r="D821">
        <f>RTD("tos.rtd", , "BID_SIZE", ".SPY170120C210")</f>
        <v>994</v>
      </c>
      <c r="E821">
        <f>RTD("tos.rtd", , "VOLUME", ".SPY170120C210")</f>
        <v>7</v>
      </c>
      <c r="F821">
        <f>RTD("tos.rtd", , "OPEN_INT", ".SPY170120C210")</f>
        <v>965</v>
      </c>
      <c r="G821">
        <f>RTD("tos.rtd", , "DELTA", ".SPY170120C210")</f>
        <v>0.51798999999999995</v>
      </c>
      <c r="H821">
        <f>RTD("tos.rtd", , "THETA", ".SPY170120C210")</f>
        <v>-1.1730000000000001E-2</v>
      </c>
      <c r="I821">
        <f>RTD("tos.rtd", , "GAMMA", ".SPY170120C210")</f>
        <v>8.4399999999999996E-3</v>
      </c>
      <c r="J821">
        <f>RTD("tos.rtd", , "VEGA", ".SPY170120C210")</f>
        <v>1.0723800000000001</v>
      </c>
      <c r="K821">
        <f>RTD("tos.rtd", , "RHO", ".SPY170120C210")</f>
        <v>1.2954399999999999</v>
      </c>
      <c r="L821">
        <f>RTD("tos.rtd", , "ASK", ".SPY170120P210")</f>
        <v>20.6</v>
      </c>
      <c r="M821">
        <f>RTD("tos.rtd", , "ASK_SIZE", ".SPY170120P210")</f>
        <v>275</v>
      </c>
      <c r="N821">
        <f>RTD("tos.rtd", , "BID", ".SPY170120P210")</f>
        <v>20.02</v>
      </c>
      <c r="O821">
        <f>RTD("tos.rtd", , "BID_SIZE", ".SPY170120P210")</f>
        <v>1074</v>
      </c>
      <c r="P821">
        <f>RTD("tos.rtd", , "VOLUME", ".SPY170120P210")</f>
        <v>1</v>
      </c>
      <c r="Q821">
        <f>RTD("tos.rtd", , "OPEN_INT", ".SPY170120P210")</f>
        <v>1028</v>
      </c>
      <c r="R821">
        <f>RTD("tos.rtd", , "DELTA", ".SPY170120P210")</f>
        <v>-0.47549999999999998</v>
      </c>
      <c r="S821">
        <f>RTD("tos.rtd", , "THETA", ".SPY170120P210")</f>
        <v>-1.8450000000000001E-2</v>
      </c>
      <c r="T821">
        <f>RTD("tos.rtd", , "GAMMA", ".SPY170120P210")</f>
        <v>8.26E-3</v>
      </c>
      <c r="U821">
        <f>RTD("tos.rtd", , "VEGA", ".SPY170120P210")</f>
        <v>1.07283</v>
      </c>
      <c r="V821">
        <f>RTD("tos.rtd", , "RHO", ".SPY170120P210")</f>
        <v>-2.0709599999999999</v>
      </c>
    </row>
    <row r="822" spans="1:22" x14ac:dyDescent="0.25">
      <c r="A822" t="str">
        <f>RTD("tos.rtd", , "ASK", ".SPY170120C210.5")</f>
        <v>N/A</v>
      </c>
      <c r="B822" t="str">
        <f>RTD("tos.rtd", , "ASK_SIZE", ".SPY170120C210.5")</f>
        <v>N/A</v>
      </c>
      <c r="C822" t="str">
        <f>RTD("tos.rtd", , "BID", ".SPY170120C210.5")</f>
        <v>N/A</v>
      </c>
      <c r="D822" t="str">
        <f>RTD("tos.rtd", , "BID_SIZE", ".SPY170120C210.5")</f>
        <v>N/A</v>
      </c>
      <c r="E822" t="str">
        <f>RTD("tos.rtd", , "VOLUME", ".SPY170120C210.5")</f>
        <v>N/A</v>
      </c>
      <c r="F822" t="str">
        <f>RTD("tos.rtd", , "OPEN_INT", ".SPY170120C210.5")</f>
        <v>N/A</v>
      </c>
      <c r="G822" t="str">
        <f>RTD("tos.rtd", , "DELTA", ".SPY170120C210.5")</f>
        <v>N/A</v>
      </c>
      <c r="H822" t="str">
        <f>RTD("tos.rtd", , "THETA", ".SPY170120C210.5")</f>
        <v>N/A</v>
      </c>
      <c r="I822" t="str">
        <f>RTD("tos.rtd", , "GAMMA", ".SPY170120C210.5")</f>
        <v>N/A</v>
      </c>
      <c r="J822" t="str">
        <f>RTD("tos.rtd", , "VEGA", ".SPY170120C210.5")</f>
        <v>N/A</v>
      </c>
      <c r="K822" t="str">
        <f>RTD("tos.rtd", , "RHO", ".SPY170120C210.5")</f>
        <v>N/A</v>
      </c>
      <c r="L822" t="str">
        <f>RTD("tos.rtd", , "ASK", ".SPY170120P210.5")</f>
        <v>N/A</v>
      </c>
      <c r="M822" t="str">
        <f>RTD("tos.rtd", , "ASK_SIZE", ".SPY170120P210.5")</f>
        <v>N/A</v>
      </c>
      <c r="N822" t="str">
        <f>RTD("tos.rtd", , "BID", ".SPY170120P210.5")</f>
        <v>N/A</v>
      </c>
      <c r="O822" t="str">
        <f>RTD("tos.rtd", , "BID_SIZE", ".SPY170120P210.5")</f>
        <v>N/A</v>
      </c>
      <c r="P822" t="str">
        <f>RTD("tos.rtd", , "VOLUME", ".SPY170120P210.5")</f>
        <v>N/A</v>
      </c>
      <c r="Q822" t="str">
        <f>RTD("tos.rtd", , "OPEN_INT", ".SPY170120P210.5")</f>
        <v>N/A</v>
      </c>
      <c r="R822" t="str">
        <f>RTD("tos.rtd", , "DELTA", ".SPY170120P210.5")</f>
        <v>N/A</v>
      </c>
      <c r="S822" t="str">
        <f>RTD("tos.rtd", , "THETA", ".SPY170120P210.5")</f>
        <v>N/A</v>
      </c>
      <c r="T822" t="str">
        <f>RTD("tos.rtd", , "GAMMA", ".SPY170120P210.5")</f>
        <v>N/A</v>
      </c>
      <c r="U822" t="str">
        <f>RTD("tos.rtd", , "VEGA", ".SPY170120P210.5")</f>
        <v>N/A</v>
      </c>
      <c r="V822" t="str">
        <f>RTD("tos.rtd", , "RHO", ".SPY170120P210.5")</f>
        <v>N/A</v>
      </c>
    </row>
    <row r="823" spans="1:22" x14ac:dyDescent="0.25">
      <c r="A823" t="str">
        <f>RTD("tos.rtd", , "ASK", ".SPY170120C211")</f>
        <v>N/A</v>
      </c>
      <c r="B823" t="str">
        <f>RTD("tos.rtd", , "ASK_SIZE", ".SPY170120C211")</f>
        <v>N/A</v>
      </c>
      <c r="C823" t="str">
        <f>RTD("tos.rtd", , "BID", ".SPY170120C211")</f>
        <v>N/A</v>
      </c>
      <c r="D823" t="str">
        <f>RTD("tos.rtd", , "BID_SIZE", ".SPY170120C211")</f>
        <v>N/A</v>
      </c>
      <c r="E823" t="str">
        <f>RTD("tos.rtd", , "VOLUME", ".SPY170120C211")</f>
        <v>N/A</v>
      </c>
      <c r="F823" t="str">
        <f>RTD("tos.rtd", , "OPEN_INT", ".SPY170120C211")</f>
        <v>N/A</v>
      </c>
      <c r="G823" t="str">
        <f>RTD("tos.rtd", , "DELTA", ".SPY170120C211")</f>
        <v>N/A</v>
      </c>
      <c r="H823" t="str">
        <f>RTD("tos.rtd", , "THETA", ".SPY170120C211")</f>
        <v>N/A</v>
      </c>
      <c r="I823" t="str">
        <f>RTD("tos.rtd", , "GAMMA", ".SPY170120C211")</f>
        <v>N/A</v>
      </c>
      <c r="J823" t="str">
        <f>RTD("tos.rtd", , "VEGA", ".SPY170120C211")</f>
        <v>N/A</v>
      </c>
      <c r="K823" t="str">
        <f>RTD("tos.rtd", , "RHO", ".SPY170120C211")</f>
        <v>N/A</v>
      </c>
      <c r="L823" t="str">
        <f>RTD("tos.rtd", , "ASK", ".SPY170120P211")</f>
        <v>N/A</v>
      </c>
      <c r="M823" t="str">
        <f>RTD("tos.rtd", , "ASK_SIZE", ".SPY170120P211")</f>
        <v>N/A</v>
      </c>
      <c r="N823" t="str">
        <f>RTD("tos.rtd", , "BID", ".SPY170120P211")</f>
        <v>N/A</v>
      </c>
      <c r="O823" t="str">
        <f>RTD("tos.rtd", , "BID_SIZE", ".SPY170120P211")</f>
        <v>N/A</v>
      </c>
      <c r="P823" t="str">
        <f>RTD("tos.rtd", , "VOLUME", ".SPY170120P211")</f>
        <v>N/A</v>
      </c>
      <c r="Q823" t="str">
        <f>RTD("tos.rtd", , "OPEN_INT", ".SPY170120P211")</f>
        <v>N/A</v>
      </c>
      <c r="R823" t="str">
        <f>RTD("tos.rtd", , "DELTA", ".SPY170120P211")</f>
        <v>N/A</v>
      </c>
      <c r="S823" t="str">
        <f>RTD("tos.rtd", , "THETA", ".SPY170120P211")</f>
        <v>N/A</v>
      </c>
      <c r="T823" t="str">
        <f>RTD("tos.rtd", , "GAMMA", ".SPY170120P211")</f>
        <v>N/A</v>
      </c>
      <c r="U823" t="str">
        <f>RTD("tos.rtd", , "VEGA", ".SPY170120P211")</f>
        <v>N/A</v>
      </c>
      <c r="V823" t="str">
        <f>RTD("tos.rtd", , "RHO", ".SPY170120P211")</f>
        <v>N/A</v>
      </c>
    </row>
    <row r="824" spans="1:22" x14ac:dyDescent="0.25">
      <c r="A824" t="str">
        <f>RTD("tos.rtd", , "ASK", ".SPY170120C211.5")</f>
        <v>N/A</v>
      </c>
      <c r="B824" t="str">
        <f>RTD("tos.rtd", , "ASK_SIZE", ".SPY170120C211.5")</f>
        <v>N/A</v>
      </c>
      <c r="C824" t="str">
        <f>RTD("tos.rtd", , "BID", ".SPY170120C211.5")</f>
        <v>N/A</v>
      </c>
      <c r="D824" t="str">
        <f>RTD("tos.rtd", , "BID_SIZE", ".SPY170120C211.5")</f>
        <v>N/A</v>
      </c>
      <c r="E824" t="str">
        <f>RTD("tos.rtd", , "VOLUME", ".SPY170120C211.5")</f>
        <v>N/A</v>
      </c>
      <c r="F824" t="str">
        <f>RTD("tos.rtd", , "OPEN_INT", ".SPY170120C211.5")</f>
        <v>N/A</v>
      </c>
      <c r="G824" t="str">
        <f>RTD("tos.rtd", , "DELTA", ".SPY170120C211.5")</f>
        <v>N/A</v>
      </c>
      <c r="H824" t="str">
        <f>RTD("tos.rtd", , "THETA", ".SPY170120C211.5")</f>
        <v>N/A</v>
      </c>
      <c r="I824" t="str">
        <f>RTD("tos.rtd", , "GAMMA", ".SPY170120C211.5")</f>
        <v>N/A</v>
      </c>
      <c r="J824" t="str">
        <f>RTD("tos.rtd", , "VEGA", ".SPY170120C211.5")</f>
        <v>N/A</v>
      </c>
      <c r="K824" t="str">
        <f>RTD("tos.rtd", , "RHO", ".SPY170120C211.5")</f>
        <v>N/A</v>
      </c>
      <c r="L824" t="str">
        <f>RTD("tos.rtd", , "ASK", ".SPY170120P211.5")</f>
        <v>N/A</v>
      </c>
      <c r="M824" t="str">
        <f>RTD("tos.rtd", , "ASK_SIZE", ".SPY170120P211.5")</f>
        <v>N/A</v>
      </c>
      <c r="N824" t="str">
        <f>RTD("tos.rtd", , "BID", ".SPY170120P211.5")</f>
        <v>N/A</v>
      </c>
      <c r="O824" t="str">
        <f>RTD("tos.rtd", , "BID_SIZE", ".SPY170120P211.5")</f>
        <v>N/A</v>
      </c>
      <c r="P824" t="str">
        <f>RTD("tos.rtd", , "VOLUME", ".SPY170120P211.5")</f>
        <v>N/A</v>
      </c>
      <c r="Q824" t="str">
        <f>RTD("tos.rtd", , "OPEN_INT", ".SPY170120P211.5")</f>
        <v>N/A</v>
      </c>
      <c r="R824" t="str">
        <f>RTD("tos.rtd", , "DELTA", ".SPY170120P211.5")</f>
        <v>N/A</v>
      </c>
      <c r="S824" t="str">
        <f>RTD("tos.rtd", , "THETA", ".SPY170120P211.5")</f>
        <v>N/A</v>
      </c>
      <c r="T824" t="str">
        <f>RTD("tos.rtd", , "GAMMA", ".SPY170120P211.5")</f>
        <v>N/A</v>
      </c>
      <c r="U824" t="str">
        <f>RTD("tos.rtd", , "VEGA", ".SPY170120P211.5")</f>
        <v>N/A</v>
      </c>
      <c r="V824" t="str">
        <f>RTD("tos.rtd", , "RHO", ".SPY170120P211.5")</f>
        <v>N/A</v>
      </c>
    </row>
    <row r="825" spans="1:22" x14ac:dyDescent="0.25">
      <c r="A825" t="str">
        <f>RTD("tos.rtd", , "ASK", ".SPY170120C212")</f>
        <v>N/A</v>
      </c>
      <c r="B825" t="str">
        <f>RTD("tos.rtd", , "ASK_SIZE", ".SPY170120C212")</f>
        <v>N/A</v>
      </c>
      <c r="C825" t="str">
        <f>RTD("tos.rtd", , "BID", ".SPY170120C212")</f>
        <v>N/A</v>
      </c>
      <c r="D825" t="str">
        <f>RTD("tos.rtd", , "BID_SIZE", ".SPY170120C212")</f>
        <v>N/A</v>
      </c>
      <c r="E825" t="str">
        <f>RTD("tos.rtd", , "VOLUME", ".SPY170120C212")</f>
        <v>N/A</v>
      </c>
      <c r="F825" t="str">
        <f>RTD("tos.rtd", , "OPEN_INT", ".SPY170120C212")</f>
        <v>N/A</v>
      </c>
      <c r="G825" t="str">
        <f>RTD("tos.rtd", , "DELTA", ".SPY170120C212")</f>
        <v>N/A</v>
      </c>
      <c r="H825" t="str">
        <f>RTD("tos.rtd", , "THETA", ".SPY170120C212")</f>
        <v>N/A</v>
      </c>
      <c r="I825" t="str">
        <f>RTD("tos.rtd", , "GAMMA", ".SPY170120C212")</f>
        <v>N/A</v>
      </c>
      <c r="J825" t="str">
        <f>RTD("tos.rtd", , "VEGA", ".SPY170120C212")</f>
        <v>N/A</v>
      </c>
      <c r="K825" t="str">
        <f>RTD("tos.rtd", , "RHO", ".SPY170120C212")</f>
        <v>N/A</v>
      </c>
      <c r="L825" t="str">
        <f>RTD("tos.rtd", , "ASK", ".SPY170120P212")</f>
        <v>N/A</v>
      </c>
      <c r="M825" t="str">
        <f>RTD("tos.rtd", , "ASK_SIZE", ".SPY170120P212")</f>
        <v>N/A</v>
      </c>
      <c r="N825" t="str">
        <f>RTD("tos.rtd", , "BID", ".SPY170120P212")</f>
        <v>N/A</v>
      </c>
      <c r="O825" t="str">
        <f>RTD("tos.rtd", , "BID_SIZE", ".SPY170120P212")</f>
        <v>N/A</v>
      </c>
      <c r="P825" t="str">
        <f>RTD("tos.rtd", , "VOLUME", ".SPY170120P212")</f>
        <v>N/A</v>
      </c>
      <c r="Q825" t="str">
        <f>RTD("tos.rtd", , "OPEN_INT", ".SPY170120P212")</f>
        <v>N/A</v>
      </c>
      <c r="R825" t="str">
        <f>RTD("tos.rtd", , "DELTA", ".SPY170120P212")</f>
        <v>N/A</v>
      </c>
      <c r="S825" t="str">
        <f>RTD("tos.rtd", , "THETA", ".SPY170120P212")</f>
        <v>N/A</v>
      </c>
      <c r="T825" t="str">
        <f>RTD("tos.rtd", , "GAMMA", ".SPY170120P212")</f>
        <v>N/A</v>
      </c>
      <c r="U825" t="str">
        <f>RTD("tos.rtd", , "VEGA", ".SPY170120P212")</f>
        <v>N/A</v>
      </c>
      <c r="V825" t="str">
        <f>RTD("tos.rtd", , "RHO", ".SPY170120P212")</f>
        <v>N/A</v>
      </c>
    </row>
    <row r="826" spans="1:22" x14ac:dyDescent="0.25">
      <c r="A826" t="str">
        <f>RTD("tos.rtd", , "ASK", ".SPY170120C212.5")</f>
        <v>N/A</v>
      </c>
      <c r="B826" t="str">
        <f>RTD("tos.rtd", , "ASK_SIZE", ".SPY170120C212.5")</f>
        <v>N/A</v>
      </c>
      <c r="C826" t="str">
        <f>RTD("tos.rtd", , "BID", ".SPY170120C212.5")</f>
        <v>N/A</v>
      </c>
      <c r="D826" t="str">
        <f>RTD("tos.rtd", , "BID_SIZE", ".SPY170120C212.5")</f>
        <v>N/A</v>
      </c>
      <c r="E826" t="str">
        <f>RTD("tos.rtd", , "VOLUME", ".SPY170120C212.5")</f>
        <v>N/A</v>
      </c>
      <c r="F826" t="str">
        <f>RTD("tos.rtd", , "OPEN_INT", ".SPY170120C212.5")</f>
        <v>N/A</v>
      </c>
      <c r="G826" t="str">
        <f>RTD("tos.rtd", , "DELTA", ".SPY170120C212.5")</f>
        <v>N/A</v>
      </c>
      <c r="H826" t="str">
        <f>RTD("tos.rtd", , "THETA", ".SPY170120C212.5")</f>
        <v>N/A</v>
      </c>
      <c r="I826" t="str">
        <f>RTD("tos.rtd", , "GAMMA", ".SPY170120C212.5")</f>
        <v>N/A</v>
      </c>
      <c r="J826" t="str">
        <f>RTD("tos.rtd", , "VEGA", ".SPY170120C212.5")</f>
        <v>N/A</v>
      </c>
      <c r="K826" t="str">
        <f>RTD("tos.rtd", , "RHO", ".SPY170120C212.5")</f>
        <v>N/A</v>
      </c>
      <c r="L826" t="str">
        <f>RTD("tos.rtd", , "ASK", ".SPY170120P212.5")</f>
        <v>N/A</v>
      </c>
      <c r="M826" t="str">
        <f>RTD("tos.rtd", , "ASK_SIZE", ".SPY170120P212.5")</f>
        <v>N/A</v>
      </c>
      <c r="N826" t="str">
        <f>RTD("tos.rtd", , "BID", ".SPY170120P212.5")</f>
        <v>N/A</v>
      </c>
      <c r="O826" t="str">
        <f>RTD("tos.rtd", , "BID_SIZE", ".SPY170120P212.5")</f>
        <v>N/A</v>
      </c>
      <c r="P826" t="str">
        <f>RTD("tos.rtd", , "VOLUME", ".SPY170120P212.5")</f>
        <v>N/A</v>
      </c>
      <c r="Q826" t="str">
        <f>RTD("tos.rtd", , "OPEN_INT", ".SPY170120P212.5")</f>
        <v>N/A</v>
      </c>
      <c r="R826" t="str">
        <f>RTD("tos.rtd", , "DELTA", ".SPY170120P212.5")</f>
        <v>N/A</v>
      </c>
      <c r="S826" t="str">
        <f>RTD("tos.rtd", , "THETA", ".SPY170120P212.5")</f>
        <v>N/A</v>
      </c>
      <c r="T826" t="str">
        <f>RTD("tos.rtd", , "GAMMA", ".SPY170120P212.5")</f>
        <v>N/A</v>
      </c>
      <c r="U826" t="str">
        <f>RTD("tos.rtd", , "VEGA", ".SPY170120P212.5")</f>
        <v>N/A</v>
      </c>
      <c r="V826" t="str">
        <f>RTD("tos.rtd", , "RHO", ".SPY170120P212.5")</f>
        <v>N/A</v>
      </c>
    </row>
    <row r="827" spans="1:22" x14ac:dyDescent="0.25">
      <c r="A827" t="str">
        <f>RTD("tos.rtd", , "ASK", ".SPY170120C213")</f>
        <v>N/A</v>
      </c>
      <c r="B827" t="str">
        <f>RTD("tos.rtd", , "ASK_SIZE", ".SPY170120C213")</f>
        <v>N/A</v>
      </c>
      <c r="C827" t="str">
        <f>RTD("tos.rtd", , "BID", ".SPY170120C213")</f>
        <v>N/A</v>
      </c>
      <c r="D827" t="str">
        <f>RTD("tos.rtd", , "BID_SIZE", ".SPY170120C213")</f>
        <v>N/A</v>
      </c>
      <c r="E827" t="str">
        <f>RTD("tos.rtd", , "VOLUME", ".SPY170120C213")</f>
        <v>N/A</v>
      </c>
      <c r="F827" t="str">
        <f>RTD("tos.rtd", , "OPEN_INT", ".SPY170120C213")</f>
        <v>N/A</v>
      </c>
      <c r="G827" t="str">
        <f>RTD("tos.rtd", , "DELTA", ".SPY170120C213")</f>
        <v>N/A</v>
      </c>
      <c r="H827" t="str">
        <f>RTD("tos.rtd", , "THETA", ".SPY170120C213")</f>
        <v>N/A</v>
      </c>
      <c r="I827" t="str">
        <f>RTD("tos.rtd", , "GAMMA", ".SPY170120C213")</f>
        <v>N/A</v>
      </c>
      <c r="J827" t="str">
        <f>RTD("tos.rtd", , "VEGA", ".SPY170120C213")</f>
        <v>N/A</v>
      </c>
      <c r="K827" t="str">
        <f>RTD("tos.rtd", , "RHO", ".SPY170120C213")</f>
        <v>N/A</v>
      </c>
      <c r="L827" t="str">
        <f>RTD("tos.rtd", , "ASK", ".SPY170120P213")</f>
        <v>N/A</v>
      </c>
      <c r="M827" t="str">
        <f>RTD("tos.rtd", , "ASK_SIZE", ".SPY170120P213")</f>
        <v>N/A</v>
      </c>
      <c r="N827" t="str">
        <f>RTD("tos.rtd", , "BID", ".SPY170120P213")</f>
        <v>N/A</v>
      </c>
      <c r="O827" t="str">
        <f>RTD("tos.rtd", , "BID_SIZE", ".SPY170120P213")</f>
        <v>N/A</v>
      </c>
      <c r="P827" t="str">
        <f>RTD("tos.rtd", , "VOLUME", ".SPY170120P213")</f>
        <v>N/A</v>
      </c>
      <c r="Q827" t="str">
        <f>RTD("tos.rtd", , "OPEN_INT", ".SPY170120P213")</f>
        <v>N/A</v>
      </c>
      <c r="R827" t="str">
        <f>RTD("tos.rtd", , "DELTA", ".SPY170120P213")</f>
        <v>N/A</v>
      </c>
      <c r="S827" t="str">
        <f>RTD("tos.rtd", , "THETA", ".SPY170120P213")</f>
        <v>N/A</v>
      </c>
      <c r="T827" t="str">
        <f>RTD("tos.rtd", , "GAMMA", ".SPY170120P213")</f>
        <v>N/A</v>
      </c>
      <c r="U827" t="str">
        <f>RTD("tos.rtd", , "VEGA", ".SPY170120P213")</f>
        <v>N/A</v>
      </c>
      <c r="V827" t="str">
        <f>RTD("tos.rtd", , "RHO", ".SPY170120P213")</f>
        <v>N/A</v>
      </c>
    </row>
    <row r="828" spans="1:22" x14ac:dyDescent="0.25">
      <c r="A828" t="str">
        <f>RTD("tos.rtd", , "ASK", ".SPY170120C213.5")</f>
        <v>N/A</v>
      </c>
      <c r="B828" t="str">
        <f>RTD("tos.rtd", , "ASK_SIZE", ".SPY170120C213.5")</f>
        <v>N/A</v>
      </c>
      <c r="C828" t="str">
        <f>RTD("tos.rtd", , "BID", ".SPY170120C213.5")</f>
        <v>N/A</v>
      </c>
      <c r="D828" t="str">
        <f>RTD("tos.rtd", , "BID_SIZE", ".SPY170120C213.5")</f>
        <v>N/A</v>
      </c>
      <c r="E828" t="str">
        <f>RTD("tos.rtd", , "VOLUME", ".SPY170120C213.5")</f>
        <v>N/A</v>
      </c>
      <c r="F828" t="str">
        <f>RTD("tos.rtd", , "OPEN_INT", ".SPY170120C213.5")</f>
        <v>N/A</v>
      </c>
      <c r="G828" t="str">
        <f>RTD("tos.rtd", , "DELTA", ".SPY170120C213.5")</f>
        <v>N/A</v>
      </c>
      <c r="H828" t="str">
        <f>RTD("tos.rtd", , "THETA", ".SPY170120C213.5")</f>
        <v>N/A</v>
      </c>
      <c r="I828" t="str">
        <f>RTD("tos.rtd", , "GAMMA", ".SPY170120C213.5")</f>
        <v>N/A</v>
      </c>
      <c r="J828" t="str">
        <f>RTD("tos.rtd", , "VEGA", ".SPY170120C213.5")</f>
        <v>N/A</v>
      </c>
      <c r="K828" t="str">
        <f>RTD("tos.rtd", , "RHO", ".SPY170120C213.5")</f>
        <v>N/A</v>
      </c>
      <c r="L828" t="str">
        <f>RTD("tos.rtd", , "ASK", ".SPY170120P213.5")</f>
        <v>N/A</v>
      </c>
      <c r="M828" t="str">
        <f>RTD("tos.rtd", , "ASK_SIZE", ".SPY170120P213.5")</f>
        <v>N/A</v>
      </c>
      <c r="N828" t="str">
        <f>RTD("tos.rtd", , "BID", ".SPY170120P213.5")</f>
        <v>N/A</v>
      </c>
      <c r="O828" t="str">
        <f>RTD("tos.rtd", , "BID_SIZE", ".SPY170120P213.5")</f>
        <v>N/A</v>
      </c>
      <c r="P828" t="str">
        <f>RTD("tos.rtd", , "VOLUME", ".SPY170120P213.5")</f>
        <v>N/A</v>
      </c>
      <c r="Q828" t="str">
        <f>RTD("tos.rtd", , "OPEN_INT", ".SPY170120P213.5")</f>
        <v>N/A</v>
      </c>
      <c r="R828" t="str">
        <f>RTD("tos.rtd", , "DELTA", ".SPY170120P213.5")</f>
        <v>N/A</v>
      </c>
      <c r="S828" t="str">
        <f>RTD("tos.rtd", , "THETA", ".SPY170120P213.5")</f>
        <v>N/A</v>
      </c>
      <c r="T828" t="str">
        <f>RTD("tos.rtd", , "GAMMA", ".SPY170120P213.5")</f>
        <v>N/A</v>
      </c>
      <c r="U828" t="str">
        <f>RTD("tos.rtd", , "VEGA", ".SPY170120P213.5")</f>
        <v>N/A</v>
      </c>
      <c r="V828" t="str">
        <f>RTD("tos.rtd", , "RHO", ".SPY170120P213.5")</f>
        <v>N/A</v>
      </c>
    </row>
    <row r="829" spans="1:22" x14ac:dyDescent="0.25">
      <c r="A829" t="str">
        <f>RTD("tos.rtd", , "ASK", ".SPY170120C214")</f>
        <v>N/A</v>
      </c>
      <c r="B829" t="str">
        <f>RTD("tos.rtd", , "ASK_SIZE", ".SPY170120C214")</f>
        <v>N/A</v>
      </c>
      <c r="C829" t="str">
        <f>RTD("tos.rtd", , "BID", ".SPY170120C214")</f>
        <v>N/A</v>
      </c>
      <c r="D829" t="str">
        <f>RTD("tos.rtd", , "BID_SIZE", ".SPY170120C214")</f>
        <v>N/A</v>
      </c>
      <c r="E829" t="str">
        <f>RTD("tos.rtd", , "VOLUME", ".SPY170120C214")</f>
        <v>N/A</v>
      </c>
      <c r="F829" t="str">
        <f>RTD("tos.rtd", , "OPEN_INT", ".SPY170120C214")</f>
        <v>N/A</v>
      </c>
      <c r="G829" t="str">
        <f>RTD("tos.rtd", , "DELTA", ".SPY170120C214")</f>
        <v>N/A</v>
      </c>
      <c r="H829" t="str">
        <f>RTD("tos.rtd", , "THETA", ".SPY170120C214")</f>
        <v>N/A</v>
      </c>
      <c r="I829" t="str">
        <f>RTD("tos.rtd", , "GAMMA", ".SPY170120C214")</f>
        <v>N/A</v>
      </c>
      <c r="J829" t="str">
        <f>RTD("tos.rtd", , "VEGA", ".SPY170120C214")</f>
        <v>N/A</v>
      </c>
      <c r="K829" t="str">
        <f>RTD("tos.rtd", , "RHO", ".SPY170120C214")</f>
        <v>N/A</v>
      </c>
      <c r="L829" t="str">
        <f>RTD("tos.rtd", , "ASK", ".SPY170120P214")</f>
        <v>N/A</v>
      </c>
      <c r="M829" t="str">
        <f>RTD("tos.rtd", , "ASK_SIZE", ".SPY170120P214")</f>
        <v>N/A</v>
      </c>
      <c r="N829" t="str">
        <f>RTD("tos.rtd", , "BID", ".SPY170120P214")</f>
        <v>N/A</v>
      </c>
      <c r="O829" t="str">
        <f>RTD("tos.rtd", , "BID_SIZE", ".SPY170120P214")</f>
        <v>N/A</v>
      </c>
      <c r="P829" t="str">
        <f>RTD("tos.rtd", , "VOLUME", ".SPY170120P214")</f>
        <v>N/A</v>
      </c>
      <c r="Q829" t="str">
        <f>RTD("tos.rtd", , "OPEN_INT", ".SPY170120P214")</f>
        <v>N/A</v>
      </c>
      <c r="R829" t="str">
        <f>RTD("tos.rtd", , "DELTA", ".SPY170120P214")</f>
        <v>N/A</v>
      </c>
      <c r="S829" t="str">
        <f>RTD("tos.rtd", , "THETA", ".SPY170120P214")</f>
        <v>N/A</v>
      </c>
      <c r="T829" t="str">
        <f>RTD("tos.rtd", , "GAMMA", ".SPY170120P214")</f>
        <v>N/A</v>
      </c>
      <c r="U829" t="str">
        <f>RTD("tos.rtd", , "VEGA", ".SPY170120P214")</f>
        <v>N/A</v>
      </c>
      <c r="V829" t="str">
        <f>RTD("tos.rtd", , "RHO", ".SPY170120P214")</f>
        <v>N/A</v>
      </c>
    </row>
    <row r="830" spans="1:22" x14ac:dyDescent="0.25">
      <c r="A830" t="str">
        <f>RTD("tos.rtd", , "ASK", ".SPY170120C214.5")</f>
        <v>N/A</v>
      </c>
      <c r="B830" t="str">
        <f>RTD("tos.rtd", , "ASK_SIZE", ".SPY170120C214.5")</f>
        <v>N/A</v>
      </c>
      <c r="C830" t="str">
        <f>RTD("tos.rtd", , "BID", ".SPY170120C214.5")</f>
        <v>N/A</v>
      </c>
      <c r="D830" t="str">
        <f>RTD("tos.rtd", , "BID_SIZE", ".SPY170120C214.5")</f>
        <v>N/A</v>
      </c>
      <c r="E830" t="str">
        <f>RTD("tos.rtd", , "VOLUME", ".SPY170120C214.5")</f>
        <v>N/A</v>
      </c>
      <c r="F830" t="str">
        <f>RTD("tos.rtd", , "OPEN_INT", ".SPY170120C214.5")</f>
        <v>N/A</v>
      </c>
      <c r="G830" t="str">
        <f>RTD("tos.rtd", , "DELTA", ".SPY170120C214.5")</f>
        <v>N/A</v>
      </c>
      <c r="H830" t="str">
        <f>RTD("tos.rtd", , "THETA", ".SPY170120C214.5")</f>
        <v>N/A</v>
      </c>
      <c r="I830" t="str">
        <f>RTD("tos.rtd", , "GAMMA", ".SPY170120C214.5")</f>
        <v>N/A</v>
      </c>
      <c r="J830" t="str">
        <f>RTD("tos.rtd", , "VEGA", ".SPY170120C214.5")</f>
        <v>N/A</v>
      </c>
      <c r="K830" t="str">
        <f>RTD("tos.rtd", , "RHO", ".SPY170120C214.5")</f>
        <v>N/A</v>
      </c>
      <c r="L830" t="str">
        <f>RTD("tos.rtd", , "ASK", ".SPY170120P214.5")</f>
        <v>N/A</v>
      </c>
      <c r="M830" t="str">
        <f>RTD("tos.rtd", , "ASK_SIZE", ".SPY170120P214.5")</f>
        <v>N/A</v>
      </c>
      <c r="N830" t="str">
        <f>RTD("tos.rtd", , "BID", ".SPY170120P214.5")</f>
        <v>N/A</v>
      </c>
      <c r="O830" t="str">
        <f>RTD("tos.rtd", , "BID_SIZE", ".SPY170120P214.5")</f>
        <v>N/A</v>
      </c>
      <c r="P830" t="str">
        <f>RTD("tos.rtd", , "VOLUME", ".SPY170120P214.5")</f>
        <v>N/A</v>
      </c>
      <c r="Q830" t="str">
        <f>RTD("tos.rtd", , "OPEN_INT", ".SPY170120P214.5")</f>
        <v>N/A</v>
      </c>
      <c r="R830" t="str">
        <f>RTD("tos.rtd", , "DELTA", ".SPY170120P214.5")</f>
        <v>N/A</v>
      </c>
      <c r="S830" t="str">
        <f>RTD("tos.rtd", , "THETA", ".SPY170120P214.5")</f>
        <v>N/A</v>
      </c>
      <c r="T830" t="str">
        <f>RTD("tos.rtd", , "GAMMA", ".SPY170120P214.5")</f>
        <v>N/A</v>
      </c>
      <c r="U830" t="str">
        <f>RTD("tos.rtd", , "VEGA", ".SPY170120P214.5")</f>
        <v>N/A</v>
      </c>
      <c r="V830" t="str">
        <f>RTD("tos.rtd", , "RHO", ".SPY170120P214.5")</f>
        <v>N/A</v>
      </c>
    </row>
    <row r="831" spans="1:22" x14ac:dyDescent="0.25">
      <c r="A831">
        <f>RTD("tos.rtd", , "ASK", ".SPY170120C215")</f>
        <v>15.41</v>
      </c>
      <c r="B831">
        <f>RTD("tos.rtd", , "ASK_SIZE", ".SPY170120C215")</f>
        <v>101</v>
      </c>
      <c r="C831">
        <f>RTD("tos.rtd", , "BID", ".SPY170120C215")</f>
        <v>15</v>
      </c>
      <c r="D831">
        <f>RTD("tos.rtd", , "BID_SIZE", ".SPY170120C215")</f>
        <v>992</v>
      </c>
      <c r="E831">
        <f>RTD("tos.rtd", , "VOLUME", ".SPY170120C215")</f>
        <v>2</v>
      </c>
      <c r="F831">
        <f>RTD("tos.rtd", , "OPEN_INT", ".SPY170120C215")</f>
        <v>1169</v>
      </c>
      <c r="G831">
        <f>RTD("tos.rtd", , "DELTA", ".SPY170120C215")</f>
        <v>0.47267999999999999</v>
      </c>
      <c r="H831">
        <f>RTD("tos.rtd", , "THETA", ".SPY170120C215")</f>
        <v>-1.146E-2</v>
      </c>
      <c r="I831">
        <f>RTD("tos.rtd", , "GAMMA", ".SPY170120C215")</f>
        <v>8.6400000000000001E-3</v>
      </c>
      <c r="J831">
        <f>RTD("tos.rtd", , "VEGA", ".SPY170120C215")</f>
        <v>1.0743400000000001</v>
      </c>
      <c r="K831">
        <f>RTD("tos.rtd", , "RHO", ".SPY170120C215")</f>
        <v>1.2296100000000001</v>
      </c>
      <c r="L831">
        <f>RTD("tos.rtd", , "ASK", ".SPY170120P215")</f>
        <v>22.87</v>
      </c>
      <c r="M831">
        <f>RTD("tos.rtd", , "ASK_SIZE", ".SPY170120P215")</f>
        <v>310</v>
      </c>
      <c r="N831">
        <f>RTD("tos.rtd", , "BID", ".SPY170120P215")</f>
        <v>22.31</v>
      </c>
      <c r="O831">
        <f>RTD("tos.rtd", , "BID_SIZE", ".SPY170120P215")</f>
        <v>228</v>
      </c>
      <c r="P831">
        <f>RTD("tos.rtd", , "VOLUME", ".SPY170120P215")</f>
        <v>5</v>
      </c>
      <c r="Q831">
        <f>RTD("tos.rtd", , "OPEN_INT", ".SPY170120P215")</f>
        <v>167</v>
      </c>
      <c r="R831">
        <f>RTD("tos.rtd", , "DELTA", ".SPY170120P215")</f>
        <v>-0.52120999999999995</v>
      </c>
      <c r="S831">
        <f>RTD("tos.rtd", , "THETA", ".SPY170120P215")</f>
        <v>-1.822E-2</v>
      </c>
      <c r="T831">
        <f>RTD("tos.rtd", , "GAMMA", ".SPY170120P215")</f>
        <v>8.5500000000000003E-3</v>
      </c>
      <c r="U831">
        <f>RTD("tos.rtd", , "VEGA", ".SPY170120P215")</f>
        <v>1.0685800000000001</v>
      </c>
      <c r="V831">
        <f>RTD("tos.rtd", , "RHO", ".SPY170120P215")</f>
        <v>-2.2759900000000002</v>
      </c>
    </row>
    <row r="832" spans="1:22" x14ac:dyDescent="0.25">
      <c r="A832" t="str">
        <f>RTD("tos.rtd", , "ASK", ".SPY170120C215.5")</f>
        <v>N/A</v>
      </c>
      <c r="B832" t="str">
        <f>RTD("tos.rtd", , "ASK_SIZE", ".SPY170120C215.5")</f>
        <v>N/A</v>
      </c>
      <c r="C832" t="str">
        <f>RTD("tos.rtd", , "BID", ".SPY170120C215.5")</f>
        <v>N/A</v>
      </c>
      <c r="D832" t="str">
        <f>RTD("tos.rtd", , "BID_SIZE", ".SPY170120C215.5")</f>
        <v>N/A</v>
      </c>
      <c r="E832" t="str">
        <f>RTD("tos.rtd", , "VOLUME", ".SPY170120C215.5")</f>
        <v>N/A</v>
      </c>
      <c r="F832" t="str">
        <f>RTD("tos.rtd", , "OPEN_INT", ".SPY170120C215.5")</f>
        <v>N/A</v>
      </c>
      <c r="G832" t="str">
        <f>RTD("tos.rtd", , "DELTA", ".SPY170120C215.5")</f>
        <v>N/A</v>
      </c>
      <c r="H832" t="str">
        <f>RTD("tos.rtd", , "THETA", ".SPY170120C215.5")</f>
        <v>N/A</v>
      </c>
      <c r="I832" t="str">
        <f>RTD("tos.rtd", , "GAMMA", ".SPY170120C215.5")</f>
        <v>N/A</v>
      </c>
      <c r="J832" t="str">
        <f>RTD("tos.rtd", , "VEGA", ".SPY170120C215.5")</f>
        <v>N/A</v>
      </c>
      <c r="K832" t="str">
        <f>RTD("tos.rtd", , "RHO", ".SPY170120C215.5")</f>
        <v>N/A</v>
      </c>
      <c r="L832" t="str">
        <f>RTD("tos.rtd", , "ASK", ".SPY170120P215.5")</f>
        <v>N/A</v>
      </c>
      <c r="M832" t="str">
        <f>RTD("tos.rtd", , "ASK_SIZE", ".SPY170120P215.5")</f>
        <v>N/A</v>
      </c>
      <c r="N832" t="str">
        <f>RTD("tos.rtd", , "BID", ".SPY170120P215.5")</f>
        <v>N/A</v>
      </c>
      <c r="O832" t="str">
        <f>RTD("tos.rtd", , "BID_SIZE", ".SPY170120P215.5")</f>
        <v>N/A</v>
      </c>
      <c r="P832" t="str">
        <f>RTD("tos.rtd", , "VOLUME", ".SPY170120P215.5")</f>
        <v>N/A</v>
      </c>
      <c r="Q832" t="str">
        <f>RTD("tos.rtd", , "OPEN_INT", ".SPY170120P215.5")</f>
        <v>N/A</v>
      </c>
      <c r="R832" t="str">
        <f>RTD("tos.rtd", , "DELTA", ".SPY170120P215.5")</f>
        <v>N/A</v>
      </c>
      <c r="S832" t="str">
        <f>RTD("tos.rtd", , "THETA", ".SPY170120P215.5")</f>
        <v>N/A</v>
      </c>
      <c r="T832" t="str">
        <f>RTD("tos.rtd", , "GAMMA", ".SPY170120P215.5")</f>
        <v>N/A</v>
      </c>
      <c r="U832" t="str">
        <f>RTD("tos.rtd", , "VEGA", ".SPY170120P215.5")</f>
        <v>N/A</v>
      </c>
      <c r="V832" t="str">
        <f>RTD("tos.rtd", , "RHO", ".SPY170120P215.5")</f>
        <v>N/A</v>
      </c>
    </row>
    <row r="833" spans="1:22" x14ac:dyDescent="0.25">
      <c r="A833" t="str">
        <f>RTD("tos.rtd", , "ASK", ".SPY170120C216")</f>
        <v>N/A</v>
      </c>
      <c r="B833" t="str">
        <f>RTD("tos.rtd", , "ASK_SIZE", ".SPY170120C216")</f>
        <v>N/A</v>
      </c>
      <c r="C833" t="str">
        <f>RTD("tos.rtd", , "BID", ".SPY170120C216")</f>
        <v>N/A</v>
      </c>
      <c r="D833" t="str">
        <f>RTD("tos.rtd", , "BID_SIZE", ".SPY170120C216")</f>
        <v>N/A</v>
      </c>
      <c r="E833" t="str">
        <f>RTD("tos.rtd", , "VOLUME", ".SPY170120C216")</f>
        <v>N/A</v>
      </c>
      <c r="F833" t="str">
        <f>RTD("tos.rtd", , "OPEN_INT", ".SPY170120C216")</f>
        <v>N/A</v>
      </c>
      <c r="G833" t="str">
        <f>RTD("tos.rtd", , "DELTA", ".SPY170120C216")</f>
        <v>N/A</v>
      </c>
      <c r="H833" t="str">
        <f>RTD("tos.rtd", , "THETA", ".SPY170120C216")</f>
        <v>N/A</v>
      </c>
      <c r="I833" t="str">
        <f>RTD("tos.rtd", , "GAMMA", ".SPY170120C216")</f>
        <v>N/A</v>
      </c>
      <c r="J833" t="str">
        <f>RTD("tos.rtd", , "VEGA", ".SPY170120C216")</f>
        <v>N/A</v>
      </c>
      <c r="K833" t="str">
        <f>RTD("tos.rtd", , "RHO", ".SPY170120C216")</f>
        <v>N/A</v>
      </c>
      <c r="L833" t="str">
        <f>RTD("tos.rtd", , "ASK", ".SPY170120P216")</f>
        <v>N/A</v>
      </c>
      <c r="M833" t="str">
        <f>RTD("tos.rtd", , "ASK_SIZE", ".SPY170120P216")</f>
        <v>N/A</v>
      </c>
      <c r="N833" t="str">
        <f>RTD("tos.rtd", , "BID", ".SPY170120P216")</f>
        <v>N/A</v>
      </c>
      <c r="O833" t="str">
        <f>RTD("tos.rtd", , "BID_SIZE", ".SPY170120P216")</f>
        <v>N/A</v>
      </c>
      <c r="P833" t="str">
        <f>RTD("tos.rtd", , "VOLUME", ".SPY170120P216")</f>
        <v>N/A</v>
      </c>
      <c r="Q833" t="str">
        <f>RTD("tos.rtd", , "OPEN_INT", ".SPY170120P216")</f>
        <v>N/A</v>
      </c>
      <c r="R833" t="str">
        <f>RTD("tos.rtd", , "DELTA", ".SPY170120P216")</f>
        <v>N/A</v>
      </c>
      <c r="S833" t="str">
        <f>RTD("tos.rtd", , "THETA", ".SPY170120P216")</f>
        <v>N/A</v>
      </c>
      <c r="T833" t="str">
        <f>RTD("tos.rtd", , "GAMMA", ".SPY170120P216")</f>
        <v>N/A</v>
      </c>
      <c r="U833" t="str">
        <f>RTD("tos.rtd", , "VEGA", ".SPY170120P216")</f>
        <v>N/A</v>
      </c>
      <c r="V833" t="str">
        <f>RTD("tos.rtd", , "RHO", ".SPY170120P216")</f>
        <v>N/A</v>
      </c>
    </row>
    <row r="834" spans="1:22" x14ac:dyDescent="0.25">
      <c r="A834" t="str">
        <f>RTD("tos.rtd", , "ASK", ".SPY170120C216.5")</f>
        <v>N/A</v>
      </c>
      <c r="B834" t="str">
        <f>RTD("tos.rtd", , "ASK_SIZE", ".SPY170120C216.5")</f>
        <v>N/A</v>
      </c>
      <c r="C834" t="str">
        <f>RTD("tos.rtd", , "BID", ".SPY170120C216.5")</f>
        <v>N/A</v>
      </c>
      <c r="D834" t="str">
        <f>RTD("tos.rtd", , "BID_SIZE", ".SPY170120C216.5")</f>
        <v>N/A</v>
      </c>
      <c r="E834" t="str">
        <f>RTD("tos.rtd", , "VOLUME", ".SPY170120C216.5")</f>
        <v>N/A</v>
      </c>
      <c r="F834" t="str">
        <f>RTD("tos.rtd", , "OPEN_INT", ".SPY170120C216.5")</f>
        <v>N/A</v>
      </c>
      <c r="G834" t="str">
        <f>RTD("tos.rtd", , "DELTA", ".SPY170120C216.5")</f>
        <v>N/A</v>
      </c>
      <c r="H834" t="str">
        <f>RTD("tos.rtd", , "THETA", ".SPY170120C216.5")</f>
        <v>N/A</v>
      </c>
      <c r="I834" t="str">
        <f>RTD("tos.rtd", , "GAMMA", ".SPY170120C216.5")</f>
        <v>N/A</v>
      </c>
      <c r="J834" t="str">
        <f>RTD("tos.rtd", , "VEGA", ".SPY170120C216.5")</f>
        <v>N/A</v>
      </c>
      <c r="K834" t="str">
        <f>RTD("tos.rtd", , "RHO", ".SPY170120C216.5")</f>
        <v>N/A</v>
      </c>
      <c r="L834" t="str">
        <f>RTD("tos.rtd", , "ASK", ".SPY170120P216.5")</f>
        <v>N/A</v>
      </c>
      <c r="M834" t="str">
        <f>RTD("tos.rtd", , "ASK_SIZE", ".SPY170120P216.5")</f>
        <v>N/A</v>
      </c>
      <c r="N834" t="str">
        <f>RTD("tos.rtd", , "BID", ".SPY170120P216.5")</f>
        <v>N/A</v>
      </c>
      <c r="O834" t="str">
        <f>RTD("tos.rtd", , "BID_SIZE", ".SPY170120P216.5")</f>
        <v>N/A</v>
      </c>
      <c r="P834" t="str">
        <f>RTD("tos.rtd", , "VOLUME", ".SPY170120P216.5")</f>
        <v>N/A</v>
      </c>
      <c r="Q834" t="str">
        <f>RTD("tos.rtd", , "OPEN_INT", ".SPY170120P216.5")</f>
        <v>N/A</v>
      </c>
      <c r="R834" t="str">
        <f>RTD("tos.rtd", , "DELTA", ".SPY170120P216.5")</f>
        <v>N/A</v>
      </c>
      <c r="S834" t="str">
        <f>RTD("tos.rtd", , "THETA", ".SPY170120P216.5")</f>
        <v>N/A</v>
      </c>
      <c r="T834" t="str">
        <f>RTD("tos.rtd", , "GAMMA", ".SPY170120P216.5")</f>
        <v>N/A</v>
      </c>
      <c r="U834" t="str">
        <f>RTD("tos.rtd", , "VEGA", ".SPY170120P216.5")</f>
        <v>N/A</v>
      </c>
      <c r="V834" t="str">
        <f>RTD("tos.rtd", , "RHO", ".SPY170120P216.5")</f>
        <v>N/A</v>
      </c>
    </row>
    <row r="835" spans="1:22" x14ac:dyDescent="0.25">
      <c r="A835" t="str">
        <f>RTD("tos.rtd", , "ASK", ".SPY170120C217")</f>
        <v>N/A</v>
      </c>
      <c r="B835" t="str">
        <f>RTD("tos.rtd", , "ASK_SIZE", ".SPY170120C217")</f>
        <v>N/A</v>
      </c>
      <c r="C835" t="str">
        <f>RTD("tos.rtd", , "BID", ".SPY170120C217")</f>
        <v>N/A</v>
      </c>
      <c r="D835" t="str">
        <f>RTD("tos.rtd", , "BID_SIZE", ".SPY170120C217")</f>
        <v>N/A</v>
      </c>
      <c r="E835" t="str">
        <f>RTD("tos.rtd", , "VOLUME", ".SPY170120C217")</f>
        <v>N/A</v>
      </c>
      <c r="F835" t="str">
        <f>RTD("tos.rtd", , "OPEN_INT", ".SPY170120C217")</f>
        <v>N/A</v>
      </c>
      <c r="G835" t="str">
        <f>RTD("tos.rtd", , "DELTA", ".SPY170120C217")</f>
        <v>N/A</v>
      </c>
      <c r="H835" t="str">
        <f>RTD("tos.rtd", , "THETA", ".SPY170120C217")</f>
        <v>N/A</v>
      </c>
      <c r="I835" t="str">
        <f>RTD("tos.rtd", , "GAMMA", ".SPY170120C217")</f>
        <v>N/A</v>
      </c>
      <c r="J835" t="str">
        <f>RTD("tos.rtd", , "VEGA", ".SPY170120C217")</f>
        <v>N/A</v>
      </c>
      <c r="K835" t="str">
        <f>RTD("tos.rtd", , "RHO", ".SPY170120C217")</f>
        <v>N/A</v>
      </c>
      <c r="L835" t="str">
        <f>RTD("tos.rtd", , "ASK", ".SPY170120P217")</f>
        <v>N/A</v>
      </c>
      <c r="M835" t="str">
        <f>RTD("tos.rtd", , "ASK_SIZE", ".SPY170120P217")</f>
        <v>N/A</v>
      </c>
      <c r="N835" t="str">
        <f>RTD("tos.rtd", , "BID", ".SPY170120P217")</f>
        <v>N/A</v>
      </c>
      <c r="O835" t="str">
        <f>RTD("tos.rtd", , "BID_SIZE", ".SPY170120P217")</f>
        <v>N/A</v>
      </c>
      <c r="P835" t="str">
        <f>RTD("tos.rtd", , "VOLUME", ".SPY170120P217")</f>
        <v>N/A</v>
      </c>
      <c r="Q835" t="str">
        <f>RTD("tos.rtd", , "OPEN_INT", ".SPY170120P217")</f>
        <v>N/A</v>
      </c>
      <c r="R835" t="str">
        <f>RTD("tos.rtd", , "DELTA", ".SPY170120P217")</f>
        <v>N/A</v>
      </c>
      <c r="S835" t="str">
        <f>RTD("tos.rtd", , "THETA", ".SPY170120P217")</f>
        <v>N/A</v>
      </c>
      <c r="T835" t="str">
        <f>RTD("tos.rtd", , "GAMMA", ".SPY170120P217")</f>
        <v>N/A</v>
      </c>
      <c r="U835" t="str">
        <f>RTD("tos.rtd", , "VEGA", ".SPY170120P217")</f>
        <v>N/A</v>
      </c>
      <c r="V835" t="str">
        <f>RTD("tos.rtd", , "RHO", ".SPY170120P217")</f>
        <v>N/A</v>
      </c>
    </row>
    <row r="836" spans="1:22" x14ac:dyDescent="0.25">
      <c r="A836" t="str">
        <f>RTD("tos.rtd", , "ASK", ".SPY170120C217.5")</f>
        <v>N/A</v>
      </c>
      <c r="B836" t="str">
        <f>RTD("tos.rtd", , "ASK_SIZE", ".SPY170120C217.5")</f>
        <v>N/A</v>
      </c>
      <c r="C836" t="str">
        <f>RTD("tos.rtd", , "BID", ".SPY170120C217.5")</f>
        <v>N/A</v>
      </c>
      <c r="D836" t="str">
        <f>RTD("tos.rtd", , "BID_SIZE", ".SPY170120C217.5")</f>
        <v>N/A</v>
      </c>
      <c r="E836" t="str">
        <f>RTD("tos.rtd", , "VOLUME", ".SPY170120C217.5")</f>
        <v>N/A</v>
      </c>
      <c r="F836" t="str">
        <f>RTD("tos.rtd", , "OPEN_INT", ".SPY170120C217.5")</f>
        <v>N/A</v>
      </c>
      <c r="G836" t="str">
        <f>RTD("tos.rtd", , "DELTA", ".SPY170120C217.5")</f>
        <v>N/A</v>
      </c>
      <c r="H836" t="str">
        <f>RTD("tos.rtd", , "THETA", ".SPY170120C217.5")</f>
        <v>N/A</v>
      </c>
      <c r="I836" t="str">
        <f>RTD("tos.rtd", , "GAMMA", ".SPY170120C217.5")</f>
        <v>N/A</v>
      </c>
      <c r="J836" t="str">
        <f>RTD("tos.rtd", , "VEGA", ".SPY170120C217.5")</f>
        <v>N/A</v>
      </c>
      <c r="K836" t="str">
        <f>RTD("tos.rtd", , "RHO", ".SPY170120C217.5")</f>
        <v>N/A</v>
      </c>
      <c r="L836" t="str">
        <f>RTD("tos.rtd", , "ASK", ".SPY170120P217.5")</f>
        <v>N/A</v>
      </c>
      <c r="M836" t="str">
        <f>RTD("tos.rtd", , "ASK_SIZE", ".SPY170120P217.5")</f>
        <v>N/A</v>
      </c>
      <c r="N836" t="str">
        <f>RTD("tos.rtd", , "BID", ".SPY170120P217.5")</f>
        <v>N/A</v>
      </c>
      <c r="O836" t="str">
        <f>RTD("tos.rtd", , "BID_SIZE", ".SPY170120P217.5")</f>
        <v>N/A</v>
      </c>
      <c r="P836" t="str">
        <f>RTD("tos.rtd", , "VOLUME", ".SPY170120P217.5")</f>
        <v>N/A</v>
      </c>
      <c r="Q836" t="str">
        <f>RTD("tos.rtd", , "OPEN_INT", ".SPY170120P217.5")</f>
        <v>N/A</v>
      </c>
      <c r="R836" t="str">
        <f>RTD("tos.rtd", , "DELTA", ".SPY170120P217.5")</f>
        <v>N/A</v>
      </c>
      <c r="S836" t="str">
        <f>RTD("tos.rtd", , "THETA", ".SPY170120P217.5")</f>
        <v>N/A</v>
      </c>
      <c r="T836" t="str">
        <f>RTD("tos.rtd", , "GAMMA", ".SPY170120P217.5")</f>
        <v>N/A</v>
      </c>
      <c r="U836" t="str">
        <f>RTD("tos.rtd", , "VEGA", ".SPY170120P217.5")</f>
        <v>N/A</v>
      </c>
      <c r="V836" t="str">
        <f>RTD("tos.rtd", , "RHO", ".SPY170120P217.5")</f>
        <v>N/A</v>
      </c>
    </row>
    <row r="837" spans="1:22" x14ac:dyDescent="0.25">
      <c r="A837" t="str">
        <f>RTD("tos.rtd", , "ASK", ".SPY170120C218")</f>
        <v>N/A</v>
      </c>
      <c r="B837" t="str">
        <f>RTD("tos.rtd", , "ASK_SIZE", ".SPY170120C218")</f>
        <v>N/A</v>
      </c>
      <c r="C837" t="str">
        <f>RTD("tos.rtd", , "BID", ".SPY170120C218")</f>
        <v>N/A</v>
      </c>
      <c r="D837" t="str">
        <f>RTD("tos.rtd", , "BID_SIZE", ".SPY170120C218")</f>
        <v>N/A</v>
      </c>
      <c r="E837" t="str">
        <f>RTD("tos.rtd", , "VOLUME", ".SPY170120C218")</f>
        <v>N/A</v>
      </c>
      <c r="F837" t="str">
        <f>RTD("tos.rtd", , "OPEN_INT", ".SPY170120C218")</f>
        <v>N/A</v>
      </c>
      <c r="G837" t="str">
        <f>RTD("tos.rtd", , "DELTA", ".SPY170120C218")</f>
        <v>N/A</v>
      </c>
      <c r="H837" t="str">
        <f>RTD("tos.rtd", , "THETA", ".SPY170120C218")</f>
        <v>N/A</v>
      </c>
      <c r="I837" t="str">
        <f>RTD("tos.rtd", , "GAMMA", ".SPY170120C218")</f>
        <v>N/A</v>
      </c>
      <c r="J837" t="str">
        <f>RTD("tos.rtd", , "VEGA", ".SPY170120C218")</f>
        <v>N/A</v>
      </c>
      <c r="K837" t="str">
        <f>RTD("tos.rtd", , "RHO", ".SPY170120C218")</f>
        <v>N/A</v>
      </c>
      <c r="L837" t="str">
        <f>RTD("tos.rtd", , "ASK", ".SPY170120P218")</f>
        <v>N/A</v>
      </c>
      <c r="M837" t="str">
        <f>RTD("tos.rtd", , "ASK_SIZE", ".SPY170120P218")</f>
        <v>N/A</v>
      </c>
      <c r="N837" t="str">
        <f>RTD("tos.rtd", , "BID", ".SPY170120P218")</f>
        <v>N/A</v>
      </c>
      <c r="O837" t="str">
        <f>RTD("tos.rtd", , "BID_SIZE", ".SPY170120P218")</f>
        <v>N/A</v>
      </c>
      <c r="P837" t="str">
        <f>RTD("tos.rtd", , "VOLUME", ".SPY170120P218")</f>
        <v>N/A</v>
      </c>
      <c r="Q837" t="str">
        <f>RTD("tos.rtd", , "OPEN_INT", ".SPY170120P218")</f>
        <v>N/A</v>
      </c>
      <c r="R837" t="str">
        <f>RTD("tos.rtd", , "DELTA", ".SPY170120P218")</f>
        <v>N/A</v>
      </c>
      <c r="S837" t="str">
        <f>RTD("tos.rtd", , "THETA", ".SPY170120P218")</f>
        <v>N/A</v>
      </c>
      <c r="T837" t="str">
        <f>RTD("tos.rtd", , "GAMMA", ".SPY170120P218")</f>
        <v>N/A</v>
      </c>
      <c r="U837" t="str">
        <f>RTD("tos.rtd", , "VEGA", ".SPY170120P218")</f>
        <v>N/A</v>
      </c>
      <c r="V837" t="str">
        <f>RTD("tos.rtd", , "RHO", ".SPY170120P218")</f>
        <v>N/A</v>
      </c>
    </row>
    <row r="838" spans="1:22" x14ac:dyDescent="0.25">
      <c r="A838" t="str">
        <f>RTD("tos.rtd", , "ASK", ".SPY170120C218.5")</f>
        <v>N/A</v>
      </c>
      <c r="B838" t="str">
        <f>RTD("tos.rtd", , "ASK_SIZE", ".SPY170120C218.5")</f>
        <v>N/A</v>
      </c>
      <c r="C838" t="str">
        <f>RTD("tos.rtd", , "BID", ".SPY170120C218.5")</f>
        <v>N/A</v>
      </c>
      <c r="D838" t="str">
        <f>RTD("tos.rtd", , "BID_SIZE", ".SPY170120C218.5")</f>
        <v>N/A</v>
      </c>
      <c r="E838" t="str">
        <f>RTD("tos.rtd", , "VOLUME", ".SPY170120C218.5")</f>
        <v>N/A</v>
      </c>
      <c r="F838" t="str">
        <f>RTD("tos.rtd", , "OPEN_INT", ".SPY170120C218.5")</f>
        <v>N/A</v>
      </c>
      <c r="G838" t="str">
        <f>RTD("tos.rtd", , "DELTA", ".SPY170120C218.5")</f>
        <v>N/A</v>
      </c>
      <c r="H838" t="str">
        <f>RTD("tos.rtd", , "THETA", ".SPY170120C218.5")</f>
        <v>N/A</v>
      </c>
      <c r="I838" t="str">
        <f>RTD("tos.rtd", , "GAMMA", ".SPY170120C218.5")</f>
        <v>N/A</v>
      </c>
      <c r="J838" t="str">
        <f>RTD("tos.rtd", , "VEGA", ".SPY170120C218.5")</f>
        <v>N/A</v>
      </c>
      <c r="K838" t="str">
        <f>RTD("tos.rtd", , "RHO", ".SPY170120C218.5")</f>
        <v>N/A</v>
      </c>
      <c r="L838" t="str">
        <f>RTD("tos.rtd", , "ASK", ".SPY170120P218.5")</f>
        <v>N/A</v>
      </c>
      <c r="M838" t="str">
        <f>RTD("tos.rtd", , "ASK_SIZE", ".SPY170120P218.5")</f>
        <v>N/A</v>
      </c>
      <c r="N838" t="str">
        <f>RTD("tos.rtd", , "BID", ".SPY170120P218.5")</f>
        <v>N/A</v>
      </c>
      <c r="O838" t="str">
        <f>RTD("tos.rtd", , "BID_SIZE", ".SPY170120P218.5")</f>
        <v>N/A</v>
      </c>
      <c r="P838" t="str">
        <f>RTD("tos.rtd", , "VOLUME", ".SPY170120P218.5")</f>
        <v>N/A</v>
      </c>
      <c r="Q838" t="str">
        <f>RTD("tos.rtd", , "OPEN_INT", ".SPY170120P218.5")</f>
        <v>N/A</v>
      </c>
      <c r="R838" t="str">
        <f>RTD("tos.rtd", , "DELTA", ".SPY170120P218.5")</f>
        <v>N/A</v>
      </c>
      <c r="S838" t="str">
        <f>RTD("tos.rtd", , "THETA", ".SPY170120P218.5")</f>
        <v>N/A</v>
      </c>
      <c r="T838" t="str">
        <f>RTD("tos.rtd", , "GAMMA", ".SPY170120P218.5")</f>
        <v>N/A</v>
      </c>
      <c r="U838" t="str">
        <f>RTD("tos.rtd", , "VEGA", ".SPY170120P218.5")</f>
        <v>N/A</v>
      </c>
      <c r="V838" t="str">
        <f>RTD("tos.rtd", , "RHO", ".SPY170120P218.5")</f>
        <v>N/A</v>
      </c>
    </row>
    <row r="839" spans="1:22" x14ac:dyDescent="0.25">
      <c r="A839" t="str">
        <f>RTD("tos.rtd", , "ASK", ".SPY170120C219")</f>
        <v>N/A</v>
      </c>
      <c r="B839" t="str">
        <f>RTD("tos.rtd", , "ASK_SIZE", ".SPY170120C219")</f>
        <v>N/A</v>
      </c>
      <c r="C839" t="str">
        <f>RTD("tos.rtd", , "BID", ".SPY170120C219")</f>
        <v>N/A</v>
      </c>
      <c r="D839" t="str">
        <f>RTD("tos.rtd", , "BID_SIZE", ".SPY170120C219")</f>
        <v>N/A</v>
      </c>
      <c r="E839" t="str">
        <f>RTD("tos.rtd", , "VOLUME", ".SPY170120C219")</f>
        <v>N/A</v>
      </c>
      <c r="F839" t="str">
        <f>RTD("tos.rtd", , "OPEN_INT", ".SPY170120C219")</f>
        <v>N/A</v>
      </c>
      <c r="G839" t="str">
        <f>RTD("tos.rtd", , "DELTA", ".SPY170120C219")</f>
        <v>N/A</v>
      </c>
      <c r="H839" t="str">
        <f>RTD("tos.rtd", , "THETA", ".SPY170120C219")</f>
        <v>N/A</v>
      </c>
      <c r="I839" t="str">
        <f>RTD("tos.rtd", , "GAMMA", ".SPY170120C219")</f>
        <v>N/A</v>
      </c>
      <c r="J839" t="str">
        <f>RTD("tos.rtd", , "VEGA", ".SPY170120C219")</f>
        <v>N/A</v>
      </c>
      <c r="K839" t="str">
        <f>RTD("tos.rtd", , "RHO", ".SPY170120C219")</f>
        <v>N/A</v>
      </c>
      <c r="L839" t="str">
        <f>RTD("tos.rtd", , "ASK", ".SPY170120P219")</f>
        <v>N/A</v>
      </c>
      <c r="M839" t="str">
        <f>RTD("tos.rtd", , "ASK_SIZE", ".SPY170120P219")</f>
        <v>N/A</v>
      </c>
      <c r="N839" t="str">
        <f>RTD("tos.rtd", , "BID", ".SPY170120P219")</f>
        <v>N/A</v>
      </c>
      <c r="O839" t="str">
        <f>RTD("tos.rtd", , "BID_SIZE", ".SPY170120P219")</f>
        <v>N/A</v>
      </c>
      <c r="P839" t="str">
        <f>RTD("tos.rtd", , "VOLUME", ".SPY170120P219")</f>
        <v>N/A</v>
      </c>
      <c r="Q839" t="str">
        <f>RTD("tos.rtd", , "OPEN_INT", ".SPY170120P219")</f>
        <v>N/A</v>
      </c>
      <c r="R839" t="str">
        <f>RTD("tos.rtd", , "DELTA", ".SPY170120P219")</f>
        <v>N/A</v>
      </c>
      <c r="S839" t="str">
        <f>RTD("tos.rtd", , "THETA", ".SPY170120P219")</f>
        <v>N/A</v>
      </c>
      <c r="T839" t="str">
        <f>RTD("tos.rtd", , "GAMMA", ".SPY170120P219")</f>
        <v>N/A</v>
      </c>
      <c r="U839" t="str">
        <f>RTD("tos.rtd", , "VEGA", ".SPY170120P219")</f>
        <v>N/A</v>
      </c>
      <c r="V839" t="str">
        <f>RTD("tos.rtd", , "RHO", ".SPY170120P219")</f>
        <v>N/A</v>
      </c>
    </row>
    <row r="840" spans="1:22" x14ac:dyDescent="0.25">
      <c r="A840" t="str">
        <f>RTD("tos.rtd", , "ASK", ".SPY170120C219.5")</f>
        <v>N/A</v>
      </c>
      <c r="B840" t="str">
        <f>RTD("tos.rtd", , "ASK_SIZE", ".SPY170120C219.5")</f>
        <v>N/A</v>
      </c>
      <c r="C840" t="str">
        <f>RTD("tos.rtd", , "BID", ".SPY170120C219.5")</f>
        <v>N/A</v>
      </c>
      <c r="D840" t="str">
        <f>RTD("tos.rtd", , "BID_SIZE", ".SPY170120C219.5")</f>
        <v>N/A</v>
      </c>
      <c r="E840" t="str">
        <f>RTD("tos.rtd", , "VOLUME", ".SPY170120C219.5")</f>
        <v>N/A</v>
      </c>
      <c r="F840" t="str">
        <f>RTD("tos.rtd", , "OPEN_INT", ".SPY170120C219.5")</f>
        <v>N/A</v>
      </c>
      <c r="G840" t="str">
        <f>RTD("tos.rtd", , "DELTA", ".SPY170120C219.5")</f>
        <v>N/A</v>
      </c>
      <c r="H840" t="str">
        <f>RTD("tos.rtd", , "THETA", ".SPY170120C219.5")</f>
        <v>N/A</v>
      </c>
      <c r="I840" t="str">
        <f>RTD("tos.rtd", , "GAMMA", ".SPY170120C219.5")</f>
        <v>N/A</v>
      </c>
      <c r="J840" t="str">
        <f>RTD("tos.rtd", , "VEGA", ".SPY170120C219.5")</f>
        <v>N/A</v>
      </c>
      <c r="K840" t="str">
        <f>RTD("tos.rtd", , "RHO", ".SPY170120C219.5")</f>
        <v>N/A</v>
      </c>
      <c r="L840" t="str">
        <f>RTD("tos.rtd", , "ASK", ".SPY170120P219.5")</f>
        <v>N/A</v>
      </c>
      <c r="M840" t="str">
        <f>RTD("tos.rtd", , "ASK_SIZE", ".SPY170120P219.5")</f>
        <v>N/A</v>
      </c>
      <c r="N840" t="str">
        <f>RTD("tos.rtd", , "BID", ".SPY170120P219.5")</f>
        <v>N/A</v>
      </c>
      <c r="O840" t="str">
        <f>RTD("tos.rtd", , "BID_SIZE", ".SPY170120P219.5")</f>
        <v>N/A</v>
      </c>
      <c r="P840" t="str">
        <f>RTD("tos.rtd", , "VOLUME", ".SPY170120P219.5")</f>
        <v>N/A</v>
      </c>
      <c r="Q840" t="str">
        <f>RTD("tos.rtd", , "OPEN_INT", ".SPY170120P219.5")</f>
        <v>N/A</v>
      </c>
      <c r="R840" t="str">
        <f>RTD("tos.rtd", , "DELTA", ".SPY170120P219.5")</f>
        <v>N/A</v>
      </c>
      <c r="S840" t="str">
        <f>RTD("tos.rtd", , "THETA", ".SPY170120P219.5")</f>
        <v>N/A</v>
      </c>
      <c r="T840" t="str">
        <f>RTD("tos.rtd", , "GAMMA", ".SPY170120P219.5")</f>
        <v>N/A</v>
      </c>
      <c r="U840" t="str">
        <f>RTD("tos.rtd", , "VEGA", ".SPY170120P219.5")</f>
        <v>N/A</v>
      </c>
      <c r="V840" t="str">
        <f>RTD("tos.rtd", , "RHO", ".SPY170120P219.5")</f>
        <v>N/A</v>
      </c>
    </row>
    <row r="841" spans="1:22" x14ac:dyDescent="0.25">
      <c r="A841" t="s">
        <v>20</v>
      </c>
      <c r="B841">
        <v>40</v>
      </c>
    </row>
    <row r="842" spans="1:22" x14ac:dyDescent="0.25">
      <c r="A842">
        <f>RTD("tos.rtd", ,"LAST", "SPY")</f>
        <v>211.32</v>
      </c>
    </row>
    <row r="843" spans="1:22" x14ac:dyDescent="0.25">
      <c r="A843">
        <f>RTD("tos.rtd", , "ASK", ".SPY170317C200")</f>
        <v>25.63</v>
      </c>
      <c r="B843">
        <f>RTD("tos.rtd", , "ASK_SIZE", ".SPY170317C200")</f>
        <v>98</v>
      </c>
      <c r="C843">
        <f>RTD("tos.rtd", , "BID", ".SPY170317C200")</f>
        <v>24.62</v>
      </c>
      <c r="D843">
        <f>RTD("tos.rtd", , "BID_SIZE", ".SPY170317C200")</f>
        <v>121</v>
      </c>
      <c r="E843">
        <f>RTD("tos.rtd", , "VOLUME", ".SPY170317C200")</f>
        <v>0</v>
      </c>
      <c r="F843">
        <f>RTD("tos.rtd", , "OPEN_INT", ".SPY170317C200")</f>
        <v>19</v>
      </c>
      <c r="G843">
        <f>RTD("tos.rtd", , "DELTA", ".SPY170317C200")</f>
        <v>0.59931999999999996</v>
      </c>
      <c r="H843">
        <f>RTD("tos.rtd", , "THETA", ".SPY170317C200")</f>
        <v>-1.153E-2</v>
      </c>
      <c r="I843">
        <f>RTD("tos.rtd", , "GAMMA", ".SPY170317C200")</f>
        <v>7.3299999999999997E-3</v>
      </c>
      <c r="J843">
        <f>RTD("tos.rtd", , "VEGA", ".SPY170317C200")</f>
        <v>1.0752299999999999</v>
      </c>
      <c r="K843">
        <f>RTD("tos.rtd", , "RHO", ".SPY170317C200")</f>
        <v>1.4699</v>
      </c>
      <c r="L843">
        <f>RTD("tos.rtd", , "ASK", ".SPY170317P200")</f>
        <v>18.11</v>
      </c>
      <c r="M843">
        <f>RTD("tos.rtd", , "ASK_SIZE", ".SPY170317P200")</f>
        <v>169</v>
      </c>
      <c r="N843">
        <f>RTD("tos.rtd", , "BID", ".SPY170317P200")</f>
        <v>17.07</v>
      </c>
      <c r="O843">
        <f>RTD("tos.rtd", , "BID_SIZE", ".SPY170317P200")</f>
        <v>169</v>
      </c>
      <c r="P843">
        <f>RTD("tos.rtd", , "VOLUME", ".SPY170317P200")</f>
        <v>1</v>
      </c>
      <c r="Q843">
        <f>RTD("tos.rtd", , "OPEN_INT", ".SPY170317P200")</f>
        <v>5</v>
      </c>
      <c r="R843">
        <f>RTD("tos.rtd", , "DELTA", ".SPY170317P200")</f>
        <v>-0.39394000000000001</v>
      </c>
      <c r="S843">
        <f>RTD("tos.rtd", , "THETA", ".SPY170317P200")</f>
        <v>-1.7950000000000001E-2</v>
      </c>
      <c r="T843">
        <f>RTD("tos.rtd", , "GAMMA", ".SPY170317P200")</f>
        <v>7.0499999999999998E-3</v>
      </c>
      <c r="U843">
        <f>RTD("tos.rtd", , "VEGA", ".SPY170317P200")</f>
        <v>1.0866100000000001</v>
      </c>
      <c r="V843">
        <f>RTD("tos.rtd", , "RHO", ".SPY170317P200")</f>
        <v>-1.88228</v>
      </c>
    </row>
    <row r="844" spans="1:22" x14ac:dyDescent="0.25">
      <c r="A844" t="str">
        <f>RTD("tos.rtd", , "ASK", ".SPY170317C200.5")</f>
        <v>N/A</v>
      </c>
      <c r="B844" t="str">
        <f>RTD("tos.rtd", , "ASK_SIZE", ".SPY170317C200.5")</f>
        <v>N/A</v>
      </c>
      <c r="C844" t="str">
        <f>RTD("tos.rtd", , "BID", ".SPY170317C200.5")</f>
        <v>N/A</v>
      </c>
      <c r="D844" t="str">
        <f>RTD("tos.rtd", , "BID_SIZE", ".SPY170317C200.5")</f>
        <v>N/A</v>
      </c>
      <c r="E844" t="str">
        <f>RTD("tos.rtd", , "VOLUME", ".SPY170317C200.5")</f>
        <v>N/A</v>
      </c>
      <c r="F844" t="str">
        <f>RTD("tos.rtd", , "OPEN_INT", ".SPY170317C200.5")</f>
        <v>N/A</v>
      </c>
      <c r="G844" t="str">
        <f>RTD("tos.rtd", , "DELTA", ".SPY170317C200.5")</f>
        <v>N/A</v>
      </c>
      <c r="H844" t="str">
        <f>RTD("tos.rtd", , "THETA", ".SPY170317C200.5")</f>
        <v>N/A</v>
      </c>
      <c r="I844" t="str">
        <f>RTD("tos.rtd", , "GAMMA", ".SPY170317C200.5")</f>
        <v>N/A</v>
      </c>
      <c r="J844" t="str">
        <f>RTD("tos.rtd", , "VEGA", ".SPY170317C200.5")</f>
        <v>N/A</v>
      </c>
      <c r="K844" t="str">
        <f>RTD("tos.rtd", , "RHO", ".SPY170317C200.5")</f>
        <v>N/A</v>
      </c>
      <c r="L844" t="str">
        <f>RTD("tos.rtd", , "ASK", ".SPY170317P200.5")</f>
        <v>N/A</v>
      </c>
      <c r="M844" t="str">
        <f>RTD("tos.rtd", , "ASK_SIZE", ".SPY170317P200.5")</f>
        <v>N/A</v>
      </c>
      <c r="N844" t="str">
        <f>RTD("tos.rtd", , "BID", ".SPY170317P200.5")</f>
        <v>N/A</v>
      </c>
      <c r="O844" t="str">
        <f>RTD("tos.rtd", , "BID_SIZE", ".SPY170317P200.5")</f>
        <v>N/A</v>
      </c>
      <c r="P844" t="str">
        <f>RTD("tos.rtd", , "VOLUME", ".SPY170317P200.5")</f>
        <v>N/A</v>
      </c>
      <c r="Q844" t="str">
        <f>RTD("tos.rtd", , "OPEN_INT", ".SPY170317P200.5")</f>
        <v>N/A</v>
      </c>
      <c r="R844" t="str">
        <f>RTD("tos.rtd", , "DELTA", ".SPY170317P200.5")</f>
        <v>N/A</v>
      </c>
      <c r="S844" t="str">
        <f>RTD("tos.rtd", , "THETA", ".SPY170317P200.5")</f>
        <v>N/A</v>
      </c>
      <c r="T844" t="str">
        <f>RTD("tos.rtd", , "GAMMA", ".SPY170317P200.5")</f>
        <v>N/A</v>
      </c>
      <c r="U844" t="str">
        <f>RTD("tos.rtd", , "VEGA", ".SPY170317P200.5")</f>
        <v>N/A</v>
      </c>
      <c r="V844" t="str">
        <f>RTD("tos.rtd", , "RHO", ".SPY170317P200.5")</f>
        <v>N/A</v>
      </c>
    </row>
    <row r="845" spans="1:22" x14ac:dyDescent="0.25">
      <c r="A845" t="str">
        <f>RTD("tos.rtd", , "ASK", ".SPY170317C201")</f>
        <v>N/A</v>
      </c>
      <c r="B845" t="str">
        <f>RTD("tos.rtd", , "ASK_SIZE", ".SPY170317C201")</f>
        <v>N/A</v>
      </c>
      <c r="C845" t="str">
        <f>RTD("tos.rtd", , "BID", ".SPY170317C201")</f>
        <v>N/A</v>
      </c>
      <c r="D845" t="str">
        <f>RTD("tos.rtd", , "BID_SIZE", ".SPY170317C201")</f>
        <v>N/A</v>
      </c>
      <c r="E845" t="str">
        <f>RTD("tos.rtd", , "VOLUME", ".SPY170317C201")</f>
        <v>N/A</v>
      </c>
      <c r="F845" t="str">
        <f>RTD("tos.rtd", , "OPEN_INT", ".SPY170317C201")</f>
        <v>N/A</v>
      </c>
      <c r="G845" t="str">
        <f>RTD("tos.rtd", , "DELTA", ".SPY170317C201")</f>
        <v>N/A</v>
      </c>
      <c r="H845" t="str">
        <f>RTD("tos.rtd", , "THETA", ".SPY170317C201")</f>
        <v>N/A</v>
      </c>
      <c r="I845" t="str">
        <f>RTD("tos.rtd", , "GAMMA", ".SPY170317C201")</f>
        <v>N/A</v>
      </c>
      <c r="J845" t="str">
        <f>RTD("tos.rtd", , "VEGA", ".SPY170317C201")</f>
        <v>N/A</v>
      </c>
      <c r="K845" t="str">
        <f>RTD("tos.rtd", , "RHO", ".SPY170317C201")</f>
        <v>N/A</v>
      </c>
      <c r="L845" t="str">
        <f>RTD("tos.rtd", , "ASK", ".SPY170317P201")</f>
        <v>N/A</v>
      </c>
      <c r="M845" t="str">
        <f>RTD("tos.rtd", , "ASK_SIZE", ".SPY170317P201")</f>
        <v>N/A</v>
      </c>
      <c r="N845" t="str">
        <f>RTD("tos.rtd", , "BID", ".SPY170317P201")</f>
        <v>N/A</v>
      </c>
      <c r="O845" t="str">
        <f>RTD("tos.rtd", , "BID_SIZE", ".SPY170317P201")</f>
        <v>N/A</v>
      </c>
      <c r="P845" t="str">
        <f>RTD("tos.rtd", , "VOLUME", ".SPY170317P201")</f>
        <v>N/A</v>
      </c>
      <c r="Q845" t="str">
        <f>RTD("tos.rtd", , "OPEN_INT", ".SPY170317P201")</f>
        <v>N/A</v>
      </c>
      <c r="R845" t="str">
        <f>RTD("tos.rtd", , "DELTA", ".SPY170317P201")</f>
        <v>N/A</v>
      </c>
      <c r="S845" t="str">
        <f>RTD("tos.rtd", , "THETA", ".SPY170317P201")</f>
        <v>N/A</v>
      </c>
      <c r="T845" t="str">
        <f>RTD("tos.rtd", , "GAMMA", ".SPY170317P201")</f>
        <v>N/A</v>
      </c>
      <c r="U845" t="str">
        <f>RTD("tos.rtd", , "VEGA", ".SPY170317P201")</f>
        <v>N/A</v>
      </c>
      <c r="V845" t="str">
        <f>RTD("tos.rtd", , "RHO", ".SPY170317P201")</f>
        <v>N/A</v>
      </c>
    </row>
    <row r="846" spans="1:22" x14ac:dyDescent="0.25">
      <c r="A846" t="str">
        <f>RTD("tos.rtd", , "ASK", ".SPY170317C201.5")</f>
        <v>N/A</v>
      </c>
      <c r="B846" t="str">
        <f>RTD("tos.rtd", , "ASK_SIZE", ".SPY170317C201.5")</f>
        <v>N/A</v>
      </c>
      <c r="C846" t="str">
        <f>RTD("tos.rtd", , "BID", ".SPY170317C201.5")</f>
        <v>N/A</v>
      </c>
      <c r="D846" t="str">
        <f>RTD("tos.rtd", , "BID_SIZE", ".SPY170317C201.5")</f>
        <v>N/A</v>
      </c>
      <c r="E846" t="str">
        <f>RTD("tos.rtd", , "VOLUME", ".SPY170317C201.5")</f>
        <v>N/A</v>
      </c>
      <c r="F846" t="str">
        <f>RTD("tos.rtd", , "OPEN_INT", ".SPY170317C201.5")</f>
        <v>N/A</v>
      </c>
      <c r="G846" t="str">
        <f>RTD("tos.rtd", , "DELTA", ".SPY170317C201.5")</f>
        <v>N/A</v>
      </c>
      <c r="H846" t="str">
        <f>RTD("tos.rtd", , "THETA", ".SPY170317C201.5")</f>
        <v>N/A</v>
      </c>
      <c r="I846" t="str">
        <f>RTD("tos.rtd", , "GAMMA", ".SPY170317C201.5")</f>
        <v>N/A</v>
      </c>
      <c r="J846" t="str">
        <f>RTD("tos.rtd", , "VEGA", ".SPY170317C201.5")</f>
        <v>N/A</v>
      </c>
      <c r="K846" t="str">
        <f>RTD("tos.rtd", , "RHO", ".SPY170317C201.5")</f>
        <v>N/A</v>
      </c>
      <c r="L846" t="str">
        <f>RTD("tos.rtd", , "ASK", ".SPY170317P201.5")</f>
        <v>N/A</v>
      </c>
      <c r="M846" t="str">
        <f>RTD("tos.rtd", , "ASK_SIZE", ".SPY170317P201.5")</f>
        <v>N/A</v>
      </c>
      <c r="N846" t="str">
        <f>RTD("tos.rtd", , "BID", ".SPY170317P201.5")</f>
        <v>N/A</v>
      </c>
      <c r="O846" t="str">
        <f>RTD("tos.rtd", , "BID_SIZE", ".SPY170317P201.5")</f>
        <v>N/A</v>
      </c>
      <c r="P846" t="str">
        <f>RTD("tos.rtd", , "VOLUME", ".SPY170317P201.5")</f>
        <v>N/A</v>
      </c>
      <c r="Q846" t="str">
        <f>RTD("tos.rtd", , "OPEN_INT", ".SPY170317P201.5")</f>
        <v>N/A</v>
      </c>
      <c r="R846" t="str">
        <f>RTD("tos.rtd", , "DELTA", ".SPY170317P201.5")</f>
        <v>N/A</v>
      </c>
      <c r="S846" t="str">
        <f>RTD("tos.rtd", , "THETA", ".SPY170317P201.5")</f>
        <v>N/A</v>
      </c>
      <c r="T846" t="str">
        <f>RTD("tos.rtd", , "GAMMA", ".SPY170317P201.5")</f>
        <v>N/A</v>
      </c>
      <c r="U846" t="str">
        <f>RTD("tos.rtd", , "VEGA", ".SPY170317P201.5")</f>
        <v>N/A</v>
      </c>
      <c r="V846" t="str">
        <f>RTD("tos.rtd", , "RHO", ".SPY170317P201.5")</f>
        <v>N/A</v>
      </c>
    </row>
    <row r="847" spans="1:22" x14ac:dyDescent="0.25">
      <c r="A847" t="str">
        <f>RTD("tos.rtd", , "ASK", ".SPY170317C202")</f>
        <v>N/A</v>
      </c>
      <c r="B847" t="str">
        <f>RTD("tos.rtd", , "ASK_SIZE", ".SPY170317C202")</f>
        <v>N/A</v>
      </c>
      <c r="C847" t="str">
        <f>RTD("tos.rtd", , "BID", ".SPY170317C202")</f>
        <v>N/A</v>
      </c>
      <c r="D847" t="str">
        <f>RTD("tos.rtd", , "BID_SIZE", ".SPY170317C202")</f>
        <v>N/A</v>
      </c>
      <c r="E847" t="str">
        <f>RTD("tos.rtd", , "VOLUME", ".SPY170317C202")</f>
        <v>N/A</v>
      </c>
      <c r="F847" t="str">
        <f>RTD("tos.rtd", , "OPEN_INT", ".SPY170317C202")</f>
        <v>N/A</v>
      </c>
      <c r="G847" t="str">
        <f>RTD("tos.rtd", , "DELTA", ".SPY170317C202")</f>
        <v>N/A</v>
      </c>
      <c r="H847" t="str">
        <f>RTD("tos.rtd", , "THETA", ".SPY170317C202")</f>
        <v>N/A</v>
      </c>
      <c r="I847" t="str">
        <f>RTD("tos.rtd", , "GAMMA", ".SPY170317C202")</f>
        <v>N/A</v>
      </c>
      <c r="J847" t="str">
        <f>RTD("tos.rtd", , "VEGA", ".SPY170317C202")</f>
        <v>N/A</v>
      </c>
      <c r="K847" t="str">
        <f>RTD("tos.rtd", , "RHO", ".SPY170317C202")</f>
        <v>N/A</v>
      </c>
      <c r="L847" t="str">
        <f>RTD("tos.rtd", , "ASK", ".SPY170317P202")</f>
        <v>N/A</v>
      </c>
      <c r="M847" t="str">
        <f>RTD("tos.rtd", , "ASK_SIZE", ".SPY170317P202")</f>
        <v>N/A</v>
      </c>
      <c r="N847" t="str">
        <f>RTD("tos.rtd", , "BID", ".SPY170317P202")</f>
        <v>N/A</v>
      </c>
      <c r="O847" t="str">
        <f>RTD("tos.rtd", , "BID_SIZE", ".SPY170317P202")</f>
        <v>N/A</v>
      </c>
      <c r="P847" t="str">
        <f>RTD("tos.rtd", , "VOLUME", ".SPY170317P202")</f>
        <v>N/A</v>
      </c>
      <c r="Q847" t="str">
        <f>RTD("tos.rtd", , "OPEN_INT", ".SPY170317P202")</f>
        <v>N/A</v>
      </c>
      <c r="R847" t="str">
        <f>RTD("tos.rtd", , "DELTA", ".SPY170317P202")</f>
        <v>N/A</v>
      </c>
      <c r="S847" t="str">
        <f>RTD("tos.rtd", , "THETA", ".SPY170317P202")</f>
        <v>N/A</v>
      </c>
      <c r="T847" t="str">
        <f>RTD("tos.rtd", , "GAMMA", ".SPY170317P202")</f>
        <v>N/A</v>
      </c>
      <c r="U847" t="str">
        <f>RTD("tos.rtd", , "VEGA", ".SPY170317P202")</f>
        <v>N/A</v>
      </c>
      <c r="V847" t="str">
        <f>RTD("tos.rtd", , "RHO", ".SPY170317P202")</f>
        <v>N/A</v>
      </c>
    </row>
    <row r="848" spans="1:22" x14ac:dyDescent="0.25">
      <c r="A848" t="str">
        <f>RTD("tos.rtd", , "ASK", ".SPY170317C202.5")</f>
        <v>N/A</v>
      </c>
      <c r="B848" t="str">
        <f>RTD("tos.rtd", , "ASK_SIZE", ".SPY170317C202.5")</f>
        <v>N/A</v>
      </c>
      <c r="C848" t="str">
        <f>RTD("tos.rtd", , "BID", ".SPY170317C202.5")</f>
        <v>N/A</v>
      </c>
      <c r="D848" t="str">
        <f>RTD("tos.rtd", , "BID_SIZE", ".SPY170317C202.5")</f>
        <v>N/A</v>
      </c>
      <c r="E848" t="str">
        <f>RTD("tos.rtd", , "VOLUME", ".SPY170317C202.5")</f>
        <v>N/A</v>
      </c>
      <c r="F848" t="str">
        <f>RTD("tos.rtd", , "OPEN_INT", ".SPY170317C202.5")</f>
        <v>N/A</v>
      </c>
      <c r="G848" t="str">
        <f>RTD("tos.rtd", , "DELTA", ".SPY170317C202.5")</f>
        <v>N/A</v>
      </c>
      <c r="H848" t="str">
        <f>RTD("tos.rtd", , "THETA", ".SPY170317C202.5")</f>
        <v>N/A</v>
      </c>
      <c r="I848" t="str">
        <f>RTD("tos.rtd", , "GAMMA", ".SPY170317C202.5")</f>
        <v>N/A</v>
      </c>
      <c r="J848" t="str">
        <f>RTD("tos.rtd", , "VEGA", ".SPY170317C202.5")</f>
        <v>N/A</v>
      </c>
      <c r="K848" t="str">
        <f>RTD("tos.rtd", , "RHO", ".SPY170317C202.5")</f>
        <v>N/A</v>
      </c>
      <c r="L848" t="str">
        <f>RTD("tos.rtd", , "ASK", ".SPY170317P202.5")</f>
        <v>N/A</v>
      </c>
      <c r="M848" t="str">
        <f>RTD("tos.rtd", , "ASK_SIZE", ".SPY170317P202.5")</f>
        <v>N/A</v>
      </c>
      <c r="N848" t="str">
        <f>RTD("tos.rtd", , "BID", ".SPY170317P202.5")</f>
        <v>N/A</v>
      </c>
      <c r="O848" t="str">
        <f>RTD("tos.rtd", , "BID_SIZE", ".SPY170317P202.5")</f>
        <v>N/A</v>
      </c>
      <c r="P848" t="str">
        <f>RTD("tos.rtd", , "VOLUME", ".SPY170317P202.5")</f>
        <v>N/A</v>
      </c>
      <c r="Q848" t="str">
        <f>RTD("tos.rtd", , "OPEN_INT", ".SPY170317P202.5")</f>
        <v>N/A</v>
      </c>
      <c r="R848" t="str">
        <f>RTD("tos.rtd", , "DELTA", ".SPY170317P202.5")</f>
        <v>N/A</v>
      </c>
      <c r="S848" t="str">
        <f>RTD("tos.rtd", , "THETA", ".SPY170317P202.5")</f>
        <v>N/A</v>
      </c>
      <c r="T848" t="str">
        <f>RTD("tos.rtd", , "GAMMA", ".SPY170317P202.5")</f>
        <v>N/A</v>
      </c>
      <c r="U848" t="str">
        <f>RTD("tos.rtd", , "VEGA", ".SPY170317P202.5")</f>
        <v>N/A</v>
      </c>
      <c r="V848" t="str">
        <f>RTD("tos.rtd", , "RHO", ".SPY170317P202.5")</f>
        <v>N/A</v>
      </c>
    </row>
    <row r="849" spans="1:22" x14ac:dyDescent="0.25">
      <c r="A849" t="str">
        <f>RTD("tos.rtd", , "ASK", ".SPY170317C203")</f>
        <v>N/A</v>
      </c>
      <c r="B849" t="str">
        <f>RTD("tos.rtd", , "ASK_SIZE", ".SPY170317C203")</f>
        <v>N/A</v>
      </c>
      <c r="C849" t="str">
        <f>RTD("tos.rtd", , "BID", ".SPY170317C203")</f>
        <v>N/A</v>
      </c>
      <c r="D849" t="str">
        <f>RTD("tos.rtd", , "BID_SIZE", ".SPY170317C203")</f>
        <v>N/A</v>
      </c>
      <c r="E849" t="str">
        <f>RTD("tos.rtd", , "VOLUME", ".SPY170317C203")</f>
        <v>N/A</v>
      </c>
      <c r="F849" t="str">
        <f>RTD("tos.rtd", , "OPEN_INT", ".SPY170317C203")</f>
        <v>N/A</v>
      </c>
      <c r="G849" t="str">
        <f>RTD("tos.rtd", , "DELTA", ".SPY170317C203")</f>
        <v>N/A</v>
      </c>
      <c r="H849" t="str">
        <f>RTD("tos.rtd", , "THETA", ".SPY170317C203")</f>
        <v>N/A</v>
      </c>
      <c r="I849" t="str">
        <f>RTD("tos.rtd", , "GAMMA", ".SPY170317C203")</f>
        <v>N/A</v>
      </c>
      <c r="J849" t="str">
        <f>RTD("tos.rtd", , "VEGA", ".SPY170317C203")</f>
        <v>N/A</v>
      </c>
      <c r="K849" t="str">
        <f>RTD("tos.rtd", , "RHO", ".SPY170317C203")</f>
        <v>N/A</v>
      </c>
      <c r="L849" t="str">
        <f>RTD("tos.rtd", , "ASK", ".SPY170317P203")</f>
        <v>N/A</v>
      </c>
      <c r="M849" t="str">
        <f>RTD("tos.rtd", , "ASK_SIZE", ".SPY170317P203")</f>
        <v>N/A</v>
      </c>
      <c r="N849" t="str">
        <f>RTD("tos.rtd", , "BID", ".SPY170317P203")</f>
        <v>N/A</v>
      </c>
      <c r="O849" t="str">
        <f>RTD("tos.rtd", , "BID_SIZE", ".SPY170317P203")</f>
        <v>N/A</v>
      </c>
      <c r="P849" t="str">
        <f>RTD("tos.rtd", , "VOLUME", ".SPY170317P203")</f>
        <v>N/A</v>
      </c>
      <c r="Q849" t="str">
        <f>RTD("tos.rtd", , "OPEN_INT", ".SPY170317P203")</f>
        <v>N/A</v>
      </c>
      <c r="R849" t="str">
        <f>RTD("tos.rtd", , "DELTA", ".SPY170317P203")</f>
        <v>N/A</v>
      </c>
      <c r="S849" t="str">
        <f>RTD("tos.rtd", , "THETA", ".SPY170317P203")</f>
        <v>N/A</v>
      </c>
      <c r="T849" t="str">
        <f>RTD("tos.rtd", , "GAMMA", ".SPY170317P203")</f>
        <v>N/A</v>
      </c>
      <c r="U849" t="str">
        <f>RTD("tos.rtd", , "VEGA", ".SPY170317P203")</f>
        <v>N/A</v>
      </c>
      <c r="V849" t="str">
        <f>RTD("tos.rtd", , "RHO", ".SPY170317P203")</f>
        <v>N/A</v>
      </c>
    </row>
    <row r="850" spans="1:22" x14ac:dyDescent="0.25">
      <c r="A850" t="str">
        <f>RTD("tos.rtd", , "ASK", ".SPY170317C203.5")</f>
        <v>N/A</v>
      </c>
      <c r="B850" t="str">
        <f>RTD("tos.rtd", , "ASK_SIZE", ".SPY170317C203.5")</f>
        <v>N/A</v>
      </c>
      <c r="C850" t="str">
        <f>RTD("tos.rtd", , "BID", ".SPY170317C203.5")</f>
        <v>N/A</v>
      </c>
      <c r="D850" t="str">
        <f>RTD("tos.rtd", , "BID_SIZE", ".SPY170317C203.5")</f>
        <v>N/A</v>
      </c>
      <c r="E850" t="str">
        <f>RTD("tos.rtd", , "VOLUME", ".SPY170317C203.5")</f>
        <v>N/A</v>
      </c>
      <c r="F850" t="str">
        <f>RTD("tos.rtd", , "OPEN_INT", ".SPY170317C203.5")</f>
        <v>N/A</v>
      </c>
      <c r="G850" t="str">
        <f>RTD("tos.rtd", , "DELTA", ".SPY170317C203.5")</f>
        <v>N/A</v>
      </c>
      <c r="H850" t="str">
        <f>RTD("tos.rtd", , "THETA", ".SPY170317C203.5")</f>
        <v>N/A</v>
      </c>
      <c r="I850" t="str">
        <f>RTD("tos.rtd", , "GAMMA", ".SPY170317C203.5")</f>
        <v>N/A</v>
      </c>
      <c r="J850" t="str">
        <f>RTD("tos.rtd", , "VEGA", ".SPY170317C203.5")</f>
        <v>N/A</v>
      </c>
      <c r="K850" t="str">
        <f>RTD("tos.rtd", , "RHO", ".SPY170317C203.5")</f>
        <v>N/A</v>
      </c>
      <c r="L850" t="str">
        <f>RTD("tos.rtd", , "ASK", ".SPY170317P203.5")</f>
        <v>N/A</v>
      </c>
      <c r="M850" t="str">
        <f>RTD("tos.rtd", , "ASK_SIZE", ".SPY170317P203.5")</f>
        <v>N/A</v>
      </c>
      <c r="N850" t="str">
        <f>RTD("tos.rtd", , "BID", ".SPY170317P203.5")</f>
        <v>N/A</v>
      </c>
      <c r="O850" t="str">
        <f>RTD("tos.rtd", , "BID_SIZE", ".SPY170317P203.5")</f>
        <v>N/A</v>
      </c>
      <c r="P850" t="str">
        <f>RTD("tos.rtd", , "VOLUME", ".SPY170317P203.5")</f>
        <v>N/A</v>
      </c>
      <c r="Q850" t="str">
        <f>RTD("tos.rtd", , "OPEN_INT", ".SPY170317P203.5")</f>
        <v>N/A</v>
      </c>
      <c r="R850" t="str">
        <f>RTD("tos.rtd", , "DELTA", ".SPY170317P203.5")</f>
        <v>N/A</v>
      </c>
      <c r="S850" t="str">
        <f>RTD("tos.rtd", , "THETA", ".SPY170317P203.5")</f>
        <v>N/A</v>
      </c>
      <c r="T850" t="str">
        <f>RTD("tos.rtd", , "GAMMA", ".SPY170317P203.5")</f>
        <v>N/A</v>
      </c>
      <c r="U850" t="str">
        <f>RTD("tos.rtd", , "VEGA", ".SPY170317P203.5")</f>
        <v>N/A</v>
      </c>
      <c r="V850" t="str">
        <f>RTD("tos.rtd", , "RHO", ".SPY170317P203.5")</f>
        <v>N/A</v>
      </c>
    </row>
    <row r="851" spans="1:22" x14ac:dyDescent="0.25">
      <c r="A851" t="str">
        <f>RTD("tos.rtd", , "ASK", ".SPY170317C204")</f>
        <v>N/A</v>
      </c>
      <c r="B851" t="str">
        <f>RTD("tos.rtd", , "ASK_SIZE", ".SPY170317C204")</f>
        <v>N/A</v>
      </c>
      <c r="C851" t="str">
        <f>RTD("tos.rtd", , "BID", ".SPY170317C204")</f>
        <v>N/A</v>
      </c>
      <c r="D851" t="str">
        <f>RTD("tos.rtd", , "BID_SIZE", ".SPY170317C204")</f>
        <v>N/A</v>
      </c>
      <c r="E851" t="str">
        <f>RTD("tos.rtd", , "VOLUME", ".SPY170317C204")</f>
        <v>N/A</v>
      </c>
      <c r="F851" t="str">
        <f>RTD("tos.rtd", , "OPEN_INT", ".SPY170317C204")</f>
        <v>N/A</v>
      </c>
      <c r="G851" t="str">
        <f>RTD("tos.rtd", , "DELTA", ".SPY170317C204")</f>
        <v>N/A</v>
      </c>
      <c r="H851" t="str">
        <f>RTD("tos.rtd", , "THETA", ".SPY170317C204")</f>
        <v>N/A</v>
      </c>
      <c r="I851" t="str">
        <f>RTD("tos.rtd", , "GAMMA", ".SPY170317C204")</f>
        <v>N/A</v>
      </c>
      <c r="J851" t="str">
        <f>RTD("tos.rtd", , "VEGA", ".SPY170317C204")</f>
        <v>N/A</v>
      </c>
      <c r="K851" t="str">
        <f>RTD("tos.rtd", , "RHO", ".SPY170317C204")</f>
        <v>N/A</v>
      </c>
      <c r="L851" t="str">
        <f>RTD("tos.rtd", , "ASK", ".SPY170317P204")</f>
        <v>N/A</v>
      </c>
      <c r="M851" t="str">
        <f>RTD("tos.rtd", , "ASK_SIZE", ".SPY170317P204")</f>
        <v>N/A</v>
      </c>
      <c r="N851" t="str">
        <f>RTD("tos.rtd", , "BID", ".SPY170317P204")</f>
        <v>N/A</v>
      </c>
      <c r="O851" t="str">
        <f>RTD("tos.rtd", , "BID_SIZE", ".SPY170317P204")</f>
        <v>N/A</v>
      </c>
      <c r="P851" t="str">
        <f>RTD("tos.rtd", , "VOLUME", ".SPY170317P204")</f>
        <v>N/A</v>
      </c>
      <c r="Q851" t="str">
        <f>RTD("tos.rtd", , "OPEN_INT", ".SPY170317P204")</f>
        <v>N/A</v>
      </c>
      <c r="R851" t="str">
        <f>RTD("tos.rtd", , "DELTA", ".SPY170317P204")</f>
        <v>N/A</v>
      </c>
      <c r="S851" t="str">
        <f>RTD("tos.rtd", , "THETA", ".SPY170317P204")</f>
        <v>N/A</v>
      </c>
      <c r="T851" t="str">
        <f>RTD("tos.rtd", , "GAMMA", ".SPY170317P204")</f>
        <v>N/A</v>
      </c>
      <c r="U851" t="str">
        <f>RTD("tos.rtd", , "VEGA", ".SPY170317P204")</f>
        <v>N/A</v>
      </c>
      <c r="V851" t="str">
        <f>RTD("tos.rtd", , "RHO", ".SPY170317P204")</f>
        <v>N/A</v>
      </c>
    </row>
    <row r="852" spans="1:22" x14ac:dyDescent="0.25">
      <c r="A852" t="str">
        <f>RTD("tos.rtd", , "ASK", ".SPY170317C204.5")</f>
        <v>N/A</v>
      </c>
      <c r="B852" t="str">
        <f>RTD("tos.rtd", , "ASK_SIZE", ".SPY170317C204.5")</f>
        <v>N/A</v>
      </c>
      <c r="C852" t="str">
        <f>RTD("tos.rtd", , "BID", ".SPY170317C204.5")</f>
        <v>N/A</v>
      </c>
      <c r="D852" t="str">
        <f>RTD("tos.rtd", , "BID_SIZE", ".SPY170317C204.5")</f>
        <v>N/A</v>
      </c>
      <c r="E852" t="str">
        <f>RTD("tos.rtd", , "VOLUME", ".SPY170317C204.5")</f>
        <v>N/A</v>
      </c>
      <c r="F852" t="str">
        <f>RTD("tos.rtd", , "OPEN_INT", ".SPY170317C204.5")</f>
        <v>N/A</v>
      </c>
      <c r="G852" t="str">
        <f>RTD("tos.rtd", , "DELTA", ".SPY170317C204.5")</f>
        <v>N/A</v>
      </c>
      <c r="H852" t="str">
        <f>RTD("tos.rtd", , "THETA", ".SPY170317C204.5")</f>
        <v>N/A</v>
      </c>
      <c r="I852" t="str">
        <f>RTD("tos.rtd", , "GAMMA", ".SPY170317C204.5")</f>
        <v>N/A</v>
      </c>
      <c r="J852" t="str">
        <f>RTD("tos.rtd", , "VEGA", ".SPY170317C204.5")</f>
        <v>N/A</v>
      </c>
      <c r="K852" t="str">
        <f>RTD("tos.rtd", , "RHO", ".SPY170317C204.5")</f>
        <v>N/A</v>
      </c>
      <c r="L852" t="str">
        <f>RTD("tos.rtd", , "ASK", ".SPY170317P204.5")</f>
        <v>N/A</v>
      </c>
      <c r="M852" t="str">
        <f>RTD("tos.rtd", , "ASK_SIZE", ".SPY170317P204.5")</f>
        <v>N/A</v>
      </c>
      <c r="N852" t="str">
        <f>RTD("tos.rtd", , "BID", ".SPY170317P204.5")</f>
        <v>N/A</v>
      </c>
      <c r="O852" t="str">
        <f>RTD("tos.rtd", , "BID_SIZE", ".SPY170317P204.5")</f>
        <v>N/A</v>
      </c>
      <c r="P852" t="str">
        <f>RTD("tos.rtd", , "VOLUME", ".SPY170317P204.5")</f>
        <v>N/A</v>
      </c>
      <c r="Q852" t="str">
        <f>RTD("tos.rtd", , "OPEN_INT", ".SPY170317P204.5")</f>
        <v>N/A</v>
      </c>
      <c r="R852" t="str">
        <f>RTD("tos.rtd", , "DELTA", ".SPY170317P204.5")</f>
        <v>N/A</v>
      </c>
      <c r="S852" t="str">
        <f>RTD("tos.rtd", , "THETA", ".SPY170317P204.5")</f>
        <v>N/A</v>
      </c>
      <c r="T852" t="str">
        <f>RTD("tos.rtd", , "GAMMA", ".SPY170317P204.5")</f>
        <v>N/A</v>
      </c>
      <c r="U852" t="str">
        <f>RTD("tos.rtd", , "VEGA", ".SPY170317P204.5")</f>
        <v>N/A</v>
      </c>
      <c r="V852" t="str">
        <f>RTD("tos.rtd", , "RHO", ".SPY170317P204.5")</f>
        <v>N/A</v>
      </c>
    </row>
    <row r="853" spans="1:22" x14ac:dyDescent="0.25">
      <c r="A853">
        <f>RTD("tos.rtd", , "ASK", ".SPY170317C205")</f>
        <v>22.54</v>
      </c>
      <c r="B853">
        <f>RTD("tos.rtd", , "ASK_SIZE", ".SPY170317C205")</f>
        <v>141</v>
      </c>
      <c r="C853">
        <f>RTD("tos.rtd", , "BID", ".SPY170317C205")</f>
        <v>21.58</v>
      </c>
      <c r="D853">
        <f>RTD("tos.rtd", , "BID_SIZE", ".SPY170317C205")</f>
        <v>104</v>
      </c>
      <c r="E853">
        <f>RTD("tos.rtd", , "VOLUME", ".SPY170317C205")</f>
        <v>0</v>
      </c>
      <c r="F853">
        <f>RTD("tos.rtd", , "OPEN_INT", ".SPY170317C205")</f>
        <v>4</v>
      </c>
      <c r="G853">
        <f>RTD("tos.rtd", , "DELTA", ".SPY170317C205")</f>
        <v>0.56028999999999995</v>
      </c>
      <c r="H853">
        <f>RTD("tos.rtd", , "THETA", ".SPY170317C205")</f>
        <v>-1.158E-2</v>
      </c>
      <c r="I853">
        <f>RTD("tos.rtd", , "GAMMA", ".SPY170317C205")</f>
        <v>7.62E-3</v>
      </c>
      <c r="J853">
        <f>RTD("tos.rtd", , "VEGA", ".SPY170317C205")</f>
        <v>1.10134</v>
      </c>
      <c r="K853">
        <f>RTD("tos.rtd", , "RHO", ".SPY170317C205")</f>
        <v>1.43771</v>
      </c>
      <c r="L853">
        <f>RTD("tos.rtd", , "ASK", ".SPY170317P205")</f>
        <v>20</v>
      </c>
      <c r="M853">
        <f>RTD("tos.rtd", , "ASK_SIZE", ".SPY170317P205")</f>
        <v>94</v>
      </c>
      <c r="N853">
        <f>RTD("tos.rtd", , "BID", ".SPY170317P205")</f>
        <v>19.03</v>
      </c>
      <c r="O853">
        <f>RTD("tos.rtd", , "BID_SIZE", ".SPY170317P205")</f>
        <v>94</v>
      </c>
      <c r="P853">
        <f>RTD("tos.rtd", , "VOLUME", ".SPY170317P205")</f>
        <v>0</v>
      </c>
      <c r="Q853">
        <f>RTD("tos.rtd", , "OPEN_INT", ".SPY170317P205")</f>
        <v>3</v>
      </c>
      <c r="R853">
        <f>RTD("tos.rtd", , "DELTA", ".SPY170317P205")</f>
        <v>-0.43260999999999999</v>
      </c>
      <c r="S853">
        <f>RTD("tos.rtd", , "THETA", ".SPY170317P205")</f>
        <v>-1.804E-2</v>
      </c>
      <c r="T853">
        <f>RTD("tos.rtd", , "GAMMA", ".SPY170317P205")</f>
        <v>7.4400000000000004E-3</v>
      </c>
      <c r="U853">
        <f>RTD("tos.rtd", , "VEGA", ".SPY170317P205")</f>
        <v>1.1071299999999999</v>
      </c>
      <c r="V853">
        <f>RTD("tos.rtd", , "RHO", ".SPY170317P205")</f>
        <v>-2.0710000000000002</v>
      </c>
    </row>
    <row r="854" spans="1:22" x14ac:dyDescent="0.25">
      <c r="A854" t="str">
        <f>RTD("tos.rtd", , "ASK", ".SPY170317C205.5")</f>
        <v>N/A</v>
      </c>
      <c r="B854" t="str">
        <f>RTD("tos.rtd", , "ASK_SIZE", ".SPY170317C205.5")</f>
        <v>N/A</v>
      </c>
      <c r="C854" t="str">
        <f>RTD("tos.rtd", , "BID", ".SPY170317C205.5")</f>
        <v>N/A</v>
      </c>
      <c r="D854" t="str">
        <f>RTD("tos.rtd", , "BID_SIZE", ".SPY170317C205.5")</f>
        <v>N/A</v>
      </c>
      <c r="E854" t="str">
        <f>RTD("tos.rtd", , "VOLUME", ".SPY170317C205.5")</f>
        <v>N/A</v>
      </c>
      <c r="F854" t="str">
        <f>RTD("tos.rtd", , "OPEN_INT", ".SPY170317C205.5")</f>
        <v>N/A</v>
      </c>
      <c r="G854" t="str">
        <f>RTD("tos.rtd", , "DELTA", ".SPY170317C205.5")</f>
        <v>N/A</v>
      </c>
      <c r="H854" t="str">
        <f>RTD("tos.rtd", , "THETA", ".SPY170317C205.5")</f>
        <v>N/A</v>
      </c>
      <c r="I854" t="str">
        <f>RTD("tos.rtd", , "GAMMA", ".SPY170317C205.5")</f>
        <v>N/A</v>
      </c>
      <c r="J854" t="str">
        <f>RTD("tos.rtd", , "VEGA", ".SPY170317C205.5")</f>
        <v>N/A</v>
      </c>
      <c r="K854" t="str">
        <f>RTD("tos.rtd", , "RHO", ".SPY170317C205.5")</f>
        <v>N/A</v>
      </c>
      <c r="L854" t="str">
        <f>RTD("tos.rtd", , "ASK", ".SPY170317P205.5")</f>
        <v>N/A</v>
      </c>
      <c r="M854" t="str">
        <f>RTD("tos.rtd", , "ASK_SIZE", ".SPY170317P205.5")</f>
        <v>N/A</v>
      </c>
      <c r="N854" t="str">
        <f>RTD("tos.rtd", , "BID", ".SPY170317P205.5")</f>
        <v>N/A</v>
      </c>
      <c r="O854" t="str">
        <f>RTD("tos.rtd", , "BID_SIZE", ".SPY170317P205.5")</f>
        <v>N/A</v>
      </c>
      <c r="P854" t="str">
        <f>RTD("tos.rtd", , "VOLUME", ".SPY170317P205.5")</f>
        <v>N/A</v>
      </c>
      <c r="Q854" t="str">
        <f>RTD("tos.rtd", , "OPEN_INT", ".SPY170317P205.5")</f>
        <v>N/A</v>
      </c>
      <c r="R854" t="str">
        <f>RTD("tos.rtd", , "DELTA", ".SPY170317P205.5")</f>
        <v>N/A</v>
      </c>
      <c r="S854" t="str">
        <f>RTD("tos.rtd", , "THETA", ".SPY170317P205.5")</f>
        <v>N/A</v>
      </c>
      <c r="T854" t="str">
        <f>RTD("tos.rtd", , "GAMMA", ".SPY170317P205.5")</f>
        <v>N/A</v>
      </c>
      <c r="U854" t="str">
        <f>RTD("tos.rtd", , "VEGA", ".SPY170317P205.5")</f>
        <v>N/A</v>
      </c>
      <c r="V854" t="str">
        <f>RTD("tos.rtd", , "RHO", ".SPY170317P205.5")</f>
        <v>N/A</v>
      </c>
    </row>
    <row r="855" spans="1:22" x14ac:dyDescent="0.25">
      <c r="A855" t="str">
        <f>RTD("tos.rtd", , "ASK", ".SPY170317C206")</f>
        <v>N/A</v>
      </c>
      <c r="B855" t="str">
        <f>RTD("tos.rtd", , "ASK_SIZE", ".SPY170317C206")</f>
        <v>N/A</v>
      </c>
      <c r="C855" t="str">
        <f>RTD("tos.rtd", , "BID", ".SPY170317C206")</f>
        <v>N/A</v>
      </c>
      <c r="D855" t="str">
        <f>RTD("tos.rtd", , "BID_SIZE", ".SPY170317C206")</f>
        <v>N/A</v>
      </c>
      <c r="E855" t="str">
        <f>RTD("tos.rtd", , "VOLUME", ".SPY170317C206")</f>
        <v>N/A</v>
      </c>
      <c r="F855" t="str">
        <f>RTD("tos.rtd", , "OPEN_INT", ".SPY170317C206")</f>
        <v>N/A</v>
      </c>
      <c r="G855" t="str">
        <f>RTD("tos.rtd", , "DELTA", ".SPY170317C206")</f>
        <v>N/A</v>
      </c>
      <c r="H855" t="str">
        <f>RTD("tos.rtd", , "THETA", ".SPY170317C206")</f>
        <v>N/A</v>
      </c>
      <c r="I855" t="str">
        <f>RTD("tos.rtd", , "GAMMA", ".SPY170317C206")</f>
        <v>N/A</v>
      </c>
      <c r="J855" t="str">
        <f>RTD("tos.rtd", , "VEGA", ".SPY170317C206")</f>
        <v>N/A</v>
      </c>
      <c r="K855" t="str">
        <f>RTD("tos.rtd", , "RHO", ".SPY170317C206")</f>
        <v>N/A</v>
      </c>
      <c r="L855" t="str">
        <f>RTD("tos.rtd", , "ASK", ".SPY170317P206")</f>
        <v>N/A</v>
      </c>
      <c r="M855" t="str">
        <f>RTD("tos.rtd", , "ASK_SIZE", ".SPY170317P206")</f>
        <v>N/A</v>
      </c>
      <c r="N855" t="str">
        <f>RTD("tos.rtd", , "BID", ".SPY170317P206")</f>
        <v>N/A</v>
      </c>
      <c r="O855" t="str">
        <f>RTD("tos.rtd", , "BID_SIZE", ".SPY170317P206")</f>
        <v>N/A</v>
      </c>
      <c r="P855" t="str">
        <f>RTD("tos.rtd", , "VOLUME", ".SPY170317P206")</f>
        <v>N/A</v>
      </c>
      <c r="Q855" t="str">
        <f>RTD("tos.rtd", , "OPEN_INT", ".SPY170317P206")</f>
        <v>N/A</v>
      </c>
      <c r="R855" t="str">
        <f>RTD("tos.rtd", , "DELTA", ".SPY170317P206")</f>
        <v>N/A</v>
      </c>
      <c r="S855" t="str">
        <f>RTD("tos.rtd", , "THETA", ".SPY170317P206")</f>
        <v>N/A</v>
      </c>
      <c r="T855" t="str">
        <f>RTD("tos.rtd", , "GAMMA", ".SPY170317P206")</f>
        <v>N/A</v>
      </c>
      <c r="U855" t="str">
        <f>RTD("tos.rtd", , "VEGA", ".SPY170317P206")</f>
        <v>N/A</v>
      </c>
      <c r="V855" t="str">
        <f>RTD("tos.rtd", , "RHO", ".SPY170317P206")</f>
        <v>N/A</v>
      </c>
    </row>
    <row r="856" spans="1:22" x14ac:dyDescent="0.25">
      <c r="A856" t="str">
        <f>RTD("tos.rtd", , "ASK", ".SPY170317C206.5")</f>
        <v>N/A</v>
      </c>
      <c r="B856" t="str">
        <f>RTD("tos.rtd", , "ASK_SIZE", ".SPY170317C206.5")</f>
        <v>N/A</v>
      </c>
      <c r="C856" t="str">
        <f>RTD("tos.rtd", , "BID", ".SPY170317C206.5")</f>
        <v>N/A</v>
      </c>
      <c r="D856" t="str">
        <f>RTD("tos.rtd", , "BID_SIZE", ".SPY170317C206.5")</f>
        <v>N/A</v>
      </c>
      <c r="E856" t="str">
        <f>RTD("tos.rtd", , "VOLUME", ".SPY170317C206.5")</f>
        <v>N/A</v>
      </c>
      <c r="F856" t="str">
        <f>RTD("tos.rtd", , "OPEN_INT", ".SPY170317C206.5")</f>
        <v>N/A</v>
      </c>
      <c r="G856" t="str">
        <f>RTD("tos.rtd", , "DELTA", ".SPY170317C206.5")</f>
        <v>N/A</v>
      </c>
      <c r="H856" t="str">
        <f>RTD("tos.rtd", , "THETA", ".SPY170317C206.5")</f>
        <v>N/A</v>
      </c>
      <c r="I856" t="str">
        <f>RTD("tos.rtd", , "GAMMA", ".SPY170317C206.5")</f>
        <v>N/A</v>
      </c>
      <c r="J856" t="str">
        <f>RTD("tos.rtd", , "VEGA", ".SPY170317C206.5")</f>
        <v>N/A</v>
      </c>
      <c r="K856" t="str">
        <f>RTD("tos.rtd", , "RHO", ".SPY170317C206.5")</f>
        <v>N/A</v>
      </c>
      <c r="L856" t="str">
        <f>RTD("tos.rtd", , "ASK", ".SPY170317P206.5")</f>
        <v>N/A</v>
      </c>
      <c r="M856" t="str">
        <f>RTD("tos.rtd", , "ASK_SIZE", ".SPY170317P206.5")</f>
        <v>N/A</v>
      </c>
      <c r="N856" t="str">
        <f>RTD("tos.rtd", , "BID", ".SPY170317P206.5")</f>
        <v>N/A</v>
      </c>
      <c r="O856" t="str">
        <f>RTD("tos.rtd", , "BID_SIZE", ".SPY170317P206.5")</f>
        <v>N/A</v>
      </c>
      <c r="P856" t="str">
        <f>RTD("tos.rtd", , "VOLUME", ".SPY170317P206.5")</f>
        <v>N/A</v>
      </c>
      <c r="Q856" t="str">
        <f>RTD("tos.rtd", , "OPEN_INT", ".SPY170317P206.5")</f>
        <v>N/A</v>
      </c>
      <c r="R856" t="str">
        <f>RTD("tos.rtd", , "DELTA", ".SPY170317P206.5")</f>
        <v>N/A</v>
      </c>
      <c r="S856" t="str">
        <f>RTD("tos.rtd", , "THETA", ".SPY170317P206.5")</f>
        <v>N/A</v>
      </c>
      <c r="T856" t="str">
        <f>RTD("tos.rtd", , "GAMMA", ".SPY170317P206.5")</f>
        <v>N/A</v>
      </c>
      <c r="U856" t="str">
        <f>RTD("tos.rtd", , "VEGA", ".SPY170317P206.5")</f>
        <v>N/A</v>
      </c>
      <c r="V856" t="str">
        <f>RTD("tos.rtd", , "RHO", ".SPY170317P206.5")</f>
        <v>N/A</v>
      </c>
    </row>
    <row r="857" spans="1:22" x14ac:dyDescent="0.25">
      <c r="A857" t="str">
        <f>RTD("tos.rtd", , "ASK", ".SPY170317C207")</f>
        <v>N/A</v>
      </c>
      <c r="B857" t="str">
        <f>RTD("tos.rtd", , "ASK_SIZE", ".SPY170317C207")</f>
        <v>N/A</v>
      </c>
      <c r="C857" t="str">
        <f>RTD("tos.rtd", , "BID", ".SPY170317C207")</f>
        <v>N/A</v>
      </c>
      <c r="D857" t="str">
        <f>RTD("tos.rtd", , "BID_SIZE", ".SPY170317C207")</f>
        <v>N/A</v>
      </c>
      <c r="E857" t="str">
        <f>RTD("tos.rtd", , "VOLUME", ".SPY170317C207")</f>
        <v>N/A</v>
      </c>
      <c r="F857" t="str">
        <f>RTD("tos.rtd", , "OPEN_INT", ".SPY170317C207")</f>
        <v>N/A</v>
      </c>
      <c r="G857" t="str">
        <f>RTD("tos.rtd", , "DELTA", ".SPY170317C207")</f>
        <v>N/A</v>
      </c>
      <c r="H857" t="str">
        <f>RTD("tos.rtd", , "THETA", ".SPY170317C207")</f>
        <v>N/A</v>
      </c>
      <c r="I857" t="str">
        <f>RTD("tos.rtd", , "GAMMA", ".SPY170317C207")</f>
        <v>N/A</v>
      </c>
      <c r="J857" t="str">
        <f>RTD("tos.rtd", , "VEGA", ".SPY170317C207")</f>
        <v>N/A</v>
      </c>
      <c r="K857" t="str">
        <f>RTD("tos.rtd", , "RHO", ".SPY170317C207")</f>
        <v>N/A</v>
      </c>
      <c r="L857" t="str">
        <f>RTD("tos.rtd", , "ASK", ".SPY170317P207")</f>
        <v>N/A</v>
      </c>
      <c r="M857" t="str">
        <f>RTD("tos.rtd", , "ASK_SIZE", ".SPY170317P207")</f>
        <v>N/A</v>
      </c>
      <c r="N857" t="str">
        <f>RTD("tos.rtd", , "BID", ".SPY170317P207")</f>
        <v>N/A</v>
      </c>
      <c r="O857" t="str">
        <f>RTD("tos.rtd", , "BID_SIZE", ".SPY170317P207")</f>
        <v>N/A</v>
      </c>
      <c r="P857" t="str">
        <f>RTD("tos.rtd", , "VOLUME", ".SPY170317P207")</f>
        <v>N/A</v>
      </c>
      <c r="Q857" t="str">
        <f>RTD("tos.rtd", , "OPEN_INT", ".SPY170317P207")</f>
        <v>N/A</v>
      </c>
      <c r="R857" t="str">
        <f>RTD("tos.rtd", , "DELTA", ".SPY170317P207")</f>
        <v>N/A</v>
      </c>
      <c r="S857" t="str">
        <f>RTD("tos.rtd", , "THETA", ".SPY170317P207")</f>
        <v>N/A</v>
      </c>
      <c r="T857" t="str">
        <f>RTD("tos.rtd", , "GAMMA", ".SPY170317P207")</f>
        <v>N/A</v>
      </c>
      <c r="U857" t="str">
        <f>RTD("tos.rtd", , "VEGA", ".SPY170317P207")</f>
        <v>N/A</v>
      </c>
      <c r="V857" t="str">
        <f>RTD("tos.rtd", , "RHO", ".SPY170317P207")</f>
        <v>N/A</v>
      </c>
    </row>
    <row r="858" spans="1:22" x14ac:dyDescent="0.25">
      <c r="A858" t="str">
        <f>RTD("tos.rtd", , "ASK", ".SPY170317C207.5")</f>
        <v>N/A</v>
      </c>
      <c r="B858" t="str">
        <f>RTD("tos.rtd", , "ASK_SIZE", ".SPY170317C207.5")</f>
        <v>N/A</v>
      </c>
      <c r="C858" t="str">
        <f>RTD("tos.rtd", , "BID", ".SPY170317C207.5")</f>
        <v>N/A</v>
      </c>
      <c r="D858" t="str">
        <f>RTD("tos.rtd", , "BID_SIZE", ".SPY170317C207.5")</f>
        <v>N/A</v>
      </c>
      <c r="E858" t="str">
        <f>RTD("tos.rtd", , "VOLUME", ".SPY170317C207.5")</f>
        <v>N/A</v>
      </c>
      <c r="F858" t="str">
        <f>RTD("tos.rtd", , "OPEN_INT", ".SPY170317C207.5")</f>
        <v>N/A</v>
      </c>
      <c r="G858" t="str">
        <f>RTD("tos.rtd", , "DELTA", ".SPY170317C207.5")</f>
        <v>N/A</v>
      </c>
      <c r="H858" t="str">
        <f>RTD("tos.rtd", , "THETA", ".SPY170317C207.5")</f>
        <v>N/A</v>
      </c>
      <c r="I858" t="str">
        <f>RTD("tos.rtd", , "GAMMA", ".SPY170317C207.5")</f>
        <v>N/A</v>
      </c>
      <c r="J858" t="str">
        <f>RTD("tos.rtd", , "VEGA", ".SPY170317C207.5")</f>
        <v>N/A</v>
      </c>
      <c r="K858" t="str">
        <f>RTD("tos.rtd", , "RHO", ".SPY170317C207.5")</f>
        <v>N/A</v>
      </c>
      <c r="L858" t="str">
        <f>RTD("tos.rtd", , "ASK", ".SPY170317P207.5")</f>
        <v>N/A</v>
      </c>
      <c r="M858" t="str">
        <f>RTD("tos.rtd", , "ASK_SIZE", ".SPY170317P207.5")</f>
        <v>N/A</v>
      </c>
      <c r="N858" t="str">
        <f>RTD("tos.rtd", , "BID", ".SPY170317P207.5")</f>
        <v>N/A</v>
      </c>
      <c r="O858" t="str">
        <f>RTD("tos.rtd", , "BID_SIZE", ".SPY170317P207.5")</f>
        <v>N/A</v>
      </c>
      <c r="P858" t="str">
        <f>RTD("tos.rtd", , "VOLUME", ".SPY170317P207.5")</f>
        <v>N/A</v>
      </c>
      <c r="Q858" t="str">
        <f>RTD("tos.rtd", , "OPEN_INT", ".SPY170317P207.5")</f>
        <v>N/A</v>
      </c>
      <c r="R858" t="str">
        <f>RTD("tos.rtd", , "DELTA", ".SPY170317P207.5")</f>
        <v>N/A</v>
      </c>
      <c r="S858" t="str">
        <f>RTD("tos.rtd", , "THETA", ".SPY170317P207.5")</f>
        <v>N/A</v>
      </c>
      <c r="T858" t="str">
        <f>RTD("tos.rtd", , "GAMMA", ".SPY170317P207.5")</f>
        <v>N/A</v>
      </c>
      <c r="U858" t="str">
        <f>RTD("tos.rtd", , "VEGA", ".SPY170317P207.5")</f>
        <v>N/A</v>
      </c>
      <c r="V858" t="str">
        <f>RTD("tos.rtd", , "RHO", ".SPY170317P207.5")</f>
        <v>N/A</v>
      </c>
    </row>
    <row r="859" spans="1:22" x14ac:dyDescent="0.25">
      <c r="A859" t="str">
        <f>RTD("tos.rtd", , "ASK", ".SPY170317C208")</f>
        <v>N/A</v>
      </c>
      <c r="B859" t="str">
        <f>RTD("tos.rtd", , "ASK_SIZE", ".SPY170317C208")</f>
        <v>N/A</v>
      </c>
      <c r="C859" t="str">
        <f>RTD("tos.rtd", , "BID", ".SPY170317C208")</f>
        <v>N/A</v>
      </c>
      <c r="D859" t="str">
        <f>RTD("tos.rtd", , "BID_SIZE", ".SPY170317C208")</f>
        <v>N/A</v>
      </c>
      <c r="E859" t="str">
        <f>RTD("tos.rtd", , "VOLUME", ".SPY170317C208")</f>
        <v>N/A</v>
      </c>
      <c r="F859" t="str">
        <f>RTD("tos.rtd", , "OPEN_INT", ".SPY170317C208")</f>
        <v>N/A</v>
      </c>
      <c r="G859" t="str">
        <f>RTD("tos.rtd", , "DELTA", ".SPY170317C208")</f>
        <v>N/A</v>
      </c>
      <c r="H859" t="str">
        <f>RTD("tos.rtd", , "THETA", ".SPY170317C208")</f>
        <v>N/A</v>
      </c>
      <c r="I859" t="str">
        <f>RTD("tos.rtd", , "GAMMA", ".SPY170317C208")</f>
        <v>N/A</v>
      </c>
      <c r="J859" t="str">
        <f>RTD("tos.rtd", , "VEGA", ".SPY170317C208")</f>
        <v>N/A</v>
      </c>
      <c r="K859" t="str">
        <f>RTD("tos.rtd", , "RHO", ".SPY170317C208")</f>
        <v>N/A</v>
      </c>
      <c r="L859" t="str">
        <f>RTD("tos.rtd", , "ASK", ".SPY170317P208")</f>
        <v>N/A</v>
      </c>
      <c r="M859" t="str">
        <f>RTD("tos.rtd", , "ASK_SIZE", ".SPY170317P208")</f>
        <v>N/A</v>
      </c>
      <c r="N859" t="str">
        <f>RTD("tos.rtd", , "BID", ".SPY170317P208")</f>
        <v>N/A</v>
      </c>
      <c r="O859" t="str">
        <f>RTD("tos.rtd", , "BID_SIZE", ".SPY170317P208")</f>
        <v>N/A</v>
      </c>
      <c r="P859" t="str">
        <f>RTD("tos.rtd", , "VOLUME", ".SPY170317P208")</f>
        <v>N/A</v>
      </c>
      <c r="Q859" t="str">
        <f>RTD("tos.rtd", , "OPEN_INT", ".SPY170317P208")</f>
        <v>N/A</v>
      </c>
      <c r="R859" t="str">
        <f>RTD("tos.rtd", , "DELTA", ".SPY170317P208")</f>
        <v>N/A</v>
      </c>
      <c r="S859" t="str">
        <f>RTD("tos.rtd", , "THETA", ".SPY170317P208")</f>
        <v>N/A</v>
      </c>
      <c r="T859" t="str">
        <f>RTD("tos.rtd", , "GAMMA", ".SPY170317P208")</f>
        <v>N/A</v>
      </c>
      <c r="U859" t="str">
        <f>RTD("tos.rtd", , "VEGA", ".SPY170317P208")</f>
        <v>N/A</v>
      </c>
      <c r="V859" t="str">
        <f>RTD("tos.rtd", , "RHO", ".SPY170317P208")</f>
        <v>N/A</v>
      </c>
    </row>
    <row r="860" spans="1:22" x14ac:dyDescent="0.25">
      <c r="A860" t="str">
        <f>RTD("tos.rtd", , "ASK", ".SPY170317C208.5")</f>
        <v>N/A</v>
      </c>
      <c r="B860" t="str">
        <f>RTD("tos.rtd", , "ASK_SIZE", ".SPY170317C208.5")</f>
        <v>N/A</v>
      </c>
      <c r="C860" t="str">
        <f>RTD("tos.rtd", , "BID", ".SPY170317C208.5")</f>
        <v>N/A</v>
      </c>
      <c r="D860" t="str">
        <f>RTD("tos.rtd", , "BID_SIZE", ".SPY170317C208.5")</f>
        <v>N/A</v>
      </c>
      <c r="E860" t="str">
        <f>RTD("tos.rtd", , "VOLUME", ".SPY170317C208.5")</f>
        <v>N/A</v>
      </c>
      <c r="F860" t="str">
        <f>RTD("tos.rtd", , "OPEN_INT", ".SPY170317C208.5")</f>
        <v>N/A</v>
      </c>
      <c r="G860" t="str">
        <f>RTD("tos.rtd", , "DELTA", ".SPY170317C208.5")</f>
        <v>N/A</v>
      </c>
      <c r="H860" t="str">
        <f>RTD("tos.rtd", , "THETA", ".SPY170317C208.5")</f>
        <v>N/A</v>
      </c>
      <c r="I860" t="str">
        <f>RTD("tos.rtd", , "GAMMA", ".SPY170317C208.5")</f>
        <v>N/A</v>
      </c>
      <c r="J860" t="str">
        <f>RTD("tos.rtd", , "VEGA", ".SPY170317C208.5")</f>
        <v>N/A</v>
      </c>
      <c r="K860" t="str">
        <f>RTD("tos.rtd", , "RHO", ".SPY170317C208.5")</f>
        <v>N/A</v>
      </c>
      <c r="L860" t="str">
        <f>RTD("tos.rtd", , "ASK", ".SPY170317P208.5")</f>
        <v>N/A</v>
      </c>
      <c r="M860" t="str">
        <f>RTD("tos.rtd", , "ASK_SIZE", ".SPY170317P208.5")</f>
        <v>N/A</v>
      </c>
      <c r="N860" t="str">
        <f>RTD("tos.rtd", , "BID", ".SPY170317P208.5")</f>
        <v>N/A</v>
      </c>
      <c r="O860" t="str">
        <f>RTD("tos.rtd", , "BID_SIZE", ".SPY170317P208.5")</f>
        <v>N/A</v>
      </c>
      <c r="P860" t="str">
        <f>RTD("tos.rtd", , "VOLUME", ".SPY170317P208.5")</f>
        <v>N/A</v>
      </c>
      <c r="Q860" t="str">
        <f>RTD("tos.rtd", , "OPEN_INT", ".SPY170317P208.5")</f>
        <v>N/A</v>
      </c>
      <c r="R860" t="str">
        <f>RTD("tos.rtd", , "DELTA", ".SPY170317P208.5")</f>
        <v>N/A</v>
      </c>
      <c r="S860" t="str">
        <f>RTD("tos.rtd", , "THETA", ".SPY170317P208.5")</f>
        <v>N/A</v>
      </c>
      <c r="T860" t="str">
        <f>RTD("tos.rtd", , "GAMMA", ".SPY170317P208.5")</f>
        <v>N/A</v>
      </c>
      <c r="U860" t="str">
        <f>RTD("tos.rtd", , "VEGA", ".SPY170317P208.5")</f>
        <v>N/A</v>
      </c>
      <c r="V860" t="str">
        <f>RTD("tos.rtd", , "RHO", ".SPY170317P208.5")</f>
        <v>N/A</v>
      </c>
    </row>
    <row r="861" spans="1:22" x14ac:dyDescent="0.25">
      <c r="A861" t="str">
        <f>RTD("tos.rtd", , "ASK", ".SPY170317C209")</f>
        <v>N/A</v>
      </c>
      <c r="B861" t="str">
        <f>RTD("tos.rtd", , "ASK_SIZE", ".SPY170317C209")</f>
        <v>N/A</v>
      </c>
      <c r="C861" t="str">
        <f>RTD("tos.rtd", , "BID", ".SPY170317C209")</f>
        <v>N/A</v>
      </c>
      <c r="D861" t="str">
        <f>RTD("tos.rtd", , "BID_SIZE", ".SPY170317C209")</f>
        <v>N/A</v>
      </c>
      <c r="E861" t="str">
        <f>RTD("tos.rtd", , "VOLUME", ".SPY170317C209")</f>
        <v>N/A</v>
      </c>
      <c r="F861" t="str">
        <f>RTD("tos.rtd", , "OPEN_INT", ".SPY170317C209")</f>
        <v>N/A</v>
      </c>
      <c r="G861" t="str">
        <f>RTD("tos.rtd", , "DELTA", ".SPY170317C209")</f>
        <v>N/A</v>
      </c>
      <c r="H861" t="str">
        <f>RTD("tos.rtd", , "THETA", ".SPY170317C209")</f>
        <v>N/A</v>
      </c>
      <c r="I861" t="str">
        <f>RTD("tos.rtd", , "GAMMA", ".SPY170317C209")</f>
        <v>N/A</v>
      </c>
      <c r="J861" t="str">
        <f>RTD("tos.rtd", , "VEGA", ".SPY170317C209")</f>
        <v>N/A</v>
      </c>
      <c r="K861" t="str">
        <f>RTD("tos.rtd", , "RHO", ".SPY170317C209")</f>
        <v>N/A</v>
      </c>
      <c r="L861" t="str">
        <f>RTD("tos.rtd", , "ASK", ".SPY170317P209")</f>
        <v>N/A</v>
      </c>
      <c r="M861" t="str">
        <f>RTD("tos.rtd", , "ASK_SIZE", ".SPY170317P209")</f>
        <v>N/A</v>
      </c>
      <c r="N861" t="str">
        <f>RTD("tos.rtd", , "BID", ".SPY170317P209")</f>
        <v>N/A</v>
      </c>
      <c r="O861" t="str">
        <f>RTD("tos.rtd", , "BID_SIZE", ".SPY170317P209")</f>
        <v>N/A</v>
      </c>
      <c r="P861" t="str">
        <f>RTD("tos.rtd", , "VOLUME", ".SPY170317P209")</f>
        <v>N/A</v>
      </c>
      <c r="Q861" t="str">
        <f>RTD("tos.rtd", , "OPEN_INT", ".SPY170317P209")</f>
        <v>N/A</v>
      </c>
      <c r="R861" t="str">
        <f>RTD("tos.rtd", , "DELTA", ".SPY170317P209")</f>
        <v>N/A</v>
      </c>
      <c r="S861" t="str">
        <f>RTD("tos.rtd", , "THETA", ".SPY170317P209")</f>
        <v>N/A</v>
      </c>
      <c r="T861" t="str">
        <f>RTD("tos.rtd", , "GAMMA", ".SPY170317P209")</f>
        <v>N/A</v>
      </c>
      <c r="U861" t="str">
        <f>RTD("tos.rtd", , "VEGA", ".SPY170317P209")</f>
        <v>N/A</v>
      </c>
      <c r="V861" t="str">
        <f>RTD("tos.rtd", , "RHO", ".SPY170317P209")</f>
        <v>N/A</v>
      </c>
    </row>
    <row r="862" spans="1:22" x14ac:dyDescent="0.25">
      <c r="A862" t="str">
        <f>RTD("tos.rtd", , "ASK", ".SPY170317C209.5")</f>
        <v>N/A</v>
      </c>
      <c r="B862" t="str">
        <f>RTD("tos.rtd", , "ASK_SIZE", ".SPY170317C209.5")</f>
        <v>N/A</v>
      </c>
      <c r="C862" t="str">
        <f>RTD("tos.rtd", , "BID", ".SPY170317C209.5")</f>
        <v>N/A</v>
      </c>
      <c r="D862" t="str">
        <f>RTD("tos.rtd", , "BID_SIZE", ".SPY170317C209.5")</f>
        <v>N/A</v>
      </c>
      <c r="E862" t="str">
        <f>RTD("tos.rtd", , "VOLUME", ".SPY170317C209.5")</f>
        <v>N/A</v>
      </c>
      <c r="F862" t="str">
        <f>RTD("tos.rtd", , "OPEN_INT", ".SPY170317C209.5")</f>
        <v>N/A</v>
      </c>
      <c r="G862" t="str">
        <f>RTD("tos.rtd", , "DELTA", ".SPY170317C209.5")</f>
        <v>N/A</v>
      </c>
      <c r="H862" t="str">
        <f>RTD("tos.rtd", , "THETA", ".SPY170317C209.5")</f>
        <v>N/A</v>
      </c>
      <c r="I862" t="str">
        <f>RTD("tos.rtd", , "GAMMA", ".SPY170317C209.5")</f>
        <v>N/A</v>
      </c>
      <c r="J862" t="str">
        <f>RTD("tos.rtd", , "VEGA", ".SPY170317C209.5")</f>
        <v>N/A</v>
      </c>
      <c r="K862" t="str">
        <f>RTD("tos.rtd", , "RHO", ".SPY170317C209.5")</f>
        <v>N/A</v>
      </c>
      <c r="L862" t="str">
        <f>RTD("tos.rtd", , "ASK", ".SPY170317P209.5")</f>
        <v>N/A</v>
      </c>
      <c r="M862" t="str">
        <f>RTD("tos.rtd", , "ASK_SIZE", ".SPY170317P209.5")</f>
        <v>N/A</v>
      </c>
      <c r="N862" t="str">
        <f>RTD("tos.rtd", , "BID", ".SPY170317P209.5")</f>
        <v>N/A</v>
      </c>
      <c r="O862" t="str">
        <f>RTD("tos.rtd", , "BID_SIZE", ".SPY170317P209.5")</f>
        <v>N/A</v>
      </c>
      <c r="P862" t="str">
        <f>RTD("tos.rtd", , "VOLUME", ".SPY170317P209.5")</f>
        <v>N/A</v>
      </c>
      <c r="Q862" t="str">
        <f>RTD("tos.rtd", , "OPEN_INT", ".SPY170317P209.5")</f>
        <v>N/A</v>
      </c>
      <c r="R862" t="str">
        <f>RTD("tos.rtd", , "DELTA", ".SPY170317P209.5")</f>
        <v>N/A</v>
      </c>
      <c r="S862" t="str">
        <f>RTD("tos.rtd", , "THETA", ".SPY170317P209.5")</f>
        <v>N/A</v>
      </c>
      <c r="T862" t="str">
        <f>RTD("tos.rtd", , "GAMMA", ".SPY170317P209.5")</f>
        <v>N/A</v>
      </c>
      <c r="U862" t="str">
        <f>RTD("tos.rtd", , "VEGA", ".SPY170317P209.5")</f>
        <v>N/A</v>
      </c>
      <c r="V862" t="str">
        <f>RTD("tos.rtd", , "RHO", ".SPY170317P209.5")</f>
        <v>N/A</v>
      </c>
    </row>
    <row r="863" spans="1:22" x14ac:dyDescent="0.25">
      <c r="A863">
        <f>RTD("tos.rtd", , "ASK", ".SPY170317C210")</f>
        <v>19.600000000000001</v>
      </c>
      <c r="B863">
        <f>RTD("tos.rtd", , "ASK_SIZE", ".SPY170317C210")</f>
        <v>168</v>
      </c>
      <c r="C863">
        <f>RTD("tos.rtd", , "BID", ".SPY170317C210")</f>
        <v>18.66</v>
      </c>
      <c r="D863">
        <f>RTD("tos.rtd", , "BID_SIZE", ".SPY170317C210")</f>
        <v>189</v>
      </c>
      <c r="E863">
        <f>RTD("tos.rtd", , "VOLUME", ".SPY170317C210")</f>
        <v>0</v>
      </c>
      <c r="F863">
        <f>RTD("tos.rtd", , "OPEN_INT", ".SPY170317C210")</f>
        <v>23</v>
      </c>
      <c r="G863">
        <f>RTD("tos.rtd", , "DELTA", ".SPY170317C210")</f>
        <v>0.51946000000000003</v>
      </c>
      <c r="H863">
        <f>RTD("tos.rtd", , "THETA", ".SPY170317C210")</f>
        <v>-1.1469999999999999E-2</v>
      </c>
      <c r="I863">
        <f>RTD("tos.rtd", , "GAMMA", ".SPY170317C210")</f>
        <v>7.8700000000000003E-3</v>
      </c>
      <c r="J863">
        <f>RTD("tos.rtd", , "VEGA", ".SPY170317C210")</f>
        <v>1.1165799999999999</v>
      </c>
      <c r="K863">
        <f>RTD("tos.rtd", , "RHO", ".SPY170317C210")</f>
        <v>1.3895999999999999</v>
      </c>
      <c r="L863">
        <f>RTD("tos.rtd", , "ASK", ".SPY170317P210")</f>
        <v>21.96</v>
      </c>
      <c r="M863">
        <f>RTD("tos.rtd", , "ASK_SIZE", ".SPY170317P210")</f>
        <v>1</v>
      </c>
      <c r="N863">
        <f>RTD("tos.rtd", , "BID", ".SPY170317P210")</f>
        <v>21.09</v>
      </c>
      <c r="O863">
        <f>RTD("tos.rtd", , "BID_SIZE", ".SPY170317P210")</f>
        <v>102</v>
      </c>
      <c r="P863">
        <f>RTD("tos.rtd", , "VOLUME", ".SPY170317P210")</f>
        <v>2</v>
      </c>
      <c r="Q863">
        <f>RTD("tos.rtd", , "OPEN_INT", ".SPY170317P210")</f>
        <v>18</v>
      </c>
      <c r="R863">
        <f>RTD("tos.rtd", , "DELTA", ".SPY170317P210")</f>
        <v>-0.47398000000000001</v>
      </c>
      <c r="S863">
        <f>RTD("tos.rtd", , "THETA", ".SPY170317P210")</f>
        <v>-1.7930000000000001E-2</v>
      </c>
      <c r="T863">
        <f>RTD("tos.rtd", , "GAMMA", ".SPY170317P210")</f>
        <v>7.8100000000000001E-3</v>
      </c>
      <c r="U863">
        <f>RTD("tos.rtd", , "VEGA", ".SPY170317P210")</f>
        <v>1.1166</v>
      </c>
      <c r="V863">
        <f>RTD("tos.rtd", , "RHO", ".SPY170317P210")</f>
        <v>-2.2720099999999999</v>
      </c>
    </row>
    <row r="864" spans="1:22" x14ac:dyDescent="0.25">
      <c r="A864" t="str">
        <f>RTD("tos.rtd", , "ASK", ".SPY170317C210.5")</f>
        <v>N/A</v>
      </c>
      <c r="B864" t="str">
        <f>RTD("tos.rtd", , "ASK_SIZE", ".SPY170317C210.5")</f>
        <v>N/A</v>
      </c>
      <c r="C864" t="str">
        <f>RTD("tos.rtd", , "BID", ".SPY170317C210.5")</f>
        <v>N/A</v>
      </c>
      <c r="D864" t="str">
        <f>RTD("tos.rtd", , "BID_SIZE", ".SPY170317C210.5")</f>
        <v>N/A</v>
      </c>
      <c r="E864" t="str">
        <f>RTD("tos.rtd", , "VOLUME", ".SPY170317C210.5")</f>
        <v>N/A</v>
      </c>
      <c r="F864" t="str">
        <f>RTD("tos.rtd", , "OPEN_INT", ".SPY170317C210.5")</f>
        <v>N/A</v>
      </c>
      <c r="G864" t="str">
        <f>RTD("tos.rtd", , "DELTA", ".SPY170317C210.5")</f>
        <v>N/A</v>
      </c>
      <c r="H864" t="str">
        <f>RTD("tos.rtd", , "THETA", ".SPY170317C210.5")</f>
        <v>N/A</v>
      </c>
      <c r="I864" t="str">
        <f>RTD("tos.rtd", , "GAMMA", ".SPY170317C210.5")</f>
        <v>N/A</v>
      </c>
      <c r="J864" t="str">
        <f>RTD("tos.rtd", , "VEGA", ".SPY170317C210.5")</f>
        <v>N/A</v>
      </c>
      <c r="K864" t="str">
        <f>RTD("tos.rtd", , "RHO", ".SPY170317C210.5")</f>
        <v>N/A</v>
      </c>
      <c r="L864" t="str">
        <f>RTD("tos.rtd", , "ASK", ".SPY170317P210.5")</f>
        <v>N/A</v>
      </c>
      <c r="M864" t="str">
        <f>RTD("tos.rtd", , "ASK_SIZE", ".SPY170317P210.5")</f>
        <v>N/A</v>
      </c>
      <c r="N864" t="str">
        <f>RTD("tos.rtd", , "BID", ".SPY170317P210.5")</f>
        <v>N/A</v>
      </c>
      <c r="O864" t="str">
        <f>RTD("tos.rtd", , "BID_SIZE", ".SPY170317P210.5")</f>
        <v>N/A</v>
      </c>
      <c r="P864" t="str">
        <f>RTD("tos.rtd", , "VOLUME", ".SPY170317P210.5")</f>
        <v>N/A</v>
      </c>
      <c r="Q864" t="str">
        <f>RTD("tos.rtd", , "OPEN_INT", ".SPY170317P210.5")</f>
        <v>N/A</v>
      </c>
      <c r="R864" t="str">
        <f>RTD("tos.rtd", , "DELTA", ".SPY170317P210.5")</f>
        <v>N/A</v>
      </c>
      <c r="S864" t="str">
        <f>RTD("tos.rtd", , "THETA", ".SPY170317P210.5")</f>
        <v>N/A</v>
      </c>
      <c r="T864" t="str">
        <f>RTD("tos.rtd", , "GAMMA", ".SPY170317P210.5")</f>
        <v>N/A</v>
      </c>
      <c r="U864" t="str">
        <f>RTD("tos.rtd", , "VEGA", ".SPY170317P210.5")</f>
        <v>N/A</v>
      </c>
      <c r="V864" t="str">
        <f>RTD("tos.rtd", , "RHO", ".SPY170317P210.5")</f>
        <v>N/A</v>
      </c>
    </row>
    <row r="865" spans="1:22" x14ac:dyDescent="0.25">
      <c r="A865" t="str">
        <f>RTD("tos.rtd", , "ASK", ".SPY170317C211")</f>
        <v>N/A</v>
      </c>
      <c r="B865" t="str">
        <f>RTD("tos.rtd", , "ASK_SIZE", ".SPY170317C211")</f>
        <v>N/A</v>
      </c>
      <c r="C865" t="str">
        <f>RTD("tos.rtd", , "BID", ".SPY170317C211")</f>
        <v>N/A</v>
      </c>
      <c r="D865" t="str">
        <f>RTD("tos.rtd", , "BID_SIZE", ".SPY170317C211")</f>
        <v>N/A</v>
      </c>
      <c r="E865" t="str">
        <f>RTD("tos.rtd", , "VOLUME", ".SPY170317C211")</f>
        <v>N/A</v>
      </c>
      <c r="F865" t="str">
        <f>RTD("tos.rtd", , "OPEN_INT", ".SPY170317C211")</f>
        <v>N/A</v>
      </c>
      <c r="G865" t="str">
        <f>RTD("tos.rtd", , "DELTA", ".SPY170317C211")</f>
        <v>N/A</v>
      </c>
      <c r="H865" t="str">
        <f>RTD("tos.rtd", , "THETA", ".SPY170317C211")</f>
        <v>N/A</v>
      </c>
      <c r="I865" t="str">
        <f>RTD("tos.rtd", , "GAMMA", ".SPY170317C211")</f>
        <v>N/A</v>
      </c>
      <c r="J865" t="str">
        <f>RTD("tos.rtd", , "VEGA", ".SPY170317C211")</f>
        <v>N/A</v>
      </c>
      <c r="K865" t="str">
        <f>RTD("tos.rtd", , "RHO", ".SPY170317C211")</f>
        <v>N/A</v>
      </c>
      <c r="L865" t="str">
        <f>RTD("tos.rtd", , "ASK", ".SPY170317P211")</f>
        <v>N/A</v>
      </c>
      <c r="M865" t="str">
        <f>RTD("tos.rtd", , "ASK_SIZE", ".SPY170317P211")</f>
        <v>N/A</v>
      </c>
      <c r="N865" t="str">
        <f>RTD("tos.rtd", , "BID", ".SPY170317P211")</f>
        <v>N/A</v>
      </c>
      <c r="O865" t="str">
        <f>RTD("tos.rtd", , "BID_SIZE", ".SPY170317P211")</f>
        <v>N/A</v>
      </c>
      <c r="P865" t="str">
        <f>RTD("tos.rtd", , "VOLUME", ".SPY170317P211")</f>
        <v>N/A</v>
      </c>
      <c r="Q865" t="str">
        <f>RTD("tos.rtd", , "OPEN_INT", ".SPY170317P211")</f>
        <v>N/A</v>
      </c>
      <c r="R865" t="str">
        <f>RTD("tos.rtd", , "DELTA", ".SPY170317P211")</f>
        <v>N/A</v>
      </c>
      <c r="S865" t="str">
        <f>RTD("tos.rtd", , "THETA", ".SPY170317P211")</f>
        <v>N/A</v>
      </c>
      <c r="T865" t="str">
        <f>RTD("tos.rtd", , "GAMMA", ".SPY170317P211")</f>
        <v>N/A</v>
      </c>
      <c r="U865" t="str">
        <f>RTD("tos.rtd", , "VEGA", ".SPY170317P211")</f>
        <v>N/A</v>
      </c>
      <c r="V865" t="str">
        <f>RTD("tos.rtd", , "RHO", ".SPY170317P211")</f>
        <v>N/A</v>
      </c>
    </row>
    <row r="866" spans="1:22" x14ac:dyDescent="0.25">
      <c r="A866" t="str">
        <f>RTD("tos.rtd", , "ASK", ".SPY170317C211.5")</f>
        <v>N/A</v>
      </c>
      <c r="B866" t="str">
        <f>RTD("tos.rtd", , "ASK_SIZE", ".SPY170317C211.5")</f>
        <v>N/A</v>
      </c>
      <c r="C866" t="str">
        <f>RTD("tos.rtd", , "BID", ".SPY170317C211.5")</f>
        <v>N/A</v>
      </c>
      <c r="D866" t="str">
        <f>RTD("tos.rtd", , "BID_SIZE", ".SPY170317C211.5")</f>
        <v>N/A</v>
      </c>
      <c r="E866" t="str">
        <f>RTD("tos.rtd", , "VOLUME", ".SPY170317C211.5")</f>
        <v>N/A</v>
      </c>
      <c r="F866" t="str">
        <f>RTD("tos.rtd", , "OPEN_INT", ".SPY170317C211.5")</f>
        <v>N/A</v>
      </c>
      <c r="G866" t="str">
        <f>RTD("tos.rtd", , "DELTA", ".SPY170317C211.5")</f>
        <v>N/A</v>
      </c>
      <c r="H866" t="str">
        <f>RTD("tos.rtd", , "THETA", ".SPY170317C211.5")</f>
        <v>N/A</v>
      </c>
      <c r="I866" t="str">
        <f>RTD("tos.rtd", , "GAMMA", ".SPY170317C211.5")</f>
        <v>N/A</v>
      </c>
      <c r="J866" t="str">
        <f>RTD("tos.rtd", , "VEGA", ".SPY170317C211.5")</f>
        <v>N/A</v>
      </c>
      <c r="K866" t="str">
        <f>RTD("tos.rtd", , "RHO", ".SPY170317C211.5")</f>
        <v>N/A</v>
      </c>
      <c r="L866" t="str">
        <f>RTD("tos.rtd", , "ASK", ".SPY170317P211.5")</f>
        <v>N/A</v>
      </c>
      <c r="M866" t="str">
        <f>RTD("tos.rtd", , "ASK_SIZE", ".SPY170317P211.5")</f>
        <v>N/A</v>
      </c>
      <c r="N866" t="str">
        <f>RTD("tos.rtd", , "BID", ".SPY170317P211.5")</f>
        <v>N/A</v>
      </c>
      <c r="O866" t="str">
        <f>RTD("tos.rtd", , "BID_SIZE", ".SPY170317P211.5")</f>
        <v>N/A</v>
      </c>
      <c r="P866" t="str">
        <f>RTD("tos.rtd", , "VOLUME", ".SPY170317P211.5")</f>
        <v>N/A</v>
      </c>
      <c r="Q866" t="str">
        <f>RTD("tos.rtd", , "OPEN_INT", ".SPY170317P211.5")</f>
        <v>N/A</v>
      </c>
      <c r="R866" t="str">
        <f>RTD("tos.rtd", , "DELTA", ".SPY170317P211.5")</f>
        <v>N/A</v>
      </c>
      <c r="S866" t="str">
        <f>RTD("tos.rtd", , "THETA", ".SPY170317P211.5")</f>
        <v>N/A</v>
      </c>
      <c r="T866" t="str">
        <f>RTD("tos.rtd", , "GAMMA", ".SPY170317P211.5")</f>
        <v>N/A</v>
      </c>
      <c r="U866" t="str">
        <f>RTD("tos.rtd", , "VEGA", ".SPY170317P211.5")</f>
        <v>N/A</v>
      </c>
      <c r="V866" t="str">
        <f>RTD("tos.rtd", , "RHO", ".SPY170317P211.5")</f>
        <v>N/A</v>
      </c>
    </row>
    <row r="867" spans="1:22" x14ac:dyDescent="0.25">
      <c r="A867" t="str">
        <f>RTD("tos.rtd", , "ASK", ".SPY170317C212")</f>
        <v>N/A</v>
      </c>
      <c r="B867" t="str">
        <f>RTD("tos.rtd", , "ASK_SIZE", ".SPY170317C212")</f>
        <v>N/A</v>
      </c>
      <c r="C867" t="str">
        <f>RTD("tos.rtd", , "BID", ".SPY170317C212")</f>
        <v>N/A</v>
      </c>
      <c r="D867" t="str">
        <f>RTD("tos.rtd", , "BID_SIZE", ".SPY170317C212")</f>
        <v>N/A</v>
      </c>
      <c r="E867" t="str">
        <f>RTD("tos.rtd", , "VOLUME", ".SPY170317C212")</f>
        <v>N/A</v>
      </c>
      <c r="F867" t="str">
        <f>RTD("tos.rtd", , "OPEN_INT", ".SPY170317C212")</f>
        <v>N/A</v>
      </c>
      <c r="G867" t="str">
        <f>RTD("tos.rtd", , "DELTA", ".SPY170317C212")</f>
        <v>N/A</v>
      </c>
      <c r="H867" t="str">
        <f>RTD("tos.rtd", , "THETA", ".SPY170317C212")</f>
        <v>N/A</v>
      </c>
      <c r="I867" t="str">
        <f>RTD("tos.rtd", , "GAMMA", ".SPY170317C212")</f>
        <v>N/A</v>
      </c>
      <c r="J867" t="str">
        <f>RTD("tos.rtd", , "VEGA", ".SPY170317C212")</f>
        <v>N/A</v>
      </c>
      <c r="K867" t="str">
        <f>RTD("tos.rtd", , "RHO", ".SPY170317C212")</f>
        <v>N/A</v>
      </c>
      <c r="L867" t="str">
        <f>RTD("tos.rtd", , "ASK", ".SPY170317P212")</f>
        <v>N/A</v>
      </c>
      <c r="M867" t="str">
        <f>RTD("tos.rtd", , "ASK_SIZE", ".SPY170317P212")</f>
        <v>N/A</v>
      </c>
      <c r="N867" t="str">
        <f>RTD("tos.rtd", , "BID", ".SPY170317P212")</f>
        <v>N/A</v>
      </c>
      <c r="O867" t="str">
        <f>RTD("tos.rtd", , "BID_SIZE", ".SPY170317P212")</f>
        <v>N/A</v>
      </c>
      <c r="P867" t="str">
        <f>RTD("tos.rtd", , "VOLUME", ".SPY170317P212")</f>
        <v>N/A</v>
      </c>
      <c r="Q867" t="str">
        <f>RTD("tos.rtd", , "OPEN_INT", ".SPY170317P212")</f>
        <v>N/A</v>
      </c>
      <c r="R867" t="str">
        <f>RTD("tos.rtd", , "DELTA", ".SPY170317P212")</f>
        <v>N/A</v>
      </c>
      <c r="S867" t="str">
        <f>RTD("tos.rtd", , "THETA", ".SPY170317P212")</f>
        <v>N/A</v>
      </c>
      <c r="T867" t="str">
        <f>RTD("tos.rtd", , "GAMMA", ".SPY170317P212")</f>
        <v>N/A</v>
      </c>
      <c r="U867" t="str">
        <f>RTD("tos.rtd", , "VEGA", ".SPY170317P212")</f>
        <v>N/A</v>
      </c>
      <c r="V867" t="str">
        <f>RTD("tos.rtd", , "RHO", ".SPY170317P212")</f>
        <v>N/A</v>
      </c>
    </row>
    <row r="868" spans="1:22" x14ac:dyDescent="0.25">
      <c r="A868" t="str">
        <f>RTD("tos.rtd", , "ASK", ".SPY170317C212.5")</f>
        <v>N/A</v>
      </c>
      <c r="B868" t="str">
        <f>RTD("tos.rtd", , "ASK_SIZE", ".SPY170317C212.5")</f>
        <v>N/A</v>
      </c>
      <c r="C868" t="str">
        <f>RTD("tos.rtd", , "BID", ".SPY170317C212.5")</f>
        <v>N/A</v>
      </c>
      <c r="D868" t="str">
        <f>RTD("tos.rtd", , "BID_SIZE", ".SPY170317C212.5")</f>
        <v>N/A</v>
      </c>
      <c r="E868" t="str">
        <f>RTD("tos.rtd", , "VOLUME", ".SPY170317C212.5")</f>
        <v>N/A</v>
      </c>
      <c r="F868" t="str">
        <f>RTD("tos.rtd", , "OPEN_INT", ".SPY170317C212.5")</f>
        <v>N/A</v>
      </c>
      <c r="G868" t="str">
        <f>RTD("tos.rtd", , "DELTA", ".SPY170317C212.5")</f>
        <v>N/A</v>
      </c>
      <c r="H868" t="str">
        <f>RTD("tos.rtd", , "THETA", ".SPY170317C212.5")</f>
        <v>N/A</v>
      </c>
      <c r="I868" t="str">
        <f>RTD("tos.rtd", , "GAMMA", ".SPY170317C212.5")</f>
        <v>N/A</v>
      </c>
      <c r="J868" t="str">
        <f>RTD("tos.rtd", , "VEGA", ".SPY170317C212.5")</f>
        <v>N/A</v>
      </c>
      <c r="K868" t="str">
        <f>RTD("tos.rtd", , "RHO", ".SPY170317C212.5")</f>
        <v>N/A</v>
      </c>
      <c r="L868" t="str">
        <f>RTD("tos.rtd", , "ASK", ".SPY170317P212.5")</f>
        <v>N/A</v>
      </c>
      <c r="M868" t="str">
        <f>RTD("tos.rtd", , "ASK_SIZE", ".SPY170317P212.5")</f>
        <v>N/A</v>
      </c>
      <c r="N868" t="str">
        <f>RTD("tos.rtd", , "BID", ".SPY170317P212.5")</f>
        <v>N/A</v>
      </c>
      <c r="O868" t="str">
        <f>RTD("tos.rtd", , "BID_SIZE", ".SPY170317P212.5")</f>
        <v>N/A</v>
      </c>
      <c r="P868" t="str">
        <f>RTD("tos.rtd", , "VOLUME", ".SPY170317P212.5")</f>
        <v>N/A</v>
      </c>
      <c r="Q868" t="str">
        <f>RTD("tos.rtd", , "OPEN_INT", ".SPY170317P212.5")</f>
        <v>N/A</v>
      </c>
      <c r="R868" t="str">
        <f>RTD("tos.rtd", , "DELTA", ".SPY170317P212.5")</f>
        <v>N/A</v>
      </c>
      <c r="S868" t="str">
        <f>RTD("tos.rtd", , "THETA", ".SPY170317P212.5")</f>
        <v>N/A</v>
      </c>
      <c r="T868" t="str">
        <f>RTD("tos.rtd", , "GAMMA", ".SPY170317P212.5")</f>
        <v>N/A</v>
      </c>
      <c r="U868" t="str">
        <f>RTD("tos.rtd", , "VEGA", ".SPY170317P212.5")</f>
        <v>N/A</v>
      </c>
      <c r="V868" t="str">
        <f>RTD("tos.rtd", , "RHO", ".SPY170317P212.5")</f>
        <v>N/A</v>
      </c>
    </row>
    <row r="869" spans="1:22" x14ac:dyDescent="0.25">
      <c r="A869" t="str">
        <f>RTD("tos.rtd", , "ASK", ".SPY170317C213")</f>
        <v>N/A</v>
      </c>
      <c r="B869" t="str">
        <f>RTD("tos.rtd", , "ASK_SIZE", ".SPY170317C213")</f>
        <v>N/A</v>
      </c>
      <c r="C869" t="str">
        <f>RTD("tos.rtd", , "BID", ".SPY170317C213")</f>
        <v>N/A</v>
      </c>
      <c r="D869" t="str">
        <f>RTD("tos.rtd", , "BID_SIZE", ".SPY170317C213")</f>
        <v>N/A</v>
      </c>
      <c r="E869" t="str">
        <f>RTD("tos.rtd", , "VOLUME", ".SPY170317C213")</f>
        <v>N/A</v>
      </c>
      <c r="F869" t="str">
        <f>RTD("tos.rtd", , "OPEN_INT", ".SPY170317C213")</f>
        <v>N/A</v>
      </c>
      <c r="G869" t="str">
        <f>RTD("tos.rtd", , "DELTA", ".SPY170317C213")</f>
        <v>N/A</v>
      </c>
      <c r="H869" t="str">
        <f>RTD("tos.rtd", , "THETA", ".SPY170317C213")</f>
        <v>N/A</v>
      </c>
      <c r="I869" t="str">
        <f>RTD("tos.rtd", , "GAMMA", ".SPY170317C213")</f>
        <v>N/A</v>
      </c>
      <c r="J869" t="str">
        <f>RTD("tos.rtd", , "VEGA", ".SPY170317C213")</f>
        <v>N/A</v>
      </c>
      <c r="K869" t="str">
        <f>RTD("tos.rtd", , "RHO", ".SPY170317C213")</f>
        <v>N/A</v>
      </c>
      <c r="L869" t="str">
        <f>RTD("tos.rtd", , "ASK", ".SPY170317P213")</f>
        <v>N/A</v>
      </c>
      <c r="M869" t="str">
        <f>RTD("tos.rtd", , "ASK_SIZE", ".SPY170317P213")</f>
        <v>N/A</v>
      </c>
      <c r="N869" t="str">
        <f>RTD("tos.rtd", , "BID", ".SPY170317P213")</f>
        <v>N/A</v>
      </c>
      <c r="O869" t="str">
        <f>RTD("tos.rtd", , "BID_SIZE", ".SPY170317P213")</f>
        <v>N/A</v>
      </c>
      <c r="P869" t="str">
        <f>RTD("tos.rtd", , "VOLUME", ".SPY170317P213")</f>
        <v>N/A</v>
      </c>
      <c r="Q869" t="str">
        <f>RTD("tos.rtd", , "OPEN_INT", ".SPY170317P213")</f>
        <v>N/A</v>
      </c>
      <c r="R869" t="str">
        <f>RTD("tos.rtd", , "DELTA", ".SPY170317P213")</f>
        <v>N/A</v>
      </c>
      <c r="S869" t="str">
        <f>RTD("tos.rtd", , "THETA", ".SPY170317P213")</f>
        <v>N/A</v>
      </c>
      <c r="T869" t="str">
        <f>RTD("tos.rtd", , "GAMMA", ".SPY170317P213")</f>
        <v>N/A</v>
      </c>
      <c r="U869" t="str">
        <f>RTD("tos.rtd", , "VEGA", ".SPY170317P213")</f>
        <v>N/A</v>
      </c>
      <c r="V869" t="str">
        <f>RTD("tos.rtd", , "RHO", ".SPY170317P213")</f>
        <v>N/A</v>
      </c>
    </row>
    <row r="870" spans="1:22" x14ac:dyDescent="0.25">
      <c r="A870" t="str">
        <f>RTD("tos.rtd", , "ASK", ".SPY170317C213.5")</f>
        <v>N/A</v>
      </c>
      <c r="B870" t="str">
        <f>RTD("tos.rtd", , "ASK_SIZE", ".SPY170317C213.5")</f>
        <v>N/A</v>
      </c>
      <c r="C870" t="str">
        <f>RTD("tos.rtd", , "BID", ".SPY170317C213.5")</f>
        <v>N/A</v>
      </c>
      <c r="D870" t="str">
        <f>RTD("tos.rtd", , "BID_SIZE", ".SPY170317C213.5")</f>
        <v>N/A</v>
      </c>
      <c r="E870" t="str">
        <f>RTD("tos.rtd", , "VOLUME", ".SPY170317C213.5")</f>
        <v>N/A</v>
      </c>
      <c r="F870" t="str">
        <f>RTD("tos.rtd", , "OPEN_INT", ".SPY170317C213.5")</f>
        <v>N/A</v>
      </c>
      <c r="G870" t="str">
        <f>RTD("tos.rtd", , "DELTA", ".SPY170317C213.5")</f>
        <v>N/A</v>
      </c>
      <c r="H870" t="str">
        <f>RTD("tos.rtd", , "THETA", ".SPY170317C213.5")</f>
        <v>N/A</v>
      </c>
      <c r="I870" t="str">
        <f>RTD("tos.rtd", , "GAMMA", ".SPY170317C213.5")</f>
        <v>N/A</v>
      </c>
      <c r="J870" t="str">
        <f>RTD("tos.rtd", , "VEGA", ".SPY170317C213.5")</f>
        <v>N/A</v>
      </c>
      <c r="K870" t="str">
        <f>RTD("tos.rtd", , "RHO", ".SPY170317C213.5")</f>
        <v>N/A</v>
      </c>
      <c r="L870" t="str">
        <f>RTD("tos.rtd", , "ASK", ".SPY170317P213.5")</f>
        <v>N/A</v>
      </c>
      <c r="M870" t="str">
        <f>RTD("tos.rtd", , "ASK_SIZE", ".SPY170317P213.5")</f>
        <v>N/A</v>
      </c>
      <c r="N870" t="str">
        <f>RTD("tos.rtd", , "BID", ".SPY170317P213.5")</f>
        <v>N/A</v>
      </c>
      <c r="O870" t="str">
        <f>RTD("tos.rtd", , "BID_SIZE", ".SPY170317P213.5")</f>
        <v>N/A</v>
      </c>
      <c r="P870" t="str">
        <f>RTD("tos.rtd", , "VOLUME", ".SPY170317P213.5")</f>
        <v>N/A</v>
      </c>
      <c r="Q870" t="str">
        <f>RTD("tos.rtd", , "OPEN_INT", ".SPY170317P213.5")</f>
        <v>N/A</v>
      </c>
      <c r="R870" t="str">
        <f>RTD("tos.rtd", , "DELTA", ".SPY170317P213.5")</f>
        <v>N/A</v>
      </c>
      <c r="S870" t="str">
        <f>RTD("tos.rtd", , "THETA", ".SPY170317P213.5")</f>
        <v>N/A</v>
      </c>
      <c r="T870" t="str">
        <f>RTD("tos.rtd", , "GAMMA", ".SPY170317P213.5")</f>
        <v>N/A</v>
      </c>
      <c r="U870" t="str">
        <f>RTD("tos.rtd", , "VEGA", ".SPY170317P213.5")</f>
        <v>N/A</v>
      </c>
      <c r="V870" t="str">
        <f>RTD("tos.rtd", , "RHO", ".SPY170317P213.5")</f>
        <v>N/A</v>
      </c>
    </row>
    <row r="871" spans="1:22" x14ac:dyDescent="0.25">
      <c r="A871" t="str">
        <f>RTD("tos.rtd", , "ASK", ".SPY170317C214")</f>
        <v>N/A</v>
      </c>
      <c r="B871" t="str">
        <f>RTD("tos.rtd", , "ASK_SIZE", ".SPY170317C214")</f>
        <v>N/A</v>
      </c>
      <c r="C871" t="str">
        <f>RTD("tos.rtd", , "BID", ".SPY170317C214")</f>
        <v>N/A</v>
      </c>
      <c r="D871" t="str">
        <f>RTD("tos.rtd", , "BID_SIZE", ".SPY170317C214")</f>
        <v>N/A</v>
      </c>
      <c r="E871" t="str">
        <f>RTD("tos.rtd", , "VOLUME", ".SPY170317C214")</f>
        <v>N/A</v>
      </c>
      <c r="F871" t="str">
        <f>RTD("tos.rtd", , "OPEN_INT", ".SPY170317C214")</f>
        <v>N/A</v>
      </c>
      <c r="G871" t="str">
        <f>RTD("tos.rtd", , "DELTA", ".SPY170317C214")</f>
        <v>N/A</v>
      </c>
      <c r="H871" t="str">
        <f>RTD("tos.rtd", , "THETA", ".SPY170317C214")</f>
        <v>N/A</v>
      </c>
      <c r="I871" t="str">
        <f>RTD("tos.rtd", , "GAMMA", ".SPY170317C214")</f>
        <v>N/A</v>
      </c>
      <c r="J871" t="str">
        <f>RTD("tos.rtd", , "VEGA", ".SPY170317C214")</f>
        <v>N/A</v>
      </c>
      <c r="K871" t="str">
        <f>RTD("tos.rtd", , "RHO", ".SPY170317C214")</f>
        <v>N/A</v>
      </c>
      <c r="L871" t="str">
        <f>RTD("tos.rtd", , "ASK", ".SPY170317P214")</f>
        <v>N/A</v>
      </c>
      <c r="M871" t="str">
        <f>RTD("tos.rtd", , "ASK_SIZE", ".SPY170317P214")</f>
        <v>N/A</v>
      </c>
      <c r="N871" t="str">
        <f>RTD("tos.rtd", , "BID", ".SPY170317P214")</f>
        <v>N/A</v>
      </c>
      <c r="O871" t="str">
        <f>RTD("tos.rtd", , "BID_SIZE", ".SPY170317P214")</f>
        <v>N/A</v>
      </c>
      <c r="P871" t="str">
        <f>RTD("tos.rtd", , "VOLUME", ".SPY170317P214")</f>
        <v>N/A</v>
      </c>
      <c r="Q871" t="str">
        <f>RTD("tos.rtd", , "OPEN_INT", ".SPY170317P214")</f>
        <v>N/A</v>
      </c>
      <c r="R871" t="str">
        <f>RTD("tos.rtd", , "DELTA", ".SPY170317P214")</f>
        <v>N/A</v>
      </c>
      <c r="S871" t="str">
        <f>RTD("tos.rtd", , "THETA", ".SPY170317P214")</f>
        <v>N/A</v>
      </c>
      <c r="T871" t="str">
        <f>RTD("tos.rtd", , "GAMMA", ".SPY170317P214")</f>
        <v>N/A</v>
      </c>
      <c r="U871" t="str">
        <f>RTD("tos.rtd", , "VEGA", ".SPY170317P214")</f>
        <v>N/A</v>
      </c>
      <c r="V871" t="str">
        <f>RTD("tos.rtd", , "RHO", ".SPY170317P214")</f>
        <v>N/A</v>
      </c>
    </row>
    <row r="872" spans="1:22" x14ac:dyDescent="0.25">
      <c r="A872" t="str">
        <f>RTD("tos.rtd", , "ASK", ".SPY170317C214.5")</f>
        <v>N/A</v>
      </c>
      <c r="B872" t="str">
        <f>RTD("tos.rtd", , "ASK_SIZE", ".SPY170317C214.5")</f>
        <v>N/A</v>
      </c>
      <c r="C872" t="str">
        <f>RTD("tos.rtd", , "BID", ".SPY170317C214.5")</f>
        <v>N/A</v>
      </c>
      <c r="D872" t="str">
        <f>RTD("tos.rtd", , "BID_SIZE", ".SPY170317C214.5")</f>
        <v>N/A</v>
      </c>
      <c r="E872" t="str">
        <f>RTD("tos.rtd", , "VOLUME", ".SPY170317C214.5")</f>
        <v>N/A</v>
      </c>
      <c r="F872" t="str">
        <f>RTD("tos.rtd", , "OPEN_INT", ".SPY170317C214.5")</f>
        <v>N/A</v>
      </c>
      <c r="G872" t="str">
        <f>RTD("tos.rtd", , "DELTA", ".SPY170317C214.5")</f>
        <v>N/A</v>
      </c>
      <c r="H872" t="str">
        <f>RTD("tos.rtd", , "THETA", ".SPY170317C214.5")</f>
        <v>N/A</v>
      </c>
      <c r="I872" t="str">
        <f>RTD("tos.rtd", , "GAMMA", ".SPY170317C214.5")</f>
        <v>N/A</v>
      </c>
      <c r="J872" t="str">
        <f>RTD("tos.rtd", , "VEGA", ".SPY170317C214.5")</f>
        <v>N/A</v>
      </c>
      <c r="K872" t="str">
        <f>RTD("tos.rtd", , "RHO", ".SPY170317C214.5")</f>
        <v>N/A</v>
      </c>
      <c r="L872" t="str">
        <f>RTD("tos.rtd", , "ASK", ".SPY170317P214.5")</f>
        <v>N/A</v>
      </c>
      <c r="M872" t="str">
        <f>RTD("tos.rtd", , "ASK_SIZE", ".SPY170317P214.5")</f>
        <v>N/A</v>
      </c>
      <c r="N872" t="str">
        <f>RTD("tos.rtd", , "BID", ".SPY170317P214.5")</f>
        <v>N/A</v>
      </c>
      <c r="O872" t="str">
        <f>RTD("tos.rtd", , "BID_SIZE", ".SPY170317P214.5")</f>
        <v>N/A</v>
      </c>
      <c r="P872" t="str">
        <f>RTD("tos.rtd", , "VOLUME", ".SPY170317P214.5")</f>
        <v>N/A</v>
      </c>
      <c r="Q872" t="str">
        <f>RTD("tos.rtd", , "OPEN_INT", ".SPY170317P214.5")</f>
        <v>N/A</v>
      </c>
      <c r="R872" t="str">
        <f>RTD("tos.rtd", , "DELTA", ".SPY170317P214.5")</f>
        <v>N/A</v>
      </c>
      <c r="S872" t="str">
        <f>RTD("tos.rtd", , "THETA", ".SPY170317P214.5")</f>
        <v>N/A</v>
      </c>
      <c r="T872" t="str">
        <f>RTD("tos.rtd", , "GAMMA", ".SPY170317P214.5")</f>
        <v>N/A</v>
      </c>
      <c r="U872" t="str">
        <f>RTD("tos.rtd", , "VEGA", ".SPY170317P214.5")</f>
        <v>N/A</v>
      </c>
      <c r="V872" t="str">
        <f>RTD("tos.rtd", , "RHO", ".SPY170317P214.5")</f>
        <v>N/A</v>
      </c>
    </row>
    <row r="873" spans="1:22" x14ac:dyDescent="0.25">
      <c r="A873">
        <f>RTD("tos.rtd", , "ASK", ".SPY170317C215")</f>
        <v>16.95</v>
      </c>
      <c r="B873">
        <f>RTD("tos.rtd", , "ASK_SIZE", ".SPY170317C215")</f>
        <v>169</v>
      </c>
      <c r="C873">
        <f>RTD("tos.rtd", , "BID", ".SPY170317C215")</f>
        <v>15.95</v>
      </c>
      <c r="D873">
        <f>RTD("tos.rtd", , "BID_SIZE", ".SPY170317C215")</f>
        <v>196</v>
      </c>
      <c r="E873">
        <f>RTD("tos.rtd", , "VOLUME", ".SPY170317C215")</f>
        <v>20</v>
      </c>
      <c r="F873">
        <f>RTD("tos.rtd", , "OPEN_INT", ".SPY170317C215")</f>
        <v>6</v>
      </c>
      <c r="G873">
        <f>RTD("tos.rtd", , "DELTA", ".SPY170317C215")</f>
        <v>0.47731000000000001</v>
      </c>
      <c r="H873">
        <f>RTD("tos.rtd", , "THETA", ".SPY170317C215")</f>
        <v>-1.1259999999999999E-2</v>
      </c>
      <c r="I873">
        <f>RTD("tos.rtd", , "GAMMA", ".SPY170317C215")</f>
        <v>8.0400000000000003E-3</v>
      </c>
      <c r="J873">
        <f>RTD("tos.rtd", , "VEGA", ".SPY170317C215")</f>
        <v>1.11965</v>
      </c>
      <c r="K873">
        <f>RTD("tos.rtd", , "RHO", ".SPY170317C215")</f>
        <v>1.3265100000000001</v>
      </c>
      <c r="L873">
        <f>RTD("tos.rtd", , "ASK", ".SPY170317P215")</f>
        <v>24.33</v>
      </c>
      <c r="M873">
        <f>RTD("tos.rtd", , "ASK_SIZE", ".SPY170317P215")</f>
        <v>122</v>
      </c>
      <c r="N873">
        <f>RTD("tos.rtd", , "BID", ".SPY170317P215")</f>
        <v>23.36</v>
      </c>
      <c r="O873">
        <f>RTD("tos.rtd", , "BID_SIZE", ".SPY170317P215")</f>
        <v>122</v>
      </c>
      <c r="P873">
        <f>RTD("tos.rtd", , "VOLUME", ".SPY170317P215")</f>
        <v>0</v>
      </c>
      <c r="Q873">
        <f>RTD("tos.rtd", , "OPEN_INT", ".SPY170317P215")</f>
        <v>3</v>
      </c>
      <c r="R873">
        <f>RTD("tos.rtd", , "DELTA", ".SPY170317P215")</f>
        <v>-0.51719000000000004</v>
      </c>
      <c r="S873">
        <f>RTD("tos.rtd", , "THETA", ".SPY170317P215")</f>
        <v>-1.7749999999999998E-2</v>
      </c>
      <c r="T873">
        <f>RTD("tos.rtd", , "GAMMA", ".SPY170317P215")</f>
        <v>8.0700000000000008E-3</v>
      </c>
      <c r="U873">
        <f>RTD("tos.rtd", , "VEGA", ".SPY170317P215")</f>
        <v>1.11287</v>
      </c>
      <c r="V873">
        <f>RTD("tos.rtd", , "RHO", ".SPY170317P215")</f>
        <v>-2.48603</v>
      </c>
    </row>
    <row r="874" spans="1:22" x14ac:dyDescent="0.25">
      <c r="A874" t="str">
        <f>RTD("tos.rtd", , "ASK", ".SPY170317C215.5")</f>
        <v>N/A</v>
      </c>
      <c r="B874" t="str">
        <f>RTD("tos.rtd", , "ASK_SIZE", ".SPY170317C215.5")</f>
        <v>N/A</v>
      </c>
      <c r="C874" t="str">
        <f>RTD("tos.rtd", , "BID", ".SPY170317C215.5")</f>
        <v>N/A</v>
      </c>
      <c r="D874" t="str">
        <f>RTD("tos.rtd", , "BID_SIZE", ".SPY170317C215.5")</f>
        <v>N/A</v>
      </c>
      <c r="E874" t="str">
        <f>RTD("tos.rtd", , "VOLUME", ".SPY170317C215.5")</f>
        <v>N/A</v>
      </c>
      <c r="F874" t="str">
        <f>RTD("tos.rtd", , "OPEN_INT", ".SPY170317C215.5")</f>
        <v>N/A</v>
      </c>
      <c r="G874" t="str">
        <f>RTD("tos.rtd", , "DELTA", ".SPY170317C215.5")</f>
        <v>N/A</v>
      </c>
      <c r="H874" t="str">
        <f>RTD("tos.rtd", , "THETA", ".SPY170317C215.5")</f>
        <v>N/A</v>
      </c>
      <c r="I874" t="str">
        <f>RTD("tos.rtd", , "GAMMA", ".SPY170317C215.5")</f>
        <v>N/A</v>
      </c>
      <c r="J874" t="str">
        <f>RTD("tos.rtd", , "VEGA", ".SPY170317C215.5")</f>
        <v>N/A</v>
      </c>
      <c r="K874" t="str">
        <f>RTD("tos.rtd", , "RHO", ".SPY170317C215.5")</f>
        <v>N/A</v>
      </c>
      <c r="L874" t="str">
        <f>RTD("tos.rtd", , "ASK", ".SPY170317P215.5")</f>
        <v>N/A</v>
      </c>
      <c r="M874" t="str">
        <f>RTD("tos.rtd", , "ASK_SIZE", ".SPY170317P215.5")</f>
        <v>N/A</v>
      </c>
      <c r="N874" t="str">
        <f>RTD("tos.rtd", , "BID", ".SPY170317P215.5")</f>
        <v>N/A</v>
      </c>
      <c r="O874" t="str">
        <f>RTD("tos.rtd", , "BID_SIZE", ".SPY170317P215.5")</f>
        <v>N/A</v>
      </c>
      <c r="P874" t="str">
        <f>RTD("tos.rtd", , "VOLUME", ".SPY170317P215.5")</f>
        <v>N/A</v>
      </c>
      <c r="Q874" t="str">
        <f>RTD("tos.rtd", , "OPEN_INT", ".SPY170317P215.5")</f>
        <v>N/A</v>
      </c>
      <c r="R874" t="str">
        <f>RTD("tos.rtd", , "DELTA", ".SPY170317P215.5")</f>
        <v>N/A</v>
      </c>
      <c r="S874" t="str">
        <f>RTD("tos.rtd", , "THETA", ".SPY170317P215.5")</f>
        <v>N/A</v>
      </c>
      <c r="T874" t="str">
        <f>RTD("tos.rtd", , "GAMMA", ".SPY170317P215.5")</f>
        <v>N/A</v>
      </c>
      <c r="U874" t="str">
        <f>RTD("tos.rtd", , "VEGA", ".SPY170317P215.5")</f>
        <v>N/A</v>
      </c>
      <c r="V874" t="str">
        <f>RTD("tos.rtd", , "RHO", ".SPY170317P215.5")</f>
        <v>N/A</v>
      </c>
    </row>
    <row r="875" spans="1:22" x14ac:dyDescent="0.25">
      <c r="A875" t="str">
        <f>RTD("tos.rtd", , "ASK", ".SPY170317C216")</f>
        <v>N/A</v>
      </c>
      <c r="B875" t="str">
        <f>RTD("tos.rtd", , "ASK_SIZE", ".SPY170317C216")</f>
        <v>N/A</v>
      </c>
      <c r="C875" t="str">
        <f>RTD("tos.rtd", , "BID", ".SPY170317C216")</f>
        <v>N/A</v>
      </c>
      <c r="D875" t="str">
        <f>RTD("tos.rtd", , "BID_SIZE", ".SPY170317C216")</f>
        <v>N/A</v>
      </c>
      <c r="E875" t="str">
        <f>RTD("tos.rtd", , "VOLUME", ".SPY170317C216")</f>
        <v>N/A</v>
      </c>
      <c r="F875" t="str">
        <f>RTD("tos.rtd", , "OPEN_INT", ".SPY170317C216")</f>
        <v>N/A</v>
      </c>
      <c r="G875" t="str">
        <f>RTD("tos.rtd", , "DELTA", ".SPY170317C216")</f>
        <v>N/A</v>
      </c>
      <c r="H875" t="str">
        <f>RTD("tos.rtd", , "THETA", ".SPY170317C216")</f>
        <v>N/A</v>
      </c>
      <c r="I875" t="str">
        <f>RTD("tos.rtd", , "GAMMA", ".SPY170317C216")</f>
        <v>N/A</v>
      </c>
      <c r="J875" t="str">
        <f>RTD("tos.rtd", , "VEGA", ".SPY170317C216")</f>
        <v>N/A</v>
      </c>
      <c r="K875" t="str">
        <f>RTD("tos.rtd", , "RHO", ".SPY170317C216")</f>
        <v>N/A</v>
      </c>
      <c r="L875" t="str">
        <f>RTD("tos.rtd", , "ASK", ".SPY170317P216")</f>
        <v>N/A</v>
      </c>
      <c r="M875" t="str">
        <f>RTD("tos.rtd", , "ASK_SIZE", ".SPY170317P216")</f>
        <v>N/A</v>
      </c>
      <c r="N875" t="str">
        <f>RTD("tos.rtd", , "BID", ".SPY170317P216")</f>
        <v>N/A</v>
      </c>
      <c r="O875" t="str">
        <f>RTD("tos.rtd", , "BID_SIZE", ".SPY170317P216")</f>
        <v>N/A</v>
      </c>
      <c r="P875" t="str">
        <f>RTD("tos.rtd", , "VOLUME", ".SPY170317P216")</f>
        <v>N/A</v>
      </c>
      <c r="Q875" t="str">
        <f>RTD("tos.rtd", , "OPEN_INT", ".SPY170317P216")</f>
        <v>N/A</v>
      </c>
      <c r="R875" t="str">
        <f>RTD("tos.rtd", , "DELTA", ".SPY170317P216")</f>
        <v>N/A</v>
      </c>
      <c r="S875" t="str">
        <f>RTD("tos.rtd", , "THETA", ".SPY170317P216")</f>
        <v>N/A</v>
      </c>
      <c r="T875" t="str">
        <f>RTD("tos.rtd", , "GAMMA", ".SPY170317P216")</f>
        <v>N/A</v>
      </c>
      <c r="U875" t="str">
        <f>RTD("tos.rtd", , "VEGA", ".SPY170317P216")</f>
        <v>N/A</v>
      </c>
      <c r="V875" t="str">
        <f>RTD("tos.rtd", , "RHO", ".SPY170317P216")</f>
        <v>N/A</v>
      </c>
    </row>
    <row r="876" spans="1:22" x14ac:dyDescent="0.25">
      <c r="A876" t="str">
        <f>RTD("tos.rtd", , "ASK", ".SPY170317C216.5")</f>
        <v>N/A</v>
      </c>
      <c r="B876" t="str">
        <f>RTD("tos.rtd", , "ASK_SIZE", ".SPY170317C216.5")</f>
        <v>N/A</v>
      </c>
      <c r="C876" t="str">
        <f>RTD("tos.rtd", , "BID", ".SPY170317C216.5")</f>
        <v>N/A</v>
      </c>
      <c r="D876" t="str">
        <f>RTD("tos.rtd", , "BID_SIZE", ".SPY170317C216.5")</f>
        <v>N/A</v>
      </c>
      <c r="E876" t="str">
        <f>RTD("tos.rtd", , "VOLUME", ".SPY170317C216.5")</f>
        <v>N/A</v>
      </c>
      <c r="F876" t="str">
        <f>RTD("tos.rtd", , "OPEN_INT", ".SPY170317C216.5")</f>
        <v>N/A</v>
      </c>
      <c r="G876" t="str">
        <f>RTD("tos.rtd", , "DELTA", ".SPY170317C216.5")</f>
        <v>N/A</v>
      </c>
      <c r="H876" t="str">
        <f>RTD("tos.rtd", , "THETA", ".SPY170317C216.5")</f>
        <v>N/A</v>
      </c>
      <c r="I876" t="str">
        <f>RTD("tos.rtd", , "GAMMA", ".SPY170317C216.5")</f>
        <v>N/A</v>
      </c>
      <c r="J876" t="str">
        <f>RTD("tos.rtd", , "VEGA", ".SPY170317C216.5")</f>
        <v>N/A</v>
      </c>
      <c r="K876" t="str">
        <f>RTD("tos.rtd", , "RHO", ".SPY170317C216.5")</f>
        <v>N/A</v>
      </c>
      <c r="L876" t="str">
        <f>RTD("tos.rtd", , "ASK", ".SPY170317P216.5")</f>
        <v>N/A</v>
      </c>
      <c r="M876" t="str">
        <f>RTD("tos.rtd", , "ASK_SIZE", ".SPY170317P216.5")</f>
        <v>N/A</v>
      </c>
      <c r="N876" t="str">
        <f>RTD("tos.rtd", , "BID", ".SPY170317P216.5")</f>
        <v>N/A</v>
      </c>
      <c r="O876" t="str">
        <f>RTD("tos.rtd", , "BID_SIZE", ".SPY170317P216.5")</f>
        <v>N/A</v>
      </c>
      <c r="P876" t="str">
        <f>RTD("tos.rtd", , "VOLUME", ".SPY170317P216.5")</f>
        <v>N/A</v>
      </c>
      <c r="Q876" t="str">
        <f>RTD("tos.rtd", , "OPEN_INT", ".SPY170317P216.5")</f>
        <v>N/A</v>
      </c>
      <c r="R876" t="str">
        <f>RTD("tos.rtd", , "DELTA", ".SPY170317P216.5")</f>
        <v>N/A</v>
      </c>
      <c r="S876" t="str">
        <f>RTD("tos.rtd", , "THETA", ".SPY170317P216.5")</f>
        <v>N/A</v>
      </c>
      <c r="T876" t="str">
        <f>RTD("tos.rtd", , "GAMMA", ".SPY170317P216.5")</f>
        <v>N/A</v>
      </c>
      <c r="U876" t="str">
        <f>RTD("tos.rtd", , "VEGA", ".SPY170317P216.5")</f>
        <v>N/A</v>
      </c>
      <c r="V876" t="str">
        <f>RTD("tos.rtd", , "RHO", ".SPY170317P216.5")</f>
        <v>N/A</v>
      </c>
    </row>
    <row r="877" spans="1:22" x14ac:dyDescent="0.25">
      <c r="A877" t="str">
        <f>RTD("tos.rtd", , "ASK", ".SPY170317C217")</f>
        <v>N/A</v>
      </c>
      <c r="B877" t="str">
        <f>RTD("tos.rtd", , "ASK_SIZE", ".SPY170317C217")</f>
        <v>N/A</v>
      </c>
      <c r="C877" t="str">
        <f>RTD("tos.rtd", , "BID", ".SPY170317C217")</f>
        <v>N/A</v>
      </c>
      <c r="D877" t="str">
        <f>RTD("tos.rtd", , "BID_SIZE", ".SPY170317C217")</f>
        <v>N/A</v>
      </c>
      <c r="E877" t="str">
        <f>RTD("tos.rtd", , "VOLUME", ".SPY170317C217")</f>
        <v>N/A</v>
      </c>
      <c r="F877" t="str">
        <f>RTD("tos.rtd", , "OPEN_INT", ".SPY170317C217")</f>
        <v>N/A</v>
      </c>
      <c r="G877" t="str">
        <f>RTD("tos.rtd", , "DELTA", ".SPY170317C217")</f>
        <v>N/A</v>
      </c>
      <c r="H877" t="str">
        <f>RTD("tos.rtd", , "THETA", ".SPY170317C217")</f>
        <v>N/A</v>
      </c>
      <c r="I877" t="str">
        <f>RTD("tos.rtd", , "GAMMA", ".SPY170317C217")</f>
        <v>N/A</v>
      </c>
      <c r="J877" t="str">
        <f>RTD("tos.rtd", , "VEGA", ".SPY170317C217")</f>
        <v>N/A</v>
      </c>
      <c r="K877" t="str">
        <f>RTD("tos.rtd", , "RHO", ".SPY170317C217")</f>
        <v>N/A</v>
      </c>
      <c r="L877" t="str">
        <f>RTD("tos.rtd", , "ASK", ".SPY170317P217")</f>
        <v>N/A</v>
      </c>
      <c r="M877" t="str">
        <f>RTD("tos.rtd", , "ASK_SIZE", ".SPY170317P217")</f>
        <v>N/A</v>
      </c>
      <c r="N877" t="str">
        <f>RTD("tos.rtd", , "BID", ".SPY170317P217")</f>
        <v>N/A</v>
      </c>
      <c r="O877" t="str">
        <f>RTD("tos.rtd", , "BID_SIZE", ".SPY170317P217")</f>
        <v>N/A</v>
      </c>
      <c r="P877" t="str">
        <f>RTD("tos.rtd", , "VOLUME", ".SPY170317P217")</f>
        <v>N/A</v>
      </c>
      <c r="Q877" t="str">
        <f>RTD("tos.rtd", , "OPEN_INT", ".SPY170317P217")</f>
        <v>N/A</v>
      </c>
      <c r="R877" t="str">
        <f>RTD("tos.rtd", , "DELTA", ".SPY170317P217")</f>
        <v>N/A</v>
      </c>
      <c r="S877" t="str">
        <f>RTD("tos.rtd", , "THETA", ".SPY170317P217")</f>
        <v>N/A</v>
      </c>
      <c r="T877" t="str">
        <f>RTD("tos.rtd", , "GAMMA", ".SPY170317P217")</f>
        <v>N/A</v>
      </c>
      <c r="U877" t="str">
        <f>RTD("tos.rtd", , "VEGA", ".SPY170317P217")</f>
        <v>N/A</v>
      </c>
      <c r="V877" t="str">
        <f>RTD("tos.rtd", , "RHO", ".SPY170317P217")</f>
        <v>N/A</v>
      </c>
    </row>
    <row r="878" spans="1:22" x14ac:dyDescent="0.25">
      <c r="A878" t="str">
        <f>RTD("tos.rtd", , "ASK", ".SPY170317C217.5")</f>
        <v>N/A</v>
      </c>
      <c r="B878" t="str">
        <f>RTD("tos.rtd", , "ASK_SIZE", ".SPY170317C217.5")</f>
        <v>N/A</v>
      </c>
      <c r="C878" t="str">
        <f>RTD("tos.rtd", , "BID", ".SPY170317C217.5")</f>
        <v>N/A</v>
      </c>
      <c r="D878" t="str">
        <f>RTD("tos.rtd", , "BID_SIZE", ".SPY170317C217.5")</f>
        <v>N/A</v>
      </c>
      <c r="E878" t="str">
        <f>RTD("tos.rtd", , "VOLUME", ".SPY170317C217.5")</f>
        <v>N/A</v>
      </c>
      <c r="F878" t="str">
        <f>RTD("tos.rtd", , "OPEN_INT", ".SPY170317C217.5")</f>
        <v>N/A</v>
      </c>
      <c r="G878" t="str">
        <f>RTD("tos.rtd", , "DELTA", ".SPY170317C217.5")</f>
        <v>N/A</v>
      </c>
      <c r="H878" t="str">
        <f>RTD("tos.rtd", , "THETA", ".SPY170317C217.5")</f>
        <v>N/A</v>
      </c>
      <c r="I878" t="str">
        <f>RTD("tos.rtd", , "GAMMA", ".SPY170317C217.5")</f>
        <v>N/A</v>
      </c>
      <c r="J878" t="str">
        <f>RTD("tos.rtd", , "VEGA", ".SPY170317C217.5")</f>
        <v>N/A</v>
      </c>
      <c r="K878" t="str">
        <f>RTD("tos.rtd", , "RHO", ".SPY170317C217.5")</f>
        <v>N/A</v>
      </c>
      <c r="L878" t="str">
        <f>RTD("tos.rtd", , "ASK", ".SPY170317P217.5")</f>
        <v>N/A</v>
      </c>
      <c r="M878" t="str">
        <f>RTD("tos.rtd", , "ASK_SIZE", ".SPY170317P217.5")</f>
        <v>N/A</v>
      </c>
      <c r="N878" t="str">
        <f>RTD("tos.rtd", , "BID", ".SPY170317P217.5")</f>
        <v>N/A</v>
      </c>
      <c r="O878" t="str">
        <f>RTD("tos.rtd", , "BID_SIZE", ".SPY170317P217.5")</f>
        <v>N/A</v>
      </c>
      <c r="P878" t="str">
        <f>RTD("tos.rtd", , "VOLUME", ".SPY170317P217.5")</f>
        <v>N/A</v>
      </c>
      <c r="Q878" t="str">
        <f>RTD("tos.rtd", , "OPEN_INT", ".SPY170317P217.5")</f>
        <v>N/A</v>
      </c>
      <c r="R878" t="str">
        <f>RTD("tos.rtd", , "DELTA", ".SPY170317P217.5")</f>
        <v>N/A</v>
      </c>
      <c r="S878" t="str">
        <f>RTD("tos.rtd", , "THETA", ".SPY170317P217.5")</f>
        <v>N/A</v>
      </c>
      <c r="T878" t="str">
        <f>RTD("tos.rtd", , "GAMMA", ".SPY170317P217.5")</f>
        <v>N/A</v>
      </c>
      <c r="U878" t="str">
        <f>RTD("tos.rtd", , "VEGA", ".SPY170317P217.5")</f>
        <v>N/A</v>
      </c>
      <c r="V878" t="str">
        <f>RTD("tos.rtd", , "RHO", ".SPY170317P217.5")</f>
        <v>N/A</v>
      </c>
    </row>
    <row r="879" spans="1:22" x14ac:dyDescent="0.25">
      <c r="A879" t="str">
        <f>RTD("tos.rtd", , "ASK", ".SPY170317C218")</f>
        <v>N/A</v>
      </c>
      <c r="B879" t="str">
        <f>RTD("tos.rtd", , "ASK_SIZE", ".SPY170317C218")</f>
        <v>N/A</v>
      </c>
      <c r="C879" t="str">
        <f>RTD("tos.rtd", , "BID", ".SPY170317C218")</f>
        <v>N/A</v>
      </c>
      <c r="D879" t="str">
        <f>RTD("tos.rtd", , "BID_SIZE", ".SPY170317C218")</f>
        <v>N/A</v>
      </c>
      <c r="E879" t="str">
        <f>RTD("tos.rtd", , "VOLUME", ".SPY170317C218")</f>
        <v>N/A</v>
      </c>
      <c r="F879" t="str">
        <f>RTD("tos.rtd", , "OPEN_INT", ".SPY170317C218")</f>
        <v>N/A</v>
      </c>
      <c r="G879" t="str">
        <f>RTD("tos.rtd", , "DELTA", ".SPY170317C218")</f>
        <v>N/A</v>
      </c>
      <c r="H879" t="str">
        <f>RTD("tos.rtd", , "THETA", ".SPY170317C218")</f>
        <v>N/A</v>
      </c>
      <c r="I879" t="str">
        <f>RTD("tos.rtd", , "GAMMA", ".SPY170317C218")</f>
        <v>N/A</v>
      </c>
      <c r="J879" t="str">
        <f>RTD("tos.rtd", , "VEGA", ".SPY170317C218")</f>
        <v>N/A</v>
      </c>
      <c r="K879" t="str">
        <f>RTD("tos.rtd", , "RHO", ".SPY170317C218")</f>
        <v>N/A</v>
      </c>
      <c r="L879" t="str">
        <f>RTD("tos.rtd", , "ASK", ".SPY170317P218")</f>
        <v>N/A</v>
      </c>
      <c r="M879" t="str">
        <f>RTD("tos.rtd", , "ASK_SIZE", ".SPY170317P218")</f>
        <v>N/A</v>
      </c>
      <c r="N879" t="str">
        <f>RTD("tos.rtd", , "BID", ".SPY170317P218")</f>
        <v>N/A</v>
      </c>
      <c r="O879" t="str">
        <f>RTD("tos.rtd", , "BID_SIZE", ".SPY170317P218")</f>
        <v>N/A</v>
      </c>
      <c r="P879" t="str">
        <f>RTD("tos.rtd", , "VOLUME", ".SPY170317P218")</f>
        <v>N/A</v>
      </c>
      <c r="Q879" t="str">
        <f>RTD("tos.rtd", , "OPEN_INT", ".SPY170317P218")</f>
        <v>N/A</v>
      </c>
      <c r="R879" t="str">
        <f>RTD("tos.rtd", , "DELTA", ".SPY170317P218")</f>
        <v>N/A</v>
      </c>
      <c r="S879" t="str">
        <f>RTD("tos.rtd", , "THETA", ".SPY170317P218")</f>
        <v>N/A</v>
      </c>
      <c r="T879" t="str">
        <f>RTD("tos.rtd", , "GAMMA", ".SPY170317P218")</f>
        <v>N/A</v>
      </c>
      <c r="U879" t="str">
        <f>RTD("tos.rtd", , "VEGA", ".SPY170317P218")</f>
        <v>N/A</v>
      </c>
      <c r="V879" t="str">
        <f>RTD("tos.rtd", , "RHO", ".SPY170317P218")</f>
        <v>N/A</v>
      </c>
    </row>
    <row r="880" spans="1:22" x14ac:dyDescent="0.25">
      <c r="A880" t="str">
        <f>RTD("tos.rtd", , "ASK", ".SPY170317C218.5")</f>
        <v>N/A</v>
      </c>
      <c r="B880" t="str">
        <f>RTD("tos.rtd", , "ASK_SIZE", ".SPY170317C218.5")</f>
        <v>N/A</v>
      </c>
      <c r="C880" t="str">
        <f>RTD("tos.rtd", , "BID", ".SPY170317C218.5")</f>
        <v>N/A</v>
      </c>
      <c r="D880" t="str">
        <f>RTD("tos.rtd", , "BID_SIZE", ".SPY170317C218.5")</f>
        <v>N/A</v>
      </c>
      <c r="E880" t="str">
        <f>RTD("tos.rtd", , "VOLUME", ".SPY170317C218.5")</f>
        <v>N/A</v>
      </c>
      <c r="F880" t="str">
        <f>RTD("tos.rtd", , "OPEN_INT", ".SPY170317C218.5")</f>
        <v>N/A</v>
      </c>
      <c r="G880" t="str">
        <f>RTD("tos.rtd", , "DELTA", ".SPY170317C218.5")</f>
        <v>N/A</v>
      </c>
      <c r="H880" t="str">
        <f>RTD("tos.rtd", , "THETA", ".SPY170317C218.5")</f>
        <v>N/A</v>
      </c>
      <c r="I880" t="str">
        <f>RTD("tos.rtd", , "GAMMA", ".SPY170317C218.5")</f>
        <v>N/A</v>
      </c>
      <c r="J880" t="str">
        <f>RTD("tos.rtd", , "VEGA", ".SPY170317C218.5")</f>
        <v>N/A</v>
      </c>
      <c r="K880" t="str">
        <f>RTD("tos.rtd", , "RHO", ".SPY170317C218.5")</f>
        <v>N/A</v>
      </c>
      <c r="L880" t="str">
        <f>RTD("tos.rtd", , "ASK", ".SPY170317P218.5")</f>
        <v>N/A</v>
      </c>
      <c r="M880" t="str">
        <f>RTD("tos.rtd", , "ASK_SIZE", ".SPY170317P218.5")</f>
        <v>N/A</v>
      </c>
      <c r="N880" t="str">
        <f>RTD("tos.rtd", , "BID", ".SPY170317P218.5")</f>
        <v>N/A</v>
      </c>
      <c r="O880" t="str">
        <f>RTD("tos.rtd", , "BID_SIZE", ".SPY170317P218.5")</f>
        <v>N/A</v>
      </c>
      <c r="P880" t="str">
        <f>RTD("tos.rtd", , "VOLUME", ".SPY170317P218.5")</f>
        <v>N/A</v>
      </c>
      <c r="Q880" t="str">
        <f>RTD("tos.rtd", , "OPEN_INT", ".SPY170317P218.5")</f>
        <v>N/A</v>
      </c>
      <c r="R880" t="str">
        <f>RTD("tos.rtd", , "DELTA", ".SPY170317P218.5")</f>
        <v>N/A</v>
      </c>
      <c r="S880" t="str">
        <f>RTD("tos.rtd", , "THETA", ".SPY170317P218.5")</f>
        <v>N/A</v>
      </c>
      <c r="T880" t="str">
        <f>RTD("tos.rtd", , "GAMMA", ".SPY170317P218.5")</f>
        <v>N/A</v>
      </c>
      <c r="U880" t="str">
        <f>RTD("tos.rtd", , "VEGA", ".SPY170317P218.5")</f>
        <v>N/A</v>
      </c>
      <c r="V880" t="str">
        <f>RTD("tos.rtd", , "RHO", ".SPY170317P218.5")</f>
        <v>N/A</v>
      </c>
    </row>
    <row r="881" spans="1:22" x14ac:dyDescent="0.25">
      <c r="A881" t="str">
        <f>RTD("tos.rtd", , "ASK", ".SPY170317C219")</f>
        <v>N/A</v>
      </c>
      <c r="B881" t="str">
        <f>RTD("tos.rtd", , "ASK_SIZE", ".SPY170317C219")</f>
        <v>N/A</v>
      </c>
      <c r="C881" t="str">
        <f>RTD("tos.rtd", , "BID", ".SPY170317C219")</f>
        <v>N/A</v>
      </c>
      <c r="D881" t="str">
        <f>RTD("tos.rtd", , "BID_SIZE", ".SPY170317C219")</f>
        <v>N/A</v>
      </c>
      <c r="E881" t="str">
        <f>RTD("tos.rtd", , "VOLUME", ".SPY170317C219")</f>
        <v>N/A</v>
      </c>
      <c r="F881" t="str">
        <f>RTD("tos.rtd", , "OPEN_INT", ".SPY170317C219")</f>
        <v>N/A</v>
      </c>
      <c r="G881" t="str">
        <f>RTD("tos.rtd", , "DELTA", ".SPY170317C219")</f>
        <v>N/A</v>
      </c>
      <c r="H881" t="str">
        <f>RTD("tos.rtd", , "THETA", ".SPY170317C219")</f>
        <v>N/A</v>
      </c>
      <c r="I881" t="str">
        <f>RTD("tos.rtd", , "GAMMA", ".SPY170317C219")</f>
        <v>N/A</v>
      </c>
      <c r="J881" t="str">
        <f>RTD("tos.rtd", , "VEGA", ".SPY170317C219")</f>
        <v>N/A</v>
      </c>
      <c r="K881" t="str">
        <f>RTD("tos.rtd", , "RHO", ".SPY170317C219")</f>
        <v>N/A</v>
      </c>
      <c r="L881" t="str">
        <f>RTD("tos.rtd", , "ASK", ".SPY170317P219")</f>
        <v>N/A</v>
      </c>
      <c r="M881" t="str">
        <f>RTD("tos.rtd", , "ASK_SIZE", ".SPY170317P219")</f>
        <v>N/A</v>
      </c>
      <c r="N881" t="str">
        <f>RTD("tos.rtd", , "BID", ".SPY170317P219")</f>
        <v>N/A</v>
      </c>
      <c r="O881" t="str">
        <f>RTD("tos.rtd", , "BID_SIZE", ".SPY170317P219")</f>
        <v>N/A</v>
      </c>
      <c r="P881" t="str">
        <f>RTD("tos.rtd", , "VOLUME", ".SPY170317P219")</f>
        <v>N/A</v>
      </c>
      <c r="Q881" t="str">
        <f>RTD("tos.rtd", , "OPEN_INT", ".SPY170317P219")</f>
        <v>N/A</v>
      </c>
      <c r="R881" t="str">
        <f>RTD("tos.rtd", , "DELTA", ".SPY170317P219")</f>
        <v>N/A</v>
      </c>
      <c r="S881" t="str">
        <f>RTD("tos.rtd", , "THETA", ".SPY170317P219")</f>
        <v>N/A</v>
      </c>
      <c r="T881" t="str">
        <f>RTD("tos.rtd", , "GAMMA", ".SPY170317P219")</f>
        <v>N/A</v>
      </c>
      <c r="U881" t="str">
        <f>RTD("tos.rtd", , "VEGA", ".SPY170317P219")</f>
        <v>N/A</v>
      </c>
      <c r="V881" t="str">
        <f>RTD("tos.rtd", , "RHO", ".SPY170317P219")</f>
        <v>N/A</v>
      </c>
    </row>
    <row r="882" spans="1:22" x14ac:dyDescent="0.25">
      <c r="A882" t="str">
        <f>RTD("tos.rtd", , "ASK", ".SPY170317C219.5")</f>
        <v>N/A</v>
      </c>
      <c r="B882" t="str">
        <f>RTD("tos.rtd", , "ASK_SIZE", ".SPY170317C219.5")</f>
        <v>N/A</v>
      </c>
      <c r="C882" t="str">
        <f>RTD("tos.rtd", , "BID", ".SPY170317C219.5")</f>
        <v>N/A</v>
      </c>
      <c r="D882" t="str">
        <f>RTD("tos.rtd", , "BID_SIZE", ".SPY170317C219.5")</f>
        <v>N/A</v>
      </c>
      <c r="E882" t="str">
        <f>RTD("tos.rtd", , "VOLUME", ".SPY170317C219.5")</f>
        <v>N/A</v>
      </c>
      <c r="F882" t="str">
        <f>RTD("tos.rtd", , "OPEN_INT", ".SPY170317C219.5")</f>
        <v>N/A</v>
      </c>
      <c r="G882" t="str">
        <f>RTD("tos.rtd", , "DELTA", ".SPY170317C219.5")</f>
        <v>N/A</v>
      </c>
      <c r="H882" t="str">
        <f>RTD("tos.rtd", , "THETA", ".SPY170317C219.5")</f>
        <v>N/A</v>
      </c>
      <c r="I882" t="str">
        <f>RTD("tos.rtd", , "GAMMA", ".SPY170317C219.5")</f>
        <v>N/A</v>
      </c>
      <c r="J882" t="str">
        <f>RTD("tos.rtd", , "VEGA", ".SPY170317C219.5")</f>
        <v>N/A</v>
      </c>
      <c r="K882" t="str">
        <f>RTD("tos.rtd", , "RHO", ".SPY170317C219.5")</f>
        <v>N/A</v>
      </c>
      <c r="L882" t="str">
        <f>RTD("tos.rtd", , "ASK", ".SPY170317P219.5")</f>
        <v>N/A</v>
      </c>
      <c r="M882" t="str">
        <f>RTD("tos.rtd", , "ASK_SIZE", ".SPY170317P219.5")</f>
        <v>N/A</v>
      </c>
      <c r="N882" t="str">
        <f>RTD("tos.rtd", , "BID", ".SPY170317P219.5")</f>
        <v>N/A</v>
      </c>
      <c r="O882" t="str">
        <f>RTD("tos.rtd", , "BID_SIZE", ".SPY170317P219.5")</f>
        <v>N/A</v>
      </c>
      <c r="P882" t="str">
        <f>RTD("tos.rtd", , "VOLUME", ".SPY170317P219.5")</f>
        <v>N/A</v>
      </c>
      <c r="Q882" t="str">
        <f>RTD("tos.rtd", , "OPEN_INT", ".SPY170317P219.5")</f>
        <v>N/A</v>
      </c>
      <c r="R882" t="str">
        <f>RTD("tos.rtd", , "DELTA", ".SPY170317P219.5")</f>
        <v>N/A</v>
      </c>
      <c r="S882" t="str">
        <f>RTD("tos.rtd", , "THETA", ".SPY170317P219.5")</f>
        <v>N/A</v>
      </c>
      <c r="T882" t="str">
        <f>RTD("tos.rtd", , "GAMMA", ".SPY170317P219.5")</f>
        <v>N/A</v>
      </c>
      <c r="U882" t="str">
        <f>RTD("tos.rtd", , "VEGA", ".SPY170317P219.5")</f>
        <v>N/A</v>
      </c>
      <c r="V882" t="str">
        <f>RTD("tos.rtd", , "RHO", ".SPY170317P219.5")</f>
        <v>N/A</v>
      </c>
    </row>
    <row r="883" spans="1:22" x14ac:dyDescent="0.25">
      <c r="A883" t="s">
        <v>21</v>
      </c>
      <c r="B883">
        <v>40</v>
      </c>
    </row>
    <row r="884" spans="1:22" x14ac:dyDescent="0.25">
      <c r="A884">
        <f>RTD("tos.rtd", ,"LAST", "SPY")</f>
        <v>211.32</v>
      </c>
    </row>
    <row r="885" spans="1:22" x14ac:dyDescent="0.25">
      <c r="A885">
        <f>RTD("tos.rtd", , "ASK", ".SPY171215C200")</f>
        <v>30.05</v>
      </c>
      <c r="B885">
        <f>RTD("tos.rtd", , "ASK_SIZE", ".SPY171215C200")</f>
        <v>61</v>
      </c>
      <c r="C885">
        <f>RTD("tos.rtd", , "BID", ".SPY171215C200")</f>
        <v>28.64</v>
      </c>
      <c r="D885">
        <f>RTD("tos.rtd", , "BID_SIZE", ".SPY171215C200")</f>
        <v>59</v>
      </c>
      <c r="E885">
        <f>RTD("tos.rtd", , "VOLUME", ".SPY171215C200")</f>
        <v>0</v>
      </c>
      <c r="F885">
        <f>RTD("tos.rtd", , "OPEN_INT", ".SPY171215C200")</f>
        <v>1134</v>
      </c>
      <c r="G885">
        <f>RTD("tos.rtd", , "DELTA", ".SPY171215C200")</f>
        <v>0.58926999999999996</v>
      </c>
      <c r="H885">
        <f>RTD("tos.rtd", , "THETA", ".SPY171215C200")</f>
        <v>-9.9600000000000001E-3</v>
      </c>
      <c r="I885">
        <f>RTD("tos.rtd", , "GAMMA", ".SPY171215C200")</f>
        <v>5.9100000000000003E-3</v>
      </c>
      <c r="J885">
        <f>RTD("tos.rtd", , "VEGA", ".SPY171215C200")</f>
        <v>1.2647900000000001</v>
      </c>
      <c r="K885">
        <f>RTD("tos.rtd", , "RHO", ".SPY171215C200")</f>
        <v>1.88489</v>
      </c>
      <c r="L885">
        <f>RTD("tos.rtd", , "ASK", ".SPY171215P200")</f>
        <v>23.06</v>
      </c>
      <c r="M885">
        <f>RTD("tos.rtd", , "ASK_SIZE", ".SPY171215P200")</f>
        <v>55</v>
      </c>
      <c r="N885">
        <f>RTD("tos.rtd", , "BID", ".SPY171215P200")</f>
        <v>21.75</v>
      </c>
      <c r="O885">
        <f>RTD("tos.rtd", , "BID_SIZE", ".SPY171215P200")</f>
        <v>53</v>
      </c>
      <c r="P885">
        <f>RTD("tos.rtd", , "VOLUME", ".SPY171215P200")</f>
        <v>10</v>
      </c>
      <c r="Q885">
        <f>RTD("tos.rtd", , "OPEN_INT", ".SPY171215P200")</f>
        <v>734</v>
      </c>
      <c r="R885">
        <f>RTD("tos.rtd", , "DELTA", ".SPY171215P200")</f>
        <v>-0.4002</v>
      </c>
      <c r="S885">
        <f>RTD("tos.rtd", , "THETA", ".SPY171215P200")</f>
        <v>-1.576E-2</v>
      </c>
      <c r="T885">
        <f>RTD("tos.rtd", , "GAMMA", ".SPY171215P200")</f>
        <v>5.8599999999999998E-3</v>
      </c>
      <c r="U885">
        <f>RTD("tos.rtd", , "VEGA", ".SPY171215P200")</f>
        <v>1.2769900000000001</v>
      </c>
      <c r="V885">
        <f>RTD("tos.rtd", , "RHO", ".SPY171215P200")</f>
        <v>-2.7919200000000002</v>
      </c>
    </row>
    <row r="886" spans="1:22" x14ac:dyDescent="0.25">
      <c r="A886" t="str">
        <f>RTD("tos.rtd", , "ASK", ".SPY171215C200.5")</f>
        <v>N/A</v>
      </c>
      <c r="B886" t="str">
        <f>RTD("tos.rtd", , "ASK_SIZE", ".SPY171215C200.5")</f>
        <v>N/A</v>
      </c>
      <c r="C886" t="str">
        <f>RTD("tos.rtd", , "BID", ".SPY171215C200.5")</f>
        <v>N/A</v>
      </c>
      <c r="D886" t="str">
        <f>RTD("tos.rtd", , "BID_SIZE", ".SPY171215C200.5")</f>
        <v>N/A</v>
      </c>
      <c r="E886" t="str">
        <f>RTD("tos.rtd", , "VOLUME", ".SPY171215C200.5")</f>
        <v>N/A</v>
      </c>
      <c r="F886" t="str">
        <f>RTD("tos.rtd", , "OPEN_INT", ".SPY171215C200.5")</f>
        <v>N/A</v>
      </c>
      <c r="G886" t="str">
        <f>RTD("tos.rtd", , "DELTA", ".SPY171215C200.5")</f>
        <v>N/A</v>
      </c>
      <c r="H886" t="str">
        <f>RTD("tos.rtd", , "THETA", ".SPY171215C200.5")</f>
        <v>N/A</v>
      </c>
      <c r="I886" t="str">
        <f>RTD("tos.rtd", , "GAMMA", ".SPY171215C200.5")</f>
        <v>N/A</v>
      </c>
      <c r="J886" t="str">
        <f>RTD("tos.rtd", , "VEGA", ".SPY171215C200.5")</f>
        <v>N/A</v>
      </c>
      <c r="K886" t="str">
        <f>RTD("tos.rtd", , "RHO", ".SPY171215C200.5")</f>
        <v>N/A</v>
      </c>
      <c r="L886" t="str">
        <f>RTD("tos.rtd", , "ASK", ".SPY171215P200.5")</f>
        <v>N/A</v>
      </c>
      <c r="M886" t="str">
        <f>RTD("tos.rtd", , "ASK_SIZE", ".SPY171215P200.5")</f>
        <v>N/A</v>
      </c>
      <c r="N886" t="str">
        <f>RTD("tos.rtd", , "BID", ".SPY171215P200.5")</f>
        <v>N/A</v>
      </c>
      <c r="O886" t="str">
        <f>RTD("tos.rtd", , "BID_SIZE", ".SPY171215P200.5")</f>
        <v>N/A</v>
      </c>
      <c r="P886" t="str">
        <f>RTD("tos.rtd", , "VOLUME", ".SPY171215P200.5")</f>
        <v>N/A</v>
      </c>
      <c r="Q886" t="str">
        <f>RTD("tos.rtd", , "OPEN_INT", ".SPY171215P200.5")</f>
        <v>N/A</v>
      </c>
      <c r="R886" t="str">
        <f>RTD("tos.rtd", , "DELTA", ".SPY171215P200.5")</f>
        <v>N/A</v>
      </c>
      <c r="S886" t="str">
        <f>RTD("tos.rtd", , "THETA", ".SPY171215P200.5")</f>
        <v>N/A</v>
      </c>
      <c r="T886" t="str">
        <f>RTD("tos.rtd", , "GAMMA", ".SPY171215P200.5")</f>
        <v>N/A</v>
      </c>
      <c r="U886" t="str">
        <f>RTD("tos.rtd", , "VEGA", ".SPY171215P200.5")</f>
        <v>N/A</v>
      </c>
      <c r="V886" t="str">
        <f>RTD("tos.rtd", , "RHO", ".SPY171215P200.5")</f>
        <v>N/A</v>
      </c>
    </row>
    <row r="887" spans="1:22" x14ac:dyDescent="0.25">
      <c r="A887" t="str">
        <f>RTD("tos.rtd", , "ASK", ".SPY171215C201")</f>
        <v>N/A</v>
      </c>
      <c r="B887" t="str">
        <f>RTD("tos.rtd", , "ASK_SIZE", ".SPY171215C201")</f>
        <v>N/A</v>
      </c>
      <c r="C887" t="str">
        <f>RTD("tos.rtd", , "BID", ".SPY171215C201")</f>
        <v>N/A</v>
      </c>
      <c r="D887" t="str">
        <f>RTD("tos.rtd", , "BID_SIZE", ".SPY171215C201")</f>
        <v>N/A</v>
      </c>
      <c r="E887" t="str">
        <f>RTD("tos.rtd", , "VOLUME", ".SPY171215C201")</f>
        <v>N/A</v>
      </c>
      <c r="F887" t="str">
        <f>RTD("tos.rtd", , "OPEN_INT", ".SPY171215C201")</f>
        <v>N/A</v>
      </c>
      <c r="G887" t="str">
        <f>RTD("tos.rtd", , "DELTA", ".SPY171215C201")</f>
        <v>N/A</v>
      </c>
      <c r="H887" t="str">
        <f>RTD("tos.rtd", , "THETA", ".SPY171215C201")</f>
        <v>N/A</v>
      </c>
      <c r="I887" t="str">
        <f>RTD("tos.rtd", , "GAMMA", ".SPY171215C201")</f>
        <v>N/A</v>
      </c>
      <c r="J887" t="str">
        <f>RTD("tos.rtd", , "VEGA", ".SPY171215C201")</f>
        <v>N/A</v>
      </c>
      <c r="K887" t="str">
        <f>RTD("tos.rtd", , "RHO", ".SPY171215C201")</f>
        <v>N/A</v>
      </c>
      <c r="L887" t="str">
        <f>RTD("tos.rtd", , "ASK", ".SPY171215P201")</f>
        <v>N/A</v>
      </c>
      <c r="M887" t="str">
        <f>RTD("tos.rtd", , "ASK_SIZE", ".SPY171215P201")</f>
        <v>N/A</v>
      </c>
      <c r="N887" t="str">
        <f>RTD("tos.rtd", , "BID", ".SPY171215P201")</f>
        <v>N/A</v>
      </c>
      <c r="O887" t="str">
        <f>RTD("tos.rtd", , "BID_SIZE", ".SPY171215P201")</f>
        <v>N/A</v>
      </c>
      <c r="P887" t="str">
        <f>RTD("tos.rtd", , "VOLUME", ".SPY171215P201")</f>
        <v>N/A</v>
      </c>
      <c r="Q887" t="str">
        <f>RTD("tos.rtd", , "OPEN_INT", ".SPY171215P201")</f>
        <v>N/A</v>
      </c>
      <c r="R887" t="str">
        <f>RTD("tos.rtd", , "DELTA", ".SPY171215P201")</f>
        <v>N/A</v>
      </c>
      <c r="S887" t="str">
        <f>RTD("tos.rtd", , "THETA", ".SPY171215P201")</f>
        <v>N/A</v>
      </c>
      <c r="T887" t="str">
        <f>RTD("tos.rtd", , "GAMMA", ".SPY171215P201")</f>
        <v>N/A</v>
      </c>
      <c r="U887" t="str">
        <f>RTD("tos.rtd", , "VEGA", ".SPY171215P201")</f>
        <v>N/A</v>
      </c>
      <c r="V887" t="str">
        <f>RTD("tos.rtd", , "RHO", ".SPY171215P201")</f>
        <v>N/A</v>
      </c>
    </row>
    <row r="888" spans="1:22" x14ac:dyDescent="0.25">
      <c r="A888" t="str">
        <f>RTD("tos.rtd", , "ASK", ".SPY171215C201.5")</f>
        <v>N/A</v>
      </c>
      <c r="B888" t="str">
        <f>RTD("tos.rtd", , "ASK_SIZE", ".SPY171215C201.5")</f>
        <v>N/A</v>
      </c>
      <c r="C888" t="str">
        <f>RTD("tos.rtd", , "BID", ".SPY171215C201.5")</f>
        <v>N/A</v>
      </c>
      <c r="D888" t="str">
        <f>RTD("tos.rtd", , "BID_SIZE", ".SPY171215C201.5")</f>
        <v>N/A</v>
      </c>
      <c r="E888" t="str">
        <f>RTD("tos.rtd", , "VOLUME", ".SPY171215C201.5")</f>
        <v>N/A</v>
      </c>
      <c r="F888" t="str">
        <f>RTD("tos.rtd", , "OPEN_INT", ".SPY171215C201.5")</f>
        <v>N/A</v>
      </c>
      <c r="G888" t="str">
        <f>RTD("tos.rtd", , "DELTA", ".SPY171215C201.5")</f>
        <v>N/A</v>
      </c>
      <c r="H888" t="str">
        <f>RTD("tos.rtd", , "THETA", ".SPY171215C201.5")</f>
        <v>N/A</v>
      </c>
      <c r="I888" t="str">
        <f>RTD("tos.rtd", , "GAMMA", ".SPY171215C201.5")</f>
        <v>N/A</v>
      </c>
      <c r="J888" t="str">
        <f>RTD("tos.rtd", , "VEGA", ".SPY171215C201.5")</f>
        <v>N/A</v>
      </c>
      <c r="K888" t="str">
        <f>RTD("tos.rtd", , "RHO", ".SPY171215C201.5")</f>
        <v>N/A</v>
      </c>
      <c r="L888" t="str">
        <f>RTD("tos.rtd", , "ASK", ".SPY171215P201.5")</f>
        <v>N/A</v>
      </c>
      <c r="M888" t="str">
        <f>RTD("tos.rtd", , "ASK_SIZE", ".SPY171215P201.5")</f>
        <v>N/A</v>
      </c>
      <c r="N888" t="str">
        <f>RTD("tos.rtd", , "BID", ".SPY171215P201.5")</f>
        <v>N/A</v>
      </c>
      <c r="O888" t="str">
        <f>RTD("tos.rtd", , "BID_SIZE", ".SPY171215P201.5")</f>
        <v>N/A</v>
      </c>
      <c r="P888" t="str">
        <f>RTD("tos.rtd", , "VOLUME", ".SPY171215P201.5")</f>
        <v>N/A</v>
      </c>
      <c r="Q888" t="str">
        <f>RTD("tos.rtd", , "OPEN_INT", ".SPY171215P201.5")</f>
        <v>N/A</v>
      </c>
      <c r="R888" t="str">
        <f>RTD("tos.rtd", , "DELTA", ".SPY171215P201.5")</f>
        <v>N/A</v>
      </c>
      <c r="S888" t="str">
        <f>RTD("tos.rtd", , "THETA", ".SPY171215P201.5")</f>
        <v>N/A</v>
      </c>
      <c r="T888" t="str">
        <f>RTD("tos.rtd", , "GAMMA", ".SPY171215P201.5")</f>
        <v>N/A</v>
      </c>
      <c r="U888" t="str">
        <f>RTD("tos.rtd", , "VEGA", ".SPY171215P201.5")</f>
        <v>N/A</v>
      </c>
      <c r="V888" t="str">
        <f>RTD("tos.rtd", , "RHO", ".SPY171215P201.5")</f>
        <v>N/A</v>
      </c>
    </row>
    <row r="889" spans="1:22" x14ac:dyDescent="0.25">
      <c r="A889" t="str">
        <f>RTD("tos.rtd", , "ASK", ".SPY171215C202")</f>
        <v>N/A</v>
      </c>
      <c r="B889" t="str">
        <f>RTD("tos.rtd", , "ASK_SIZE", ".SPY171215C202")</f>
        <v>N/A</v>
      </c>
      <c r="C889" t="str">
        <f>RTD("tos.rtd", , "BID", ".SPY171215C202")</f>
        <v>N/A</v>
      </c>
      <c r="D889" t="str">
        <f>RTD("tos.rtd", , "BID_SIZE", ".SPY171215C202")</f>
        <v>N/A</v>
      </c>
      <c r="E889" t="str">
        <f>RTD("tos.rtd", , "VOLUME", ".SPY171215C202")</f>
        <v>N/A</v>
      </c>
      <c r="F889" t="str">
        <f>RTD("tos.rtd", , "OPEN_INT", ".SPY171215C202")</f>
        <v>N/A</v>
      </c>
      <c r="G889" t="str">
        <f>RTD("tos.rtd", , "DELTA", ".SPY171215C202")</f>
        <v>N/A</v>
      </c>
      <c r="H889" t="str">
        <f>RTD("tos.rtd", , "THETA", ".SPY171215C202")</f>
        <v>N/A</v>
      </c>
      <c r="I889" t="str">
        <f>RTD("tos.rtd", , "GAMMA", ".SPY171215C202")</f>
        <v>N/A</v>
      </c>
      <c r="J889" t="str">
        <f>RTD("tos.rtd", , "VEGA", ".SPY171215C202")</f>
        <v>N/A</v>
      </c>
      <c r="K889" t="str">
        <f>RTD("tos.rtd", , "RHO", ".SPY171215C202")</f>
        <v>N/A</v>
      </c>
      <c r="L889" t="str">
        <f>RTD("tos.rtd", , "ASK", ".SPY171215P202")</f>
        <v>N/A</v>
      </c>
      <c r="M889" t="str">
        <f>RTD("tos.rtd", , "ASK_SIZE", ".SPY171215P202")</f>
        <v>N/A</v>
      </c>
      <c r="N889" t="str">
        <f>RTD("tos.rtd", , "BID", ".SPY171215P202")</f>
        <v>N/A</v>
      </c>
      <c r="O889" t="str">
        <f>RTD("tos.rtd", , "BID_SIZE", ".SPY171215P202")</f>
        <v>N/A</v>
      </c>
      <c r="P889" t="str">
        <f>RTD("tos.rtd", , "VOLUME", ".SPY171215P202")</f>
        <v>N/A</v>
      </c>
      <c r="Q889" t="str">
        <f>RTD("tos.rtd", , "OPEN_INT", ".SPY171215P202")</f>
        <v>N/A</v>
      </c>
      <c r="R889" t="str">
        <f>RTD("tos.rtd", , "DELTA", ".SPY171215P202")</f>
        <v>N/A</v>
      </c>
      <c r="S889" t="str">
        <f>RTD("tos.rtd", , "THETA", ".SPY171215P202")</f>
        <v>N/A</v>
      </c>
      <c r="T889" t="str">
        <f>RTD("tos.rtd", , "GAMMA", ".SPY171215P202")</f>
        <v>N/A</v>
      </c>
      <c r="U889" t="str">
        <f>RTD("tos.rtd", , "VEGA", ".SPY171215P202")</f>
        <v>N/A</v>
      </c>
      <c r="V889" t="str">
        <f>RTD("tos.rtd", , "RHO", ".SPY171215P202")</f>
        <v>N/A</v>
      </c>
    </row>
    <row r="890" spans="1:22" x14ac:dyDescent="0.25">
      <c r="A890" t="str">
        <f>RTD("tos.rtd", , "ASK", ".SPY171215C202.5")</f>
        <v>N/A</v>
      </c>
      <c r="B890" t="str">
        <f>RTD("tos.rtd", , "ASK_SIZE", ".SPY171215C202.5")</f>
        <v>N/A</v>
      </c>
      <c r="C890" t="str">
        <f>RTD("tos.rtd", , "BID", ".SPY171215C202.5")</f>
        <v>N/A</v>
      </c>
      <c r="D890" t="str">
        <f>RTD("tos.rtd", , "BID_SIZE", ".SPY171215C202.5")</f>
        <v>N/A</v>
      </c>
      <c r="E890" t="str">
        <f>RTD("tos.rtd", , "VOLUME", ".SPY171215C202.5")</f>
        <v>N/A</v>
      </c>
      <c r="F890" t="str">
        <f>RTD("tos.rtd", , "OPEN_INT", ".SPY171215C202.5")</f>
        <v>N/A</v>
      </c>
      <c r="G890" t="str">
        <f>RTD("tos.rtd", , "DELTA", ".SPY171215C202.5")</f>
        <v>N/A</v>
      </c>
      <c r="H890" t="str">
        <f>RTD("tos.rtd", , "THETA", ".SPY171215C202.5")</f>
        <v>N/A</v>
      </c>
      <c r="I890" t="str">
        <f>RTD("tos.rtd", , "GAMMA", ".SPY171215C202.5")</f>
        <v>N/A</v>
      </c>
      <c r="J890" t="str">
        <f>RTD("tos.rtd", , "VEGA", ".SPY171215C202.5")</f>
        <v>N/A</v>
      </c>
      <c r="K890" t="str">
        <f>RTD("tos.rtd", , "RHO", ".SPY171215C202.5")</f>
        <v>N/A</v>
      </c>
      <c r="L890" t="str">
        <f>RTD("tos.rtd", , "ASK", ".SPY171215P202.5")</f>
        <v>N/A</v>
      </c>
      <c r="M890" t="str">
        <f>RTD("tos.rtd", , "ASK_SIZE", ".SPY171215P202.5")</f>
        <v>N/A</v>
      </c>
      <c r="N890" t="str">
        <f>RTD("tos.rtd", , "BID", ".SPY171215P202.5")</f>
        <v>N/A</v>
      </c>
      <c r="O890" t="str">
        <f>RTD("tos.rtd", , "BID_SIZE", ".SPY171215P202.5")</f>
        <v>N/A</v>
      </c>
      <c r="P890" t="str">
        <f>RTD("tos.rtd", , "VOLUME", ".SPY171215P202.5")</f>
        <v>N/A</v>
      </c>
      <c r="Q890" t="str">
        <f>RTD("tos.rtd", , "OPEN_INT", ".SPY171215P202.5")</f>
        <v>N/A</v>
      </c>
      <c r="R890" t="str">
        <f>RTD("tos.rtd", , "DELTA", ".SPY171215P202.5")</f>
        <v>N/A</v>
      </c>
      <c r="S890" t="str">
        <f>RTD("tos.rtd", , "THETA", ".SPY171215P202.5")</f>
        <v>N/A</v>
      </c>
      <c r="T890" t="str">
        <f>RTD("tos.rtd", , "GAMMA", ".SPY171215P202.5")</f>
        <v>N/A</v>
      </c>
      <c r="U890" t="str">
        <f>RTD("tos.rtd", , "VEGA", ".SPY171215P202.5")</f>
        <v>N/A</v>
      </c>
      <c r="V890" t="str">
        <f>RTD("tos.rtd", , "RHO", ".SPY171215P202.5")</f>
        <v>N/A</v>
      </c>
    </row>
    <row r="891" spans="1:22" x14ac:dyDescent="0.25">
      <c r="A891" t="str">
        <f>RTD("tos.rtd", , "ASK", ".SPY171215C203")</f>
        <v>N/A</v>
      </c>
      <c r="B891" t="str">
        <f>RTD("tos.rtd", , "ASK_SIZE", ".SPY171215C203")</f>
        <v>N/A</v>
      </c>
      <c r="C891" t="str">
        <f>RTD("tos.rtd", , "BID", ".SPY171215C203")</f>
        <v>N/A</v>
      </c>
      <c r="D891" t="str">
        <f>RTD("tos.rtd", , "BID_SIZE", ".SPY171215C203")</f>
        <v>N/A</v>
      </c>
      <c r="E891" t="str">
        <f>RTD("tos.rtd", , "VOLUME", ".SPY171215C203")</f>
        <v>N/A</v>
      </c>
      <c r="F891" t="str">
        <f>RTD("tos.rtd", , "OPEN_INT", ".SPY171215C203")</f>
        <v>N/A</v>
      </c>
      <c r="G891" t="str">
        <f>RTD("tos.rtd", , "DELTA", ".SPY171215C203")</f>
        <v>N/A</v>
      </c>
      <c r="H891" t="str">
        <f>RTD("tos.rtd", , "THETA", ".SPY171215C203")</f>
        <v>N/A</v>
      </c>
      <c r="I891" t="str">
        <f>RTD("tos.rtd", , "GAMMA", ".SPY171215C203")</f>
        <v>N/A</v>
      </c>
      <c r="J891" t="str">
        <f>RTD("tos.rtd", , "VEGA", ".SPY171215C203")</f>
        <v>N/A</v>
      </c>
      <c r="K891" t="str">
        <f>RTD("tos.rtd", , "RHO", ".SPY171215C203")</f>
        <v>N/A</v>
      </c>
      <c r="L891" t="str">
        <f>RTD("tos.rtd", , "ASK", ".SPY171215P203")</f>
        <v>N/A</v>
      </c>
      <c r="M891" t="str">
        <f>RTD("tos.rtd", , "ASK_SIZE", ".SPY171215P203")</f>
        <v>N/A</v>
      </c>
      <c r="N891" t="str">
        <f>RTD("tos.rtd", , "BID", ".SPY171215P203")</f>
        <v>N/A</v>
      </c>
      <c r="O891" t="str">
        <f>RTD("tos.rtd", , "BID_SIZE", ".SPY171215P203")</f>
        <v>N/A</v>
      </c>
      <c r="P891" t="str">
        <f>RTD("tos.rtd", , "VOLUME", ".SPY171215P203")</f>
        <v>N/A</v>
      </c>
      <c r="Q891" t="str">
        <f>RTD("tos.rtd", , "OPEN_INT", ".SPY171215P203")</f>
        <v>N/A</v>
      </c>
      <c r="R891" t="str">
        <f>RTD("tos.rtd", , "DELTA", ".SPY171215P203")</f>
        <v>N/A</v>
      </c>
      <c r="S891" t="str">
        <f>RTD("tos.rtd", , "THETA", ".SPY171215P203")</f>
        <v>N/A</v>
      </c>
      <c r="T891" t="str">
        <f>RTD("tos.rtd", , "GAMMA", ".SPY171215P203")</f>
        <v>N/A</v>
      </c>
      <c r="U891" t="str">
        <f>RTD("tos.rtd", , "VEGA", ".SPY171215P203")</f>
        <v>N/A</v>
      </c>
      <c r="V891" t="str">
        <f>RTD("tos.rtd", , "RHO", ".SPY171215P203")</f>
        <v>N/A</v>
      </c>
    </row>
    <row r="892" spans="1:22" x14ac:dyDescent="0.25">
      <c r="A892" t="str">
        <f>RTD("tos.rtd", , "ASK", ".SPY171215C203.5")</f>
        <v>N/A</v>
      </c>
      <c r="B892" t="str">
        <f>RTD("tos.rtd", , "ASK_SIZE", ".SPY171215C203.5")</f>
        <v>N/A</v>
      </c>
      <c r="C892" t="str">
        <f>RTD("tos.rtd", , "BID", ".SPY171215C203.5")</f>
        <v>N/A</v>
      </c>
      <c r="D892" t="str">
        <f>RTD("tos.rtd", , "BID_SIZE", ".SPY171215C203.5")</f>
        <v>N/A</v>
      </c>
      <c r="E892" t="str">
        <f>RTD("tos.rtd", , "VOLUME", ".SPY171215C203.5")</f>
        <v>N/A</v>
      </c>
      <c r="F892" t="str">
        <f>RTD("tos.rtd", , "OPEN_INT", ".SPY171215C203.5")</f>
        <v>N/A</v>
      </c>
      <c r="G892" t="str">
        <f>RTD("tos.rtd", , "DELTA", ".SPY171215C203.5")</f>
        <v>N/A</v>
      </c>
      <c r="H892" t="str">
        <f>RTD("tos.rtd", , "THETA", ".SPY171215C203.5")</f>
        <v>N/A</v>
      </c>
      <c r="I892" t="str">
        <f>RTD("tos.rtd", , "GAMMA", ".SPY171215C203.5")</f>
        <v>N/A</v>
      </c>
      <c r="J892" t="str">
        <f>RTD("tos.rtd", , "VEGA", ".SPY171215C203.5")</f>
        <v>N/A</v>
      </c>
      <c r="K892" t="str">
        <f>RTD("tos.rtd", , "RHO", ".SPY171215C203.5")</f>
        <v>N/A</v>
      </c>
      <c r="L892" t="str">
        <f>RTD("tos.rtd", , "ASK", ".SPY171215P203.5")</f>
        <v>N/A</v>
      </c>
      <c r="M892" t="str">
        <f>RTD("tos.rtd", , "ASK_SIZE", ".SPY171215P203.5")</f>
        <v>N/A</v>
      </c>
      <c r="N892" t="str">
        <f>RTD("tos.rtd", , "BID", ".SPY171215P203.5")</f>
        <v>N/A</v>
      </c>
      <c r="O892" t="str">
        <f>RTD("tos.rtd", , "BID_SIZE", ".SPY171215P203.5")</f>
        <v>N/A</v>
      </c>
      <c r="P892" t="str">
        <f>RTD("tos.rtd", , "VOLUME", ".SPY171215P203.5")</f>
        <v>N/A</v>
      </c>
      <c r="Q892" t="str">
        <f>RTD("tos.rtd", , "OPEN_INT", ".SPY171215P203.5")</f>
        <v>N/A</v>
      </c>
      <c r="R892" t="str">
        <f>RTD("tos.rtd", , "DELTA", ".SPY171215P203.5")</f>
        <v>N/A</v>
      </c>
      <c r="S892" t="str">
        <f>RTD("tos.rtd", , "THETA", ".SPY171215P203.5")</f>
        <v>N/A</v>
      </c>
      <c r="T892" t="str">
        <f>RTD("tos.rtd", , "GAMMA", ".SPY171215P203.5")</f>
        <v>N/A</v>
      </c>
      <c r="U892" t="str">
        <f>RTD("tos.rtd", , "VEGA", ".SPY171215P203.5")</f>
        <v>N/A</v>
      </c>
      <c r="V892" t="str">
        <f>RTD("tos.rtd", , "RHO", ".SPY171215P203.5")</f>
        <v>N/A</v>
      </c>
    </row>
    <row r="893" spans="1:22" x14ac:dyDescent="0.25">
      <c r="A893" t="str">
        <f>RTD("tos.rtd", , "ASK", ".SPY171215C204")</f>
        <v>N/A</v>
      </c>
      <c r="B893" t="str">
        <f>RTD("tos.rtd", , "ASK_SIZE", ".SPY171215C204")</f>
        <v>N/A</v>
      </c>
      <c r="C893" t="str">
        <f>RTD("tos.rtd", , "BID", ".SPY171215C204")</f>
        <v>N/A</v>
      </c>
      <c r="D893" t="str">
        <f>RTD("tos.rtd", , "BID_SIZE", ".SPY171215C204")</f>
        <v>N/A</v>
      </c>
      <c r="E893" t="str">
        <f>RTD("tos.rtd", , "VOLUME", ".SPY171215C204")</f>
        <v>N/A</v>
      </c>
      <c r="F893" t="str">
        <f>RTD("tos.rtd", , "OPEN_INT", ".SPY171215C204")</f>
        <v>N/A</v>
      </c>
      <c r="G893" t="str">
        <f>RTD("tos.rtd", , "DELTA", ".SPY171215C204")</f>
        <v>N/A</v>
      </c>
      <c r="H893" t="str">
        <f>RTD("tos.rtd", , "THETA", ".SPY171215C204")</f>
        <v>N/A</v>
      </c>
      <c r="I893" t="str">
        <f>RTD("tos.rtd", , "GAMMA", ".SPY171215C204")</f>
        <v>N/A</v>
      </c>
      <c r="J893" t="str">
        <f>RTD("tos.rtd", , "VEGA", ".SPY171215C204")</f>
        <v>N/A</v>
      </c>
      <c r="K893" t="str">
        <f>RTD("tos.rtd", , "RHO", ".SPY171215C204")</f>
        <v>N/A</v>
      </c>
      <c r="L893" t="str">
        <f>RTD("tos.rtd", , "ASK", ".SPY171215P204")</f>
        <v>N/A</v>
      </c>
      <c r="M893" t="str">
        <f>RTD("tos.rtd", , "ASK_SIZE", ".SPY171215P204")</f>
        <v>N/A</v>
      </c>
      <c r="N893" t="str">
        <f>RTD("tos.rtd", , "BID", ".SPY171215P204")</f>
        <v>N/A</v>
      </c>
      <c r="O893" t="str">
        <f>RTD("tos.rtd", , "BID_SIZE", ".SPY171215P204")</f>
        <v>N/A</v>
      </c>
      <c r="P893" t="str">
        <f>RTD("tos.rtd", , "VOLUME", ".SPY171215P204")</f>
        <v>N/A</v>
      </c>
      <c r="Q893" t="str">
        <f>RTD("tos.rtd", , "OPEN_INT", ".SPY171215P204")</f>
        <v>N/A</v>
      </c>
      <c r="R893" t="str">
        <f>RTD("tos.rtd", , "DELTA", ".SPY171215P204")</f>
        <v>N/A</v>
      </c>
      <c r="S893" t="str">
        <f>RTD("tos.rtd", , "THETA", ".SPY171215P204")</f>
        <v>N/A</v>
      </c>
      <c r="T893" t="str">
        <f>RTD("tos.rtd", , "GAMMA", ".SPY171215P204")</f>
        <v>N/A</v>
      </c>
      <c r="U893" t="str">
        <f>RTD("tos.rtd", , "VEGA", ".SPY171215P204")</f>
        <v>N/A</v>
      </c>
      <c r="V893" t="str">
        <f>RTD("tos.rtd", , "RHO", ".SPY171215P204")</f>
        <v>N/A</v>
      </c>
    </row>
    <row r="894" spans="1:22" x14ac:dyDescent="0.25">
      <c r="A894" t="str">
        <f>RTD("tos.rtd", , "ASK", ".SPY171215C204.5")</f>
        <v>N/A</v>
      </c>
      <c r="B894" t="str">
        <f>RTD("tos.rtd", , "ASK_SIZE", ".SPY171215C204.5")</f>
        <v>N/A</v>
      </c>
      <c r="C894" t="str">
        <f>RTD("tos.rtd", , "BID", ".SPY171215C204.5")</f>
        <v>N/A</v>
      </c>
      <c r="D894" t="str">
        <f>RTD("tos.rtd", , "BID_SIZE", ".SPY171215C204.5")</f>
        <v>N/A</v>
      </c>
      <c r="E894" t="str">
        <f>RTD("tos.rtd", , "VOLUME", ".SPY171215C204.5")</f>
        <v>N/A</v>
      </c>
      <c r="F894" t="str">
        <f>RTD("tos.rtd", , "OPEN_INT", ".SPY171215C204.5")</f>
        <v>N/A</v>
      </c>
      <c r="G894" t="str">
        <f>RTD("tos.rtd", , "DELTA", ".SPY171215C204.5")</f>
        <v>N/A</v>
      </c>
      <c r="H894" t="str">
        <f>RTD("tos.rtd", , "THETA", ".SPY171215C204.5")</f>
        <v>N/A</v>
      </c>
      <c r="I894" t="str">
        <f>RTD("tos.rtd", , "GAMMA", ".SPY171215C204.5")</f>
        <v>N/A</v>
      </c>
      <c r="J894" t="str">
        <f>RTD("tos.rtd", , "VEGA", ".SPY171215C204.5")</f>
        <v>N/A</v>
      </c>
      <c r="K894" t="str">
        <f>RTD("tos.rtd", , "RHO", ".SPY171215C204.5")</f>
        <v>N/A</v>
      </c>
      <c r="L894" t="str">
        <f>RTD("tos.rtd", , "ASK", ".SPY171215P204.5")</f>
        <v>N/A</v>
      </c>
      <c r="M894" t="str">
        <f>RTD("tos.rtd", , "ASK_SIZE", ".SPY171215P204.5")</f>
        <v>N/A</v>
      </c>
      <c r="N894" t="str">
        <f>RTD("tos.rtd", , "BID", ".SPY171215P204.5")</f>
        <v>N/A</v>
      </c>
      <c r="O894" t="str">
        <f>RTD("tos.rtd", , "BID_SIZE", ".SPY171215P204.5")</f>
        <v>N/A</v>
      </c>
      <c r="P894" t="str">
        <f>RTD("tos.rtd", , "VOLUME", ".SPY171215P204.5")</f>
        <v>N/A</v>
      </c>
      <c r="Q894" t="str">
        <f>RTD("tos.rtd", , "OPEN_INT", ".SPY171215P204.5")</f>
        <v>N/A</v>
      </c>
      <c r="R894" t="str">
        <f>RTD("tos.rtd", , "DELTA", ".SPY171215P204.5")</f>
        <v>N/A</v>
      </c>
      <c r="S894" t="str">
        <f>RTD("tos.rtd", , "THETA", ".SPY171215P204.5")</f>
        <v>N/A</v>
      </c>
      <c r="T894" t="str">
        <f>RTD("tos.rtd", , "GAMMA", ".SPY171215P204.5")</f>
        <v>N/A</v>
      </c>
      <c r="U894" t="str">
        <f>RTD("tos.rtd", , "VEGA", ".SPY171215P204.5")</f>
        <v>N/A</v>
      </c>
      <c r="V894" t="str">
        <f>RTD("tos.rtd", , "RHO", ".SPY171215P204.5")</f>
        <v>N/A</v>
      </c>
    </row>
    <row r="895" spans="1:22" x14ac:dyDescent="0.25">
      <c r="A895">
        <f>RTD("tos.rtd", , "ASK", ".SPY171215C205")</f>
        <v>27.29</v>
      </c>
      <c r="B895">
        <f>RTD("tos.rtd", , "ASK_SIZE", ".SPY171215C205")</f>
        <v>67</v>
      </c>
      <c r="C895">
        <f>RTD("tos.rtd", , "BID", ".SPY171215C205")</f>
        <v>25.52</v>
      </c>
      <c r="D895">
        <f>RTD("tos.rtd", , "BID_SIZE", ".SPY171215C205")</f>
        <v>566</v>
      </c>
      <c r="E895">
        <f>RTD("tos.rtd", , "VOLUME", ".SPY171215C205")</f>
        <v>13</v>
      </c>
      <c r="F895">
        <f>RTD("tos.rtd", , "OPEN_INT", ".SPY171215C205")</f>
        <v>1200</v>
      </c>
      <c r="G895">
        <f>RTD("tos.rtd", , "DELTA", ".SPY171215C205")</f>
        <v>0.55725999999999998</v>
      </c>
      <c r="H895">
        <f>RTD("tos.rtd", , "THETA", ".SPY171215C205")</f>
        <v>-0.01</v>
      </c>
      <c r="I895">
        <f>RTD("tos.rtd", , "GAMMA", ".SPY171215C205")</f>
        <v>6.1000000000000004E-3</v>
      </c>
      <c r="J895">
        <f>RTD("tos.rtd", , "VEGA", ".SPY171215C205")</f>
        <v>1.2893600000000001</v>
      </c>
      <c r="K895">
        <f>RTD("tos.rtd", , "RHO", ".SPY171215C205")</f>
        <v>1.85697</v>
      </c>
      <c r="L895">
        <f>RTD("tos.rtd", , "ASK", ".SPY171215P205")</f>
        <v>25.07</v>
      </c>
      <c r="M895">
        <f>RTD("tos.rtd", , "ASK_SIZE", ".SPY171215P205")</f>
        <v>51</v>
      </c>
      <c r="N895">
        <f>RTD("tos.rtd", , "BID", ".SPY171215P205")</f>
        <v>23.88</v>
      </c>
      <c r="O895">
        <f>RTD("tos.rtd", , "BID_SIZE", ".SPY171215P205")</f>
        <v>1</v>
      </c>
      <c r="P895">
        <f>RTD("tos.rtd", , "VOLUME", ".SPY171215P205")</f>
        <v>11</v>
      </c>
      <c r="Q895">
        <f>RTD("tos.rtd", , "OPEN_INT", ".SPY171215P205")</f>
        <v>1671</v>
      </c>
      <c r="R895">
        <f>RTD("tos.rtd", , "DELTA", ".SPY171215P205")</f>
        <v>-0.43295</v>
      </c>
      <c r="S895">
        <f>RTD("tos.rtd", , "THETA", ".SPY171215P205")</f>
        <v>-1.585E-2</v>
      </c>
      <c r="T895">
        <f>RTD("tos.rtd", , "GAMMA", ".SPY171215P205")</f>
        <v>6.11E-3</v>
      </c>
      <c r="U895">
        <f>RTD("tos.rtd", , "VEGA", ".SPY171215P205")</f>
        <v>1.29497</v>
      </c>
      <c r="V895">
        <f>RTD("tos.rtd", , "RHO", ".SPY171215P205")</f>
        <v>-3.0268999999999999</v>
      </c>
    </row>
    <row r="896" spans="1:22" x14ac:dyDescent="0.25">
      <c r="A896" t="str">
        <f>RTD("tos.rtd", , "ASK", ".SPY171215C205.5")</f>
        <v>N/A</v>
      </c>
      <c r="B896" t="str">
        <f>RTD("tos.rtd", , "ASK_SIZE", ".SPY171215C205.5")</f>
        <v>N/A</v>
      </c>
      <c r="C896" t="str">
        <f>RTD("tos.rtd", , "BID", ".SPY171215C205.5")</f>
        <v>N/A</v>
      </c>
      <c r="D896" t="str">
        <f>RTD("tos.rtd", , "BID_SIZE", ".SPY171215C205.5")</f>
        <v>N/A</v>
      </c>
      <c r="E896" t="str">
        <f>RTD("tos.rtd", , "VOLUME", ".SPY171215C205.5")</f>
        <v>N/A</v>
      </c>
      <c r="F896" t="str">
        <f>RTD("tos.rtd", , "OPEN_INT", ".SPY171215C205.5")</f>
        <v>N/A</v>
      </c>
      <c r="G896" t="str">
        <f>RTD("tos.rtd", , "DELTA", ".SPY171215C205.5")</f>
        <v>N/A</v>
      </c>
      <c r="H896" t="str">
        <f>RTD("tos.rtd", , "THETA", ".SPY171215C205.5")</f>
        <v>N/A</v>
      </c>
      <c r="I896" t="str">
        <f>RTD("tos.rtd", , "GAMMA", ".SPY171215C205.5")</f>
        <v>N/A</v>
      </c>
      <c r="J896" t="str">
        <f>RTD("tos.rtd", , "VEGA", ".SPY171215C205.5")</f>
        <v>N/A</v>
      </c>
      <c r="K896" t="str">
        <f>RTD("tos.rtd", , "RHO", ".SPY171215C205.5")</f>
        <v>N/A</v>
      </c>
      <c r="L896" t="str">
        <f>RTD("tos.rtd", , "ASK", ".SPY171215P205.5")</f>
        <v>N/A</v>
      </c>
      <c r="M896" t="str">
        <f>RTD("tos.rtd", , "ASK_SIZE", ".SPY171215P205.5")</f>
        <v>N/A</v>
      </c>
      <c r="N896" t="str">
        <f>RTD("tos.rtd", , "BID", ".SPY171215P205.5")</f>
        <v>N/A</v>
      </c>
      <c r="O896" t="str">
        <f>RTD("tos.rtd", , "BID_SIZE", ".SPY171215P205.5")</f>
        <v>N/A</v>
      </c>
      <c r="P896" t="str">
        <f>RTD("tos.rtd", , "VOLUME", ".SPY171215P205.5")</f>
        <v>N/A</v>
      </c>
      <c r="Q896" t="str">
        <f>RTD("tos.rtd", , "OPEN_INT", ".SPY171215P205.5")</f>
        <v>N/A</v>
      </c>
      <c r="R896" t="str">
        <f>RTD("tos.rtd", , "DELTA", ".SPY171215P205.5")</f>
        <v>N/A</v>
      </c>
      <c r="S896" t="str">
        <f>RTD("tos.rtd", , "THETA", ".SPY171215P205.5")</f>
        <v>N/A</v>
      </c>
      <c r="T896" t="str">
        <f>RTD("tos.rtd", , "GAMMA", ".SPY171215P205.5")</f>
        <v>N/A</v>
      </c>
      <c r="U896" t="str">
        <f>RTD("tos.rtd", , "VEGA", ".SPY171215P205.5")</f>
        <v>N/A</v>
      </c>
      <c r="V896" t="str">
        <f>RTD("tos.rtd", , "RHO", ".SPY171215P205.5")</f>
        <v>N/A</v>
      </c>
    </row>
    <row r="897" spans="1:22" x14ac:dyDescent="0.25">
      <c r="A897" t="str">
        <f>RTD("tos.rtd", , "ASK", ".SPY171215C206")</f>
        <v>N/A</v>
      </c>
      <c r="B897" t="str">
        <f>RTD("tos.rtd", , "ASK_SIZE", ".SPY171215C206")</f>
        <v>N/A</v>
      </c>
      <c r="C897" t="str">
        <f>RTD("tos.rtd", , "BID", ".SPY171215C206")</f>
        <v>N/A</v>
      </c>
      <c r="D897" t="str">
        <f>RTD("tos.rtd", , "BID_SIZE", ".SPY171215C206")</f>
        <v>N/A</v>
      </c>
      <c r="E897" t="str">
        <f>RTD("tos.rtd", , "VOLUME", ".SPY171215C206")</f>
        <v>N/A</v>
      </c>
      <c r="F897" t="str">
        <f>RTD("tos.rtd", , "OPEN_INT", ".SPY171215C206")</f>
        <v>N/A</v>
      </c>
      <c r="G897" t="str">
        <f>RTD("tos.rtd", , "DELTA", ".SPY171215C206")</f>
        <v>N/A</v>
      </c>
      <c r="H897" t="str">
        <f>RTD("tos.rtd", , "THETA", ".SPY171215C206")</f>
        <v>N/A</v>
      </c>
      <c r="I897" t="str">
        <f>RTD("tos.rtd", , "GAMMA", ".SPY171215C206")</f>
        <v>N/A</v>
      </c>
      <c r="J897" t="str">
        <f>RTD("tos.rtd", , "VEGA", ".SPY171215C206")</f>
        <v>N/A</v>
      </c>
      <c r="K897" t="str">
        <f>RTD("tos.rtd", , "RHO", ".SPY171215C206")</f>
        <v>N/A</v>
      </c>
      <c r="L897" t="str">
        <f>RTD("tos.rtd", , "ASK", ".SPY171215P206")</f>
        <v>N/A</v>
      </c>
      <c r="M897" t="str">
        <f>RTD("tos.rtd", , "ASK_SIZE", ".SPY171215P206")</f>
        <v>N/A</v>
      </c>
      <c r="N897" t="str">
        <f>RTD("tos.rtd", , "BID", ".SPY171215P206")</f>
        <v>N/A</v>
      </c>
      <c r="O897" t="str">
        <f>RTD("tos.rtd", , "BID_SIZE", ".SPY171215P206")</f>
        <v>N/A</v>
      </c>
      <c r="P897" t="str">
        <f>RTD("tos.rtd", , "VOLUME", ".SPY171215P206")</f>
        <v>N/A</v>
      </c>
      <c r="Q897" t="str">
        <f>RTD("tos.rtd", , "OPEN_INT", ".SPY171215P206")</f>
        <v>N/A</v>
      </c>
      <c r="R897" t="str">
        <f>RTD("tos.rtd", , "DELTA", ".SPY171215P206")</f>
        <v>N/A</v>
      </c>
      <c r="S897" t="str">
        <f>RTD("tos.rtd", , "THETA", ".SPY171215P206")</f>
        <v>N/A</v>
      </c>
      <c r="T897" t="str">
        <f>RTD("tos.rtd", , "GAMMA", ".SPY171215P206")</f>
        <v>N/A</v>
      </c>
      <c r="U897" t="str">
        <f>RTD("tos.rtd", , "VEGA", ".SPY171215P206")</f>
        <v>N/A</v>
      </c>
      <c r="V897" t="str">
        <f>RTD("tos.rtd", , "RHO", ".SPY171215P206")</f>
        <v>N/A</v>
      </c>
    </row>
    <row r="898" spans="1:22" x14ac:dyDescent="0.25">
      <c r="A898" t="str">
        <f>RTD("tos.rtd", , "ASK", ".SPY171215C206.5")</f>
        <v>N/A</v>
      </c>
      <c r="B898" t="str">
        <f>RTD("tos.rtd", , "ASK_SIZE", ".SPY171215C206.5")</f>
        <v>N/A</v>
      </c>
      <c r="C898" t="str">
        <f>RTD("tos.rtd", , "BID", ".SPY171215C206.5")</f>
        <v>N/A</v>
      </c>
      <c r="D898" t="str">
        <f>RTD("tos.rtd", , "BID_SIZE", ".SPY171215C206.5")</f>
        <v>N/A</v>
      </c>
      <c r="E898" t="str">
        <f>RTD("tos.rtd", , "VOLUME", ".SPY171215C206.5")</f>
        <v>N/A</v>
      </c>
      <c r="F898" t="str">
        <f>RTD("tos.rtd", , "OPEN_INT", ".SPY171215C206.5")</f>
        <v>N/A</v>
      </c>
      <c r="G898" t="str">
        <f>RTD("tos.rtd", , "DELTA", ".SPY171215C206.5")</f>
        <v>N/A</v>
      </c>
      <c r="H898" t="str">
        <f>RTD("tos.rtd", , "THETA", ".SPY171215C206.5")</f>
        <v>N/A</v>
      </c>
      <c r="I898" t="str">
        <f>RTD("tos.rtd", , "GAMMA", ".SPY171215C206.5")</f>
        <v>N/A</v>
      </c>
      <c r="J898" t="str">
        <f>RTD("tos.rtd", , "VEGA", ".SPY171215C206.5")</f>
        <v>N/A</v>
      </c>
      <c r="K898" t="str">
        <f>RTD("tos.rtd", , "RHO", ".SPY171215C206.5")</f>
        <v>N/A</v>
      </c>
      <c r="L898" t="str">
        <f>RTD("tos.rtd", , "ASK", ".SPY171215P206.5")</f>
        <v>N/A</v>
      </c>
      <c r="M898" t="str">
        <f>RTD("tos.rtd", , "ASK_SIZE", ".SPY171215P206.5")</f>
        <v>N/A</v>
      </c>
      <c r="N898" t="str">
        <f>RTD("tos.rtd", , "BID", ".SPY171215P206.5")</f>
        <v>N/A</v>
      </c>
      <c r="O898" t="str">
        <f>RTD("tos.rtd", , "BID_SIZE", ".SPY171215P206.5")</f>
        <v>N/A</v>
      </c>
      <c r="P898" t="str">
        <f>RTD("tos.rtd", , "VOLUME", ".SPY171215P206.5")</f>
        <v>N/A</v>
      </c>
      <c r="Q898" t="str">
        <f>RTD("tos.rtd", , "OPEN_INT", ".SPY171215P206.5")</f>
        <v>N/A</v>
      </c>
      <c r="R898" t="str">
        <f>RTD("tos.rtd", , "DELTA", ".SPY171215P206.5")</f>
        <v>N/A</v>
      </c>
      <c r="S898" t="str">
        <f>RTD("tos.rtd", , "THETA", ".SPY171215P206.5")</f>
        <v>N/A</v>
      </c>
      <c r="T898" t="str">
        <f>RTD("tos.rtd", , "GAMMA", ".SPY171215P206.5")</f>
        <v>N/A</v>
      </c>
      <c r="U898" t="str">
        <f>RTD("tos.rtd", , "VEGA", ".SPY171215P206.5")</f>
        <v>N/A</v>
      </c>
      <c r="V898" t="str">
        <f>RTD("tos.rtd", , "RHO", ".SPY171215P206.5")</f>
        <v>N/A</v>
      </c>
    </row>
    <row r="899" spans="1:22" x14ac:dyDescent="0.25">
      <c r="A899" t="str">
        <f>RTD("tos.rtd", , "ASK", ".SPY171215C207")</f>
        <v>N/A</v>
      </c>
      <c r="B899" t="str">
        <f>RTD("tos.rtd", , "ASK_SIZE", ".SPY171215C207")</f>
        <v>N/A</v>
      </c>
      <c r="C899" t="str">
        <f>RTD("tos.rtd", , "BID", ".SPY171215C207")</f>
        <v>N/A</v>
      </c>
      <c r="D899" t="str">
        <f>RTD("tos.rtd", , "BID_SIZE", ".SPY171215C207")</f>
        <v>N/A</v>
      </c>
      <c r="E899" t="str">
        <f>RTD("tos.rtd", , "VOLUME", ".SPY171215C207")</f>
        <v>N/A</v>
      </c>
      <c r="F899" t="str">
        <f>RTD("tos.rtd", , "OPEN_INT", ".SPY171215C207")</f>
        <v>N/A</v>
      </c>
      <c r="G899" t="str">
        <f>RTD("tos.rtd", , "DELTA", ".SPY171215C207")</f>
        <v>N/A</v>
      </c>
      <c r="H899" t="str">
        <f>RTD("tos.rtd", , "THETA", ".SPY171215C207")</f>
        <v>N/A</v>
      </c>
      <c r="I899" t="str">
        <f>RTD("tos.rtd", , "GAMMA", ".SPY171215C207")</f>
        <v>N/A</v>
      </c>
      <c r="J899" t="str">
        <f>RTD("tos.rtd", , "VEGA", ".SPY171215C207")</f>
        <v>N/A</v>
      </c>
      <c r="K899" t="str">
        <f>RTD("tos.rtd", , "RHO", ".SPY171215C207")</f>
        <v>N/A</v>
      </c>
      <c r="L899" t="str">
        <f>RTD("tos.rtd", , "ASK", ".SPY171215P207")</f>
        <v>N/A</v>
      </c>
      <c r="M899" t="str">
        <f>RTD("tos.rtd", , "ASK_SIZE", ".SPY171215P207")</f>
        <v>N/A</v>
      </c>
      <c r="N899" t="str">
        <f>RTD("tos.rtd", , "BID", ".SPY171215P207")</f>
        <v>N/A</v>
      </c>
      <c r="O899" t="str">
        <f>RTD("tos.rtd", , "BID_SIZE", ".SPY171215P207")</f>
        <v>N/A</v>
      </c>
      <c r="P899" t="str">
        <f>RTD("tos.rtd", , "VOLUME", ".SPY171215P207")</f>
        <v>N/A</v>
      </c>
      <c r="Q899" t="str">
        <f>RTD("tos.rtd", , "OPEN_INT", ".SPY171215P207")</f>
        <v>N/A</v>
      </c>
      <c r="R899" t="str">
        <f>RTD("tos.rtd", , "DELTA", ".SPY171215P207")</f>
        <v>N/A</v>
      </c>
      <c r="S899" t="str">
        <f>RTD("tos.rtd", , "THETA", ".SPY171215P207")</f>
        <v>N/A</v>
      </c>
      <c r="T899" t="str">
        <f>RTD("tos.rtd", , "GAMMA", ".SPY171215P207")</f>
        <v>N/A</v>
      </c>
      <c r="U899" t="str">
        <f>RTD("tos.rtd", , "VEGA", ".SPY171215P207")</f>
        <v>N/A</v>
      </c>
      <c r="V899" t="str">
        <f>RTD("tos.rtd", , "RHO", ".SPY171215P207")</f>
        <v>N/A</v>
      </c>
    </row>
    <row r="900" spans="1:22" x14ac:dyDescent="0.25">
      <c r="A900" t="str">
        <f>RTD("tos.rtd", , "ASK", ".SPY171215C207.5")</f>
        <v>N/A</v>
      </c>
      <c r="B900" t="str">
        <f>RTD("tos.rtd", , "ASK_SIZE", ".SPY171215C207.5")</f>
        <v>N/A</v>
      </c>
      <c r="C900" t="str">
        <f>RTD("tos.rtd", , "BID", ".SPY171215C207.5")</f>
        <v>N/A</v>
      </c>
      <c r="D900" t="str">
        <f>RTD("tos.rtd", , "BID_SIZE", ".SPY171215C207.5")</f>
        <v>N/A</v>
      </c>
      <c r="E900" t="str">
        <f>RTD("tos.rtd", , "VOLUME", ".SPY171215C207.5")</f>
        <v>N/A</v>
      </c>
      <c r="F900" t="str">
        <f>RTD("tos.rtd", , "OPEN_INT", ".SPY171215C207.5")</f>
        <v>N/A</v>
      </c>
      <c r="G900" t="str">
        <f>RTD("tos.rtd", , "DELTA", ".SPY171215C207.5")</f>
        <v>N/A</v>
      </c>
      <c r="H900" t="str">
        <f>RTD("tos.rtd", , "THETA", ".SPY171215C207.5")</f>
        <v>N/A</v>
      </c>
      <c r="I900" t="str">
        <f>RTD("tos.rtd", , "GAMMA", ".SPY171215C207.5")</f>
        <v>N/A</v>
      </c>
      <c r="J900" t="str">
        <f>RTD("tos.rtd", , "VEGA", ".SPY171215C207.5")</f>
        <v>N/A</v>
      </c>
      <c r="K900" t="str">
        <f>RTD("tos.rtd", , "RHO", ".SPY171215C207.5")</f>
        <v>N/A</v>
      </c>
      <c r="L900" t="str">
        <f>RTD("tos.rtd", , "ASK", ".SPY171215P207.5")</f>
        <v>N/A</v>
      </c>
      <c r="M900" t="str">
        <f>RTD("tos.rtd", , "ASK_SIZE", ".SPY171215P207.5")</f>
        <v>N/A</v>
      </c>
      <c r="N900" t="str">
        <f>RTD("tos.rtd", , "BID", ".SPY171215P207.5")</f>
        <v>N/A</v>
      </c>
      <c r="O900" t="str">
        <f>RTD("tos.rtd", , "BID_SIZE", ".SPY171215P207.5")</f>
        <v>N/A</v>
      </c>
      <c r="P900" t="str">
        <f>RTD("tos.rtd", , "VOLUME", ".SPY171215P207.5")</f>
        <v>N/A</v>
      </c>
      <c r="Q900" t="str">
        <f>RTD("tos.rtd", , "OPEN_INT", ".SPY171215P207.5")</f>
        <v>N/A</v>
      </c>
      <c r="R900" t="str">
        <f>RTD("tos.rtd", , "DELTA", ".SPY171215P207.5")</f>
        <v>N/A</v>
      </c>
      <c r="S900" t="str">
        <f>RTD("tos.rtd", , "THETA", ".SPY171215P207.5")</f>
        <v>N/A</v>
      </c>
      <c r="T900" t="str">
        <f>RTD("tos.rtd", , "GAMMA", ".SPY171215P207.5")</f>
        <v>N/A</v>
      </c>
      <c r="U900" t="str">
        <f>RTD("tos.rtd", , "VEGA", ".SPY171215P207.5")</f>
        <v>N/A</v>
      </c>
      <c r="V900" t="str">
        <f>RTD("tos.rtd", , "RHO", ".SPY171215P207.5")</f>
        <v>N/A</v>
      </c>
    </row>
    <row r="901" spans="1:22" x14ac:dyDescent="0.25">
      <c r="A901" t="str">
        <f>RTD("tos.rtd", , "ASK", ".SPY171215C208")</f>
        <v>N/A</v>
      </c>
      <c r="B901" t="str">
        <f>RTD("tos.rtd", , "ASK_SIZE", ".SPY171215C208")</f>
        <v>N/A</v>
      </c>
      <c r="C901" t="str">
        <f>RTD("tos.rtd", , "BID", ".SPY171215C208")</f>
        <v>N/A</v>
      </c>
      <c r="D901" t="str">
        <f>RTD("tos.rtd", , "BID_SIZE", ".SPY171215C208")</f>
        <v>N/A</v>
      </c>
      <c r="E901" t="str">
        <f>RTD("tos.rtd", , "VOLUME", ".SPY171215C208")</f>
        <v>N/A</v>
      </c>
      <c r="F901" t="str">
        <f>RTD("tos.rtd", , "OPEN_INT", ".SPY171215C208")</f>
        <v>N/A</v>
      </c>
      <c r="G901" t="str">
        <f>RTD("tos.rtd", , "DELTA", ".SPY171215C208")</f>
        <v>N/A</v>
      </c>
      <c r="H901" t="str">
        <f>RTD("tos.rtd", , "THETA", ".SPY171215C208")</f>
        <v>N/A</v>
      </c>
      <c r="I901" t="str">
        <f>RTD("tos.rtd", , "GAMMA", ".SPY171215C208")</f>
        <v>N/A</v>
      </c>
      <c r="J901" t="str">
        <f>RTD("tos.rtd", , "VEGA", ".SPY171215C208")</f>
        <v>N/A</v>
      </c>
      <c r="K901" t="str">
        <f>RTD("tos.rtd", , "RHO", ".SPY171215C208")</f>
        <v>N/A</v>
      </c>
      <c r="L901" t="str">
        <f>RTD("tos.rtd", , "ASK", ".SPY171215P208")</f>
        <v>N/A</v>
      </c>
      <c r="M901" t="str">
        <f>RTD("tos.rtd", , "ASK_SIZE", ".SPY171215P208")</f>
        <v>N/A</v>
      </c>
      <c r="N901" t="str">
        <f>RTD("tos.rtd", , "BID", ".SPY171215P208")</f>
        <v>N/A</v>
      </c>
      <c r="O901" t="str">
        <f>RTD("tos.rtd", , "BID_SIZE", ".SPY171215P208")</f>
        <v>N/A</v>
      </c>
      <c r="P901" t="str">
        <f>RTD("tos.rtd", , "VOLUME", ".SPY171215P208")</f>
        <v>N/A</v>
      </c>
      <c r="Q901" t="str">
        <f>RTD("tos.rtd", , "OPEN_INT", ".SPY171215P208")</f>
        <v>N/A</v>
      </c>
      <c r="R901" t="str">
        <f>RTD("tos.rtd", , "DELTA", ".SPY171215P208")</f>
        <v>N/A</v>
      </c>
      <c r="S901" t="str">
        <f>RTD("tos.rtd", , "THETA", ".SPY171215P208")</f>
        <v>N/A</v>
      </c>
      <c r="T901" t="str">
        <f>RTD("tos.rtd", , "GAMMA", ".SPY171215P208")</f>
        <v>N/A</v>
      </c>
      <c r="U901" t="str">
        <f>RTD("tos.rtd", , "VEGA", ".SPY171215P208")</f>
        <v>N/A</v>
      </c>
      <c r="V901" t="str">
        <f>RTD("tos.rtd", , "RHO", ".SPY171215P208")</f>
        <v>N/A</v>
      </c>
    </row>
    <row r="902" spans="1:22" x14ac:dyDescent="0.25">
      <c r="A902" t="str">
        <f>RTD("tos.rtd", , "ASK", ".SPY171215C208.5")</f>
        <v>N/A</v>
      </c>
      <c r="B902" t="str">
        <f>RTD("tos.rtd", , "ASK_SIZE", ".SPY171215C208.5")</f>
        <v>N/A</v>
      </c>
      <c r="C902" t="str">
        <f>RTD("tos.rtd", , "BID", ".SPY171215C208.5")</f>
        <v>N/A</v>
      </c>
      <c r="D902" t="str">
        <f>RTD("tos.rtd", , "BID_SIZE", ".SPY171215C208.5")</f>
        <v>N/A</v>
      </c>
      <c r="E902" t="str">
        <f>RTD("tos.rtd", , "VOLUME", ".SPY171215C208.5")</f>
        <v>N/A</v>
      </c>
      <c r="F902" t="str">
        <f>RTD("tos.rtd", , "OPEN_INT", ".SPY171215C208.5")</f>
        <v>N/A</v>
      </c>
      <c r="G902" t="str">
        <f>RTD("tos.rtd", , "DELTA", ".SPY171215C208.5")</f>
        <v>N/A</v>
      </c>
      <c r="H902" t="str">
        <f>RTD("tos.rtd", , "THETA", ".SPY171215C208.5")</f>
        <v>N/A</v>
      </c>
      <c r="I902" t="str">
        <f>RTD("tos.rtd", , "GAMMA", ".SPY171215C208.5")</f>
        <v>N/A</v>
      </c>
      <c r="J902" t="str">
        <f>RTD("tos.rtd", , "VEGA", ".SPY171215C208.5")</f>
        <v>N/A</v>
      </c>
      <c r="K902" t="str">
        <f>RTD("tos.rtd", , "RHO", ".SPY171215C208.5")</f>
        <v>N/A</v>
      </c>
      <c r="L902" t="str">
        <f>RTD("tos.rtd", , "ASK", ".SPY171215P208.5")</f>
        <v>N/A</v>
      </c>
      <c r="M902" t="str">
        <f>RTD("tos.rtd", , "ASK_SIZE", ".SPY171215P208.5")</f>
        <v>N/A</v>
      </c>
      <c r="N902" t="str">
        <f>RTD("tos.rtd", , "BID", ".SPY171215P208.5")</f>
        <v>N/A</v>
      </c>
      <c r="O902" t="str">
        <f>RTD("tos.rtd", , "BID_SIZE", ".SPY171215P208.5")</f>
        <v>N/A</v>
      </c>
      <c r="P902" t="str">
        <f>RTD("tos.rtd", , "VOLUME", ".SPY171215P208.5")</f>
        <v>N/A</v>
      </c>
      <c r="Q902" t="str">
        <f>RTD("tos.rtd", , "OPEN_INT", ".SPY171215P208.5")</f>
        <v>N/A</v>
      </c>
      <c r="R902" t="str">
        <f>RTD("tos.rtd", , "DELTA", ".SPY171215P208.5")</f>
        <v>N/A</v>
      </c>
      <c r="S902" t="str">
        <f>RTD("tos.rtd", , "THETA", ".SPY171215P208.5")</f>
        <v>N/A</v>
      </c>
      <c r="T902" t="str">
        <f>RTD("tos.rtd", , "GAMMA", ".SPY171215P208.5")</f>
        <v>N/A</v>
      </c>
      <c r="U902" t="str">
        <f>RTD("tos.rtd", , "VEGA", ".SPY171215P208.5")</f>
        <v>N/A</v>
      </c>
      <c r="V902" t="str">
        <f>RTD("tos.rtd", , "RHO", ".SPY171215P208.5")</f>
        <v>N/A</v>
      </c>
    </row>
    <row r="903" spans="1:22" x14ac:dyDescent="0.25">
      <c r="A903" t="str">
        <f>RTD("tos.rtd", , "ASK", ".SPY171215C209")</f>
        <v>N/A</v>
      </c>
      <c r="B903" t="str">
        <f>RTD("tos.rtd", , "ASK_SIZE", ".SPY171215C209")</f>
        <v>N/A</v>
      </c>
      <c r="C903" t="str">
        <f>RTD("tos.rtd", , "BID", ".SPY171215C209")</f>
        <v>N/A</v>
      </c>
      <c r="D903" t="str">
        <f>RTD("tos.rtd", , "BID_SIZE", ".SPY171215C209")</f>
        <v>N/A</v>
      </c>
      <c r="E903" t="str">
        <f>RTD("tos.rtd", , "VOLUME", ".SPY171215C209")</f>
        <v>N/A</v>
      </c>
      <c r="F903" t="str">
        <f>RTD("tos.rtd", , "OPEN_INT", ".SPY171215C209")</f>
        <v>N/A</v>
      </c>
      <c r="G903" t="str">
        <f>RTD("tos.rtd", , "DELTA", ".SPY171215C209")</f>
        <v>N/A</v>
      </c>
      <c r="H903" t="str">
        <f>RTD("tos.rtd", , "THETA", ".SPY171215C209")</f>
        <v>N/A</v>
      </c>
      <c r="I903" t="str">
        <f>RTD("tos.rtd", , "GAMMA", ".SPY171215C209")</f>
        <v>N/A</v>
      </c>
      <c r="J903" t="str">
        <f>RTD("tos.rtd", , "VEGA", ".SPY171215C209")</f>
        <v>N/A</v>
      </c>
      <c r="K903" t="str">
        <f>RTD("tos.rtd", , "RHO", ".SPY171215C209")</f>
        <v>N/A</v>
      </c>
      <c r="L903" t="str">
        <f>RTD("tos.rtd", , "ASK", ".SPY171215P209")</f>
        <v>N/A</v>
      </c>
      <c r="M903" t="str">
        <f>RTD("tos.rtd", , "ASK_SIZE", ".SPY171215P209")</f>
        <v>N/A</v>
      </c>
      <c r="N903" t="str">
        <f>RTD("tos.rtd", , "BID", ".SPY171215P209")</f>
        <v>N/A</v>
      </c>
      <c r="O903" t="str">
        <f>RTD("tos.rtd", , "BID_SIZE", ".SPY171215P209")</f>
        <v>N/A</v>
      </c>
      <c r="P903" t="str">
        <f>RTD("tos.rtd", , "VOLUME", ".SPY171215P209")</f>
        <v>N/A</v>
      </c>
      <c r="Q903" t="str">
        <f>RTD("tos.rtd", , "OPEN_INT", ".SPY171215P209")</f>
        <v>N/A</v>
      </c>
      <c r="R903" t="str">
        <f>RTD("tos.rtd", , "DELTA", ".SPY171215P209")</f>
        <v>N/A</v>
      </c>
      <c r="S903" t="str">
        <f>RTD("tos.rtd", , "THETA", ".SPY171215P209")</f>
        <v>N/A</v>
      </c>
      <c r="T903" t="str">
        <f>RTD("tos.rtd", , "GAMMA", ".SPY171215P209")</f>
        <v>N/A</v>
      </c>
      <c r="U903" t="str">
        <f>RTD("tos.rtd", , "VEGA", ".SPY171215P209")</f>
        <v>N/A</v>
      </c>
      <c r="V903" t="str">
        <f>RTD("tos.rtd", , "RHO", ".SPY171215P209")</f>
        <v>N/A</v>
      </c>
    </row>
    <row r="904" spans="1:22" x14ac:dyDescent="0.25">
      <c r="A904" t="str">
        <f>RTD("tos.rtd", , "ASK", ".SPY171215C209.5")</f>
        <v>N/A</v>
      </c>
      <c r="B904" t="str">
        <f>RTD("tos.rtd", , "ASK_SIZE", ".SPY171215C209.5")</f>
        <v>N/A</v>
      </c>
      <c r="C904" t="str">
        <f>RTD("tos.rtd", , "BID", ".SPY171215C209.5")</f>
        <v>N/A</v>
      </c>
      <c r="D904" t="str">
        <f>RTD("tos.rtd", , "BID_SIZE", ".SPY171215C209.5")</f>
        <v>N/A</v>
      </c>
      <c r="E904" t="str">
        <f>RTD("tos.rtd", , "VOLUME", ".SPY171215C209.5")</f>
        <v>N/A</v>
      </c>
      <c r="F904" t="str">
        <f>RTD("tos.rtd", , "OPEN_INT", ".SPY171215C209.5")</f>
        <v>N/A</v>
      </c>
      <c r="G904" t="str">
        <f>RTD("tos.rtd", , "DELTA", ".SPY171215C209.5")</f>
        <v>N/A</v>
      </c>
      <c r="H904" t="str">
        <f>RTD("tos.rtd", , "THETA", ".SPY171215C209.5")</f>
        <v>N/A</v>
      </c>
      <c r="I904" t="str">
        <f>RTD("tos.rtd", , "GAMMA", ".SPY171215C209.5")</f>
        <v>N/A</v>
      </c>
      <c r="J904" t="str">
        <f>RTD("tos.rtd", , "VEGA", ".SPY171215C209.5")</f>
        <v>N/A</v>
      </c>
      <c r="K904" t="str">
        <f>RTD("tos.rtd", , "RHO", ".SPY171215C209.5")</f>
        <v>N/A</v>
      </c>
      <c r="L904" t="str">
        <f>RTD("tos.rtd", , "ASK", ".SPY171215P209.5")</f>
        <v>N/A</v>
      </c>
      <c r="M904" t="str">
        <f>RTD("tos.rtd", , "ASK_SIZE", ".SPY171215P209.5")</f>
        <v>N/A</v>
      </c>
      <c r="N904" t="str">
        <f>RTD("tos.rtd", , "BID", ".SPY171215P209.5")</f>
        <v>N/A</v>
      </c>
      <c r="O904" t="str">
        <f>RTD("tos.rtd", , "BID_SIZE", ".SPY171215P209.5")</f>
        <v>N/A</v>
      </c>
      <c r="P904" t="str">
        <f>RTD("tos.rtd", , "VOLUME", ".SPY171215P209.5")</f>
        <v>N/A</v>
      </c>
      <c r="Q904" t="str">
        <f>RTD("tos.rtd", , "OPEN_INT", ".SPY171215P209.5")</f>
        <v>N/A</v>
      </c>
      <c r="R904" t="str">
        <f>RTD("tos.rtd", , "DELTA", ".SPY171215P209.5")</f>
        <v>N/A</v>
      </c>
      <c r="S904" t="str">
        <f>RTD("tos.rtd", , "THETA", ".SPY171215P209.5")</f>
        <v>N/A</v>
      </c>
      <c r="T904" t="str">
        <f>RTD("tos.rtd", , "GAMMA", ".SPY171215P209.5")</f>
        <v>N/A</v>
      </c>
      <c r="U904" t="str">
        <f>RTD("tos.rtd", , "VEGA", ".SPY171215P209.5")</f>
        <v>N/A</v>
      </c>
      <c r="V904" t="str">
        <f>RTD("tos.rtd", , "RHO", ".SPY171215P209.5")</f>
        <v>N/A</v>
      </c>
    </row>
    <row r="905" spans="1:22" x14ac:dyDescent="0.25">
      <c r="A905">
        <f>RTD("tos.rtd", , "ASK", ".SPY171215C210")</f>
        <v>24.45</v>
      </c>
      <c r="B905">
        <f>RTD("tos.rtd", , "ASK_SIZE", ".SPY171215C210")</f>
        <v>67</v>
      </c>
      <c r="C905">
        <f>RTD("tos.rtd", , "BID", ".SPY171215C210")</f>
        <v>23.1</v>
      </c>
      <c r="D905">
        <f>RTD("tos.rtd", , "BID_SIZE", ".SPY171215C210")</f>
        <v>37</v>
      </c>
      <c r="E905">
        <f>RTD("tos.rtd", , "VOLUME", ".SPY171215C210")</f>
        <v>10</v>
      </c>
      <c r="F905">
        <f>RTD("tos.rtd", , "OPEN_INT", ".SPY171215C210")</f>
        <v>74877</v>
      </c>
      <c r="G905">
        <f>RTD("tos.rtd", , "DELTA", ".SPY171215C210")</f>
        <v>0.52476999999999996</v>
      </c>
      <c r="H905">
        <f>RTD("tos.rtd", , "THETA", ".SPY171215C210")</f>
        <v>-1.0030000000000001E-2</v>
      </c>
      <c r="I905">
        <f>RTD("tos.rtd", , "GAMMA", ".SPY171215C210")</f>
        <v>6.2100000000000002E-3</v>
      </c>
      <c r="J905">
        <f>RTD("tos.rtd", , "VEGA", ".SPY171215C210")</f>
        <v>1.3052699999999999</v>
      </c>
      <c r="K905">
        <f>RTD("tos.rtd", , "RHO", ".SPY171215C210")</f>
        <v>1.81534</v>
      </c>
      <c r="L905">
        <f>RTD("tos.rtd", , "ASK", ".SPY171215P210")</f>
        <v>27.1</v>
      </c>
      <c r="M905">
        <f>RTD("tos.rtd", , "ASK_SIZE", ".SPY171215P210")</f>
        <v>5</v>
      </c>
      <c r="N905">
        <f>RTD("tos.rtd", , "BID", ".SPY171215P210")</f>
        <v>25.91</v>
      </c>
      <c r="O905">
        <f>RTD("tos.rtd", , "BID_SIZE", ".SPY171215P210")</f>
        <v>53</v>
      </c>
      <c r="P905">
        <f>RTD("tos.rtd", , "VOLUME", ".SPY171215P210")</f>
        <v>10</v>
      </c>
      <c r="Q905">
        <f>RTD("tos.rtd", , "OPEN_INT", ".SPY171215P210")</f>
        <v>1662</v>
      </c>
      <c r="R905">
        <f>RTD("tos.rtd", , "DELTA", ".SPY171215P210")</f>
        <v>-0.46794999999999998</v>
      </c>
      <c r="S905">
        <f>RTD("tos.rtd", , "THETA", ".SPY171215P210")</f>
        <v>-1.5769999999999999E-2</v>
      </c>
      <c r="T905">
        <f>RTD("tos.rtd", , "GAMMA", ".SPY171215P210")</f>
        <v>6.3899999999999998E-3</v>
      </c>
      <c r="U905">
        <f>RTD("tos.rtd", , "VEGA", ".SPY171215P210")</f>
        <v>1.3035000000000001</v>
      </c>
      <c r="V905">
        <f>RTD("tos.rtd", , "RHO", ".SPY171215P210")</f>
        <v>-3.2732999999999999</v>
      </c>
    </row>
    <row r="906" spans="1:22" x14ac:dyDescent="0.25">
      <c r="A906" t="str">
        <f>RTD("tos.rtd", , "ASK", ".SPY171215C210.5")</f>
        <v>N/A</v>
      </c>
      <c r="B906" t="str">
        <f>RTD("tos.rtd", , "ASK_SIZE", ".SPY171215C210.5")</f>
        <v>N/A</v>
      </c>
      <c r="C906" t="str">
        <f>RTD("tos.rtd", , "BID", ".SPY171215C210.5")</f>
        <v>N/A</v>
      </c>
      <c r="D906" t="str">
        <f>RTD("tos.rtd", , "BID_SIZE", ".SPY171215C210.5")</f>
        <v>N/A</v>
      </c>
      <c r="E906" t="str">
        <f>RTD("tos.rtd", , "VOLUME", ".SPY171215C210.5")</f>
        <v>N/A</v>
      </c>
      <c r="F906" t="str">
        <f>RTD("tos.rtd", , "OPEN_INT", ".SPY171215C210.5")</f>
        <v>N/A</v>
      </c>
      <c r="G906" t="str">
        <f>RTD("tos.rtd", , "DELTA", ".SPY171215C210.5")</f>
        <v>N/A</v>
      </c>
      <c r="H906" t="str">
        <f>RTD("tos.rtd", , "THETA", ".SPY171215C210.5")</f>
        <v>N/A</v>
      </c>
      <c r="I906" t="str">
        <f>RTD("tos.rtd", , "GAMMA", ".SPY171215C210.5")</f>
        <v>N/A</v>
      </c>
      <c r="J906" t="str">
        <f>RTD("tos.rtd", , "VEGA", ".SPY171215C210.5")</f>
        <v>N/A</v>
      </c>
      <c r="K906" t="str">
        <f>RTD("tos.rtd", , "RHO", ".SPY171215C210.5")</f>
        <v>N/A</v>
      </c>
      <c r="L906" t="str">
        <f>RTD("tos.rtd", , "ASK", ".SPY171215P210.5")</f>
        <v>N/A</v>
      </c>
      <c r="M906" t="str">
        <f>RTD("tos.rtd", , "ASK_SIZE", ".SPY171215P210.5")</f>
        <v>N/A</v>
      </c>
      <c r="N906" t="str">
        <f>RTD("tos.rtd", , "BID", ".SPY171215P210.5")</f>
        <v>N/A</v>
      </c>
      <c r="O906" t="str">
        <f>RTD("tos.rtd", , "BID_SIZE", ".SPY171215P210.5")</f>
        <v>N/A</v>
      </c>
      <c r="P906" t="str">
        <f>RTD("tos.rtd", , "VOLUME", ".SPY171215P210.5")</f>
        <v>N/A</v>
      </c>
      <c r="Q906" t="str">
        <f>RTD("tos.rtd", , "OPEN_INT", ".SPY171215P210.5")</f>
        <v>N/A</v>
      </c>
      <c r="R906" t="str">
        <f>RTD("tos.rtd", , "DELTA", ".SPY171215P210.5")</f>
        <v>N/A</v>
      </c>
      <c r="S906" t="str">
        <f>RTD("tos.rtd", , "THETA", ".SPY171215P210.5")</f>
        <v>N/A</v>
      </c>
      <c r="T906" t="str">
        <f>RTD("tos.rtd", , "GAMMA", ".SPY171215P210.5")</f>
        <v>N/A</v>
      </c>
      <c r="U906" t="str">
        <f>RTD("tos.rtd", , "VEGA", ".SPY171215P210.5")</f>
        <v>N/A</v>
      </c>
      <c r="V906" t="str">
        <f>RTD("tos.rtd", , "RHO", ".SPY171215P210.5")</f>
        <v>N/A</v>
      </c>
    </row>
    <row r="907" spans="1:22" x14ac:dyDescent="0.25">
      <c r="A907" t="str">
        <f>RTD("tos.rtd", , "ASK", ".SPY171215C211")</f>
        <v>N/A</v>
      </c>
      <c r="B907" t="str">
        <f>RTD("tos.rtd", , "ASK_SIZE", ".SPY171215C211")</f>
        <v>N/A</v>
      </c>
      <c r="C907" t="str">
        <f>RTD("tos.rtd", , "BID", ".SPY171215C211")</f>
        <v>N/A</v>
      </c>
      <c r="D907" t="str">
        <f>RTD("tos.rtd", , "BID_SIZE", ".SPY171215C211")</f>
        <v>N/A</v>
      </c>
      <c r="E907" t="str">
        <f>RTD("tos.rtd", , "VOLUME", ".SPY171215C211")</f>
        <v>N/A</v>
      </c>
      <c r="F907" t="str">
        <f>RTD("tos.rtd", , "OPEN_INT", ".SPY171215C211")</f>
        <v>N/A</v>
      </c>
      <c r="G907" t="str">
        <f>RTD("tos.rtd", , "DELTA", ".SPY171215C211")</f>
        <v>N/A</v>
      </c>
      <c r="H907" t="str">
        <f>RTD("tos.rtd", , "THETA", ".SPY171215C211")</f>
        <v>N/A</v>
      </c>
      <c r="I907" t="str">
        <f>RTD("tos.rtd", , "GAMMA", ".SPY171215C211")</f>
        <v>N/A</v>
      </c>
      <c r="J907" t="str">
        <f>RTD("tos.rtd", , "VEGA", ".SPY171215C211")</f>
        <v>N/A</v>
      </c>
      <c r="K907" t="str">
        <f>RTD("tos.rtd", , "RHO", ".SPY171215C211")</f>
        <v>N/A</v>
      </c>
      <c r="L907" t="str">
        <f>RTD("tos.rtd", , "ASK", ".SPY171215P211")</f>
        <v>N/A</v>
      </c>
      <c r="M907" t="str">
        <f>RTD("tos.rtd", , "ASK_SIZE", ".SPY171215P211")</f>
        <v>N/A</v>
      </c>
      <c r="N907" t="str">
        <f>RTD("tos.rtd", , "BID", ".SPY171215P211")</f>
        <v>N/A</v>
      </c>
      <c r="O907" t="str">
        <f>RTD("tos.rtd", , "BID_SIZE", ".SPY171215P211")</f>
        <v>N/A</v>
      </c>
      <c r="P907" t="str">
        <f>RTD("tos.rtd", , "VOLUME", ".SPY171215P211")</f>
        <v>N/A</v>
      </c>
      <c r="Q907" t="str">
        <f>RTD("tos.rtd", , "OPEN_INT", ".SPY171215P211")</f>
        <v>N/A</v>
      </c>
      <c r="R907" t="str">
        <f>RTD("tos.rtd", , "DELTA", ".SPY171215P211")</f>
        <v>N/A</v>
      </c>
      <c r="S907" t="str">
        <f>RTD("tos.rtd", , "THETA", ".SPY171215P211")</f>
        <v>N/A</v>
      </c>
      <c r="T907" t="str">
        <f>RTD("tos.rtd", , "GAMMA", ".SPY171215P211")</f>
        <v>N/A</v>
      </c>
      <c r="U907" t="str">
        <f>RTD("tos.rtd", , "VEGA", ".SPY171215P211")</f>
        <v>N/A</v>
      </c>
      <c r="V907" t="str">
        <f>RTD("tos.rtd", , "RHO", ".SPY171215P211")</f>
        <v>N/A</v>
      </c>
    </row>
    <row r="908" spans="1:22" x14ac:dyDescent="0.25">
      <c r="A908" t="str">
        <f>RTD("tos.rtd", , "ASK", ".SPY171215C211.5")</f>
        <v>N/A</v>
      </c>
      <c r="B908" t="str">
        <f>RTD("tos.rtd", , "ASK_SIZE", ".SPY171215C211.5")</f>
        <v>N/A</v>
      </c>
      <c r="C908" t="str">
        <f>RTD("tos.rtd", , "BID", ".SPY171215C211.5")</f>
        <v>N/A</v>
      </c>
      <c r="D908" t="str">
        <f>RTD("tos.rtd", , "BID_SIZE", ".SPY171215C211.5")</f>
        <v>N/A</v>
      </c>
      <c r="E908" t="str">
        <f>RTD("tos.rtd", , "VOLUME", ".SPY171215C211.5")</f>
        <v>N/A</v>
      </c>
      <c r="F908" t="str">
        <f>RTD("tos.rtd", , "OPEN_INT", ".SPY171215C211.5")</f>
        <v>N/A</v>
      </c>
      <c r="G908" t="str">
        <f>RTD("tos.rtd", , "DELTA", ".SPY171215C211.5")</f>
        <v>N/A</v>
      </c>
      <c r="H908" t="str">
        <f>RTD("tos.rtd", , "THETA", ".SPY171215C211.5")</f>
        <v>N/A</v>
      </c>
      <c r="I908" t="str">
        <f>RTD("tos.rtd", , "GAMMA", ".SPY171215C211.5")</f>
        <v>N/A</v>
      </c>
      <c r="J908" t="str">
        <f>RTD("tos.rtd", , "VEGA", ".SPY171215C211.5")</f>
        <v>N/A</v>
      </c>
      <c r="K908" t="str">
        <f>RTD("tos.rtd", , "RHO", ".SPY171215C211.5")</f>
        <v>N/A</v>
      </c>
      <c r="L908" t="str">
        <f>RTD("tos.rtd", , "ASK", ".SPY171215P211.5")</f>
        <v>N/A</v>
      </c>
      <c r="M908" t="str">
        <f>RTD("tos.rtd", , "ASK_SIZE", ".SPY171215P211.5")</f>
        <v>N/A</v>
      </c>
      <c r="N908" t="str">
        <f>RTD("tos.rtd", , "BID", ".SPY171215P211.5")</f>
        <v>N/A</v>
      </c>
      <c r="O908" t="str">
        <f>RTD("tos.rtd", , "BID_SIZE", ".SPY171215P211.5")</f>
        <v>N/A</v>
      </c>
      <c r="P908" t="str">
        <f>RTD("tos.rtd", , "VOLUME", ".SPY171215P211.5")</f>
        <v>N/A</v>
      </c>
      <c r="Q908" t="str">
        <f>RTD("tos.rtd", , "OPEN_INT", ".SPY171215P211.5")</f>
        <v>N/A</v>
      </c>
      <c r="R908" t="str">
        <f>RTD("tos.rtd", , "DELTA", ".SPY171215P211.5")</f>
        <v>N/A</v>
      </c>
      <c r="S908" t="str">
        <f>RTD("tos.rtd", , "THETA", ".SPY171215P211.5")</f>
        <v>N/A</v>
      </c>
      <c r="T908" t="str">
        <f>RTD("tos.rtd", , "GAMMA", ".SPY171215P211.5")</f>
        <v>N/A</v>
      </c>
      <c r="U908" t="str">
        <f>RTD("tos.rtd", , "VEGA", ".SPY171215P211.5")</f>
        <v>N/A</v>
      </c>
      <c r="V908" t="str">
        <f>RTD("tos.rtd", , "RHO", ".SPY171215P211.5")</f>
        <v>N/A</v>
      </c>
    </row>
    <row r="909" spans="1:22" x14ac:dyDescent="0.25">
      <c r="A909" t="str">
        <f>RTD("tos.rtd", , "ASK", ".SPY171215C212")</f>
        <v>N/A</v>
      </c>
      <c r="B909" t="str">
        <f>RTD("tos.rtd", , "ASK_SIZE", ".SPY171215C212")</f>
        <v>N/A</v>
      </c>
      <c r="C909" t="str">
        <f>RTD("tos.rtd", , "BID", ".SPY171215C212")</f>
        <v>N/A</v>
      </c>
      <c r="D909" t="str">
        <f>RTD("tos.rtd", , "BID_SIZE", ".SPY171215C212")</f>
        <v>N/A</v>
      </c>
      <c r="E909" t="str">
        <f>RTD("tos.rtd", , "VOLUME", ".SPY171215C212")</f>
        <v>N/A</v>
      </c>
      <c r="F909" t="str">
        <f>RTD("tos.rtd", , "OPEN_INT", ".SPY171215C212")</f>
        <v>N/A</v>
      </c>
      <c r="G909" t="str">
        <f>RTD("tos.rtd", , "DELTA", ".SPY171215C212")</f>
        <v>N/A</v>
      </c>
      <c r="H909" t="str">
        <f>RTD("tos.rtd", , "THETA", ".SPY171215C212")</f>
        <v>N/A</v>
      </c>
      <c r="I909" t="str">
        <f>RTD("tos.rtd", , "GAMMA", ".SPY171215C212")</f>
        <v>N/A</v>
      </c>
      <c r="J909" t="str">
        <f>RTD("tos.rtd", , "VEGA", ".SPY171215C212")</f>
        <v>N/A</v>
      </c>
      <c r="K909" t="str">
        <f>RTD("tos.rtd", , "RHO", ".SPY171215C212")</f>
        <v>N/A</v>
      </c>
      <c r="L909" t="str">
        <f>RTD("tos.rtd", , "ASK", ".SPY171215P212")</f>
        <v>N/A</v>
      </c>
      <c r="M909" t="str">
        <f>RTD("tos.rtd", , "ASK_SIZE", ".SPY171215P212")</f>
        <v>N/A</v>
      </c>
      <c r="N909" t="str">
        <f>RTD("tos.rtd", , "BID", ".SPY171215P212")</f>
        <v>N/A</v>
      </c>
      <c r="O909" t="str">
        <f>RTD("tos.rtd", , "BID_SIZE", ".SPY171215P212")</f>
        <v>N/A</v>
      </c>
      <c r="P909" t="str">
        <f>RTD("tos.rtd", , "VOLUME", ".SPY171215P212")</f>
        <v>N/A</v>
      </c>
      <c r="Q909" t="str">
        <f>RTD("tos.rtd", , "OPEN_INT", ".SPY171215P212")</f>
        <v>N/A</v>
      </c>
      <c r="R909" t="str">
        <f>RTD("tos.rtd", , "DELTA", ".SPY171215P212")</f>
        <v>N/A</v>
      </c>
      <c r="S909" t="str">
        <f>RTD("tos.rtd", , "THETA", ".SPY171215P212")</f>
        <v>N/A</v>
      </c>
      <c r="T909" t="str">
        <f>RTD("tos.rtd", , "GAMMA", ".SPY171215P212")</f>
        <v>N/A</v>
      </c>
      <c r="U909" t="str">
        <f>RTD("tos.rtd", , "VEGA", ".SPY171215P212")</f>
        <v>N/A</v>
      </c>
      <c r="V909" t="str">
        <f>RTD("tos.rtd", , "RHO", ".SPY171215P212")</f>
        <v>N/A</v>
      </c>
    </row>
    <row r="910" spans="1:22" x14ac:dyDescent="0.25">
      <c r="A910" t="str">
        <f>RTD("tos.rtd", , "ASK", ".SPY171215C212.5")</f>
        <v>N/A</v>
      </c>
      <c r="B910" t="str">
        <f>RTD("tos.rtd", , "ASK_SIZE", ".SPY171215C212.5")</f>
        <v>N/A</v>
      </c>
      <c r="C910" t="str">
        <f>RTD("tos.rtd", , "BID", ".SPY171215C212.5")</f>
        <v>N/A</v>
      </c>
      <c r="D910" t="str">
        <f>RTD("tos.rtd", , "BID_SIZE", ".SPY171215C212.5")</f>
        <v>N/A</v>
      </c>
      <c r="E910" t="str">
        <f>RTD("tos.rtd", , "VOLUME", ".SPY171215C212.5")</f>
        <v>N/A</v>
      </c>
      <c r="F910" t="str">
        <f>RTD("tos.rtd", , "OPEN_INT", ".SPY171215C212.5")</f>
        <v>N/A</v>
      </c>
      <c r="G910" t="str">
        <f>RTD("tos.rtd", , "DELTA", ".SPY171215C212.5")</f>
        <v>N/A</v>
      </c>
      <c r="H910" t="str">
        <f>RTD("tos.rtd", , "THETA", ".SPY171215C212.5")</f>
        <v>N/A</v>
      </c>
      <c r="I910" t="str">
        <f>RTD("tos.rtd", , "GAMMA", ".SPY171215C212.5")</f>
        <v>N/A</v>
      </c>
      <c r="J910" t="str">
        <f>RTD("tos.rtd", , "VEGA", ".SPY171215C212.5")</f>
        <v>N/A</v>
      </c>
      <c r="K910" t="str">
        <f>RTD("tos.rtd", , "RHO", ".SPY171215C212.5")</f>
        <v>N/A</v>
      </c>
      <c r="L910" t="str">
        <f>RTD("tos.rtd", , "ASK", ".SPY171215P212.5")</f>
        <v>N/A</v>
      </c>
      <c r="M910" t="str">
        <f>RTD("tos.rtd", , "ASK_SIZE", ".SPY171215P212.5")</f>
        <v>N/A</v>
      </c>
      <c r="N910" t="str">
        <f>RTD("tos.rtd", , "BID", ".SPY171215P212.5")</f>
        <v>N/A</v>
      </c>
      <c r="O910" t="str">
        <f>RTD("tos.rtd", , "BID_SIZE", ".SPY171215P212.5")</f>
        <v>N/A</v>
      </c>
      <c r="P910" t="str">
        <f>RTD("tos.rtd", , "VOLUME", ".SPY171215P212.5")</f>
        <v>N/A</v>
      </c>
      <c r="Q910" t="str">
        <f>RTD("tos.rtd", , "OPEN_INT", ".SPY171215P212.5")</f>
        <v>N/A</v>
      </c>
      <c r="R910" t="str">
        <f>RTD("tos.rtd", , "DELTA", ".SPY171215P212.5")</f>
        <v>N/A</v>
      </c>
      <c r="S910" t="str">
        <f>RTD("tos.rtd", , "THETA", ".SPY171215P212.5")</f>
        <v>N/A</v>
      </c>
      <c r="T910" t="str">
        <f>RTD("tos.rtd", , "GAMMA", ".SPY171215P212.5")</f>
        <v>N/A</v>
      </c>
      <c r="U910" t="str">
        <f>RTD("tos.rtd", , "VEGA", ".SPY171215P212.5")</f>
        <v>N/A</v>
      </c>
      <c r="V910" t="str">
        <f>RTD("tos.rtd", , "RHO", ".SPY171215P212.5")</f>
        <v>N/A</v>
      </c>
    </row>
    <row r="911" spans="1:22" x14ac:dyDescent="0.25">
      <c r="A911" t="str">
        <f>RTD("tos.rtd", , "ASK", ".SPY171215C213")</f>
        <v>N/A</v>
      </c>
      <c r="B911" t="str">
        <f>RTD("tos.rtd", , "ASK_SIZE", ".SPY171215C213")</f>
        <v>N/A</v>
      </c>
      <c r="C911" t="str">
        <f>RTD("tos.rtd", , "BID", ".SPY171215C213")</f>
        <v>N/A</v>
      </c>
      <c r="D911" t="str">
        <f>RTD("tos.rtd", , "BID_SIZE", ".SPY171215C213")</f>
        <v>N/A</v>
      </c>
      <c r="E911" t="str">
        <f>RTD("tos.rtd", , "VOLUME", ".SPY171215C213")</f>
        <v>N/A</v>
      </c>
      <c r="F911" t="str">
        <f>RTD("tos.rtd", , "OPEN_INT", ".SPY171215C213")</f>
        <v>N/A</v>
      </c>
      <c r="G911" t="str">
        <f>RTD("tos.rtd", , "DELTA", ".SPY171215C213")</f>
        <v>N/A</v>
      </c>
      <c r="H911" t="str">
        <f>RTD("tos.rtd", , "THETA", ".SPY171215C213")</f>
        <v>N/A</v>
      </c>
      <c r="I911" t="str">
        <f>RTD("tos.rtd", , "GAMMA", ".SPY171215C213")</f>
        <v>N/A</v>
      </c>
      <c r="J911" t="str">
        <f>RTD("tos.rtd", , "VEGA", ".SPY171215C213")</f>
        <v>N/A</v>
      </c>
      <c r="K911" t="str">
        <f>RTD("tos.rtd", , "RHO", ".SPY171215C213")</f>
        <v>N/A</v>
      </c>
      <c r="L911" t="str">
        <f>RTD("tos.rtd", , "ASK", ".SPY171215P213")</f>
        <v>N/A</v>
      </c>
      <c r="M911" t="str">
        <f>RTD("tos.rtd", , "ASK_SIZE", ".SPY171215P213")</f>
        <v>N/A</v>
      </c>
      <c r="N911" t="str">
        <f>RTD("tos.rtd", , "BID", ".SPY171215P213")</f>
        <v>N/A</v>
      </c>
      <c r="O911" t="str">
        <f>RTD("tos.rtd", , "BID_SIZE", ".SPY171215P213")</f>
        <v>N/A</v>
      </c>
      <c r="P911" t="str">
        <f>RTD("tos.rtd", , "VOLUME", ".SPY171215P213")</f>
        <v>N/A</v>
      </c>
      <c r="Q911" t="str">
        <f>RTD("tos.rtd", , "OPEN_INT", ".SPY171215P213")</f>
        <v>N/A</v>
      </c>
      <c r="R911" t="str">
        <f>RTD("tos.rtd", , "DELTA", ".SPY171215P213")</f>
        <v>N/A</v>
      </c>
      <c r="S911" t="str">
        <f>RTD("tos.rtd", , "THETA", ".SPY171215P213")</f>
        <v>N/A</v>
      </c>
      <c r="T911" t="str">
        <f>RTD("tos.rtd", , "GAMMA", ".SPY171215P213")</f>
        <v>N/A</v>
      </c>
      <c r="U911" t="str">
        <f>RTD("tos.rtd", , "VEGA", ".SPY171215P213")</f>
        <v>N/A</v>
      </c>
      <c r="V911" t="str">
        <f>RTD("tos.rtd", , "RHO", ".SPY171215P213")</f>
        <v>N/A</v>
      </c>
    </row>
    <row r="912" spans="1:22" x14ac:dyDescent="0.25">
      <c r="A912" t="str">
        <f>RTD("tos.rtd", , "ASK", ".SPY171215C213.5")</f>
        <v>N/A</v>
      </c>
      <c r="B912" t="str">
        <f>RTD("tos.rtd", , "ASK_SIZE", ".SPY171215C213.5")</f>
        <v>N/A</v>
      </c>
      <c r="C912" t="str">
        <f>RTD("tos.rtd", , "BID", ".SPY171215C213.5")</f>
        <v>N/A</v>
      </c>
      <c r="D912" t="str">
        <f>RTD("tos.rtd", , "BID_SIZE", ".SPY171215C213.5")</f>
        <v>N/A</v>
      </c>
      <c r="E912" t="str">
        <f>RTD("tos.rtd", , "VOLUME", ".SPY171215C213.5")</f>
        <v>N/A</v>
      </c>
      <c r="F912" t="str">
        <f>RTD("tos.rtd", , "OPEN_INT", ".SPY171215C213.5")</f>
        <v>N/A</v>
      </c>
      <c r="G912" t="str">
        <f>RTD("tos.rtd", , "DELTA", ".SPY171215C213.5")</f>
        <v>N/A</v>
      </c>
      <c r="H912" t="str">
        <f>RTD("tos.rtd", , "THETA", ".SPY171215C213.5")</f>
        <v>N/A</v>
      </c>
      <c r="I912" t="str">
        <f>RTD("tos.rtd", , "GAMMA", ".SPY171215C213.5")</f>
        <v>N/A</v>
      </c>
      <c r="J912" t="str">
        <f>RTD("tos.rtd", , "VEGA", ".SPY171215C213.5")</f>
        <v>N/A</v>
      </c>
      <c r="K912" t="str">
        <f>RTD("tos.rtd", , "RHO", ".SPY171215C213.5")</f>
        <v>N/A</v>
      </c>
      <c r="L912" t="str">
        <f>RTD("tos.rtd", , "ASK", ".SPY171215P213.5")</f>
        <v>N/A</v>
      </c>
      <c r="M912" t="str">
        <f>RTD("tos.rtd", , "ASK_SIZE", ".SPY171215P213.5")</f>
        <v>N/A</v>
      </c>
      <c r="N912" t="str">
        <f>RTD("tos.rtd", , "BID", ".SPY171215P213.5")</f>
        <v>N/A</v>
      </c>
      <c r="O912" t="str">
        <f>RTD("tos.rtd", , "BID_SIZE", ".SPY171215P213.5")</f>
        <v>N/A</v>
      </c>
      <c r="P912" t="str">
        <f>RTD("tos.rtd", , "VOLUME", ".SPY171215P213.5")</f>
        <v>N/A</v>
      </c>
      <c r="Q912" t="str">
        <f>RTD("tos.rtd", , "OPEN_INT", ".SPY171215P213.5")</f>
        <v>N/A</v>
      </c>
      <c r="R912" t="str">
        <f>RTD("tos.rtd", , "DELTA", ".SPY171215P213.5")</f>
        <v>N/A</v>
      </c>
      <c r="S912" t="str">
        <f>RTD("tos.rtd", , "THETA", ".SPY171215P213.5")</f>
        <v>N/A</v>
      </c>
      <c r="T912" t="str">
        <f>RTD("tos.rtd", , "GAMMA", ".SPY171215P213.5")</f>
        <v>N/A</v>
      </c>
      <c r="U912" t="str">
        <f>RTD("tos.rtd", , "VEGA", ".SPY171215P213.5")</f>
        <v>N/A</v>
      </c>
      <c r="V912" t="str">
        <f>RTD("tos.rtd", , "RHO", ".SPY171215P213.5")</f>
        <v>N/A</v>
      </c>
    </row>
    <row r="913" spans="1:22" x14ac:dyDescent="0.25">
      <c r="A913" t="str">
        <f>RTD("tos.rtd", , "ASK", ".SPY171215C214")</f>
        <v>N/A</v>
      </c>
      <c r="B913" t="str">
        <f>RTD("tos.rtd", , "ASK_SIZE", ".SPY171215C214")</f>
        <v>N/A</v>
      </c>
      <c r="C913" t="str">
        <f>RTD("tos.rtd", , "BID", ".SPY171215C214")</f>
        <v>N/A</v>
      </c>
      <c r="D913" t="str">
        <f>RTD("tos.rtd", , "BID_SIZE", ".SPY171215C214")</f>
        <v>N/A</v>
      </c>
      <c r="E913" t="str">
        <f>RTD("tos.rtd", , "VOLUME", ".SPY171215C214")</f>
        <v>N/A</v>
      </c>
      <c r="F913" t="str">
        <f>RTD("tos.rtd", , "OPEN_INT", ".SPY171215C214")</f>
        <v>N/A</v>
      </c>
      <c r="G913" t="str">
        <f>RTD("tos.rtd", , "DELTA", ".SPY171215C214")</f>
        <v>N/A</v>
      </c>
      <c r="H913" t="str">
        <f>RTD("tos.rtd", , "THETA", ".SPY171215C214")</f>
        <v>N/A</v>
      </c>
      <c r="I913" t="str">
        <f>RTD("tos.rtd", , "GAMMA", ".SPY171215C214")</f>
        <v>N/A</v>
      </c>
      <c r="J913" t="str">
        <f>RTD("tos.rtd", , "VEGA", ".SPY171215C214")</f>
        <v>N/A</v>
      </c>
      <c r="K913" t="str">
        <f>RTD("tos.rtd", , "RHO", ".SPY171215C214")</f>
        <v>N/A</v>
      </c>
      <c r="L913" t="str">
        <f>RTD("tos.rtd", , "ASK", ".SPY171215P214")</f>
        <v>N/A</v>
      </c>
      <c r="M913" t="str">
        <f>RTD("tos.rtd", , "ASK_SIZE", ".SPY171215P214")</f>
        <v>N/A</v>
      </c>
      <c r="N913" t="str">
        <f>RTD("tos.rtd", , "BID", ".SPY171215P214")</f>
        <v>N/A</v>
      </c>
      <c r="O913" t="str">
        <f>RTD("tos.rtd", , "BID_SIZE", ".SPY171215P214")</f>
        <v>N/A</v>
      </c>
      <c r="P913" t="str">
        <f>RTD("tos.rtd", , "VOLUME", ".SPY171215P214")</f>
        <v>N/A</v>
      </c>
      <c r="Q913" t="str">
        <f>RTD("tos.rtd", , "OPEN_INT", ".SPY171215P214")</f>
        <v>N/A</v>
      </c>
      <c r="R913" t="str">
        <f>RTD("tos.rtd", , "DELTA", ".SPY171215P214")</f>
        <v>N/A</v>
      </c>
      <c r="S913" t="str">
        <f>RTD("tos.rtd", , "THETA", ".SPY171215P214")</f>
        <v>N/A</v>
      </c>
      <c r="T913" t="str">
        <f>RTD("tos.rtd", , "GAMMA", ".SPY171215P214")</f>
        <v>N/A</v>
      </c>
      <c r="U913" t="str">
        <f>RTD("tos.rtd", , "VEGA", ".SPY171215P214")</f>
        <v>N/A</v>
      </c>
      <c r="V913" t="str">
        <f>RTD("tos.rtd", , "RHO", ".SPY171215P214")</f>
        <v>N/A</v>
      </c>
    </row>
    <row r="914" spans="1:22" x14ac:dyDescent="0.25">
      <c r="A914" t="str">
        <f>RTD("tos.rtd", , "ASK", ".SPY171215C214.5")</f>
        <v>N/A</v>
      </c>
      <c r="B914" t="str">
        <f>RTD("tos.rtd", , "ASK_SIZE", ".SPY171215C214.5")</f>
        <v>N/A</v>
      </c>
      <c r="C914" t="str">
        <f>RTD("tos.rtd", , "BID", ".SPY171215C214.5")</f>
        <v>N/A</v>
      </c>
      <c r="D914" t="str">
        <f>RTD("tos.rtd", , "BID_SIZE", ".SPY171215C214.5")</f>
        <v>N/A</v>
      </c>
      <c r="E914" t="str">
        <f>RTD("tos.rtd", , "VOLUME", ".SPY171215C214.5")</f>
        <v>N/A</v>
      </c>
      <c r="F914" t="str">
        <f>RTD("tos.rtd", , "OPEN_INT", ".SPY171215C214.5")</f>
        <v>N/A</v>
      </c>
      <c r="G914" t="str">
        <f>RTD("tos.rtd", , "DELTA", ".SPY171215C214.5")</f>
        <v>N/A</v>
      </c>
      <c r="H914" t="str">
        <f>RTD("tos.rtd", , "THETA", ".SPY171215C214.5")</f>
        <v>N/A</v>
      </c>
      <c r="I914" t="str">
        <f>RTD("tos.rtd", , "GAMMA", ".SPY171215C214.5")</f>
        <v>N/A</v>
      </c>
      <c r="J914" t="str">
        <f>RTD("tos.rtd", , "VEGA", ".SPY171215C214.5")</f>
        <v>N/A</v>
      </c>
      <c r="K914" t="str">
        <f>RTD("tos.rtd", , "RHO", ".SPY171215C214.5")</f>
        <v>N/A</v>
      </c>
      <c r="L914" t="str">
        <f>RTD("tos.rtd", , "ASK", ".SPY171215P214.5")</f>
        <v>N/A</v>
      </c>
      <c r="M914" t="str">
        <f>RTD("tos.rtd", , "ASK_SIZE", ".SPY171215P214.5")</f>
        <v>N/A</v>
      </c>
      <c r="N914" t="str">
        <f>RTD("tos.rtd", , "BID", ".SPY171215P214.5")</f>
        <v>N/A</v>
      </c>
      <c r="O914" t="str">
        <f>RTD("tos.rtd", , "BID_SIZE", ".SPY171215P214.5")</f>
        <v>N/A</v>
      </c>
      <c r="P914" t="str">
        <f>RTD("tos.rtd", , "VOLUME", ".SPY171215P214.5")</f>
        <v>N/A</v>
      </c>
      <c r="Q914" t="str">
        <f>RTD("tos.rtd", , "OPEN_INT", ".SPY171215P214.5")</f>
        <v>N/A</v>
      </c>
      <c r="R914" t="str">
        <f>RTD("tos.rtd", , "DELTA", ".SPY171215P214.5")</f>
        <v>N/A</v>
      </c>
      <c r="S914" t="str">
        <f>RTD("tos.rtd", , "THETA", ".SPY171215P214.5")</f>
        <v>N/A</v>
      </c>
      <c r="T914" t="str">
        <f>RTD("tos.rtd", , "GAMMA", ".SPY171215P214.5")</f>
        <v>N/A</v>
      </c>
      <c r="U914" t="str">
        <f>RTD("tos.rtd", , "VEGA", ".SPY171215P214.5")</f>
        <v>N/A</v>
      </c>
      <c r="V914" t="str">
        <f>RTD("tos.rtd", , "RHO", ".SPY171215P214.5")</f>
        <v>N/A</v>
      </c>
    </row>
    <row r="915" spans="1:22" x14ac:dyDescent="0.25">
      <c r="A915">
        <f>RTD("tos.rtd", , "ASK", ".SPY171215C215")</f>
        <v>21.98</v>
      </c>
      <c r="B915">
        <f>RTD("tos.rtd", , "ASK_SIZE", ".SPY171215C215")</f>
        <v>58</v>
      </c>
      <c r="C915">
        <f>RTD("tos.rtd", , "BID", ".SPY171215C215")</f>
        <v>20.39</v>
      </c>
      <c r="D915">
        <f>RTD("tos.rtd", , "BID_SIZE", ".SPY171215C215")</f>
        <v>50</v>
      </c>
      <c r="E915">
        <f>RTD("tos.rtd", , "VOLUME", ".SPY171215C215")</f>
        <v>0</v>
      </c>
      <c r="F915">
        <f>RTD("tos.rtd", , "OPEN_INT", ".SPY171215C215")</f>
        <v>317</v>
      </c>
      <c r="G915">
        <f>RTD("tos.rtd", , "DELTA", ".SPY171215C215")</f>
        <v>0.49142999999999998</v>
      </c>
      <c r="H915">
        <f>RTD("tos.rtd", , "THETA", ".SPY171215C215")</f>
        <v>-9.9399999999999992E-3</v>
      </c>
      <c r="I915">
        <f>RTD("tos.rtd", , "GAMMA", ".SPY171215C215")</f>
        <v>6.3099999999999996E-3</v>
      </c>
      <c r="J915">
        <f>RTD("tos.rtd", , "VEGA", ".SPY171215C215")</f>
        <v>1.31199</v>
      </c>
      <c r="K915">
        <f>RTD("tos.rtd", , "RHO", ".SPY171215C215")</f>
        <v>1.76075</v>
      </c>
      <c r="L915">
        <f>RTD("tos.rtd", , "ASK", ".SPY171215P215")</f>
        <v>29.51</v>
      </c>
      <c r="M915">
        <f>RTD("tos.rtd", , "ASK_SIZE", ".SPY171215P215")</f>
        <v>32</v>
      </c>
      <c r="N915">
        <f>RTD("tos.rtd", , "BID", ".SPY171215P215")</f>
        <v>27.95</v>
      </c>
      <c r="O915">
        <f>RTD("tos.rtd", , "BID_SIZE", ".SPY171215P215")</f>
        <v>56</v>
      </c>
      <c r="P915">
        <f>RTD("tos.rtd", , "VOLUME", ".SPY171215P215")</f>
        <v>0</v>
      </c>
      <c r="Q915">
        <f>RTD("tos.rtd", , "OPEN_INT", ".SPY171215P215")</f>
        <v>506</v>
      </c>
      <c r="R915">
        <f>RTD("tos.rtd", , "DELTA", ".SPY171215P215")</f>
        <v>-0.50466</v>
      </c>
      <c r="S915">
        <f>RTD("tos.rtd", , "THETA", ".SPY171215P215")</f>
        <v>-1.5610000000000001E-2</v>
      </c>
      <c r="T915">
        <f>RTD("tos.rtd", , "GAMMA", ".SPY171215P215")</f>
        <v>6.62E-3</v>
      </c>
      <c r="U915">
        <f>RTD("tos.rtd", , "VEGA", ".SPY171215P215")</f>
        <v>1.3006899999999999</v>
      </c>
      <c r="V915">
        <f>RTD("tos.rtd", , "RHO", ".SPY171215P215")</f>
        <v>-3.5343100000000001</v>
      </c>
    </row>
    <row r="916" spans="1:22" x14ac:dyDescent="0.25">
      <c r="A916" t="str">
        <f>RTD("tos.rtd", , "ASK", ".SPY171215C215.5")</f>
        <v>N/A</v>
      </c>
      <c r="B916" t="str">
        <f>RTD("tos.rtd", , "ASK_SIZE", ".SPY171215C215.5")</f>
        <v>N/A</v>
      </c>
      <c r="C916" t="str">
        <f>RTD("tos.rtd", , "BID", ".SPY171215C215.5")</f>
        <v>N/A</v>
      </c>
      <c r="D916" t="str">
        <f>RTD("tos.rtd", , "BID_SIZE", ".SPY171215C215.5")</f>
        <v>N/A</v>
      </c>
      <c r="E916" t="str">
        <f>RTD("tos.rtd", , "VOLUME", ".SPY171215C215.5")</f>
        <v>N/A</v>
      </c>
      <c r="F916" t="str">
        <f>RTD("tos.rtd", , "OPEN_INT", ".SPY171215C215.5")</f>
        <v>N/A</v>
      </c>
      <c r="G916" t="str">
        <f>RTD("tos.rtd", , "DELTA", ".SPY171215C215.5")</f>
        <v>N/A</v>
      </c>
      <c r="H916" t="str">
        <f>RTD("tos.rtd", , "THETA", ".SPY171215C215.5")</f>
        <v>N/A</v>
      </c>
      <c r="I916" t="str">
        <f>RTD("tos.rtd", , "GAMMA", ".SPY171215C215.5")</f>
        <v>N/A</v>
      </c>
      <c r="J916" t="str">
        <f>RTD("tos.rtd", , "VEGA", ".SPY171215C215.5")</f>
        <v>N/A</v>
      </c>
      <c r="K916" t="str">
        <f>RTD("tos.rtd", , "RHO", ".SPY171215C215.5")</f>
        <v>N/A</v>
      </c>
      <c r="L916" t="str">
        <f>RTD("tos.rtd", , "ASK", ".SPY171215P215.5")</f>
        <v>N/A</v>
      </c>
      <c r="M916" t="str">
        <f>RTD("tos.rtd", , "ASK_SIZE", ".SPY171215P215.5")</f>
        <v>N/A</v>
      </c>
      <c r="N916" t="str">
        <f>RTD("tos.rtd", , "BID", ".SPY171215P215.5")</f>
        <v>N/A</v>
      </c>
      <c r="O916" t="str">
        <f>RTD("tos.rtd", , "BID_SIZE", ".SPY171215P215.5")</f>
        <v>N/A</v>
      </c>
      <c r="P916" t="str">
        <f>RTD("tos.rtd", , "VOLUME", ".SPY171215P215.5")</f>
        <v>N/A</v>
      </c>
      <c r="Q916" t="str">
        <f>RTD("tos.rtd", , "OPEN_INT", ".SPY171215P215.5")</f>
        <v>N/A</v>
      </c>
      <c r="R916" t="str">
        <f>RTD("tos.rtd", , "DELTA", ".SPY171215P215.5")</f>
        <v>N/A</v>
      </c>
      <c r="S916" t="str">
        <f>RTD("tos.rtd", , "THETA", ".SPY171215P215.5")</f>
        <v>N/A</v>
      </c>
      <c r="T916" t="str">
        <f>RTD("tos.rtd", , "GAMMA", ".SPY171215P215.5")</f>
        <v>N/A</v>
      </c>
      <c r="U916" t="str">
        <f>RTD("tos.rtd", , "VEGA", ".SPY171215P215.5")</f>
        <v>N/A</v>
      </c>
      <c r="V916" t="str">
        <f>RTD("tos.rtd", , "RHO", ".SPY171215P215.5")</f>
        <v>N/A</v>
      </c>
    </row>
    <row r="917" spans="1:22" x14ac:dyDescent="0.25">
      <c r="A917" t="str">
        <f>RTD("tos.rtd", , "ASK", ".SPY171215C216")</f>
        <v>N/A</v>
      </c>
      <c r="B917" t="str">
        <f>RTD("tos.rtd", , "ASK_SIZE", ".SPY171215C216")</f>
        <v>N/A</v>
      </c>
      <c r="C917" t="str">
        <f>RTD("tos.rtd", , "BID", ".SPY171215C216")</f>
        <v>N/A</v>
      </c>
      <c r="D917" t="str">
        <f>RTD("tos.rtd", , "BID_SIZE", ".SPY171215C216")</f>
        <v>N/A</v>
      </c>
      <c r="E917" t="str">
        <f>RTD("tos.rtd", , "VOLUME", ".SPY171215C216")</f>
        <v>N/A</v>
      </c>
      <c r="F917" t="str">
        <f>RTD("tos.rtd", , "OPEN_INT", ".SPY171215C216")</f>
        <v>N/A</v>
      </c>
      <c r="G917" t="str">
        <f>RTD("tos.rtd", , "DELTA", ".SPY171215C216")</f>
        <v>N/A</v>
      </c>
      <c r="H917" t="str">
        <f>RTD("tos.rtd", , "THETA", ".SPY171215C216")</f>
        <v>N/A</v>
      </c>
      <c r="I917" t="str">
        <f>RTD("tos.rtd", , "GAMMA", ".SPY171215C216")</f>
        <v>N/A</v>
      </c>
      <c r="J917" t="str">
        <f>RTD("tos.rtd", , "VEGA", ".SPY171215C216")</f>
        <v>N/A</v>
      </c>
      <c r="K917" t="str">
        <f>RTD("tos.rtd", , "RHO", ".SPY171215C216")</f>
        <v>N/A</v>
      </c>
      <c r="L917" t="str">
        <f>RTD("tos.rtd", , "ASK", ".SPY171215P216")</f>
        <v>N/A</v>
      </c>
      <c r="M917" t="str">
        <f>RTD("tos.rtd", , "ASK_SIZE", ".SPY171215P216")</f>
        <v>N/A</v>
      </c>
      <c r="N917" t="str">
        <f>RTD("tos.rtd", , "BID", ".SPY171215P216")</f>
        <v>N/A</v>
      </c>
      <c r="O917" t="str">
        <f>RTD("tos.rtd", , "BID_SIZE", ".SPY171215P216")</f>
        <v>N/A</v>
      </c>
      <c r="P917" t="str">
        <f>RTD("tos.rtd", , "VOLUME", ".SPY171215P216")</f>
        <v>N/A</v>
      </c>
      <c r="Q917" t="str">
        <f>RTD("tos.rtd", , "OPEN_INT", ".SPY171215P216")</f>
        <v>N/A</v>
      </c>
      <c r="R917" t="str">
        <f>RTD("tos.rtd", , "DELTA", ".SPY171215P216")</f>
        <v>N/A</v>
      </c>
      <c r="S917" t="str">
        <f>RTD("tos.rtd", , "THETA", ".SPY171215P216")</f>
        <v>N/A</v>
      </c>
      <c r="T917" t="str">
        <f>RTD("tos.rtd", , "GAMMA", ".SPY171215P216")</f>
        <v>N/A</v>
      </c>
      <c r="U917" t="str">
        <f>RTD("tos.rtd", , "VEGA", ".SPY171215P216")</f>
        <v>N/A</v>
      </c>
      <c r="V917" t="str">
        <f>RTD("tos.rtd", , "RHO", ".SPY171215P216")</f>
        <v>N/A</v>
      </c>
    </row>
    <row r="918" spans="1:22" x14ac:dyDescent="0.25">
      <c r="A918" t="str">
        <f>RTD("tos.rtd", , "ASK", ".SPY171215C216.5")</f>
        <v>N/A</v>
      </c>
      <c r="B918" t="str">
        <f>RTD("tos.rtd", , "ASK_SIZE", ".SPY171215C216.5")</f>
        <v>N/A</v>
      </c>
      <c r="C918" t="str">
        <f>RTD("tos.rtd", , "BID", ".SPY171215C216.5")</f>
        <v>N/A</v>
      </c>
      <c r="D918" t="str">
        <f>RTD("tos.rtd", , "BID_SIZE", ".SPY171215C216.5")</f>
        <v>N/A</v>
      </c>
      <c r="E918" t="str">
        <f>RTD("tos.rtd", , "VOLUME", ".SPY171215C216.5")</f>
        <v>N/A</v>
      </c>
      <c r="F918" t="str">
        <f>RTD("tos.rtd", , "OPEN_INT", ".SPY171215C216.5")</f>
        <v>N/A</v>
      </c>
      <c r="G918" t="str">
        <f>RTD("tos.rtd", , "DELTA", ".SPY171215C216.5")</f>
        <v>N/A</v>
      </c>
      <c r="H918" t="str">
        <f>RTD("tos.rtd", , "THETA", ".SPY171215C216.5")</f>
        <v>N/A</v>
      </c>
      <c r="I918" t="str">
        <f>RTD("tos.rtd", , "GAMMA", ".SPY171215C216.5")</f>
        <v>N/A</v>
      </c>
      <c r="J918" t="str">
        <f>RTD("tos.rtd", , "VEGA", ".SPY171215C216.5")</f>
        <v>N/A</v>
      </c>
      <c r="K918" t="str">
        <f>RTD("tos.rtd", , "RHO", ".SPY171215C216.5")</f>
        <v>N/A</v>
      </c>
      <c r="L918" t="str">
        <f>RTD("tos.rtd", , "ASK", ".SPY171215P216.5")</f>
        <v>N/A</v>
      </c>
      <c r="M918" t="str">
        <f>RTD("tos.rtd", , "ASK_SIZE", ".SPY171215P216.5")</f>
        <v>N/A</v>
      </c>
      <c r="N918" t="str">
        <f>RTD("tos.rtd", , "BID", ".SPY171215P216.5")</f>
        <v>N/A</v>
      </c>
      <c r="O918" t="str">
        <f>RTD("tos.rtd", , "BID_SIZE", ".SPY171215P216.5")</f>
        <v>N/A</v>
      </c>
      <c r="P918" t="str">
        <f>RTD("tos.rtd", , "VOLUME", ".SPY171215P216.5")</f>
        <v>N/A</v>
      </c>
      <c r="Q918" t="str">
        <f>RTD("tos.rtd", , "OPEN_INT", ".SPY171215P216.5")</f>
        <v>N/A</v>
      </c>
      <c r="R918" t="str">
        <f>RTD("tos.rtd", , "DELTA", ".SPY171215P216.5")</f>
        <v>N/A</v>
      </c>
      <c r="S918" t="str">
        <f>RTD("tos.rtd", , "THETA", ".SPY171215P216.5")</f>
        <v>N/A</v>
      </c>
      <c r="T918" t="str">
        <f>RTD("tos.rtd", , "GAMMA", ".SPY171215P216.5")</f>
        <v>N/A</v>
      </c>
      <c r="U918" t="str">
        <f>RTD("tos.rtd", , "VEGA", ".SPY171215P216.5")</f>
        <v>N/A</v>
      </c>
      <c r="V918" t="str">
        <f>RTD("tos.rtd", , "RHO", ".SPY171215P216.5")</f>
        <v>N/A</v>
      </c>
    </row>
    <row r="919" spans="1:22" x14ac:dyDescent="0.25">
      <c r="A919" t="str">
        <f>RTD("tos.rtd", , "ASK", ".SPY171215C217")</f>
        <v>N/A</v>
      </c>
      <c r="B919" t="str">
        <f>RTD("tos.rtd", , "ASK_SIZE", ".SPY171215C217")</f>
        <v>N/A</v>
      </c>
      <c r="C919" t="str">
        <f>RTD("tos.rtd", , "BID", ".SPY171215C217")</f>
        <v>N/A</v>
      </c>
      <c r="D919" t="str">
        <f>RTD("tos.rtd", , "BID_SIZE", ".SPY171215C217")</f>
        <v>N/A</v>
      </c>
      <c r="E919" t="str">
        <f>RTD("tos.rtd", , "VOLUME", ".SPY171215C217")</f>
        <v>N/A</v>
      </c>
      <c r="F919" t="str">
        <f>RTD("tos.rtd", , "OPEN_INT", ".SPY171215C217")</f>
        <v>N/A</v>
      </c>
      <c r="G919" t="str">
        <f>RTD("tos.rtd", , "DELTA", ".SPY171215C217")</f>
        <v>N/A</v>
      </c>
      <c r="H919" t="str">
        <f>RTD("tos.rtd", , "THETA", ".SPY171215C217")</f>
        <v>N/A</v>
      </c>
      <c r="I919" t="str">
        <f>RTD("tos.rtd", , "GAMMA", ".SPY171215C217")</f>
        <v>N/A</v>
      </c>
      <c r="J919" t="str">
        <f>RTD("tos.rtd", , "VEGA", ".SPY171215C217")</f>
        <v>N/A</v>
      </c>
      <c r="K919" t="str">
        <f>RTD("tos.rtd", , "RHO", ".SPY171215C217")</f>
        <v>N/A</v>
      </c>
      <c r="L919" t="str">
        <f>RTD("tos.rtd", , "ASK", ".SPY171215P217")</f>
        <v>N/A</v>
      </c>
      <c r="M919" t="str">
        <f>RTD("tos.rtd", , "ASK_SIZE", ".SPY171215P217")</f>
        <v>N/A</v>
      </c>
      <c r="N919" t="str">
        <f>RTD("tos.rtd", , "BID", ".SPY171215P217")</f>
        <v>N/A</v>
      </c>
      <c r="O919" t="str">
        <f>RTD("tos.rtd", , "BID_SIZE", ".SPY171215P217")</f>
        <v>N/A</v>
      </c>
      <c r="P919" t="str">
        <f>RTD("tos.rtd", , "VOLUME", ".SPY171215P217")</f>
        <v>N/A</v>
      </c>
      <c r="Q919" t="str">
        <f>RTD("tos.rtd", , "OPEN_INT", ".SPY171215P217")</f>
        <v>N/A</v>
      </c>
      <c r="R919" t="str">
        <f>RTD("tos.rtd", , "DELTA", ".SPY171215P217")</f>
        <v>N/A</v>
      </c>
      <c r="S919" t="str">
        <f>RTD("tos.rtd", , "THETA", ".SPY171215P217")</f>
        <v>N/A</v>
      </c>
      <c r="T919" t="str">
        <f>RTD("tos.rtd", , "GAMMA", ".SPY171215P217")</f>
        <v>N/A</v>
      </c>
      <c r="U919" t="str">
        <f>RTD("tos.rtd", , "VEGA", ".SPY171215P217")</f>
        <v>N/A</v>
      </c>
      <c r="V919" t="str">
        <f>RTD("tos.rtd", , "RHO", ".SPY171215P217")</f>
        <v>N/A</v>
      </c>
    </row>
    <row r="920" spans="1:22" x14ac:dyDescent="0.25">
      <c r="A920" t="str">
        <f>RTD("tos.rtd", , "ASK", ".SPY171215C217.5")</f>
        <v>N/A</v>
      </c>
      <c r="B920" t="str">
        <f>RTD("tos.rtd", , "ASK_SIZE", ".SPY171215C217.5")</f>
        <v>N/A</v>
      </c>
      <c r="C920" t="str">
        <f>RTD("tos.rtd", , "BID", ".SPY171215C217.5")</f>
        <v>N/A</v>
      </c>
      <c r="D920" t="str">
        <f>RTD("tos.rtd", , "BID_SIZE", ".SPY171215C217.5")</f>
        <v>N/A</v>
      </c>
      <c r="E920" t="str">
        <f>RTD("tos.rtd", , "VOLUME", ".SPY171215C217.5")</f>
        <v>N/A</v>
      </c>
      <c r="F920" t="str">
        <f>RTD("tos.rtd", , "OPEN_INT", ".SPY171215C217.5")</f>
        <v>N/A</v>
      </c>
      <c r="G920" t="str">
        <f>RTD("tos.rtd", , "DELTA", ".SPY171215C217.5")</f>
        <v>N/A</v>
      </c>
      <c r="H920" t="str">
        <f>RTD("tos.rtd", , "THETA", ".SPY171215C217.5")</f>
        <v>N/A</v>
      </c>
      <c r="I920" t="str">
        <f>RTD("tos.rtd", , "GAMMA", ".SPY171215C217.5")</f>
        <v>N/A</v>
      </c>
      <c r="J920" t="str">
        <f>RTD("tos.rtd", , "VEGA", ".SPY171215C217.5")</f>
        <v>N/A</v>
      </c>
      <c r="K920" t="str">
        <f>RTD("tos.rtd", , "RHO", ".SPY171215C217.5")</f>
        <v>N/A</v>
      </c>
      <c r="L920" t="str">
        <f>RTD("tos.rtd", , "ASK", ".SPY171215P217.5")</f>
        <v>N/A</v>
      </c>
      <c r="M920" t="str">
        <f>RTD("tos.rtd", , "ASK_SIZE", ".SPY171215P217.5")</f>
        <v>N/A</v>
      </c>
      <c r="N920" t="str">
        <f>RTD("tos.rtd", , "BID", ".SPY171215P217.5")</f>
        <v>N/A</v>
      </c>
      <c r="O920" t="str">
        <f>RTD("tos.rtd", , "BID_SIZE", ".SPY171215P217.5")</f>
        <v>N/A</v>
      </c>
      <c r="P920" t="str">
        <f>RTD("tos.rtd", , "VOLUME", ".SPY171215P217.5")</f>
        <v>N/A</v>
      </c>
      <c r="Q920" t="str">
        <f>RTD("tos.rtd", , "OPEN_INT", ".SPY171215P217.5")</f>
        <v>N/A</v>
      </c>
      <c r="R920" t="str">
        <f>RTD("tos.rtd", , "DELTA", ".SPY171215P217.5")</f>
        <v>N/A</v>
      </c>
      <c r="S920" t="str">
        <f>RTD("tos.rtd", , "THETA", ".SPY171215P217.5")</f>
        <v>N/A</v>
      </c>
      <c r="T920" t="str">
        <f>RTD("tos.rtd", , "GAMMA", ".SPY171215P217.5")</f>
        <v>N/A</v>
      </c>
      <c r="U920" t="str">
        <f>RTD("tos.rtd", , "VEGA", ".SPY171215P217.5")</f>
        <v>N/A</v>
      </c>
      <c r="V920" t="str">
        <f>RTD("tos.rtd", , "RHO", ".SPY171215P217.5")</f>
        <v>N/A</v>
      </c>
    </row>
    <row r="921" spans="1:22" x14ac:dyDescent="0.25">
      <c r="A921" t="str">
        <f>RTD("tos.rtd", , "ASK", ".SPY171215C218")</f>
        <v>N/A</v>
      </c>
      <c r="B921" t="str">
        <f>RTD("tos.rtd", , "ASK_SIZE", ".SPY171215C218")</f>
        <v>N/A</v>
      </c>
      <c r="C921" t="str">
        <f>RTD("tos.rtd", , "BID", ".SPY171215C218")</f>
        <v>N/A</v>
      </c>
      <c r="D921" t="str">
        <f>RTD("tos.rtd", , "BID_SIZE", ".SPY171215C218")</f>
        <v>N/A</v>
      </c>
      <c r="E921" t="str">
        <f>RTD("tos.rtd", , "VOLUME", ".SPY171215C218")</f>
        <v>N/A</v>
      </c>
      <c r="F921" t="str">
        <f>RTD("tos.rtd", , "OPEN_INT", ".SPY171215C218")</f>
        <v>N/A</v>
      </c>
      <c r="G921" t="str">
        <f>RTD("tos.rtd", , "DELTA", ".SPY171215C218")</f>
        <v>N/A</v>
      </c>
      <c r="H921" t="str">
        <f>RTD("tos.rtd", , "THETA", ".SPY171215C218")</f>
        <v>N/A</v>
      </c>
      <c r="I921" t="str">
        <f>RTD("tos.rtd", , "GAMMA", ".SPY171215C218")</f>
        <v>N/A</v>
      </c>
      <c r="J921" t="str">
        <f>RTD("tos.rtd", , "VEGA", ".SPY171215C218")</f>
        <v>N/A</v>
      </c>
      <c r="K921" t="str">
        <f>RTD("tos.rtd", , "RHO", ".SPY171215C218")</f>
        <v>N/A</v>
      </c>
      <c r="L921" t="str">
        <f>RTD("tos.rtd", , "ASK", ".SPY171215P218")</f>
        <v>N/A</v>
      </c>
      <c r="M921" t="str">
        <f>RTD("tos.rtd", , "ASK_SIZE", ".SPY171215P218")</f>
        <v>N/A</v>
      </c>
      <c r="N921" t="str">
        <f>RTD("tos.rtd", , "BID", ".SPY171215P218")</f>
        <v>N/A</v>
      </c>
      <c r="O921" t="str">
        <f>RTD("tos.rtd", , "BID_SIZE", ".SPY171215P218")</f>
        <v>N/A</v>
      </c>
      <c r="P921" t="str">
        <f>RTD("tos.rtd", , "VOLUME", ".SPY171215P218")</f>
        <v>N/A</v>
      </c>
      <c r="Q921" t="str">
        <f>RTD("tos.rtd", , "OPEN_INT", ".SPY171215P218")</f>
        <v>N/A</v>
      </c>
      <c r="R921" t="str">
        <f>RTD("tos.rtd", , "DELTA", ".SPY171215P218")</f>
        <v>N/A</v>
      </c>
      <c r="S921" t="str">
        <f>RTD("tos.rtd", , "THETA", ".SPY171215P218")</f>
        <v>N/A</v>
      </c>
      <c r="T921" t="str">
        <f>RTD("tos.rtd", , "GAMMA", ".SPY171215P218")</f>
        <v>N/A</v>
      </c>
      <c r="U921" t="str">
        <f>RTD("tos.rtd", , "VEGA", ".SPY171215P218")</f>
        <v>N/A</v>
      </c>
      <c r="V921" t="str">
        <f>RTD("tos.rtd", , "RHO", ".SPY171215P218")</f>
        <v>N/A</v>
      </c>
    </row>
    <row r="922" spans="1:22" x14ac:dyDescent="0.25">
      <c r="A922" t="str">
        <f>RTD("tos.rtd", , "ASK", ".SPY171215C218.5")</f>
        <v>N/A</v>
      </c>
      <c r="B922" t="str">
        <f>RTD("tos.rtd", , "ASK_SIZE", ".SPY171215C218.5")</f>
        <v>N/A</v>
      </c>
      <c r="C922" t="str">
        <f>RTD("tos.rtd", , "BID", ".SPY171215C218.5")</f>
        <v>N/A</v>
      </c>
      <c r="D922" t="str">
        <f>RTD("tos.rtd", , "BID_SIZE", ".SPY171215C218.5")</f>
        <v>N/A</v>
      </c>
      <c r="E922" t="str">
        <f>RTD("tos.rtd", , "VOLUME", ".SPY171215C218.5")</f>
        <v>N/A</v>
      </c>
      <c r="F922" t="str">
        <f>RTD("tos.rtd", , "OPEN_INT", ".SPY171215C218.5")</f>
        <v>N/A</v>
      </c>
      <c r="G922" t="str">
        <f>RTD("tos.rtd", , "DELTA", ".SPY171215C218.5")</f>
        <v>N/A</v>
      </c>
      <c r="H922" t="str">
        <f>RTD("tos.rtd", , "THETA", ".SPY171215C218.5")</f>
        <v>N/A</v>
      </c>
      <c r="I922" t="str">
        <f>RTD("tos.rtd", , "GAMMA", ".SPY171215C218.5")</f>
        <v>N/A</v>
      </c>
      <c r="J922" t="str">
        <f>RTD("tos.rtd", , "VEGA", ".SPY171215C218.5")</f>
        <v>N/A</v>
      </c>
      <c r="K922" t="str">
        <f>RTD("tos.rtd", , "RHO", ".SPY171215C218.5")</f>
        <v>N/A</v>
      </c>
      <c r="L922" t="str">
        <f>RTD("tos.rtd", , "ASK", ".SPY171215P218.5")</f>
        <v>N/A</v>
      </c>
      <c r="M922" t="str">
        <f>RTD("tos.rtd", , "ASK_SIZE", ".SPY171215P218.5")</f>
        <v>N/A</v>
      </c>
      <c r="N922" t="str">
        <f>RTD("tos.rtd", , "BID", ".SPY171215P218.5")</f>
        <v>N/A</v>
      </c>
      <c r="O922" t="str">
        <f>RTD("tos.rtd", , "BID_SIZE", ".SPY171215P218.5")</f>
        <v>N/A</v>
      </c>
      <c r="P922" t="str">
        <f>RTD("tos.rtd", , "VOLUME", ".SPY171215P218.5")</f>
        <v>N/A</v>
      </c>
      <c r="Q922" t="str">
        <f>RTD("tos.rtd", , "OPEN_INT", ".SPY171215P218.5")</f>
        <v>N/A</v>
      </c>
      <c r="R922" t="str">
        <f>RTD("tos.rtd", , "DELTA", ".SPY171215P218.5")</f>
        <v>N/A</v>
      </c>
      <c r="S922" t="str">
        <f>RTD("tos.rtd", , "THETA", ".SPY171215P218.5")</f>
        <v>N/A</v>
      </c>
      <c r="T922" t="str">
        <f>RTD("tos.rtd", , "GAMMA", ".SPY171215P218.5")</f>
        <v>N/A</v>
      </c>
      <c r="U922" t="str">
        <f>RTD("tos.rtd", , "VEGA", ".SPY171215P218.5")</f>
        <v>N/A</v>
      </c>
      <c r="V922" t="str">
        <f>RTD("tos.rtd", , "RHO", ".SPY171215P218.5")</f>
        <v>N/A</v>
      </c>
    </row>
    <row r="923" spans="1:22" x14ac:dyDescent="0.25">
      <c r="A923" t="str">
        <f>RTD("tos.rtd", , "ASK", ".SPY171215C219")</f>
        <v>N/A</v>
      </c>
      <c r="B923" t="str">
        <f>RTD("tos.rtd", , "ASK_SIZE", ".SPY171215C219")</f>
        <v>N/A</v>
      </c>
      <c r="C923" t="str">
        <f>RTD("tos.rtd", , "BID", ".SPY171215C219")</f>
        <v>N/A</v>
      </c>
      <c r="D923" t="str">
        <f>RTD("tos.rtd", , "BID_SIZE", ".SPY171215C219")</f>
        <v>N/A</v>
      </c>
      <c r="E923" t="str">
        <f>RTD("tos.rtd", , "VOLUME", ".SPY171215C219")</f>
        <v>N/A</v>
      </c>
      <c r="F923" t="str">
        <f>RTD("tos.rtd", , "OPEN_INT", ".SPY171215C219")</f>
        <v>N/A</v>
      </c>
      <c r="G923" t="str">
        <f>RTD("tos.rtd", , "DELTA", ".SPY171215C219")</f>
        <v>N/A</v>
      </c>
      <c r="H923" t="str">
        <f>RTD("tos.rtd", , "THETA", ".SPY171215C219")</f>
        <v>N/A</v>
      </c>
      <c r="I923" t="str">
        <f>RTD("tos.rtd", , "GAMMA", ".SPY171215C219")</f>
        <v>N/A</v>
      </c>
      <c r="J923" t="str">
        <f>RTD("tos.rtd", , "VEGA", ".SPY171215C219")</f>
        <v>N/A</v>
      </c>
      <c r="K923" t="str">
        <f>RTD("tos.rtd", , "RHO", ".SPY171215C219")</f>
        <v>N/A</v>
      </c>
      <c r="L923" t="str">
        <f>RTD("tos.rtd", , "ASK", ".SPY171215P219")</f>
        <v>N/A</v>
      </c>
      <c r="M923" t="str">
        <f>RTD("tos.rtd", , "ASK_SIZE", ".SPY171215P219")</f>
        <v>N/A</v>
      </c>
      <c r="N923" t="str">
        <f>RTD("tos.rtd", , "BID", ".SPY171215P219")</f>
        <v>N/A</v>
      </c>
      <c r="O923" t="str">
        <f>RTD("tos.rtd", , "BID_SIZE", ".SPY171215P219")</f>
        <v>N/A</v>
      </c>
      <c r="P923" t="str">
        <f>RTD("tos.rtd", , "VOLUME", ".SPY171215P219")</f>
        <v>N/A</v>
      </c>
      <c r="Q923" t="str">
        <f>RTD("tos.rtd", , "OPEN_INT", ".SPY171215P219")</f>
        <v>N/A</v>
      </c>
      <c r="R923" t="str">
        <f>RTD("tos.rtd", , "DELTA", ".SPY171215P219")</f>
        <v>N/A</v>
      </c>
      <c r="S923" t="str">
        <f>RTD("tos.rtd", , "THETA", ".SPY171215P219")</f>
        <v>N/A</v>
      </c>
      <c r="T923" t="str">
        <f>RTD("tos.rtd", , "GAMMA", ".SPY171215P219")</f>
        <v>N/A</v>
      </c>
      <c r="U923" t="str">
        <f>RTD("tos.rtd", , "VEGA", ".SPY171215P219")</f>
        <v>N/A</v>
      </c>
      <c r="V923" t="str">
        <f>RTD("tos.rtd", , "RHO", ".SPY171215P219")</f>
        <v>N/A</v>
      </c>
    </row>
    <row r="924" spans="1:22" x14ac:dyDescent="0.25">
      <c r="A924" t="str">
        <f>RTD("tos.rtd", , "ASK", ".SPY171215C219.5")</f>
        <v>N/A</v>
      </c>
      <c r="B924" t="str">
        <f>RTD("tos.rtd", , "ASK_SIZE", ".SPY171215C219.5")</f>
        <v>N/A</v>
      </c>
      <c r="C924" t="str">
        <f>RTD("tos.rtd", , "BID", ".SPY171215C219.5")</f>
        <v>N/A</v>
      </c>
      <c r="D924" t="str">
        <f>RTD("tos.rtd", , "BID_SIZE", ".SPY171215C219.5")</f>
        <v>N/A</v>
      </c>
      <c r="E924" t="str">
        <f>RTD("tos.rtd", , "VOLUME", ".SPY171215C219.5")</f>
        <v>N/A</v>
      </c>
      <c r="F924" t="str">
        <f>RTD("tos.rtd", , "OPEN_INT", ".SPY171215C219.5")</f>
        <v>N/A</v>
      </c>
      <c r="G924" t="str">
        <f>RTD("tos.rtd", , "DELTA", ".SPY171215C219.5")</f>
        <v>N/A</v>
      </c>
      <c r="H924" t="str">
        <f>RTD("tos.rtd", , "THETA", ".SPY171215C219.5")</f>
        <v>N/A</v>
      </c>
      <c r="I924" t="str">
        <f>RTD("tos.rtd", , "GAMMA", ".SPY171215C219.5")</f>
        <v>N/A</v>
      </c>
      <c r="J924" t="str">
        <f>RTD("tos.rtd", , "VEGA", ".SPY171215C219.5")</f>
        <v>N/A</v>
      </c>
      <c r="K924" t="str">
        <f>RTD("tos.rtd", , "RHO", ".SPY171215C219.5")</f>
        <v>N/A</v>
      </c>
      <c r="L924" t="str">
        <f>RTD("tos.rtd", , "ASK", ".SPY171215P219.5")</f>
        <v>N/A</v>
      </c>
      <c r="M924" t="str">
        <f>RTD("tos.rtd", , "ASK_SIZE", ".SPY171215P219.5")</f>
        <v>N/A</v>
      </c>
      <c r="N924" t="str">
        <f>RTD("tos.rtd", , "BID", ".SPY171215P219.5")</f>
        <v>N/A</v>
      </c>
      <c r="O924" t="str">
        <f>RTD("tos.rtd", , "BID_SIZE", ".SPY171215P219.5")</f>
        <v>N/A</v>
      </c>
      <c r="P924" t="str">
        <f>RTD("tos.rtd", , "VOLUME", ".SPY171215P219.5")</f>
        <v>N/A</v>
      </c>
      <c r="Q924" t="str">
        <f>RTD("tos.rtd", , "OPEN_INT", ".SPY171215P219.5")</f>
        <v>N/A</v>
      </c>
      <c r="R924" t="str">
        <f>RTD("tos.rtd", , "DELTA", ".SPY171215P219.5")</f>
        <v>N/A</v>
      </c>
      <c r="S924" t="str">
        <f>RTD("tos.rtd", , "THETA", ".SPY171215P219.5")</f>
        <v>N/A</v>
      </c>
      <c r="T924" t="str">
        <f>RTD("tos.rtd", , "GAMMA", ".SPY171215P219.5")</f>
        <v>N/A</v>
      </c>
      <c r="U924" t="str">
        <f>RTD("tos.rtd", , "VEGA", ".SPY171215P219.5")</f>
        <v>N/A</v>
      </c>
      <c r="V924" t="str">
        <f>RTD("tos.rtd", , "RHO", ".SPY171215P219.5")</f>
        <v>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subject/>
  <dc:creator>Unknown</dc:creator>
  <cp:keywords/>
  <dc:description/>
  <cp:lastModifiedBy>mueller</cp:lastModifiedBy>
  <dcterms:created xsi:type="dcterms:W3CDTF">2015-04-16T06:11:59Z</dcterms:created>
  <dcterms:modified xsi:type="dcterms:W3CDTF">2015-05-04T20:15:46Z</dcterms:modified>
  <cp:category/>
</cp:coreProperties>
</file>