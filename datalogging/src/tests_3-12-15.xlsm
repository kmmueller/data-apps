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510" yWindow="570" windowWidth="14055" windowHeight="9150"/>
  </bookViews>
  <sheets>
    <sheet name="Sheet" sheetId="1" r:id="rId1"/>
  </sheets>
  <calcPr calcId="145621"/>
</workbook>
</file>

<file path=xl/calcChain.xml><?xml version="1.0" encoding="utf-8"?>
<calcChain xmlns="http://schemas.openxmlformats.org/spreadsheetml/2006/main">
  <c r="D23" i="1" l="1"/>
  <c r="V16" i="1" l="1"/>
  <c r="U16" i="1"/>
  <c r="T16" i="1"/>
  <c r="L16" i="1"/>
  <c r="D16" i="1"/>
  <c r="R15" i="1"/>
  <c r="J15" i="1"/>
  <c r="B15" i="1"/>
  <c r="P14" i="1"/>
  <c r="H14" i="1"/>
  <c r="V13" i="1"/>
  <c r="N13" i="1"/>
  <c r="F13" i="1"/>
  <c r="T12" i="1"/>
  <c r="L12" i="1"/>
  <c r="D12" i="1"/>
  <c r="R11" i="1"/>
  <c r="J11" i="1"/>
  <c r="B11" i="1"/>
  <c r="Q8" i="1"/>
  <c r="I8" i="1"/>
  <c r="A8" i="1"/>
  <c r="O7" i="1"/>
  <c r="G7" i="1"/>
  <c r="U6" i="1"/>
  <c r="M6" i="1"/>
  <c r="E6" i="1"/>
  <c r="S5" i="1"/>
  <c r="K5" i="1"/>
  <c r="C5" i="1"/>
  <c r="Q4" i="1"/>
  <c r="I4" i="1"/>
  <c r="A4" i="1"/>
  <c r="O3" i="1"/>
  <c r="G3" i="1"/>
  <c r="R16" i="1"/>
  <c r="B16" i="1"/>
  <c r="H15" i="1"/>
  <c r="V14" i="1"/>
  <c r="F14" i="1"/>
  <c r="L13" i="1"/>
  <c r="R12" i="1"/>
  <c r="B12" i="1"/>
  <c r="H11" i="1"/>
  <c r="O8" i="1"/>
  <c r="U7" i="1"/>
  <c r="E7" i="1"/>
  <c r="K6" i="1"/>
  <c r="Q5" i="1"/>
  <c r="A5" i="1"/>
  <c r="G4" i="1"/>
  <c r="M3" i="1"/>
  <c r="A16" i="1"/>
  <c r="G15" i="1"/>
  <c r="M14" i="1"/>
  <c r="S13" i="1"/>
  <c r="C13" i="1"/>
  <c r="I12" i="1"/>
  <c r="O11" i="1"/>
  <c r="V8" i="1"/>
  <c r="F8" i="1"/>
  <c r="L7" i="1"/>
  <c r="R6" i="1"/>
  <c r="B6" i="1"/>
  <c r="P5" i="1"/>
  <c r="V4" i="1"/>
  <c r="F4" i="1"/>
  <c r="L3" i="1"/>
  <c r="H16" i="1"/>
  <c r="N15" i="1"/>
  <c r="T14" i="1"/>
  <c r="R13" i="1"/>
  <c r="B13" i="1"/>
  <c r="H12" i="1"/>
  <c r="N11" i="1"/>
  <c r="U8" i="1"/>
  <c r="E8" i="1"/>
  <c r="K7" i="1"/>
  <c r="Q6" i="1"/>
  <c r="A6" i="1"/>
  <c r="G5" i="1"/>
  <c r="M4" i="1"/>
  <c r="S3" i="1"/>
  <c r="C3" i="1"/>
  <c r="S16" i="1"/>
  <c r="K16" i="1"/>
  <c r="C16" i="1"/>
  <c r="Q15" i="1"/>
  <c r="I15" i="1"/>
  <c r="A15" i="1"/>
  <c r="O14" i="1"/>
  <c r="G14" i="1"/>
  <c r="U13" i="1"/>
  <c r="M13" i="1"/>
  <c r="E13" i="1"/>
  <c r="S12" i="1"/>
  <c r="K12" i="1"/>
  <c r="C12" i="1"/>
  <c r="Q11" i="1"/>
  <c r="I11" i="1"/>
  <c r="A11" i="1"/>
  <c r="P8" i="1"/>
  <c r="H8" i="1"/>
  <c r="V7" i="1"/>
  <c r="N7" i="1"/>
  <c r="F7" i="1"/>
  <c r="T6" i="1"/>
  <c r="L6" i="1"/>
  <c r="D6" i="1"/>
  <c r="R5" i="1"/>
  <c r="J5" i="1"/>
  <c r="B5" i="1"/>
  <c r="P4" i="1"/>
  <c r="H4" i="1"/>
  <c r="V3" i="1"/>
  <c r="N3" i="1"/>
  <c r="F3" i="1"/>
  <c r="J16" i="1"/>
  <c r="P15" i="1"/>
  <c r="N14" i="1"/>
  <c r="T13" i="1"/>
  <c r="D13" i="1"/>
  <c r="J12" i="1"/>
  <c r="P11" i="1"/>
  <c r="A10" i="1"/>
  <c r="G8" i="1"/>
  <c r="M7" i="1"/>
  <c r="S6" i="1"/>
  <c r="C6" i="1"/>
  <c r="I5" i="1"/>
  <c r="O4" i="1"/>
  <c r="U3" i="1"/>
  <c r="E3" i="1"/>
  <c r="I16" i="1"/>
  <c r="O15" i="1"/>
  <c r="U14" i="1"/>
  <c r="E14" i="1"/>
  <c r="K13" i="1"/>
  <c r="Q12" i="1"/>
  <c r="A12" i="1"/>
  <c r="G11" i="1"/>
  <c r="N8" i="1"/>
  <c r="T7" i="1"/>
  <c r="D7" i="1"/>
  <c r="J6" i="1"/>
  <c r="H5" i="1"/>
  <c r="N4" i="1"/>
  <c r="T3" i="1"/>
  <c r="D3" i="1"/>
  <c r="P16" i="1"/>
  <c r="V15" i="1"/>
  <c r="F15" i="1"/>
  <c r="L14" i="1"/>
  <c r="D14" i="1"/>
  <c r="J13" i="1"/>
  <c r="P12" i="1"/>
  <c r="V11" i="1"/>
  <c r="F11" i="1"/>
  <c r="M8" i="1"/>
  <c r="S7" i="1"/>
  <c r="C7" i="1"/>
  <c r="I6" i="1"/>
  <c r="O5" i="1"/>
  <c r="U4" i="1"/>
  <c r="E4" i="1"/>
  <c r="K3" i="1"/>
  <c r="Q16" i="1"/>
  <c r="O16" i="1"/>
  <c r="G16" i="1"/>
  <c r="U15" i="1"/>
  <c r="M15" i="1"/>
  <c r="E15" i="1"/>
  <c r="S14" i="1"/>
  <c r="K14" i="1"/>
  <c r="C14" i="1"/>
  <c r="Q13" i="1"/>
  <c r="I13" i="1"/>
  <c r="A13" i="1"/>
  <c r="O12" i="1"/>
  <c r="G12" i="1"/>
  <c r="U11" i="1"/>
  <c r="M11" i="1"/>
  <c r="E11" i="1"/>
  <c r="T8" i="1"/>
  <c r="L8" i="1"/>
  <c r="D8" i="1"/>
  <c r="R7" i="1"/>
  <c r="J7" i="1"/>
  <c r="B7" i="1"/>
  <c r="P6" i="1"/>
  <c r="H6" i="1"/>
  <c r="V5" i="1"/>
  <c r="N5" i="1"/>
  <c r="F5" i="1"/>
  <c r="T4" i="1"/>
  <c r="L4" i="1"/>
  <c r="D4" i="1"/>
  <c r="R3" i="1"/>
  <c r="J3" i="1"/>
  <c r="B3" i="1"/>
  <c r="N16" i="1"/>
  <c r="F16" i="1"/>
  <c r="T15" i="1"/>
  <c r="L15" i="1"/>
  <c r="D15" i="1"/>
  <c r="R14" i="1"/>
  <c r="J14" i="1"/>
  <c r="B14" i="1"/>
  <c r="P13" i="1"/>
  <c r="H13" i="1"/>
  <c r="V12" i="1"/>
  <c r="N12" i="1"/>
  <c r="F12" i="1"/>
  <c r="T11" i="1"/>
  <c r="L11" i="1"/>
  <c r="D11" i="1"/>
  <c r="S8" i="1"/>
  <c r="K8" i="1"/>
  <c r="C8" i="1"/>
  <c r="Q7" i="1"/>
  <c r="I7" i="1"/>
  <c r="A7" i="1"/>
  <c r="O6" i="1"/>
  <c r="G6" i="1"/>
  <c r="U5" i="1"/>
  <c r="M5" i="1"/>
  <c r="E5" i="1"/>
  <c r="S4" i="1"/>
  <c r="K4" i="1"/>
  <c r="C4" i="1"/>
  <c r="Q3" i="1"/>
  <c r="I3" i="1"/>
  <c r="A3" i="1"/>
  <c r="M16" i="1"/>
  <c r="E16" i="1"/>
  <c r="S15" i="1"/>
  <c r="K15" i="1"/>
  <c r="C15" i="1"/>
  <c r="Q14" i="1"/>
  <c r="I14" i="1"/>
  <c r="A14" i="1"/>
  <c r="O13" i="1"/>
  <c r="G13" i="1"/>
  <c r="U12" i="1"/>
  <c r="M12" i="1"/>
  <c r="E12" i="1"/>
  <c r="S11" i="1"/>
  <c r="K11" i="1"/>
  <c r="C11" i="1"/>
  <c r="R8" i="1"/>
  <c r="J8" i="1"/>
  <c r="B8" i="1"/>
  <c r="P7" i="1"/>
  <c r="H7" i="1"/>
  <c r="V6" i="1"/>
  <c r="N6" i="1"/>
  <c r="F6" i="1"/>
  <c r="T5" i="1"/>
  <c r="L5" i="1"/>
  <c r="D5" i="1"/>
  <c r="R4" i="1"/>
  <c r="J4" i="1"/>
  <c r="B4" i="1"/>
  <c r="P3" i="1"/>
  <c r="H3" i="1"/>
  <c r="A2" i="1"/>
</calcChain>
</file>

<file path=xl/sharedStrings.xml><?xml version="1.0" encoding="utf-8"?>
<sst xmlns="http://schemas.openxmlformats.org/spreadsheetml/2006/main" count="2" uniqueCount="2">
  <si>
    <t>GPRO15032057p52p56</t>
  </si>
  <si>
    <t>GPRO15041757p52p56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</si>
</sst>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e">
        <v>#N/A</v>
        <stp/>
        <stp>VEGA</stp>
        <stp>.GPRO150320C62.5</stp>
        <tr r="J5" s="1"/>
      </tp>
      <tp t="e">
        <v>#N/A</v>
        <stp/>
        <stp>VEGA</stp>
        <stp>.GPRO150320P62.5</stp>
        <tr r="U5" s="1"/>
      </tp>
      <tp t="e">
        <v>#N/A</v>
        <stp/>
        <stp>VEGA</stp>
        <stp>.GPRO150417C62.5</stp>
        <tr r="J13" s="1"/>
      </tp>
      <tp t="e">
        <v>#N/A</v>
        <stp/>
        <stp>VEGA</stp>
        <stp>.GPRO150417P62.5</stp>
        <tr r="U13" s="1"/>
      </tp>
      <tp t="e">
        <v>#N/A</v>
        <stp/>
        <stp>VEGA</stp>
        <stp>.GPRO150320C57.5</stp>
        <tr r="J3" s="1"/>
      </tp>
      <tp t="e">
        <v>#N/A</v>
        <stp/>
        <stp>VEGA</stp>
        <stp>.GPRO150320C67.5</stp>
        <tr r="J7" s="1"/>
      </tp>
      <tp t="e">
        <v>#N/A</v>
        <stp/>
        <stp>VEGA</stp>
        <stp>.GPRO150320P57.5</stp>
        <tr r="U3" s="1"/>
      </tp>
      <tp t="e">
        <v>#N/A</v>
        <stp/>
        <stp>VEGA</stp>
        <stp>.GPRO150320P67.5</stp>
        <tr r="U7" s="1"/>
      </tp>
      <tp t="e">
        <v>#N/A</v>
        <stp/>
        <stp>VEGA</stp>
        <stp>.GPRO150417C67.5</stp>
        <tr r="J15" s="1"/>
      </tp>
      <tp t="e">
        <v>#N/A</v>
        <stp/>
        <stp>VEGA</stp>
        <stp>.GPRO150417C57.5</stp>
        <tr r="J11" s="1"/>
      </tp>
      <tp t="e">
        <v>#N/A</v>
        <stp/>
        <stp>VEGA</stp>
        <stp>.GPRO150417P67.5</stp>
        <tr r="U15" s="1"/>
      </tp>
      <tp t="e">
        <v>#N/A</v>
        <stp/>
        <stp>VEGA</stp>
        <stp>.GPRO150417P57.5</stp>
        <tr r="U11" s="1"/>
      </tp>
      <tp t="e">
        <v>#N/A</v>
        <stp/>
        <stp>DELTA</stp>
        <stp>.GPRO150320P62.5</stp>
        <tr r="R5" s="1"/>
      </tp>
      <tp t="e">
        <v>#N/A</v>
        <stp/>
        <stp>DELTA</stp>
        <stp>.GPRO150320C62.5</stp>
        <tr r="G5" s="1"/>
      </tp>
      <tp t="e">
        <v>#N/A</v>
        <stp/>
        <stp>THETA</stp>
        <stp>.GPRO150320P62.5</stp>
        <tr r="S5" s="1"/>
      </tp>
      <tp t="e">
        <v>#N/A</v>
        <stp/>
        <stp>THETA</stp>
        <stp>.GPRO150320C62.5</stp>
        <tr r="H5" s="1"/>
      </tp>
      <tp t="e">
        <v>#N/A</v>
        <stp/>
        <stp>DELTA</stp>
        <stp>.GPRO150417P62.5</stp>
        <tr r="R13" s="1"/>
      </tp>
      <tp t="e">
        <v>#N/A</v>
        <stp/>
        <stp>DELTA</stp>
        <stp>.GPRO150417C62.5</stp>
        <tr r="G13" s="1"/>
      </tp>
      <tp t="e">
        <v>#N/A</v>
        <stp/>
        <stp>THETA</stp>
        <stp>.GPRO150417P62.5</stp>
        <tr r="S13" s="1"/>
      </tp>
      <tp t="e">
        <v>#N/A</v>
        <stp/>
        <stp>THETA</stp>
        <stp>.GPRO150417C62.5</stp>
        <tr r="H13" s="1"/>
      </tp>
      <tp t="e">
        <v>#N/A</v>
        <stp/>
        <stp>DELTA</stp>
        <stp>.GPRO150320P67.5</stp>
        <tr r="R7" s="1"/>
      </tp>
      <tp t="e">
        <v>#N/A</v>
        <stp/>
        <stp>DELTA</stp>
        <stp>.GPRO150320P57.5</stp>
        <tr r="R3" s="1"/>
      </tp>
      <tp t="e">
        <v>#N/A</v>
        <stp/>
        <stp>DELTA</stp>
        <stp>.GPRO150320C67.5</stp>
        <tr r="G7" s="1"/>
      </tp>
      <tp t="e">
        <v>#N/A</v>
        <stp/>
        <stp>DELTA</stp>
        <stp>.GPRO150320C57.5</stp>
        <tr r="G3" s="1"/>
      </tp>
      <tp t="e">
        <v>#N/A</v>
        <stp/>
        <stp>OPEN_INT</stp>
        <stp>.GPRO150320C65</stp>
        <tr r="F6" s="1"/>
        <tr r="Q6" s="1"/>
      </tp>
      <tp t="e">
        <v>#N/A</v>
        <stp/>
        <stp>OPEN_INT</stp>
        <stp>.GPRO150320C60</stp>
        <tr r="F4" s="1"/>
        <tr r="Q4" s="1"/>
      </tp>
      <tp t="e">
        <v>#N/A</v>
        <stp/>
        <stp>OPEN_INT</stp>
        <stp>.GPRO150320C70</stp>
        <tr r="F8" s="1"/>
        <tr r="Q8" s="1"/>
      </tp>
      <tp t="e">
        <v>#N/A</v>
        <stp/>
        <stp>OPEN_INT</stp>
        <stp>.GPRO150417C70</stp>
        <tr r="F16" s="1"/>
        <tr r="Q16" s="1"/>
      </tp>
      <tp t="e">
        <v>#N/A</v>
        <stp/>
        <stp>OPEN_INT</stp>
        <stp>.GPRO150417C65</stp>
        <tr r="Q14" s="1"/>
        <tr r="F14" s="1"/>
      </tp>
      <tp t="e">
        <v>#N/A</v>
        <stp/>
        <stp>OPEN_INT</stp>
        <stp>.GPRO150417C60</stp>
        <tr r="F12" s="1"/>
        <tr r="Q12" s="1"/>
      </tp>
      <tp t="e">
        <v>#N/A</v>
        <stp/>
        <stp>THETA</stp>
        <stp>.GPRO150320P67.5</stp>
        <tr r="S7" s="1"/>
      </tp>
      <tp t="e">
        <v>#N/A</v>
        <stp/>
        <stp>THETA</stp>
        <stp>.GPRO150320P57.5</stp>
        <tr r="S3" s="1"/>
      </tp>
      <tp t="e">
        <v>#N/A</v>
        <stp/>
        <stp>THETA</stp>
        <stp>.GPRO150320C67.5</stp>
        <tr r="H7" s="1"/>
      </tp>
      <tp t="e">
        <v>#N/A</v>
        <stp/>
        <stp>THETA</stp>
        <stp>.GPRO150320C57.5</stp>
        <tr r="H3" s="1"/>
      </tp>
      <tp t="e">
        <v>#N/A</v>
        <stp/>
        <stp>BID_SIZE</stp>
        <stp>.GPRO150320C70</stp>
        <tr r="D8" s="1"/>
        <tr r="O8" s="1"/>
      </tp>
      <tp t="e">
        <v>#N/A</v>
        <stp/>
        <stp>BID_SIZE</stp>
        <stp>.GPRO150320C60</stp>
        <tr r="D4" s="1"/>
        <tr r="O4" s="1"/>
      </tp>
      <tp t="e">
        <v>#N/A</v>
        <stp/>
        <stp>BID_SIZE</stp>
        <stp>.GPRO150320C65</stp>
        <tr r="O6" s="1"/>
        <tr r="D6" s="1"/>
      </tp>
      <tp t="e">
        <v>#N/A</v>
        <stp/>
        <stp>BID_SIZE</stp>
        <stp>.GPRO150417C60</stp>
        <tr r="O12" s="1"/>
        <tr r="D12" s="1"/>
      </tp>
      <tp t="e">
        <v>#N/A</v>
        <stp/>
        <stp>BID_SIZE</stp>
        <stp>.GPRO150417C65</stp>
        <tr r="D14" s="1"/>
        <tr r="O14" s="1"/>
      </tp>
      <tp t="e">
        <v>#N/A</v>
        <stp/>
        <stp>BID_SIZE</stp>
        <stp>.GPRO150417C70</stp>
        <tr r="O16" s="1"/>
        <tr r="D16" s="1"/>
      </tp>
      <tp t="e">
        <v>#N/A</v>
        <stp/>
        <stp>ASK_SIZE</stp>
        <stp>.GPRO150320C70</stp>
        <tr r="B8" s="1"/>
        <tr r="M8" s="1"/>
      </tp>
      <tp t="e">
        <v>#N/A</v>
        <stp/>
        <stp>ASK_SIZE</stp>
        <stp>.GPRO150320C65</stp>
        <tr r="B6" s="1"/>
        <tr r="M6" s="1"/>
      </tp>
      <tp t="e">
        <v>#N/A</v>
        <stp/>
        <stp>ASK_SIZE</stp>
        <stp>.GPRO150320C60</stp>
        <tr r="B4" s="1"/>
        <tr r="M4" s="1"/>
      </tp>
      <tp t="e">
        <v>#N/A</v>
        <stp/>
        <stp>ASK_SIZE</stp>
        <stp>.GPRO150417C65</stp>
        <tr r="B14" s="1"/>
        <tr r="M14" s="1"/>
      </tp>
      <tp t="e">
        <v>#N/A</v>
        <stp/>
        <stp>ASK_SIZE</stp>
        <stp>.GPRO150417C60</stp>
        <tr r="M12" s="1"/>
        <tr r="B12" s="1"/>
      </tp>
      <tp t="e">
        <v>#N/A</v>
        <stp/>
        <stp>ASK_SIZE</stp>
        <stp>.GPRO150417C70</stp>
        <tr r="M16" s="1"/>
        <tr r="B16" s="1"/>
      </tp>
      <tp t="e">
        <v>#N/A</v>
        <stp/>
        <stp>DELTA</stp>
        <stp>.GPRO150417P57.5</stp>
        <tr r="R11" s="1"/>
      </tp>
      <tp t="e">
        <v>#N/A</v>
        <stp/>
        <stp>DELTA</stp>
        <stp>.GPRO150417P67.5</stp>
        <tr r="R15" s="1"/>
      </tp>
      <tp t="e">
        <v>#N/A</v>
        <stp/>
        <stp>DELTA</stp>
        <stp>.GPRO150417C57.5</stp>
        <tr r="G11" s="1"/>
      </tp>
      <tp t="e">
        <v>#N/A</v>
        <stp/>
        <stp>DELTA</stp>
        <stp>.GPRO150417C67.5</stp>
        <tr r="G15" s="1"/>
      </tp>
      <tp t="e">
        <v>#N/A</v>
        <stp/>
        <stp>THETA</stp>
        <stp>.GPRO150417P57.5</stp>
        <tr r="S11" s="1"/>
      </tp>
      <tp t="e">
        <v>#N/A</v>
        <stp/>
        <stp>THETA</stp>
        <stp>.GPRO150417P67.5</stp>
        <tr r="S15" s="1"/>
      </tp>
      <tp t="e">
        <v>#N/A</v>
        <stp/>
        <stp>THETA</stp>
        <stp>.GPRO150417C57.5</stp>
        <tr r="H11" s="1"/>
      </tp>
      <tp t="e">
        <v>#N/A</v>
        <stp/>
        <stp>THETA</stp>
        <stp>.GPRO150417C67.5</stp>
        <tr r="H15" s="1"/>
      </tp>
      <tp t="e">
        <v>#N/A</v>
        <stp/>
        <stp>BID</stp>
        <stp>.GPRO150320C62.5</stp>
        <tr r="C5" s="1"/>
      </tp>
      <tp t="e">
        <v>#N/A</v>
        <stp/>
        <stp>BID</stp>
        <stp>.GPRO150320P62.5</stp>
        <tr r="N5" s="1"/>
      </tp>
      <tp t="e">
        <v>#N/A</v>
        <stp/>
        <stp>RHO</stp>
        <stp>.GPRO150320C62.5</stp>
        <tr r="K5" s="1"/>
      </tp>
      <tp t="e">
        <v>#N/A</v>
        <stp/>
        <stp>RHO</stp>
        <stp>.GPRO150320P62.5</stp>
        <tr r="V5" s="1"/>
      </tp>
      <tp t="e">
        <v>#N/A</v>
        <stp/>
        <stp>LAST</stp>
        <stp>GPRO</stp>
        <tr r="A2" s="1"/>
        <tr r="A10" s="1"/>
      </tp>
      <tp t="e">
        <v>#N/A</v>
        <stp/>
        <stp>RHO</stp>
        <stp>.GPRO150417C62.5</stp>
        <tr r="K13" s="1"/>
      </tp>
      <tp t="e">
        <v>#N/A</v>
        <stp/>
        <stp>RHO</stp>
        <stp>.GPRO150417P62.5</stp>
        <tr r="V13" s="1"/>
      </tp>
      <tp t="e">
        <v>#N/A</v>
        <stp/>
        <stp>RHO</stp>
        <stp>.GPRO150417C60</stp>
        <tr r="K12" s="1"/>
      </tp>
      <tp t="e">
        <v>#N/A</v>
        <stp/>
        <stp>RHO</stp>
        <stp>.GPRO150417C65</stp>
        <tr r="K14" s="1"/>
      </tp>
      <tp t="e">
        <v>#N/A</v>
        <stp/>
        <stp>RHO</stp>
        <stp>.GPRO150417C70</stp>
        <tr r="K16" s="1"/>
      </tp>
      <tp t="e">
        <v>#N/A</v>
        <stp/>
        <stp>RHO</stp>
        <stp>.GPRO150320C70</stp>
        <tr r="K8" s="1"/>
      </tp>
      <tp t="e">
        <v>#N/A</v>
        <stp/>
        <stp>RHO</stp>
        <stp>.GPRO150320C60</stp>
        <tr r="K4" s="1"/>
      </tp>
      <tp t="e">
        <v>#N/A</v>
        <stp/>
        <stp>RHO</stp>
        <stp>.GPRO150320C65</stp>
        <tr r="K6" s="1"/>
      </tp>
      <tp t="e">
        <v>#N/A</v>
        <stp/>
        <stp>ASK</stp>
        <stp>.GPRO150417C70</stp>
        <tr r="A16" s="1"/>
      </tp>
      <tp t="e">
        <v>#N/A</v>
        <stp/>
        <stp>ASK</stp>
        <stp>.GPRO150417C60</stp>
        <tr r="A12" s="1"/>
      </tp>
      <tp t="e">
        <v>#N/A</v>
        <stp/>
        <stp>ASK</stp>
        <stp>.GPRO150417C65</stp>
        <tr r="A14" s="1"/>
      </tp>
      <tp t="e">
        <v>#N/A</v>
        <stp/>
        <stp>BID</stp>
        <stp>.GPRO150417C60</stp>
        <tr r="C12" s="1"/>
      </tp>
      <tp t="e">
        <v>#N/A</v>
        <stp/>
        <stp>BID</stp>
        <stp>.GPRO150417C65</stp>
        <tr r="C14" s="1"/>
      </tp>
      <tp t="e">
        <v>#N/A</v>
        <stp/>
        <stp>BID</stp>
        <stp>.GPRO150417C70</stp>
        <tr r="C16" s="1"/>
      </tp>
      <tp t="e">
        <v>#N/A</v>
        <stp/>
        <stp>BID</stp>
        <stp>.GPRO150320C70</stp>
        <tr r="C8" s="1"/>
      </tp>
      <tp t="e">
        <v>#N/A</v>
        <stp/>
        <stp>BID</stp>
        <stp>.GPRO150320C60</stp>
        <tr r="C4" s="1"/>
      </tp>
      <tp t="e">
        <v>#N/A</v>
        <stp/>
        <stp>BID</stp>
        <stp>.GPRO150320C65</stp>
        <tr r="C6" s="1"/>
      </tp>
      <tp t="e">
        <v>#N/A</v>
        <stp/>
        <stp>ASK</stp>
        <stp>.GPRO150320C60</stp>
        <tr r="A4" s="1"/>
      </tp>
      <tp t="e">
        <v>#N/A</v>
        <stp/>
        <stp>ASK</stp>
        <stp>.GPRO150320C65</stp>
        <tr r="A6" s="1"/>
      </tp>
      <tp t="e">
        <v>#N/A</v>
        <stp/>
        <stp>ASK</stp>
        <stp>.GPRO150320C70</stp>
        <tr r="A8" s="1"/>
      </tp>
      <tp t="e">
        <v>#N/A</v>
        <stp/>
        <stp>BID</stp>
        <stp>.GPRO150417C62.5</stp>
        <tr r="C13" s="1"/>
      </tp>
      <tp t="e">
        <v>#N/A</v>
        <stp/>
        <stp>BID</stp>
        <stp>.GPRO150417P62.5</stp>
        <tr r="N13" s="1"/>
      </tp>
      <tp t="e">
        <v>#N/A</v>
        <stp/>
        <stp>RHO</stp>
        <stp>.GPRO150320C67.5</stp>
        <tr r="K7" s="1"/>
      </tp>
      <tp t="e">
        <v>#N/A</v>
        <stp/>
        <stp>RHO</stp>
        <stp>.GPRO150320C57.5</stp>
        <tr r="K3" s="1"/>
      </tp>
      <tp t="e">
        <v>#N/A</v>
        <stp/>
        <stp>RHO</stp>
        <stp>.GPRO150320P67.5</stp>
        <tr r="V7" s="1"/>
      </tp>
      <tp t="e">
        <v>#N/A</v>
        <stp/>
        <stp>RHO</stp>
        <stp>.GPRO150320P57.5</stp>
        <tr r="V3" s="1"/>
      </tp>
      <tp t="e">
        <v>#N/A</v>
        <stp/>
        <stp>BID</stp>
        <stp>.GPRO150320C67.5</stp>
        <tr r="C7" s="1"/>
      </tp>
      <tp t="e">
        <v>#N/A</v>
        <stp/>
        <stp>BID</stp>
        <stp>.GPRO150320C57.5</stp>
        <tr r="C3" s="1"/>
      </tp>
      <tp t="e">
        <v>#N/A</v>
        <stp/>
        <stp>BID</stp>
        <stp>.GPRO150320P67.5</stp>
        <tr r="N7" s="1"/>
      </tp>
      <tp t="e">
        <v>#N/A</v>
        <stp/>
        <stp>BID</stp>
        <stp>.GPRO150320P57.5</stp>
        <tr r="N3" s="1"/>
      </tp>
      <tp t="e">
        <v>#N/A</v>
        <stp/>
        <stp>BID</stp>
        <stp>.GPRO150417C57.5</stp>
        <tr r="C11" s="1"/>
      </tp>
      <tp t="e">
        <v>#N/A</v>
        <stp/>
        <stp>BID</stp>
        <stp>.GPRO150417C67.5</stp>
        <tr r="C15" s="1"/>
      </tp>
      <tp t="e">
        <v>#N/A</v>
        <stp/>
        <stp>BID</stp>
        <stp>.GPRO150417P57.5</stp>
        <tr r="N11" s="1"/>
      </tp>
      <tp t="e">
        <v>#N/A</v>
        <stp/>
        <stp>BID</stp>
        <stp>.GPRO150417P67.5</stp>
        <tr r="N15" s="1"/>
      </tp>
      <tp t="e">
        <v>#N/A</v>
        <stp/>
        <stp>RHO</stp>
        <stp>.GPRO150417C57.5</stp>
        <tr r="K11" s="1"/>
      </tp>
      <tp t="e">
        <v>#N/A</v>
        <stp/>
        <stp>RHO</stp>
        <stp>.GPRO150417C67.5</stp>
        <tr r="K15" s="1"/>
      </tp>
      <tp t="e">
        <v>#N/A</v>
        <stp/>
        <stp>RHO</stp>
        <stp>.GPRO150417P57.5</stp>
        <tr r="V11" s="1"/>
      </tp>
      <tp t="e">
        <v>#N/A</v>
        <stp/>
        <stp>RHO</stp>
        <stp>.GPRO150417P67.5</stp>
        <tr r="V15" s="1"/>
      </tp>
      <tp t="e">
        <v>#N/A</v>
        <stp/>
        <stp>ASK</stp>
        <stp>.GPRO150417C62.5</stp>
        <tr r="A13" s="1"/>
      </tp>
      <tp t="e">
        <v>#N/A</v>
        <stp/>
        <stp>ASK</stp>
        <stp>.GPRO150417P62.5</stp>
        <tr r="L13" s="1"/>
      </tp>
      <tp t="e">
        <v>#N/A</v>
        <stp/>
        <stp>ASK</stp>
        <stp>.GPRO150320C62.5</stp>
        <tr r="A5" s="1"/>
      </tp>
      <tp t="e">
        <v>#N/A</v>
        <stp/>
        <stp>ASK</stp>
        <stp>.GPRO150320P62.5</stp>
        <tr r="L5" s="1"/>
      </tp>
      <tp t="e">
        <v>#N/A</v>
        <stp/>
        <stp>ASK</stp>
        <stp>.GPRO150417C67.5</stp>
        <tr r="A15" s="1"/>
      </tp>
      <tp t="e">
        <v>#N/A</v>
        <stp/>
        <stp>ASK</stp>
        <stp>.GPRO150417C57.5</stp>
        <tr r="A11" s="1"/>
      </tp>
      <tp t="e">
        <v>#N/A</v>
        <stp/>
        <stp>ASK</stp>
        <stp>.GPRO150417P67.5</stp>
        <tr r="L15" s="1"/>
      </tp>
      <tp t="e">
        <v>#N/A</v>
        <stp/>
        <stp>ASK</stp>
        <stp>.GPRO150417P57.5</stp>
        <tr r="L11" s="1"/>
      </tp>
      <tp t="e">
        <v>#N/A</v>
        <stp/>
        <stp>ASK</stp>
        <stp>.GPRO150320C57.5</stp>
        <tr r="A3" s="1"/>
      </tp>
      <tp t="e">
        <v>#N/A</v>
        <stp/>
        <stp>ASK</stp>
        <stp>.GPRO150320C67.5</stp>
        <tr r="A7" s="1"/>
      </tp>
      <tp t="e">
        <v>#N/A</v>
        <stp/>
        <stp>ASK</stp>
        <stp>.GPRO150320P57.5</stp>
        <tr r="L3" s="1"/>
      </tp>
      <tp t="e">
        <v>#N/A</v>
        <stp/>
        <stp>ASK</stp>
        <stp>.GPRO150320P67.5</stp>
        <tr r="L7" s="1"/>
      </tp>
      <tp t="e">
        <v>#N/A</v>
        <stp/>
        <stp>GAMMA</stp>
        <stp>.GPRO150320P62.5</stp>
        <tr r="T5" s="1"/>
      </tp>
      <tp t="e">
        <v>#N/A</v>
        <stp/>
        <stp>GAMMA</stp>
        <stp>.GPRO150320C62.5</stp>
        <tr r="I5" s="1"/>
      </tp>
      <tp t="e">
        <v>#N/A</v>
        <stp/>
        <stp>RHO</stp>
        <stp>.GPRO150417P60</stp>
        <tr r="V12" s="1"/>
      </tp>
      <tp t="e">
        <v>#N/A</v>
        <stp/>
        <stp>RHO</stp>
        <stp>.GPRO150417P65</stp>
        <tr r="V14" s="1"/>
      </tp>
      <tp t="e">
        <v>#N/A</v>
        <stp/>
        <stp>RHO</stp>
        <stp>.GPRO150417P70</stp>
        <tr r="V16" s="1"/>
      </tp>
      <tp t="e">
        <v>#N/A</v>
        <stp/>
        <stp>RHO</stp>
        <stp>.GPRO150320P70</stp>
        <tr r="V8" s="1"/>
      </tp>
      <tp t="e">
        <v>#N/A</v>
        <stp/>
        <stp>RHO</stp>
        <stp>.GPRO150320P60</stp>
        <tr r="V4" s="1"/>
      </tp>
      <tp t="e">
        <v>#N/A</v>
        <stp/>
        <stp>RHO</stp>
        <stp>.GPRO150320P65</stp>
        <tr r="V6" s="1"/>
      </tp>
      <tp t="e">
        <v>#N/A</v>
        <stp/>
        <stp>ASK</stp>
        <stp>.GPRO150417P70</stp>
        <tr r="L16" s="1"/>
      </tp>
      <tp t="e">
        <v>#N/A</v>
        <stp/>
        <stp>ASK</stp>
        <stp>.GPRO150417P60</stp>
        <tr r="L12" s="1"/>
      </tp>
      <tp t="e">
        <v>#N/A</v>
        <stp/>
        <stp>ASK</stp>
        <stp>.GPRO150417P65</stp>
        <tr r="L14" s="1"/>
      </tp>
      <tp t="e">
        <v>#N/A</v>
        <stp/>
        <stp>BID</stp>
        <stp>.GPRO150417P60</stp>
        <tr r="N12" s="1"/>
      </tp>
      <tp t="e">
        <v>#N/A</v>
        <stp/>
        <stp>BID</stp>
        <stp>.GPRO150417P65</stp>
        <tr r="N14" s="1"/>
      </tp>
      <tp t="e">
        <v>#N/A</v>
        <stp/>
        <stp>BID</stp>
        <stp>.GPRO150417P70</stp>
        <tr r="N16" s="1"/>
      </tp>
      <tp t="e">
        <v>#N/A</v>
        <stp/>
        <stp>BID</stp>
        <stp>.GPRO150320P70</stp>
        <tr r="N8" s="1"/>
      </tp>
      <tp t="e">
        <v>#N/A</v>
        <stp/>
        <stp>BID</stp>
        <stp>.GPRO150320P60</stp>
        <tr r="N4" s="1"/>
      </tp>
      <tp t="e">
        <v>#N/A</v>
        <stp/>
        <stp>BID</stp>
        <stp>.GPRO150320P65</stp>
        <tr r="N6" s="1"/>
      </tp>
      <tp t="e">
        <v>#N/A</v>
        <stp/>
        <stp>ASK</stp>
        <stp>.GPRO150320P60</stp>
        <tr r="L4" s="1"/>
      </tp>
      <tp t="e">
        <v>#N/A</v>
        <stp/>
        <stp>ASK</stp>
        <stp>.GPRO150320P65</stp>
        <tr r="L6" s="1"/>
      </tp>
      <tp t="e">
        <v>#N/A</v>
        <stp/>
        <stp>ASK</stp>
        <stp>.GPRO150320P70</stp>
        <tr r="L8" s="1"/>
      </tp>
      <tp t="e">
        <v>#N/A</v>
        <stp/>
        <stp>GAMMA</stp>
        <stp>.GPRO150417P62.5</stp>
        <tr r="T13" s="1"/>
      </tp>
      <tp t="e">
        <v>#N/A</v>
        <stp/>
        <stp>GAMMA</stp>
        <stp>.GPRO150417C62.5</stp>
        <tr r="I13" s="1"/>
      </tp>
      <tp t="e">
        <v>#N/A</v>
        <stp/>
        <stp>GAMMA</stp>
        <stp>.GPRO150320P67.5</stp>
        <tr r="T7" s="1"/>
      </tp>
      <tp t="e">
        <v>#N/A</v>
        <stp/>
        <stp>GAMMA</stp>
        <stp>.GPRO150320P57.5</stp>
        <tr r="T3" s="1"/>
      </tp>
      <tp t="e">
        <v>#N/A</v>
        <stp/>
        <stp>GAMMA</stp>
        <stp>.GPRO150320C67.5</stp>
        <tr r="I7" s="1"/>
      </tp>
      <tp t="e">
        <v>#N/A</v>
        <stp/>
        <stp>GAMMA</stp>
        <stp>.GPRO150320C57.5</stp>
        <tr r="I3" s="1"/>
      </tp>
      <tp t="e">
        <v>#N/A</v>
        <stp/>
        <stp>GAMMA</stp>
        <stp>.GPRO150417P57.5</stp>
        <tr r="T11" s="1"/>
      </tp>
      <tp t="e">
        <v>#N/A</v>
        <stp/>
        <stp>GAMMA</stp>
        <stp>.GPRO150417P67.5</stp>
        <tr r="T15" s="1"/>
      </tp>
      <tp t="e">
        <v>#N/A</v>
        <stp/>
        <stp>GAMMA</stp>
        <stp>.GPRO150417C57.5</stp>
        <tr r="I11" s="1"/>
      </tp>
      <tp t="e">
        <v>#N/A</v>
        <stp/>
        <stp>GAMMA</stp>
        <stp>.GPRO150417C67.5</stp>
        <tr r="I15" s="1"/>
      </tp>
      <tp t="e">
        <v>#N/A</v>
        <stp/>
        <stp>BID_SIZE</stp>
        <stp>.GPRO150320C62.5</stp>
        <tr r="D5" s="1"/>
        <tr r="O5" s="1"/>
      </tp>
      <tp t="e">
        <v>#N/A</v>
        <stp/>
        <stp>BID_SIZE</stp>
        <stp>.GPRO150417C62.5</stp>
        <tr r="O13" s="1"/>
        <tr r="D13" s="1"/>
      </tp>
      <tp t="e">
        <v>#N/A</v>
        <stp/>
        <stp>BID_SIZE</stp>
        <stp>.GPRO150320C57.5</stp>
        <tr r="D3" s="1"/>
        <tr r="O3" s="1"/>
      </tp>
      <tp t="e">
        <v>#N/A</v>
        <stp/>
        <stp>BID_SIZE</stp>
        <stp>.GPRO150320C67.5</stp>
        <tr r="D7" s="1"/>
        <tr r="O7" s="1"/>
      </tp>
      <tp t="e">
        <v>#N/A</v>
        <stp/>
        <stp>BID_SIZE</stp>
        <stp>.GPRO150417C67.5</stp>
        <tr r="D15" s="1"/>
        <tr r="O15" s="1"/>
      </tp>
      <tp t="e">
        <v>#N/A</v>
        <stp/>
        <stp>BID_SIZE</stp>
        <stp>.GPRO150417C57.5</stp>
        <tr r="D11" s="1"/>
        <tr r="O11" s="1"/>
      </tp>
      <tp t="e">
        <v>#N/A</v>
        <stp/>
        <stp>ASK_SIZE</stp>
        <stp>.GPRO150417C57.5</stp>
        <tr r="M11" s="1"/>
        <tr r="B11" s="1"/>
      </tp>
      <tp t="e">
        <v>#N/A</v>
        <stp/>
        <stp>ASK_SIZE</stp>
        <stp>.GPRO150417C67.5</stp>
        <tr r="M15" s="1"/>
        <tr r="B15" s="1"/>
      </tp>
      <tp t="e">
        <v>#N/A</v>
        <stp/>
        <stp>VOLUME</stp>
        <stp>.GPRO150320C70</stp>
        <tr r="P8" s="1"/>
        <tr r="E8" s="1"/>
      </tp>
      <tp t="e">
        <v>#N/A</v>
        <stp/>
        <stp>VOLUME</stp>
        <stp>.GPRO150320C65</stp>
        <tr r="P6" s="1"/>
        <tr r="E6" s="1"/>
      </tp>
      <tp t="e">
        <v>#N/A</v>
        <stp/>
        <stp>VOLUME</stp>
        <stp>.GPRO150320C60</stp>
        <tr r="E4" s="1"/>
        <tr r="P4" s="1"/>
      </tp>
      <tp t="e">
        <v>#N/A</v>
        <stp/>
        <stp>VOLUME</stp>
        <stp>.GPRO150417C65</stp>
        <tr r="E14" s="1"/>
        <tr r="P14" s="1"/>
      </tp>
      <tp t="e">
        <v>#N/A</v>
        <stp/>
        <stp>VOLUME</stp>
        <stp>.GPRO150417C60</stp>
        <tr r="E12" s="1"/>
        <tr r="P12" s="1"/>
      </tp>
      <tp t="e">
        <v>#N/A</v>
        <stp/>
        <stp>VOLUME</stp>
        <stp>.GPRO150417C70</stp>
        <tr r="E16" s="1"/>
        <tr r="P16" s="1"/>
      </tp>
      <tp t="e">
        <v>#N/A</v>
        <stp/>
        <stp>ASK_SIZE</stp>
        <stp>.GPRO150320C67.5</stp>
        <tr r="B7" s="1"/>
        <tr r="M7" s="1"/>
      </tp>
      <tp t="e">
        <v>#N/A</v>
        <stp/>
        <stp>ASK_SIZE</stp>
        <stp>.GPRO150320C57.5</stp>
        <tr r="B3" s="1"/>
        <tr r="M3" s="1"/>
      </tp>
      <tp t="e">
        <v>#N/A</v>
        <stp/>
        <stp>ASK_SIZE</stp>
        <stp>.GPRO150417C62.5</stp>
        <tr r="M13" s="1"/>
        <tr r="B13" s="1"/>
      </tp>
      <tp t="e">
        <v>#N/A</v>
        <stp/>
        <stp>ASK_SIZE</stp>
        <stp>.GPRO150320C62.5</stp>
        <tr r="M5" s="1"/>
        <tr r="B5" s="1"/>
      </tp>
      <tp t="e">
        <v>#N/A</v>
        <stp/>
        <stp>OPEN_INT</stp>
        <stp>.GPRO150320C57.5</stp>
        <tr r="Q3" s="1"/>
        <tr r="F3" s="1"/>
      </tp>
      <tp t="e">
        <v>#N/A</v>
        <stp/>
        <stp>OPEN_INT</stp>
        <stp>.GPRO150320C67.5</stp>
        <tr r="Q7" s="1"/>
        <tr r="F7" s="1"/>
      </tp>
      <tp t="e">
        <v>#N/A</v>
        <stp/>
        <stp>OPEN_INT</stp>
        <stp>.GPRO150417C67.5</stp>
        <tr r="F15" s="1"/>
        <tr r="Q15" s="1"/>
      </tp>
      <tp t="e">
        <v>#N/A</v>
        <stp/>
        <stp>OPEN_INT</stp>
        <stp>.GPRO150417C57.5</stp>
        <tr r="F11" s="1"/>
        <tr r="Q11" s="1"/>
      </tp>
      <tp t="e">
        <v>#N/A</v>
        <stp/>
        <stp>OPEN_INT</stp>
        <stp>.GPRO150320C62.5</stp>
        <tr r="F5" s="1"/>
        <tr r="Q5" s="1"/>
      </tp>
      <tp t="e">
        <v>#N/A</v>
        <stp/>
        <stp>OPEN_INT</stp>
        <stp>.GPRO150417C62.5</stp>
        <tr r="Q13" s="1"/>
        <tr r="F13" s="1"/>
      </tp>
      <tp t="e">
        <v>#N/A</v>
        <stp/>
        <stp>VEGA</stp>
        <stp>.GPRO150417C70</stp>
        <tr r="J16" s="1"/>
      </tp>
      <tp t="e">
        <v>#N/A</v>
        <stp/>
        <stp>VEGA</stp>
        <stp>.GPRO150417C60</stp>
        <tr r="J12" s="1"/>
      </tp>
      <tp t="e">
        <v>#N/A</v>
        <stp/>
        <stp>VEGA</stp>
        <stp>.GPRO150417C65</stp>
        <tr r="J14" s="1"/>
      </tp>
      <tp t="e">
        <v>#N/A</v>
        <stp/>
        <stp>VEGA</stp>
        <stp>.GPRO150320C60</stp>
        <tr r="J4" s="1"/>
      </tp>
      <tp t="e">
        <v>#N/A</v>
        <stp/>
        <stp>VEGA</stp>
        <stp>.GPRO150320C65</stp>
        <tr r="J6" s="1"/>
      </tp>
      <tp t="e">
        <v>#N/A</v>
        <stp/>
        <stp>VEGA</stp>
        <stp>.GPRO150320C70</stp>
        <tr r="J8" s="1"/>
      </tp>
      <tp t="e">
        <v>#N/A</v>
        <stp/>
        <stp>THETA</stp>
        <stp>.GPRO150320P60</stp>
        <tr r="S4" s="1"/>
      </tp>
      <tp t="e">
        <v>#N/A</v>
        <stp/>
        <stp>THETA</stp>
        <stp>.GPRO150320P65</stp>
        <tr r="S6" s="1"/>
      </tp>
      <tp t="e">
        <v>#N/A</v>
        <stp/>
        <stp>THETA</stp>
        <stp>.GPRO150320P70</stp>
        <tr r="S8" s="1"/>
      </tp>
      <tp t="e">
        <v>#N/A</v>
        <stp/>
        <stp>THETA</stp>
        <stp>.GPRO150417P70</stp>
        <tr r="S16" s="1"/>
      </tp>
      <tp t="e">
        <v>#N/A</v>
        <stp/>
        <stp>THETA</stp>
        <stp>.GPRO150417P60</stp>
        <tr r="S12" s="1"/>
      </tp>
      <tp t="e">
        <v>#N/A</v>
        <stp/>
        <stp>THETA</stp>
        <stp>.GPRO150417P65</stp>
        <tr r="S14" s="1"/>
      </tp>
      <tp t="e">
        <v>#N/A</v>
        <stp/>
        <stp>GAMMA</stp>
        <stp>.GPRO150320P60</stp>
        <tr r="T4" s="1"/>
      </tp>
      <tp t="e">
        <v>#N/A</v>
        <stp/>
        <stp>GAMMA</stp>
        <stp>.GPRO150320P65</stp>
        <tr r="T6" s="1"/>
      </tp>
      <tp t="e">
        <v>#N/A</v>
        <stp/>
        <stp>GAMMA</stp>
        <stp>.GPRO150320P70</stp>
        <tr r="T8" s="1"/>
      </tp>
      <tp t="e">
        <v>#N/A</v>
        <stp/>
        <stp>GAMMA</stp>
        <stp>.GPRO150417P70</stp>
        <tr r="T16" s="1"/>
      </tp>
      <tp t="e">
        <v>#N/A</v>
        <stp/>
        <stp>GAMMA</stp>
        <stp>.GPRO150417P60</stp>
        <tr r="T12" s="1"/>
      </tp>
      <tp t="e">
        <v>#N/A</v>
        <stp/>
        <stp>GAMMA</stp>
        <stp>.GPRO150417P65</stp>
        <tr r="T14" s="1"/>
      </tp>
      <tp t="e">
        <v>#N/A</v>
        <stp/>
        <stp>DELTA</stp>
        <stp>.GPRO150320P70</stp>
        <tr r="R8" s="1"/>
      </tp>
      <tp t="e">
        <v>#N/A</v>
        <stp/>
        <stp>DELTA</stp>
        <stp>.GPRO150320P60</stp>
        <tr r="R4" s="1"/>
      </tp>
      <tp t="e">
        <v>#N/A</v>
        <stp/>
        <stp>DELTA</stp>
        <stp>.GPRO150320P65</stp>
        <tr r="R6" s="1"/>
      </tp>
      <tp t="e">
        <v>#N/A</v>
        <stp/>
        <stp>DELTA</stp>
        <stp>.GPRO150417P60</stp>
        <tr r="R12" s="1"/>
      </tp>
      <tp t="e">
        <v>#N/A</v>
        <stp/>
        <stp>DELTA</stp>
        <stp>.GPRO150417P65</stp>
        <tr r="R14" s="1"/>
      </tp>
      <tp t="e">
        <v>#N/A</v>
        <stp/>
        <stp>DELTA</stp>
        <stp>.GPRO150417P70</stp>
        <tr r="R16" s="1"/>
      </tp>
      <tp t="e">
        <v>#N/A</v>
        <stp/>
        <stp>THETA</stp>
        <stp>.GPRO150320C60</stp>
        <tr r="H4" s="1"/>
      </tp>
      <tp t="e">
        <v>#N/A</v>
        <stp/>
        <stp>THETA</stp>
        <stp>.GPRO150320C65</stp>
        <tr r="H6" s="1"/>
      </tp>
      <tp t="e">
        <v>#N/A</v>
        <stp/>
        <stp>THETA</stp>
        <stp>.GPRO150320C70</stp>
        <tr r="H8" s="1"/>
      </tp>
      <tp t="e">
        <v>#N/A</v>
        <stp/>
        <stp>THETA</stp>
        <stp>.GPRO150417C70</stp>
        <tr r="H16" s="1"/>
      </tp>
      <tp t="e">
        <v>#N/A</v>
        <stp/>
        <stp>THETA</stp>
        <stp>.GPRO150417C60</stp>
        <tr r="H12" s="1"/>
      </tp>
      <tp t="e">
        <v>#N/A</v>
        <stp/>
        <stp>THETA</stp>
        <stp>.GPRO150417C65</stp>
        <tr r="H14" s="1"/>
      </tp>
      <tp t="e">
        <v>#N/A</v>
        <stp/>
        <stp>VOLUME</stp>
        <stp>.GPRO150417C57.5</stp>
        <tr r="E11" s="1"/>
        <tr r="P11" s="1"/>
      </tp>
      <tp t="e">
        <v>#N/A</v>
        <stp/>
        <stp>VOLUME</stp>
        <stp>.GPRO150417C67.5</stp>
        <tr r="E15" s="1"/>
        <tr r="P15" s="1"/>
      </tp>
      <tp t="e">
        <v>#N/A</v>
        <stp/>
        <stp>VEGA</stp>
        <stp>.GPRO150417P70</stp>
        <tr r="U16" s="1"/>
      </tp>
      <tp t="e">
        <v>#N/A</v>
        <stp/>
        <stp>VEGA</stp>
        <stp>.GPRO150417P60</stp>
        <tr r="U12" s="1"/>
      </tp>
      <tp t="e">
        <v>#N/A</v>
        <stp/>
        <stp>VEGA</stp>
        <stp>.GPRO150417P65</stp>
        <tr r="U14" s="1"/>
      </tp>
      <tp t="e">
        <v>#N/A</v>
        <stp/>
        <stp>VEGA</stp>
        <stp>.GPRO150320P60</stp>
        <tr r="U4" s="1"/>
      </tp>
      <tp t="e">
        <v>#N/A</v>
        <stp/>
        <stp>VEGA</stp>
        <stp>.GPRO150320P65</stp>
        <tr r="U6" s="1"/>
      </tp>
      <tp t="e">
        <v>#N/A</v>
        <stp/>
        <stp>VEGA</stp>
        <stp>.GPRO150320P70</stp>
        <tr r="U8" s="1"/>
      </tp>
      <tp t="e">
        <v>#N/A</v>
        <stp/>
        <stp>VOLUME</stp>
        <stp>.GPRO150320C67.5</stp>
        <tr r="P7" s="1"/>
        <tr r="E7" s="1"/>
      </tp>
      <tp t="e">
        <v>#N/A</v>
        <stp/>
        <stp>VOLUME</stp>
        <stp>.GPRO150320C57.5</stp>
        <tr r="P3" s="1"/>
        <tr r="E3" s="1"/>
      </tp>
      <tp t="e">
        <v>#N/A</v>
        <stp/>
        <stp>VOLUME</stp>
        <stp>.GPRO150417C62.5</stp>
        <tr r="P13" s="1"/>
        <tr r="E13" s="1"/>
      </tp>
      <tp t="e">
        <v>#N/A</v>
        <stp/>
        <stp>VOLUME</stp>
        <stp>.GPRO150320C62.5</stp>
        <tr r="E5" s="1"/>
        <tr r="P5" s="1"/>
      </tp>
      <tp t="e">
        <v>#N/A</v>
        <stp/>
        <stp>GAMMA</stp>
        <stp>.GPRO150320C60</stp>
        <tr r="I4" s="1"/>
      </tp>
      <tp t="e">
        <v>#N/A</v>
        <stp/>
        <stp>GAMMA</stp>
        <stp>.GPRO150320C65</stp>
        <tr r="I6" s="1"/>
      </tp>
      <tp t="e">
        <v>#N/A</v>
        <stp/>
        <stp>GAMMA</stp>
        <stp>.GPRO150320C70</stp>
        <tr r="I8" s="1"/>
      </tp>
      <tp t="e">
        <v>#N/A</v>
        <stp/>
        <stp>GAMMA</stp>
        <stp>.GPRO150417C70</stp>
        <tr r="I16" s="1"/>
      </tp>
      <tp t="e">
        <v>#N/A</v>
        <stp/>
        <stp>GAMMA</stp>
        <stp>.GPRO150417C60</stp>
        <tr r="I12" s="1"/>
      </tp>
      <tp t="e">
        <v>#N/A</v>
        <stp/>
        <stp>GAMMA</stp>
        <stp>.GPRO150417C65</stp>
        <tr r="I14" s="1"/>
      </tp>
      <tp t="e">
        <v>#N/A</v>
        <stp/>
        <stp>DELTA</stp>
        <stp>.GPRO150320C70</stp>
        <tr r="G8" s="1"/>
      </tp>
      <tp t="e">
        <v>#N/A</v>
        <stp/>
        <stp>DELTA</stp>
        <stp>.GPRO150320C60</stp>
        <tr r="G4" s="1"/>
      </tp>
      <tp t="e">
        <v>#N/A</v>
        <stp/>
        <stp>DELTA</stp>
        <stp>.GPRO150320C65</stp>
        <tr r="G6" s="1"/>
      </tp>
      <tp t="e">
        <v>#N/A</v>
        <stp/>
        <stp>DELTA</stp>
        <stp>.GPRO150417C60</stp>
        <tr r="G12" s="1"/>
      </tp>
      <tp t="e">
        <v>#N/A</v>
        <stp/>
        <stp>DELTA</stp>
        <stp>.GPRO150417C65</stp>
        <tr r="G14" s="1"/>
      </tp>
      <tp t="e">
        <v>#N/A</v>
        <stp/>
        <stp>DELTA</stp>
        <stp>.GPRO150417C70</stp>
        <tr r="G16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3"/>
  <sheetViews>
    <sheetView tabSelected="1" workbookViewId="0">
      <selection activeCell="A2" sqref="A2"/>
    </sheetView>
  </sheetViews>
  <sheetFormatPr defaultRowHeight="15" x14ac:dyDescent="0.25"/>
  <sheetData>
    <row r="1" spans="1:22" x14ac:dyDescent="0.25">
      <c r="A1" t="s">
        <v>0</v>
      </c>
      <c r="B1">
        <v>6</v>
      </c>
    </row>
    <row r="2" spans="1:22" x14ac:dyDescent="0.25">
      <c r="A2" t="str">
        <f>RTD("tos.rtd", ,"LAST", "GPRO")</f>
        <v/>
      </c>
    </row>
    <row r="3" spans="1:22" x14ac:dyDescent="0.25">
      <c r="A3" t="str">
        <f>RTD("tos.rtd", , "ASK", ".GPRO150320C57.5")</f>
        <v/>
      </c>
      <c r="B3" t="str">
        <f>RTD("tos.rtd", , "ASK_SIZE", ".GPRO150320C57.5")</f>
        <v/>
      </c>
      <c r="C3" t="str">
        <f>RTD("tos.rtd", , "BID", ".GPRO150320C57.5")</f>
        <v/>
      </c>
      <c r="D3" t="str">
        <f>RTD("tos.rtd", , "BID_SIZE", ".GPRO150320C57.5")</f>
        <v/>
      </c>
      <c r="E3" t="str">
        <f>RTD("tos.rtd", , "VOLUME", ".GPRO150320C57.5")</f>
        <v/>
      </c>
      <c r="F3" t="str">
        <f>RTD("tos.rtd", , "OPEN_INT", ".GPRO150320C57.5")</f>
        <v/>
      </c>
      <c r="G3" t="str">
        <f>RTD("tos.rtd", , "DELTA", ".GPRO150320C57.5")</f>
        <v/>
      </c>
      <c r="H3" t="str">
        <f>RTD("tos.rtd", , "THETA", ".GPRO150320C57.5")</f>
        <v/>
      </c>
      <c r="I3" t="str">
        <f>RTD("tos.rtd", , "GAMMA", ".GPRO150320C57.5")</f>
        <v/>
      </c>
      <c r="J3" t="str">
        <f>RTD("tos.rtd", , "VEGA", ".GPRO150320C57.5")</f>
        <v/>
      </c>
      <c r="K3" t="str">
        <f>RTD("tos.rtd", , "RHO", ".GPRO150320C57.5")</f>
        <v/>
      </c>
      <c r="L3" t="str">
        <f>RTD("tos.rtd", , "ASK", ".GPRO150320P57.5")</f>
        <v/>
      </c>
      <c r="M3" t="str">
        <f>RTD("tos.rtd", , "ASK_SIZE", ".GPRO150320C57.5")</f>
        <v/>
      </c>
      <c r="N3" t="str">
        <f>RTD("tos.rtd", , "BID", ".GPRO150320P57.5")</f>
        <v/>
      </c>
      <c r="O3" t="str">
        <f>RTD("tos.rtd", , "BID_SIZE", ".GPRO150320C57.5")</f>
        <v/>
      </c>
      <c r="P3" t="str">
        <f>RTD("tos.rtd", , "VOLUME", ".GPRO150320C57.5")</f>
        <v/>
      </c>
      <c r="Q3" t="str">
        <f>RTD("tos.rtd", , "OPEN_INT", ".GPRO150320C57.5")</f>
        <v/>
      </c>
      <c r="R3" t="str">
        <f>RTD("tos.rtd", , "DELTA", ".GPRO150320P57.5")</f>
        <v/>
      </c>
      <c r="S3" t="str">
        <f>RTD("tos.rtd", , "THETA", ".GPRO150320P57.5")</f>
        <v/>
      </c>
      <c r="T3" t="str">
        <f>RTD("tos.rtd", , "GAMMA", ".GPRO150320P57.5")</f>
        <v/>
      </c>
      <c r="U3" t="str">
        <f>RTD("tos.rtd", , "VEGA", ".GPRO150320P57.5")</f>
        <v/>
      </c>
      <c r="V3" t="str">
        <f>RTD("tos.rtd", , "RHO", ".GPRO150320P57.5")</f>
        <v/>
      </c>
    </row>
    <row r="4" spans="1:22" x14ac:dyDescent="0.25">
      <c r="A4" t="str">
        <f>RTD("tos.rtd", , "ASK", ".GPRO150320C60")</f>
        <v/>
      </c>
      <c r="B4" t="str">
        <f>RTD("tos.rtd", , "ASK_SIZE", ".GPRO150320C60")</f>
        <v/>
      </c>
      <c r="C4" t="str">
        <f>RTD("tos.rtd", , "BID", ".GPRO150320C60")</f>
        <v/>
      </c>
      <c r="D4" t="str">
        <f>RTD("tos.rtd", , "BID_SIZE", ".GPRO150320C60")</f>
        <v/>
      </c>
      <c r="E4" t="str">
        <f>RTD("tos.rtd", , "VOLUME", ".GPRO150320C60")</f>
        <v/>
      </c>
      <c r="F4" t="str">
        <f>RTD("tos.rtd", , "OPEN_INT", ".GPRO150320C60")</f>
        <v/>
      </c>
      <c r="G4" t="str">
        <f>RTD("tos.rtd", , "DELTA", ".GPRO150320C60")</f>
        <v/>
      </c>
      <c r="H4" t="str">
        <f>RTD("tos.rtd", , "THETA", ".GPRO150320C60")</f>
        <v/>
      </c>
      <c r="I4" t="str">
        <f>RTD("tos.rtd", , "GAMMA", ".GPRO150320C60")</f>
        <v/>
      </c>
      <c r="J4" t="str">
        <f>RTD("tos.rtd", , "VEGA", ".GPRO150320C60")</f>
        <v/>
      </c>
      <c r="K4" t="str">
        <f>RTD("tos.rtd", , "RHO", ".GPRO150320C60")</f>
        <v/>
      </c>
      <c r="L4" t="str">
        <f>RTD("tos.rtd", , "ASK", ".GPRO150320P60")</f>
        <v/>
      </c>
      <c r="M4" t="str">
        <f>RTD("tos.rtd", , "ASK_SIZE", ".GPRO150320C60")</f>
        <v/>
      </c>
      <c r="N4" t="str">
        <f>RTD("tos.rtd", , "BID", ".GPRO150320P60")</f>
        <v/>
      </c>
      <c r="O4" t="str">
        <f>RTD("tos.rtd", , "BID_SIZE", ".GPRO150320C60")</f>
        <v/>
      </c>
      <c r="P4" t="str">
        <f>RTD("tos.rtd", , "VOLUME", ".GPRO150320C60")</f>
        <v/>
      </c>
      <c r="Q4" t="str">
        <f>RTD("tos.rtd", , "OPEN_INT", ".GPRO150320C60")</f>
        <v/>
      </c>
      <c r="R4" t="str">
        <f>RTD("tos.rtd", , "DELTA", ".GPRO150320P60")</f>
        <v/>
      </c>
      <c r="S4" t="str">
        <f>RTD("tos.rtd", , "THETA", ".GPRO150320P60")</f>
        <v/>
      </c>
      <c r="T4" t="str">
        <f>RTD("tos.rtd", , "GAMMA", ".GPRO150320P60")</f>
        <v/>
      </c>
      <c r="U4" t="str">
        <f>RTD("tos.rtd", , "VEGA", ".GPRO150320P60")</f>
        <v/>
      </c>
      <c r="V4" t="str">
        <f>RTD("tos.rtd", , "RHO", ".GPRO150320P60")</f>
        <v/>
      </c>
    </row>
    <row r="5" spans="1:22" x14ac:dyDescent="0.25">
      <c r="A5" t="str">
        <f>RTD("tos.rtd", , "ASK", ".GPRO150320C62.5")</f>
        <v/>
      </c>
      <c r="B5" t="str">
        <f>RTD("tos.rtd", , "ASK_SIZE", ".GPRO150320C62.5")</f>
        <v/>
      </c>
      <c r="C5" t="str">
        <f>RTD("tos.rtd", , "BID", ".GPRO150320C62.5")</f>
        <v/>
      </c>
      <c r="D5" t="str">
        <f>RTD("tos.rtd", , "BID_SIZE", ".GPRO150320C62.5")</f>
        <v/>
      </c>
      <c r="E5" t="str">
        <f>RTD("tos.rtd", , "VOLUME", ".GPRO150320C62.5")</f>
        <v/>
      </c>
      <c r="F5" t="str">
        <f>RTD("tos.rtd", , "OPEN_INT", ".GPRO150320C62.5")</f>
        <v/>
      </c>
      <c r="G5" t="str">
        <f>RTD("tos.rtd", , "DELTA", ".GPRO150320C62.5")</f>
        <v/>
      </c>
      <c r="H5" t="str">
        <f>RTD("tos.rtd", , "THETA", ".GPRO150320C62.5")</f>
        <v/>
      </c>
      <c r="I5" t="str">
        <f>RTD("tos.rtd", , "GAMMA", ".GPRO150320C62.5")</f>
        <v/>
      </c>
      <c r="J5" t="str">
        <f>RTD("tos.rtd", , "VEGA", ".GPRO150320C62.5")</f>
        <v/>
      </c>
      <c r="K5" t="str">
        <f>RTD("tos.rtd", , "RHO", ".GPRO150320C62.5")</f>
        <v/>
      </c>
      <c r="L5" t="str">
        <f>RTD("tos.rtd", , "ASK", ".GPRO150320P62.5")</f>
        <v/>
      </c>
      <c r="M5" t="str">
        <f>RTD("tos.rtd", , "ASK_SIZE", ".GPRO150320C62.5")</f>
        <v/>
      </c>
      <c r="N5" t="str">
        <f>RTD("tos.rtd", , "BID", ".GPRO150320P62.5")</f>
        <v/>
      </c>
      <c r="O5" t="str">
        <f>RTD("tos.rtd", , "BID_SIZE", ".GPRO150320C62.5")</f>
        <v/>
      </c>
      <c r="P5" t="str">
        <f>RTD("tos.rtd", , "VOLUME", ".GPRO150320C62.5")</f>
        <v/>
      </c>
      <c r="Q5" t="str">
        <f>RTD("tos.rtd", , "OPEN_INT", ".GPRO150320C62.5")</f>
        <v/>
      </c>
      <c r="R5" t="str">
        <f>RTD("tos.rtd", , "DELTA", ".GPRO150320P62.5")</f>
        <v/>
      </c>
      <c r="S5" t="str">
        <f>RTD("tos.rtd", , "THETA", ".GPRO150320P62.5")</f>
        <v/>
      </c>
      <c r="T5" t="str">
        <f>RTD("tos.rtd", , "GAMMA", ".GPRO150320P62.5")</f>
        <v/>
      </c>
      <c r="U5" t="str">
        <f>RTD("tos.rtd", , "VEGA", ".GPRO150320P62.5")</f>
        <v/>
      </c>
      <c r="V5" t="str">
        <f>RTD("tos.rtd", , "RHO", ".GPRO150320P62.5")</f>
        <v/>
      </c>
    </row>
    <row r="6" spans="1:22" x14ac:dyDescent="0.25">
      <c r="A6" t="str">
        <f>RTD("tos.rtd", , "ASK", ".GPRO150320C65")</f>
        <v/>
      </c>
      <c r="B6" t="str">
        <f>RTD("tos.rtd", , "ASK_SIZE", ".GPRO150320C65")</f>
        <v/>
      </c>
      <c r="C6" t="str">
        <f>RTD("tos.rtd", , "BID", ".GPRO150320C65")</f>
        <v/>
      </c>
      <c r="D6" t="str">
        <f>RTD("tos.rtd", , "BID_SIZE", ".GPRO150320C65")</f>
        <v/>
      </c>
      <c r="E6" t="str">
        <f>RTD("tos.rtd", , "VOLUME", ".GPRO150320C65")</f>
        <v/>
      </c>
      <c r="F6" t="str">
        <f>RTD("tos.rtd", , "OPEN_INT", ".GPRO150320C65")</f>
        <v/>
      </c>
      <c r="G6" t="str">
        <f>RTD("tos.rtd", , "DELTA", ".GPRO150320C65")</f>
        <v/>
      </c>
      <c r="H6" t="str">
        <f>RTD("tos.rtd", , "THETA", ".GPRO150320C65")</f>
        <v/>
      </c>
      <c r="I6" t="str">
        <f>RTD("tos.rtd", , "GAMMA", ".GPRO150320C65")</f>
        <v/>
      </c>
      <c r="J6" t="str">
        <f>RTD("tos.rtd", , "VEGA", ".GPRO150320C65")</f>
        <v/>
      </c>
      <c r="K6" t="str">
        <f>RTD("tos.rtd", , "RHO", ".GPRO150320C65")</f>
        <v/>
      </c>
      <c r="L6" t="str">
        <f>RTD("tos.rtd", , "ASK", ".GPRO150320P65")</f>
        <v/>
      </c>
      <c r="M6" t="str">
        <f>RTD("tos.rtd", , "ASK_SIZE", ".GPRO150320C65")</f>
        <v/>
      </c>
      <c r="N6" t="str">
        <f>RTD("tos.rtd", , "BID", ".GPRO150320P65")</f>
        <v/>
      </c>
      <c r="O6" t="str">
        <f>RTD("tos.rtd", , "BID_SIZE", ".GPRO150320C65")</f>
        <v/>
      </c>
      <c r="P6" t="str">
        <f>RTD("tos.rtd", , "VOLUME", ".GPRO150320C65")</f>
        <v/>
      </c>
      <c r="Q6" t="str">
        <f>RTD("tos.rtd", , "OPEN_INT", ".GPRO150320C65")</f>
        <v/>
      </c>
      <c r="R6" t="str">
        <f>RTD("tos.rtd", , "DELTA", ".GPRO150320P65")</f>
        <v/>
      </c>
      <c r="S6" t="str">
        <f>RTD("tos.rtd", , "THETA", ".GPRO150320P65")</f>
        <v/>
      </c>
      <c r="T6" t="str">
        <f>RTD("tos.rtd", , "GAMMA", ".GPRO150320P65")</f>
        <v/>
      </c>
      <c r="U6" t="str">
        <f>RTD("tos.rtd", , "VEGA", ".GPRO150320P65")</f>
        <v/>
      </c>
      <c r="V6" t="str">
        <f>RTD("tos.rtd", , "RHO", ".GPRO150320P65")</f>
        <v/>
      </c>
    </row>
    <row r="7" spans="1:22" x14ac:dyDescent="0.25">
      <c r="A7" t="str">
        <f>RTD("tos.rtd", , "ASK", ".GPRO150320C67.5")</f>
        <v/>
      </c>
      <c r="B7" t="str">
        <f>RTD("tos.rtd", , "ASK_SIZE", ".GPRO150320C67.5")</f>
        <v/>
      </c>
      <c r="C7" t="str">
        <f>RTD("tos.rtd", , "BID", ".GPRO150320C67.5")</f>
        <v/>
      </c>
      <c r="D7" t="str">
        <f>RTD("tos.rtd", , "BID_SIZE", ".GPRO150320C67.5")</f>
        <v/>
      </c>
      <c r="E7" t="str">
        <f>RTD("tos.rtd", , "VOLUME", ".GPRO150320C67.5")</f>
        <v/>
      </c>
      <c r="F7" t="str">
        <f>RTD("tos.rtd", , "OPEN_INT", ".GPRO150320C67.5")</f>
        <v/>
      </c>
      <c r="G7" t="str">
        <f>RTD("tos.rtd", , "DELTA", ".GPRO150320C67.5")</f>
        <v/>
      </c>
      <c r="H7" t="str">
        <f>RTD("tos.rtd", , "THETA", ".GPRO150320C67.5")</f>
        <v/>
      </c>
      <c r="I7" t="str">
        <f>RTD("tos.rtd", , "GAMMA", ".GPRO150320C67.5")</f>
        <v/>
      </c>
      <c r="J7" t="str">
        <f>RTD("tos.rtd", , "VEGA", ".GPRO150320C67.5")</f>
        <v/>
      </c>
      <c r="K7" t="str">
        <f>RTD("tos.rtd", , "RHO", ".GPRO150320C67.5")</f>
        <v/>
      </c>
      <c r="L7" t="str">
        <f>RTD("tos.rtd", , "ASK", ".GPRO150320P67.5")</f>
        <v/>
      </c>
      <c r="M7" t="str">
        <f>RTD("tos.rtd", , "ASK_SIZE", ".GPRO150320C67.5")</f>
        <v/>
      </c>
      <c r="N7" t="str">
        <f>RTD("tos.rtd", , "BID", ".GPRO150320P67.5")</f>
        <v/>
      </c>
      <c r="O7" t="str">
        <f>RTD("tos.rtd", , "BID_SIZE", ".GPRO150320C67.5")</f>
        <v/>
      </c>
      <c r="P7" t="str">
        <f>RTD("tos.rtd", , "VOLUME", ".GPRO150320C67.5")</f>
        <v/>
      </c>
      <c r="Q7" t="str">
        <f>RTD("tos.rtd", , "OPEN_INT", ".GPRO150320C67.5")</f>
        <v/>
      </c>
      <c r="R7" t="str">
        <f>RTD("tos.rtd", , "DELTA", ".GPRO150320P67.5")</f>
        <v/>
      </c>
      <c r="S7" t="str">
        <f>RTD("tos.rtd", , "THETA", ".GPRO150320P67.5")</f>
        <v/>
      </c>
      <c r="T7" t="str">
        <f>RTD("tos.rtd", , "GAMMA", ".GPRO150320P67.5")</f>
        <v/>
      </c>
      <c r="U7" t="str">
        <f>RTD("tos.rtd", , "VEGA", ".GPRO150320P67.5")</f>
        <v/>
      </c>
      <c r="V7" t="str">
        <f>RTD("tos.rtd", , "RHO", ".GPRO150320P67.5")</f>
        <v/>
      </c>
    </row>
    <row r="8" spans="1:22" x14ac:dyDescent="0.25">
      <c r="A8" t="str">
        <f>RTD("tos.rtd", , "ASK", ".GPRO150320C70")</f>
        <v/>
      </c>
      <c r="B8" t="str">
        <f>RTD("tos.rtd", , "ASK_SIZE", ".GPRO150320C70")</f>
        <v/>
      </c>
      <c r="C8" t="str">
        <f>RTD("tos.rtd", , "BID", ".GPRO150320C70")</f>
        <v/>
      </c>
      <c r="D8" t="str">
        <f>RTD("tos.rtd", , "BID_SIZE", ".GPRO150320C70")</f>
        <v/>
      </c>
      <c r="E8" t="str">
        <f>RTD("tos.rtd", , "VOLUME", ".GPRO150320C70")</f>
        <v/>
      </c>
      <c r="F8" t="str">
        <f>RTD("tos.rtd", , "OPEN_INT", ".GPRO150320C70")</f>
        <v/>
      </c>
      <c r="G8" t="str">
        <f>RTD("tos.rtd", , "DELTA", ".GPRO150320C70")</f>
        <v/>
      </c>
      <c r="H8" t="str">
        <f>RTD("tos.rtd", , "THETA", ".GPRO150320C70")</f>
        <v/>
      </c>
      <c r="I8" t="str">
        <f>RTD("tos.rtd", , "GAMMA", ".GPRO150320C70")</f>
        <v/>
      </c>
      <c r="J8" t="str">
        <f>RTD("tos.rtd", , "VEGA", ".GPRO150320C70")</f>
        <v/>
      </c>
      <c r="K8" t="str">
        <f>RTD("tos.rtd", , "RHO", ".GPRO150320C70")</f>
        <v/>
      </c>
      <c r="L8" t="str">
        <f>RTD("tos.rtd", , "ASK", ".GPRO150320P70")</f>
        <v/>
      </c>
      <c r="M8" t="str">
        <f>RTD("tos.rtd", , "ASK_SIZE", ".GPRO150320C70")</f>
        <v/>
      </c>
      <c r="N8" t="str">
        <f>RTD("tos.rtd", , "BID", ".GPRO150320P70")</f>
        <v/>
      </c>
      <c r="O8" t="str">
        <f>RTD("tos.rtd", , "BID_SIZE", ".GPRO150320C70")</f>
        <v/>
      </c>
      <c r="P8" t="str">
        <f>RTD("tos.rtd", , "VOLUME", ".GPRO150320C70")</f>
        <v/>
      </c>
      <c r="Q8" t="str">
        <f>RTD("tos.rtd", , "OPEN_INT", ".GPRO150320C70")</f>
        <v/>
      </c>
      <c r="R8" t="str">
        <f>RTD("tos.rtd", , "DELTA", ".GPRO150320P70")</f>
        <v/>
      </c>
      <c r="S8" t="str">
        <f>RTD("tos.rtd", , "THETA", ".GPRO150320P70")</f>
        <v/>
      </c>
      <c r="T8" t="str">
        <f>RTD("tos.rtd", , "GAMMA", ".GPRO150320P70")</f>
        <v/>
      </c>
      <c r="U8" t="str">
        <f>RTD("tos.rtd", , "VEGA", ".GPRO150320P70")</f>
        <v/>
      </c>
      <c r="V8" t="str">
        <f>RTD("tos.rtd", , "RHO", ".GPRO150320P70")</f>
        <v/>
      </c>
    </row>
    <row r="9" spans="1:22" x14ac:dyDescent="0.25">
      <c r="A9" t="s">
        <v>1</v>
      </c>
      <c r="B9">
        <v>6</v>
      </c>
    </row>
    <row r="10" spans="1:22" x14ac:dyDescent="0.25">
      <c r="A10" t="str">
        <f>RTD("tos.rtd", ,"LAST", "GPRO")</f>
        <v/>
      </c>
    </row>
    <row r="11" spans="1:22" x14ac:dyDescent="0.25">
      <c r="A11" t="str">
        <f>RTD("tos.rtd", , "ASK", ".GPRO150417C57.5")</f>
        <v/>
      </c>
      <c r="B11" t="str">
        <f>RTD("tos.rtd", , "ASK_SIZE", ".GPRO150417C57.5")</f>
        <v/>
      </c>
      <c r="C11" t="str">
        <f>RTD("tos.rtd", , "BID", ".GPRO150417C57.5")</f>
        <v/>
      </c>
      <c r="D11" t="str">
        <f>RTD("tos.rtd", , "BID_SIZE", ".GPRO150417C57.5")</f>
        <v/>
      </c>
      <c r="E11" t="str">
        <f>RTD("tos.rtd", , "VOLUME", ".GPRO150417C57.5")</f>
        <v/>
      </c>
      <c r="F11" t="str">
        <f>RTD("tos.rtd", , "OPEN_INT", ".GPRO150417C57.5")</f>
        <v/>
      </c>
      <c r="G11" t="str">
        <f>RTD("tos.rtd", , "DELTA", ".GPRO150417C57.5")</f>
        <v/>
      </c>
      <c r="H11" t="str">
        <f>RTD("tos.rtd", , "THETA", ".GPRO150417C57.5")</f>
        <v/>
      </c>
      <c r="I11" t="str">
        <f>RTD("tos.rtd", , "GAMMA", ".GPRO150417C57.5")</f>
        <v/>
      </c>
      <c r="J11" t="str">
        <f>RTD("tos.rtd", , "VEGA", ".GPRO150417C57.5")</f>
        <v/>
      </c>
      <c r="K11" t="str">
        <f>RTD("tos.rtd", , "RHO", ".GPRO150417C57.5")</f>
        <v/>
      </c>
      <c r="L11" t="str">
        <f>RTD("tos.rtd", , "ASK", ".GPRO150417P57.5")</f>
        <v/>
      </c>
      <c r="M11" t="str">
        <f>RTD("tos.rtd", , "ASK_SIZE", ".GPRO150417C57.5")</f>
        <v/>
      </c>
      <c r="N11" t="str">
        <f>RTD("tos.rtd", , "BID", ".GPRO150417P57.5")</f>
        <v/>
      </c>
      <c r="O11" t="str">
        <f>RTD("tos.rtd", , "BID_SIZE", ".GPRO150417C57.5")</f>
        <v/>
      </c>
      <c r="P11" t="str">
        <f>RTD("tos.rtd", , "VOLUME", ".GPRO150417C57.5")</f>
        <v/>
      </c>
      <c r="Q11" t="str">
        <f>RTD("tos.rtd", , "OPEN_INT", ".GPRO150417C57.5")</f>
        <v/>
      </c>
      <c r="R11" t="str">
        <f>RTD("tos.rtd", , "DELTA", ".GPRO150417P57.5")</f>
        <v/>
      </c>
      <c r="S11" t="str">
        <f>RTD("tos.rtd", , "THETA", ".GPRO150417P57.5")</f>
        <v/>
      </c>
      <c r="T11" t="str">
        <f>RTD("tos.rtd", , "GAMMA", ".GPRO150417P57.5")</f>
        <v/>
      </c>
      <c r="U11" t="str">
        <f>RTD("tos.rtd", , "VEGA", ".GPRO150417P57.5")</f>
        <v/>
      </c>
      <c r="V11" t="str">
        <f>RTD("tos.rtd", , "RHO", ".GPRO150417P57.5")</f>
        <v/>
      </c>
    </row>
    <row r="12" spans="1:22" x14ac:dyDescent="0.25">
      <c r="A12" t="str">
        <f>RTD("tos.rtd", , "ASK", ".GPRO150417C60")</f>
        <v/>
      </c>
      <c r="B12" t="str">
        <f>RTD("tos.rtd", , "ASK_SIZE", ".GPRO150417C60")</f>
        <v/>
      </c>
      <c r="C12" t="str">
        <f>RTD("tos.rtd", , "BID", ".GPRO150417C60")</f>
        <v/>
      </c>
      <c r="D12" t="str">
        <f>RTD("tos.rtd", , "BID_SIZE", ".GPRO150417C60")</f>
        <v/>
      </c>
      <c r="E12" t="str">
        <f>RTD("tos.rtd", , "VOLUME", ".GPRO150417C60")</f>
        <v/>
      </c>
      <c r="F12" t="str">
        <f>RTD("tos.rtd", , "OPEN_INT", ".GPRO150417C60")</f>
        <v/>
      </c>
      <c r="G12" t="str">
        <f>RTD("tos.rtd", , "DELTA", ".GPRO150417C60")</f>
        <v/>
      </c>
      <c r="H12" t="str">
        <f>RTD("tos.rtd", , "THETA", ".GPRO150417C60")</f>
        <v/>
      </c>
      <c r="I12" t="str">
        <f>RTD("tos.rtd", , "GAMMA", ".GPRO150417C60")</f>
        <v/>
      </c>
      <c r="J12" t="str">
        <f>RTD("tos.rtd", , "VEGA", ".GPRO150417C60")</f>
        <v/>
      </c>
      <c r="K12" t="str">
        <f>RTD("tos.rtd", , "RHO", ".GPRO150417C60")</f>
        <v/>
      </c>
      <c r="L12" t="str">
        <f>RTD("tos.rtd", , "ASK", ".GPRO150417P60")</f>
        <v/>
      </c>
      <c r="M12" t="str">
        <f>RTD("tos.rtd", , "ASK_SIZE", ".GPRO150417C60")</f>
        <v/>
      </c>
      <c r="N12" t="str">
        <f>RTD("tos.rtd", , "BID", ".GPRO150417P60")</f>
        <v/>
      </c>
      <c r="O12" t="str">
        <f>RTD("tos.rtd", , "BID_SIZE", ".GPRO150417C60")</f>
        <v/>
      </c>
      <c r="P12" t="str">
        <f>RTD("tos.rtd", , "VOLUME", ".GPRO150417C60")</f>
        <v/>
      </c>
      <c r="Q12" t="str">
        <f>RTD("tos.rtd", , "OPEN_INT", ".GPRO150417C60")</f>
        <v/>
      </c>
      <c r="R12" t="str">
        <f>RTD("tos.rtd", , "DELTA", ".GPRO150417P60")</f>
        <v/>
      </c>
      <c r="S12" t="str">
        <f>RTD("tos.rtd", , "THETA", ".GPRO150417P60")</f>
        <v/>
      </c>
      <c r="T12" t="str">
        <f>RTD("tos.rtd", , "GAMMA", ".GPRO150417P60")</f>
        <v/>
      </c>
      <c r="U12" t="str">
        <f>RTD("tos.rtd", , "VEGA", ".GPRO150417P60")</f>
        <v/>
      </c>
      <c r="V12" t="str">
        <f>RTD("tos.rtd", , "RHO", ".GPRO150417P60")</f>
        <v/>
      </c>
    </row>
    <row r="13" spans="1:22" x14ac:dyDescent="0.25">
      <c r="A13" t="str">
        <f>RTD("tos.rtd", , "ASK", ".GPRO150417C62.5")</f>
        <v/>
      </c>
      <c r="B13" t="str">
        <f>RTD("tos.rtd", , "ASK_SIZE", ".GPRO150417C62.5")</f>
        <v/>
      </c>
      <c r="C13" t="str">
        <f>RTD("tos.rtd", , "BID", ".GPRO150417C62.5")</f>
        <v/>
      </c>
      <c r="D13" t="str">
        <f>RTD("tos.rtd", , "BID_SIZE", ".GPRO150417C62.5")</f>
        <v/>
      </c>
      <c r="E13" t="str">
        <f>RTD("tos.rtd", , "VOLUME", ".GPRO150417C62.5")</f>
        <v/>
      </c>
      <c r="F13" t="str">
        <f>RTD("tos.rtd", , "OPEN_INT", ".GPRO150417C62.5")</f>
        <v/>
      </c>
      <c r="G13" t="str">
        <f>RTD("tos.rtd", , "DELTA", ".GPRO150417C62.5")</f>
        <v/>
      </c>
      <c r="H13" t="str">
        <f>RTD("tos.rtd", , "THETA", ".GPRO150417C62.5")</f>
        <v/>
      </c>
      <c r="I13" t="str">
        <f>RTD("tos.rtd", , "GAMMA", ".GPRO150417C62.5")</f>
        <v/>
      </c>
      <c r="J13" t="str">
        <f>RTD("tos.rtd", , "VEGA", ".GPRO150417C62.5")</f>
        <v/>
      </c>
      <c r="K13" t="str">
        <f>RTD("tos.rtd", , "RHO", ".GPRO150417C62.5")</f>
        <v/>
      </c>
      <c r="L13" t="str">
        <f>RTD("tos.rtd", , "ASK", ".GPRO150417P62.5")</f>
        <v/>
      </c>
      <c r="M13" t="str">
        <f>RTD("tos.rtd", , "ASK_SIZE", ".GPRO150417C62.5")</f>
        <v/>
      </c>
      <c r="N13" t="str">
        <f>RTD("tos.rtd", , "BID", ".GPRO150417P62.5")</f>
        <v/>
      </c>
      <c r="O13" t="str">
        <f>RTD("tos.rtd", , "BID_SIZE", ".GPRO150417C62.5")</f>
        <v/>
      </c>
      <c r="P13" t="str">
        <f>RTD("tos.rtd", , "VOLUME", ".GPRO150417C62.5")</f>
        <v/>
      </c>
      <c r="Q13" t="str">
        <f>RTD("tos.rtd", , "OPEN_INT", ".GPRO150417C62.5")</f>
        <v/>
      </c>
      <c r="R13" t="str">
        <f>RTD("tos.rtd", , "DELTA", ".GPRO150417P62.5")</f>
        <v/>
      </c>
      <c r="S13" t="str">
        <f>RTD("tos.rtd", , "THETA", ".GPRO150417P62.5")</f>
        <v/>
      </c>
      <c r="T13" t="str">
        <f>RTD("tos.rtd", , "GAMMA", ".GPRO150417P62.5")</f>
        <v/>
      </c>
      <c r="U13" t="str">
        <f>RTD("tos.rtd", , "VEGA", ".GPRO150417P62.5")</f>
        <v/>
      </c>
      <c r="V13" t="str">
        <f>RTD("tos.rtd", , "RHO", ".GPRO150417P62.5")</f>
        <v/>
      </c>
    </row>
    <row r="14" spans="1:22" x14ac:dyDescent="0.25">
      <c r="A14" t="str">
        <f>RTD("tos.rtd", , "ASK", ".GPRO150417C65")</f>
        <v/>
      </c>
      <c r="B14" t="str">
        <f>RTD("tos.rtd", , "ASK_SIZE", ".GPRO150417C65")</f>
        <v/>
      </c>
      <c r="C14" t="str">
        <f>RTD("tos.rtd", , "BID", ".GPRO150417C65")</f>
        <v/>
      </c>
      <c r="D14" t="str">
        <f>RTD("tos.rtd", , "BID_SIZE", ".GPRO150417C65")</f>
        <v/>
      </c>
      <c r="E14" t="str">
        <f>RTD("tos.rtd", , "VOLUME", ".GPRO150417C65")</f>
        <v/>
      </c>
      <c r="F14" t="str">
        <f>RTD("tos.rtd", , "OPEN_INT", ".GPRO150417C65")</f>
        <v/>
      </c>
      <c r="G14" t="str">
        <f>RTD("tos.rtd", , "DELTA", ".GPRO150417C65")</f>
        <v/>
      </c>
      <c r="H14" t="str">
        <f>RTD("tos.rtd", , "THETA", ".GPRO150417C65")</f>
        <v/>
      </c>
      <c r="I14" t="str">
        <f>RTD("tos.rtd", , "GAMMA", ".GPRO150417C65")</f>
        <v/>
      </c>
      <c r="J14" t="str">
        <f>RTD("tos.rtd", , "VEGA", ".GPRO150417C65")</f>
        <v/>
      </c>
      <c r="K14" t="str">
        <f>RTD("tos.rtd", , "RHO", ".GPRO150417C65")</f>
        <v/>
      </c>
      <c r="L14" t="str">
        <f>RTD("tos.rtd", , "ASK", ".GPRO150417P65")</f>
        <v/>
      </c>
      <c r="M14" t="str">
        <f>RTD("tos.rtd", , "ASK_SIZE", ".GPRO150417C65")</f>
        <v/>
      </c>
      <c r="N14" t="str">
        <f>RTD("tos.rtd", , "BID", ".GPRO150417P65")</f>
        <v/>
      </c>
      <c r="O14" t="str">
        <f>RTD("tos.rtd", , "BID_SIZE", ".GPRO150417C65")</f>
        <v/>
      </c>
      <c r="P14" t="str">
        <f>RTD("tos.rtd", , "VOLUME", ".GPRO150417C65")</f>
        <v/>
      </c>
      <c r="Q14" t="str">
        <f>RTD("tos.rtd", , "OPEN_INT", ".GPRO150417C65")</f>
        <v/>
      </c>
      <c r="R14" t="str">
        <f>RTD("tos.rtd", , "DELTA", ".GPRO150417P65")</f>
        <v/>
      </c>
      <c r="S14" t="str">
        <f>RTD("tos.rtd", , "THETA", ".GPRO150417P65")</f>
        <v/>
      </c>
      <c r="T14" t="str">
        <f>RTD("tos.rtd", , "GAMMA", ".GPRO150417P65")</f>
        <v/>
      </c>
      <c r="U14" t="str">
        <f>RTD("tos.rtd", , "VEGA", ".GPRO150417P65")</f>
        <v/>
      </c>
      <c r="V14" t="str">
        <f>RTD("tos.rtd", , "RHO", ".GPRO150417P65")</f>
        <v/>
      </c>
    </row>
    <row r="15" spans="1:22" x14ac:dyDescent="0.25">
      <c r="A15" t="str">
        <f>RTD("tos.rtd", , "ASK", ".GPRO150417C67.5")</f>
        <v/>
      </c>
      <c r="B15" t="str">
        <f>RTD("tos.rtd", , "ASK_SIZE", ".GPRO150417C67.5")</f>
        <v/>
      </c>
      <c r="C15" t="str">
        <f>RTD("tos.rtd", , "BID", ".GPRO150417C67.5")</f>
        <v/>
      </c>
      <c r="D15" t="str">
        <f>RTD("tos.rtd", , "BID_SIZE", ".GPRO150417C67.5")</f>
        <v/>
      </c>
      <c r="E15" t="str">
        <f>RTD("tos.rtd", , "VOLUME", ".GPRO150417C67.5")</f>
        <v/>
      </c>
      <c r="F15" t="str">
        <f>RTD("tos.rtd", , "OPEN_INT", ".GPRO150417C67.5")</f>
        <v/>
      </c>
      <c r="G15" t="str">
        <f>RTD("tos.rtd", , "DELTA", ".GPRO150417C67.5")</f>
        <v/>
      </c>
      <c r="H15" t="str">
        <f>RTD("tos.rtd", , "THETA", ".GPRO150417C67.5")</f>
        <v/>
      </c>
      <c r="I15" t="str">
        <f>RTD("tos.rtd", , "GAMMA", ".GPRO150417C67.5")</f>
        <v/>
      </c>
      <c r="J15" t="str">
        <f>RTD("tos.rtd", , "VEGA", ".GPRO150417C67.5")</f>
        <v/>
      </c>
      <c r="K15" t="str">
        <f>RTD("tos.rtd", , "RHO", ".GPRO150417C67.5")</f>
        <v/>
      </c>
      <c r="L15" t="str">
        <f>RTD("tos.rtd", , "ASK", ".GPRO150417P67.5")</f>
        <v/>
      </c>
      <c r="M15" t="str">
        <f>RTD("tos.rtd", , "ASK_SIZE", ".GPRO150417C67.5")</f>
        <v/>
      </c>
      <c r="N15" t="str">
        <f>RTD("tos.rtd", , "BID", ".GPRO150417P67.5")</f>
        <v/>
      </c>
      <c r="O15" t="str">
        <f>RTD("tos.rtd", , "BID_SIZE", ".GPRO150417C67.5")</f>
        <v/>
      </c>
      <c r="P15" t="str">
        <f>RTD("tos.rtd", , "VOLUME", ".GPRO150417C67.5")</f>
        <v/>
      </c>
      <c r="Q15" t="str">
        <f>RTD("tos.rtd", , "OPEN_INT", ".GPRO150417C67.5")</f>
        <v/>
      </c>
      <c r="R15" t="str">
        <f>RTD("tos.rtd", , "DELTA", ".GPRO150417P67.5")</f>
        <v/>
      </c>
      <c r="S15" t="str">
        <f>RTD("tos.rtd", , "THETA", ".GPRO150417P67.5")</f>
        <v/>
      </c>
      <c r="T15" t="str">
        <f>RTD("tos.rtd", , "GAMMA", ".GPRO150417P67.5")</f>
        <v/>
      </c>
      <c r="U15" t="str">
        <f>RTD("tos.rtd", , "VEGA", ".GPRO150417P67.5")</f>
        <v/>
      </c>
      <c r="V15" t="str">
        <f>RTD("tos.rtd", , "RHO", ".GPRO150417P67.5")</f>
        <v/>
      </c>
    </row>
    <row r="16" spans="1:22" x14ac:dyDescent="0.25">
      <c r="A16" t="str">
        <f>RTD("tos.rtd", , "ASK", ".GPRO150417C70")</f>
        <v/>
      </c>
      <c r="B16" t="str">
        <f>RTD("tos.rtd", , "ASK_SIZE", ".GPRO150417C70")</f>
        <v/>
      </c>
      <c r="C16" t="str">
        <f>RTD("tos.rtd", , "BID", ".GPRO150417C70")</f>
        <v/>
      </c>
      <c r="D16" t="str">
        <f>RTD("tos.rtd", , "BID_SIZE", ".GPRO150417C70")</f>
        <v/>
      </c>
      <c r="E16" t="str">
        <f>RTD("tos.rtd", , "VOLUME", ".GPRO150417C70")</f>
        <v/>
      </c>
      <c r="F16" t="str">
        <f>RTD("tos.rtd", , "OPEN_INT", ".GPRO150417C70")</f>
        <v/>
      </c>
      <c r="G16" t="str">
        <f>RTD("tos.rtd", , "DELTA", ".GPRO150417C70")</f>
        <v/>
      </c>
      <c r="H16" t="str">
        <f>RTD("tos.rtd", , "THETA", ".GPRO150417C70")</f>
        <v/>
      </c>
      <c r="I16" t="str">
        <f>RTD("tos.rtd", , "GAMMA", ".GPRO150417C70")</f>
        <v/>
      </c>
      <c r="J16" t="str">
        <f>RTD("tos.rtd", , "VEGA", ".GPRO150417C70")</f>
        <v/>
      </c>
      <c r="K16" t="str">
        <f>RTD("tos.rtd", , "RHO", ".GPRO150417C70")</f>
        <v/>
      </c>
      <c r="L16" t="str">
        <f>RTD("tos.rtd", , "ASK", ".GPRO150417P70")</f>
        <v/>
      </c>
      <c r="M16" t="str">
        <f>RTD("tos.rtd", , "ASK_SIZE", ".GPRO150417C70")</f>
        <v/>
      </c>
      <c r="N16" t="str">
        <f>RTD("tos.rtd", , "BID", ".GPRO150417P70")</f>
        <v/>
      </c>
      <c r="O16" t="str">
        <f>RTD("tos.rtd", , "BID_SIZE", ".GPRO150417C70")</f>
        <v/>
      </c>
      <c r="P16" t="str">
        <f>RTD("tos.rtd", , "VOLUME", ".GPRO150417C70")</f>
        <v/>
      </c>
      <c r="Q16" t="str">
        <f>RTD("tos.rtd", , "OPEN_INT", ".GPRO150417C70")</f>
        <v/>
      </c>
      <c r="R16" t="str">
        <f>RTD("tos.rtd", , "DELTA", ".GPRO150417P70")</f>
        <v/>
      </c>
      <c r="S16" t="str">
        <f>RTD("tos.rtd", , "THETA", ".GPRO150417P70")</f>
        <v/>
      </c>
      <c r="T16" t="str">
        <f>RTD("tos.rtd", , "GAMMA", ".GPRO150417P70")</f>
        <v/>
      </c>
      <c r="U16" t="str">
        <f>RTD("tos.rtd", , "VEGA", ".GPRO150417P70")</f>
        <v/>
      </c>
      <c r="V16" t="str">
        <f>RTD("tos.rtd", , "RHO", ".GPRO150417P70")</f>
        <v/>
      </c>
    </row>
    <row r="23" spans="4:4" x14ac:dyDescent="0.25">
      <c r="D23">
        <f>22*6+3</f>
        <v>135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</dc:title>
  <dc:creator>Unknown</dc:creator>
  <cp:lastModifiedBy>synopsys</cp:lastModifiedBy>
  <dcterms:created xsi:type="dcterms:W3CDTF">2015-03-11T21:42:01Z</dcterms:created>
  <dcterms:modified xsi:type="dcterms:W3CDTF">2015-03-12T08:28:08Z</dcterms:modified>
</cp:coreProperties>
</file>